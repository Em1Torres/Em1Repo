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A3820698-0242-4773-95D6-558386E70949}" xr6:coauthVersionLast="47" xr6:coauthVersionMax="47" xr10:uidLastSave="{00000000-0000-0000-0000-000000000000}"/>
  <bookViews>
    <workbookView xWindow="-108" yWindow="-108" windowWidth="23256" windowHeight="12456" activeTab="1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  <sheet name="Demo Data" sheetId="6" r:id="rId5"/>
  </sheets>
  <definedNames>
    <definedName name="_xlnm._FilterDatabase" localSheetId="0" hidden="1">'Supplier Invoice Statement'!$A$1:$O$37</definedName>
    <definedName name="Amount_Paid">'MC Invoice Report'!$J$5:$J$88</definedName>
    <definedName name="Bank_Details">'MC Invoice Report'!$G$5:$G$88</definedName>
    <definedName name="Due_Date">'MC Invoice Report'!$E$5:$E$88</definedName>
    <definedName name="Flat_Rate">5</definedName>
    <definedName name="Invoice_Date">'MC Invoice Report'!$D$5:$D$88</definedName>
    <definedName name="Invoice_Day">'MC Invoice Report'!$L$5:$L$88</definedName>
    <definedName name="Invoice_Month">'MC Invoice Report'!$K$5:$K$88</definedName>
    <definedName name="Late_Charge">'MC Invoice Report'!$N$5:$N$88</definedName>
    <definedName name="Location">'MC Invoice Report'!$I$5:$I$88</definedName>
    <definedName name="Over_Due_By">'MC Invoice Report'!$M$5:$M$88</definedName>
    <definedName name="Payment_Date">'MC Invoice Report'!$F$5:$F$88</definedName>
    <definedName name="Payment_No.">'MC Invoice Report'!$C$5:$C$88</definedName>
    <definedName name="Payment_Ref">'MC Invoice Report'!$A$5:$A$88</definedName>
    <definedName name="Penalty_Rate">'MC Invoice Report'!$N$2</definedName>
    <definedName name="PO_Number">'MC Invoice Report'!$H$5:$H$88</definedName>
    <definedName name="Supplier_Code">'MC Invoice Report'!$B$5:$B$88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Q85" i="2"/>
  <c r="K4" i="2" l="1"/>
  <c r="L4" i="2"/>
  <c r="M4" i="2"/>
  <c r="R4" i="2" s="1"/>
  <c r="N4" i="2"/>
  <c r="O4" i="2"/>
  <c r="P4" i="2"/>
  <c r="C9" i="4" l="1"/>
  <c r="C8" i="4"/>
  <c r="B9" i="4"/>
  <c r="B8" i="4"/>
  <c r="B4" i="4"/>
  <c r="E6" i="1" l="1"/>
  <c r="M6" i="1" s="1"/>
  <c r="N6" i="1" s="1"/>
  <c r="E7" i="1"/>
  <c r="M7" i="1" s="1"/>
  <c r="N7" i="1" s="1"/>
  <c r="E8" i="1"/>
  <c r="M8" i="1" s="1"/>
  <c r="N8" i="1" s="1"/>
  <c r="E9" i="1"/>
  <c r="M9" i="1" s="1"/>
  <c r="N9" i="1" s="1"/>
  <c r="E10" i="1"/>
  <c r="M10" i="1" s="1"/>
  <c r="N10" i="1" s="1"/>
  <c r="E11" i="1"/>
  <c r="M11" i="1" s="1"/>
  <c r="N11" i="1" s="1"/>
  <c r="E12" i="1"/>
  <c r="M12" i="1" s="1"/>
  <c r="N12" i="1" s="1"/>
  <c r="E13" i="1"/>
  <c r="M13" i="1" s="1"/>
  <c r="N13" i="1" s="1"/>
  <c r="E14" i="1"/>
  <c r="M14" i="1" s="1"/>
  <c r="N14" i="1" s="1"/>
  <c r="E15" i="1"/>
  <c r="M15" i="1" s="1"/>
  <c r="N15" i="1" s="1"/>
  <c r="E16" i="1"/>
  <c r="M16" i="1" s="1"/>
  <c r="N16" i="1" s="1"/>
  <c r="E17" i="1"/>
  <c r="M17" i="1" s="1"/>
  <c r="N17" i="1" s="1"/>
  <c r="E18" i="1"/>
  <c r="M18" i="1" s="1"/>
  <c r="N18" i="1" s="1"/>
  <c r="E19" i="1"/>
  <c r="M19" i="1" s="1"/>
  <c r="N19" i="1" s="1"/>
  <c r="E20" i="1"/>
  <c r="M20" i="1" s="1"/>
  <c r="N20" i="1" s="1"/>
  <c r="E21" i="1"/>
  <c r="M21" i="1" s="1"/>
  <c r="N21" i="1" s="1"/>
  <c r="E22" i="1"/>
  <c r="M22" i="1" s="1"/>
  <c r="N22" i="1" s="1"/>
  <c r="E23" i="1"/>
  <c r="M23" i="1" s="1"/>
  <c r="N23" i="1" s="1"/>
  <c r="E24" i="1"/>
  <c r="M24" i="1" s="1"/>
  <c r="N24" i="1" s="1"/>
  <c r="E25" i="1"/>
  <c r="M25" i="1" s="1"/>
  <c r="N25" i="1" s="1"/>
  <c r="E26" i="1"/>
  <c r="M26" i="1" s="1"/>
  <c r="N26" i="1" s="1"/>
  <c r="E27" i="1"/>
  <c r="M27" i="1" s="1"/>
  <c r="N27" i="1" s="1"/>
  <c r="E28" i="1"/>
  <c r="M28" i="1" s="1"/>
  <c r="N28" i="1" s="1"/>
  <c r="E29" i="1"/>
  <c r="M29" i="1" s="1"/>
  <c r="N29" i="1" s="1"/>
  <c r="E30" i="1"/>
  <c r="M30" i="1" s="1"/>
  <c r="N30" i="1" s="1"/>
  <c r="E31" i="1"/>
  <c r="M31" i="1" s="1"/>
  <c r="N31" i="1" s="1"/>
  <c r="E32" i="1"/>
  <c r="M32" i="1" s="1"/>
  <c r="N32" i="1" s="1"/>
  <c r="E33" i="1"/>
  <c r="M33" i="1" s="1"/>
  <c r="N33" i="1" s="1"/>
  <c r="E34" i="1"/>
  <c r="M34" i="1" s="1"/>
  <c r="N34" i="1" s="1"/>
  <c r="E35" i="1"/>
  <c r="M35" i="1" s="1"/>
  <c r="N35" i="1" s="1"/>
  <c r="E36" i="1"/>
  <c r="M36" i="1" s="1"/>
  <c r="N36" i="1" s="1"/>
  <c r="E37" i="1"/>
  <c r="M37" i="1" s="1"/>
  <c r="N37" i="1" s="1"/>
  <c r="E38" i="1"/>
  <c r="M38" i="1" s="1"/>
  <c r="N38" i="1" s="1"/>
  <c r="E39" i="1"/>
  <c r="M39" i="1" s="1"/>
  <c r="N39" i="1" s="1"/>
  <c r="E40" i="1"/>
  <c r="M40" i="1" s="1"/>
  <c r="N40" i="1" s="1"/>
  <c r="E41" i="1"/>
  <c r="M41" i="1" s="1"/>
  <c r="N41" i="1" s="1"/>
  <c r="E42" i="1"/>
  <c r="M42" i="1" s="1"/>
  <c r="N42" i="1" s="1"/>
  <c r="E43" i="1"/>
  <c r="M43" i="1" s="1"/>
  <c r="N43" i="1" s="1"/>
  <c r="E44" i="1"/>
  <c r="M44" i="1" s="1"/>
  <c r="N44" i="1" s="1"/>
  <c r="E45" i="1"/>
  <c r="M45" i="1" s="1"/>
  <c r="N45" i="1" s="1"/>
  <c r="E46" i="1"/>
  <c r="M46" i="1" s="1"/>
  <c r="N46" i="1" s="1"/>
  <c r="E47" i="1"/>
  <c r="M47" i="1" s="1"/>
  <c r="N47" i="1" s="1"/>
  <c r="E48" i="1"/>
  <c r="M48" i="1" s="1"/>
  <c r="N48" i="1" s="1"/>
  <c r="E49" i="1"/>
  <c r="M49" i="1" s="1"/>
  <c r="N49" i="1" s="1"/>
  <c r="E50" i="1"/>
  <c r="M50" i="1" s="1"/>
  <c r="N50" i="1" s="1"/>
  <c r="E51" i="1"/>
  <c r="M51" i="1" s="1"/>
  <c r="N51" i="1" s="1"/>
  <c r="E52" i="1"/>
  <c r="M52" i="1" s="1"/>
  <c r="N52" i="1" s="1"/>
  <c r="E53" i="1"/>
  <c r="M53" i="1" s="1"/>
  <c r="N53" i="1" s="1"/>
  <c r="E54" i="1"/>
  <c r="M54" i="1" s="1"/>
  <c r="N54" i="1" s="1"/>
  <c r="E55" i="1"/>
  <c r="M55" i="1" s="1"/>
  <c r="N55" i="1" s="1"/>
  <c r="E56" i="1"/>
  <c r="M56" i="1" s="1"/>
  <c r="N56" i="1" s="1"/>
  <c r="E57" i="1"/>
  <c r="M57" i="1" s="1"/>
  <c r="N57" i="1" s="1"/>
  <c r="E58" i="1"/>
  <c r="M58" i="1" s="1"/>
  <c r="N58" i="1" s="1"/>
  <c r="E59" i="1"/>
  <c r="M59" i="1" s="1"/>
  <c r="N59" i="1" s="1"/>
  <c r="E60" i="1"/>
  <c r="M60" i="1" s="1"/>
  <c r="N60" i="1" s="1"/>
  <c r="E61" i="1"/>
  <c r="M61" i="1" s="1"/>
  <c r="N61" i="1" s="1"/>
  <c r="E62" i="1"/>
  <c r="M62" i="1" s="1"/>
  <c r="N62" i="1" s="1"/>
  <c r="E63" i="1"/>
  <c r="M63" i="1" s="1"/>
  <c r="N63" i="1" s="1"/>
  <c r="E64" i="1"/>
  <c r="M64" i="1" s="1"/>
  <c r="N64" i="1" s="1"/>
  <c r="E65" i="1"/>
  <c r="M65" i="1" s="1"/>
  <c r="N65" i="1" s="1"/>
  <c r="E66" i="1"/>
  <c r="M66" i="1" s="1"/>
  <c r="N66" i="1" s="1"/>
  <c r="E67" i="1"/>
  <c r="M67" i="1" s="1"/>
  <c r="N67" i="1" s="1"/>
  <c r="E68" i="1"/>
  <c r="M68" i="1" s="1"/>
  <c r="N68" i="1" s="1"/>
  <c r="E69" i="1"/>
  <c r="M69" i="1" s="1"/>
  <c r="N69" i="1" s="1"/>
  <c r="E70" i="1"/>
  <c r="M70" i="1" s="1"/>
  <c r="N70" i="1" s="1"/>
  <c r="E71" i="1"/>
  <c r="M71" i="1" s="1"/>
  <c r="N71" i="1" s="1"/>
  <c r="E72" i="1"/>
  <c r="M72" i="1" s="1"/>
  <c r="N72" i="1" s="1"/>
  <c r="E73" i="1"/>
  <c r="M73" i="1" s="1"/>
  <c r="N73" i="1" s="1"/>
  <c r="E74" i="1"/>
  <c r="M74" i="1" s="1"/>
  <c r="N74" i="1" s="1"/>
  <c r="E75" i="1"/>
  <c r="M75" i="1" s="1"/>
  <c r="N75" i="1" s="1"/>
  <c r="E76" i="1"/>
  <c r="M76" i="1" s="1"/>
  <c r="N76" i="1" s="1"/>
  <c r="E77" i="1"/>
  <c r="M77" i="1" s="1"/>
  <c r="N77" i="1" s="1"/>
  <c r="E78" i="1"/>
  <c r="M78" i="1" s="1"/>
  <c r="N78" i="1" s="1"/>
  <c r="E79" i="1"/>
  <c r="M79" i="1" s="1"/>
  <c r="N79" i="1" s="1"/>
  <c r="E80" i="1"/>
  <c r="M80" i="1" s="1"/>
  <c r="N80" i="1" s="1"/>
  <c r="E81" i="1"/>
  <c r="M81" i="1" s="1"/>
  <c r="N81" i="1" s="1"/>
  <c r="E82" i="1"/>
  <c r="M82" i="1" s="1"/>
  <c r="N82" i="1" s="1"/>
  <c r="E83" i="1"/>
  <c r="M83" i="1" s="1"/>
  <c r="N83" i="1" s="1"/>
  <c r="E84" i="1"/>
  <c r="M84" i="1" s="1"/>
  <c r="N84" i="1" s="1"/>
  <c r="E85" i="1"/>
  <c r="M85" i="1" s="1"/>
  <c r="N85" i="1" s="1"/>
  <c r="E86" i="1"/>
  <c r="M86" i="1" s="1"/>
  <c r="N86" i="1" s="1"/>
  <c r="E87" i="1"/>
  <c r="M87" i="1" s="1"/>
  <c r="N87" i="1" s="1"/>
  <c r="E88" i="1"/>
  <c r="M88" i="1" s="1"/>
  <c r="N88" i="1" s="1"/>
  <c r="E5" i="1"/>
  <c r="M5" i="1" s="1"/>
  <c r="N5" i="1" s="1"/>
  <c r="B5" i="5" l="1"/>
  <c r="B6" i="5"/>
  <c r="B7" i="5"/>
  <c r="B8" i="5"/>
  <c r="B9" i="5"/>
  <c r="B10" i="5"/>
  <c r="B11" i="5"/>
  <c r="B12" i="5"/>
  <c r="B13" i="5"/>
  <c r="B14" i="5"/>
  <c r="B15" i="5"/>
  <c r="B4" i="5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" i="1"/>
  <c r="B3" i="4" l="1"/>
  <c r="B5" i="4" s="1"/>
  <c r="P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R3" i="2" s="1"/>
  <c r="M5" i="2"/>
  <c r="R5" i="2" s="1"/>
  <c r="M6" i="2"/>
  <c r="R6" i="2" s="1"/>
  <c r="M7" i="2"/>
  <c r="R7" i="2" s="1"/>
  <c r="M8" i="2"/>
  <c r="R8" i="2" s="1"/>
  <c r="M9" i="2"/>
  <c r="R9" i="2" s="1"/>
  <c r="M10" i="2"/>
  <c r="R10" i="2" s="1"/>
  <c r="M11" i="2"/>
  <c r="R11" i="2" s="1"/>
  <c r="M12" i="2"/>
  <c r="R12" i="2" s="1"/>
  <c r="M13" i="2"/>
  <c r="R13" i="2" s="1"/>
  <c r="M14" i="2"/>
  <c r="R14" i="2" s="1"/>
  <c r="M15" i="2"/>
  <c r="R15" i="2" s="1"/>
  <c r="M16" i="2"/>
  <c r="R16" i="2" s="1"/>
  <c r="M17" i="2"/>
  <c r="R17" i="2" s="1"/>
  <c r="M18" i="2"/>
  <c r="R18" i="2" s="1"/>
  <c r="M19" i="2"/>
  <c r="R19" i="2" s="1"/>
  <c r="M20" i="2"/>
  <c r="R20" i="2" s="1"/>
  <c r="M21" i="2"/>
  <c r="R21" i="2" s="1"/>
  <c r="M22" i="2"/>
  <c r="R22" i="2" s="1"/>
  <c r="M23" i="2"/>
  <c r="R23" i="2" s="1"/>
  <c r="M24" i="2"/>
  <c r="R24" i="2" s="1"/>
  <c r="M25" i="2"/>
  <c r="R25" i="2" s="1"/>
  <c r="M26" i="2"/>
  <c r="R26" i="2" s="1"/>
  <c r="M27" i="2"/>
  <c r="R27" i="2" s="1"/>
  <c r="M28" i="2"/>
  <c r="R28" i="2" s="1"/>
  <c r="M29" i="2"/>
  <c r="R29" i="2" s="1"/>
  <c r="M30" i="2"/>
  <c r="R30" i="2" s="1"/>
  <c r="M31" i="2"/>
  <c r="R31" i="2" s="1"/>
  <c r="M32" i="2"/>
  <c r="R32" i="2" s="1"/>
  <c r="M33" i="2"/>
  <c r="R33" i="2" s="1"/>
  <c r="M34" i="2"/>
  <c r="R34" i="2" s="1"/>
  <c r="M35" i="2"/>
  <c r="R35" i="2" s="1"/>
  <c r="M36" i="2"/>
  <c r="R36" i="2" s="1"/>
  <c r="M37" i="2"/>
  <c r="R37" i="2" s="1"/>
  <c r="M38" i="2"/>
  <c r="R38" i="2" s="1"/>
  <c r="M39" i="2"/>
  <c r="R39" i="2" s="1"/>
  <c r="M40" i="2"/>
  <c r="R40" i="2" s="1"/>
  <c r="M41" i="2"/>
  <c r="R41" i="2" s="1"/>
  <c r="M42" i="2"/>
  <c r="R42" i="2" s="1"/>
  <c r="M43" i="2"/>
  <c r="R43" i="2" s="1"/>
  <c r="M44" i="2"/>
  <c r="R44" i="2" s="1"/>
  <c r="M45" i="2"/>
  <c r="R45" i="2" s="1"/>
  <c r="M46" i="2"/>
  <c r="R46" i="2" s="1"/>
  <c r="M47" i="2"/>
  <c r="R47" i="2" s="1"/>
  <c r="M48" i="2"/>
  <c r="R48" i="2" s="1"/>
  <c r="M49" i="2"/>
  <c r="R49" i="2" s="1"/>
  <c r="M50" i="2"/>
  <c r="R50" i="2" s="1"/>
  <c r="M51" i="2"/>
  <c r="R51" i="2" s="1"/>
  <c r="M52" i="2"/>
  <c r="R52" i="2" s="1"/>
  <c r="M53" i="2"/>
  <c r="R53" i="2" s="1"/>
  <c r="M54" i="2"/>
  <c r="R54" i="2" s="1"/>
  <c r="M55" i="2"/>
  <c r="R55" i="2" s="1"/>
  <c r="M56" i="2"/>
  <c r="R56" i="2" s="1"/>
  <c r="M57" i="2"/>
  <c r="R57" i="2" s="1"/>
  <c r="M58" i="2"/>
  <c r="R58" i="2" s="1"/>
  <c r="M59" i="2"/>
  <c r="R59" i="2" s="1"/>
  <c r="M60" i="2"/>
  <c r="R60" i="2" s="1"/>
  <c r="M61" i="2"/>
  <c r="R61" i="2" s="1"/>
  <c r="M62" i="2"/>
  <c r="R62" i="2" s="1"/>
  <c r="M63" i="2"/>
  <c r="R63" i="2" s="1"/>
  <c r="M64" i="2"/>
  <c r="R64" i="2" s="1"/>
  <c r="M65" i="2"/>
  <c r="R65" i="2" s="1"/>
  <c r="M66" i="2"/>
  <c r="R66" i="2" s="1"/>
  <c r="M67" i="2"/>
  <c r="R67" i="2" s="1"/>
  <c r="M68" i="2"/>
  <c r="R68" i="2" s="1"/>
  <c r="M69" i="2"/>
  <c r="R69" i="2" s="1"/>
  <c r="M70" i="2"/>
  <c r="R70" i="2" s="1"/>
  <c r="M71" i="2"/>
  <c r="R71" i="2" s="1"/>
  <c r="M72" i="2"/>
  <c r="R72" i="2" s="1"/>
  <c r="M73" i="2"/>
  <c r="R73" i="2" s="1"/>
  <c r="M74" i="2"/>
  <c r="R74" i="2" s="1"/>
  <c r="M75" i="2"/>
  <c r="R75" i="2" s="1"/>
  <c r="M76" i="2"/>
  <c r="R76" i="2" s="1"/>
  <c r="M77" i="2"/>
  <c r="R77" i="2" s="1"/>
  <c r="M78" i="2"/>
  <c r="R78" i="2" s="1"/>
  <c r="M79" i="2"/>
  <c r="R79" i="2" s="1"/>
  <c r="M80" i="2"/>
  <c r="R80" i="2" s="1"/>
  <c r="M81" i="2"/>
  <c r="R81" i="2" s="1"/>
  <c r="M82" i="2"/>
  <c r="R82" i="2" s="1"/>
  <c r="M83" i="2"/>
  <c r="R83" i="2" s="1"/>
  <c r="M84" i="2"/>
  <c r="R84" i="2" s="1"/>
  <c r="M85" i="2"/>
  <c r="R85" i="2" s="1"/>
  <c r="M2" i="2"/>
  <c r="R2" i="2" s="1"/>
  <c r="L2" i="2"/>
  <c r="L3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<sst xmlns="http://schemas.openxmlformats.org/spreadsheetml/2006/main" count="955" uniqueCount="420">
  <si>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</si>
  <si>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</si>
  <si>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</si>
  <si>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</si>
  <si>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</si>
  <si>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</si>
  <si>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</si>
  <si>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</si>
  <si>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</si>
  <si>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</si>
  <si>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</si>
  <si>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</si>
  <si>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</si>
  <si>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</si>
  <si>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</si>
  <si>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</si>
  <si>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</si>
  <si>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</si>
  <si>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</si>
  <si>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</si>
  <si>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</si>
  <si>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</si>
  <si>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</si>
  <si>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</si>
  <si>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</si>
  <si>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</si>
  <si>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</si>
  <si>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</si>
  <si>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</si>
  <si>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</si>
  <si>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</si>
  <si>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</si>
  <si>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</si>
  <si>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</si>
  <si>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</si>
  <si>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</si>
  <si>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</si>
  <si>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</si>
  <si>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</si>
  <si>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</si>
  <si>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</si>
  <si>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</si>
  <si>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</si>
  <si>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</si>
  <si>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</si>
  <si>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</si>
  <si>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</si>
  <si>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</si>
  <si>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</si>
  <si>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</si>
  <si>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</si>
  <si>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</si>
  <si>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</si>
  <si>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</si>
  <si>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</si>
  <si>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</si>
  <si>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</si>
  <si>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</si>
  <si>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</si>
  <si>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</si>
  <si>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</si>
  <si>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</si>
  <si>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</si>
  <si>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</si>
  <si>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</si>
  <si>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</si>
  <si>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</si>
  <si>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</si>
  <si>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</si>
  <si>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</si>
  <si>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</si>
  <si>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</si>
  <si>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</si>
  <si>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</si>
  <si>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</si>
  <si>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</si>
  <si>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</si>
  <si>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</si>
  <si>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</si>
  <si>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</si>
  <si>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</si>
  <si>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</si>
  <si>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</si>
  <si>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</si>
  <si>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</si>
  <si>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</si>
  <si>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</si>
  <si>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</si>
  <si>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</si>
  <si>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</si>
  <si>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</si>
  <si>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</si>
  <si>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</si>
  <si>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</si>
  <si>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</si>
  <si>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</si>
  <si>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</si>
  <si>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</si>
  <si>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</si>
  <si>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</si>
  <si>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</si>
  <si>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</si>
  <si>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</si>
  <si>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</si>
  <si>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</si>
  <si>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</si>
  <si>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</si>
  <si>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</si>
  <si>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</si>
  <si>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</si>
  <si>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</si>
  <si>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</si>
  <si>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</si>
  <si>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</si>
  <si>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</si>
  <si>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</si>
  <si>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</si>
  <si>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</si>
  <si>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</si>
  <si>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</si>
  <si>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</si>
  <si>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</si>
  <si>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</si>
  <si>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</si>
  <si>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</si>
  <si>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</si>
  <si>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</si>
  <si>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</si>
  <si>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</si>
  <si>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</si>
  <si>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</si>
  <si>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</si>
  <si>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</si>
  <si>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</si>
  <si>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</si>
  <si>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</si>
  <si>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</si>
  <si>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</si>
  <si>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</si>
  <si>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</si>
  <si>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</si>
  <si>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</si>
  <si>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</si>
  <si>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</si>
  <si>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</si>
  <si>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</si>
  <si>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</si>
  <si>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</si>
  <si>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</si>
  <si>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</si>
  <si>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</si>
  <si>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</si>
  <si>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</si>
  <si>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</si>
  <si>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</si>
  <si>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</si>
  <si>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</si>
  <si>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</si>
  <si>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</si>
  <si>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</si>
  <si>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</si>
  <si>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</si>
  <si>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</si>
  <si>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</si>
  <si>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</si>
  <si>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</si>
  <si>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</si>
  <si>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</si>
  <si>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</si>
  <si>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</si>
  <si>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</si>
  <si>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</si>
  <si>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</si>
  <si>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</si>
  <si>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</si>
  <si>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</si>
  <si>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</si>
  <si>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</si>
  <si>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</si>
  <si>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</si>
  <si>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</si>
  <si>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</si>
  <si>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</si>
  <si>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</si>
  <si>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</si>
  <si>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</si>
  <si>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</si>
  <si>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</si>
  <si>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</si>
  <si>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</si>
  <si>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</si>
  <si>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</si>
  <si>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</si>
  <si>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</si>
  <si>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</si>
  <si>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</si>
  <si>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</si>
  <si>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</si>
  <si>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</si>
  <si>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</si>
  <si>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</si>
  <si>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</si>
  <si>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</si>
  <si>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</si>
  <si>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</si>
  <si>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</si>
  <si>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</si>
  <si>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</si>
  <si>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</si>
  <si>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</si>
  <si>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</si>
  <si>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</si>
  <si>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</si>
  <si>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</si>
  <si>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</si>
  <si>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</si>
  <si>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</si>
  <si>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</si>
  <si>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</si>
  <si>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</si>
  <si>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</si>
  <si>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</si>
  <si>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</si>
  <si>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</si>
  <si>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</si>
  <si>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</si>
  <si>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</si>
  <si>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</si>
  <si>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</si>
  <si>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</si>
  <si>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</si>
  <si>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</si>
  <si>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</si>
  <si>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</si>
  <si>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</si>
  <si>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</si>
  <si>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</si>
  <si>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</si>
  <si>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</si>
  <si>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</si>
  <si>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</si>
  <si>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</si>
  <si>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</si>
  <si>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</si>
  <si>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</si>
  <si>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</si>
  <si>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</si>
  <si>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</si>
  <si>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</si>
  <si>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</si>
  <si>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</si>
  <si>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</si>
  <si>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</si>
  <si>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</si>
  <si>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</si>
  <si>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</si>
  <si>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</si>
  <si>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</si>
  <si>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</si>
  <si>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</si>
  <si>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</si>
  <si>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</si>
  <si>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</si>
  <si>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</si>
  <si>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</si>
  <si>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</si>
  <si>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</si>
  <si>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</si>
  <si>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</si>
  <si>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</si>
  <si>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</si>
  <si>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</si>
  <si>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</si>
  <si>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</si>
  <si>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</si>
  <si>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</si>
  <si>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</si>
  <si>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</si>
  <si>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</si>
  <si>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</si>
  <si>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</si>
  <si>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</si>
  <si>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</si>
  <si>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</si>
  <si>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</si>
  <si>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</si>
  <si>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</si>
  <si>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</si>
  <si>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</si>
  <si>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</si>
  <si>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</si>
  <si>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</si>
  <si>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</si>
  <si>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</si>
  <si>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</si>
  <si>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</si>
  <si>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</si>
  <si>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</si>
  <si>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</si>
  <si>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</si>
  <si>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</si>
  <si>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</si>
  <si>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</si>
  <si>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</si>
  <si>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</si>
  <si>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</si>
  <si>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</si>
  <si>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</si>
  <si>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</si>
  <si>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</si>
  <si>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</si>
  <si>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</si>
  <si>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</si>
  <si>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</si>
  <si>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</si>
  <si>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</si>
  <si>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</si>
  <si>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</si>
  <si>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</si>
  <si>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</si>
  <si>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</si>
  <si>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</si>
  <si>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</si>
  <si>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</si>
  <si>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</si>
  <si>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</si>
  <si>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</si>
  <si>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</si>
  <si>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</si>
  <si>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</si>
  <si>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</si>
  <si>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</si>
  <si>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</si>
  <si>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</si>
  <si>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</si>
  <si>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</si>
  <si>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</si>
  <si>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</si>
  <si>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</si>
  <si>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</si>
  <si>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</si>
  <si>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</si>
  <si>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</si>
  <si>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</si>
  <si>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</si>
  <si>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</si>
  <si>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</si>
  <si>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</si>
  <si>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</si>
  <si>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</si>
  <si>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Number of Invoices</t>
  </si>
  <si>
    <t>Total Paid</t>
  </si>
  <si>
    <t>Location:</t>
  </si>
  <si>
    <t>Invoiced</t>
  </si>
  <si>
    <t>Paid</t>
  </si>
  <si>
    <t>Inv/cr</t>
  </si>
  <si>
    <t>Amount</t>
  </si>
  <si>
    <t>Paid Date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</si>
  <si>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</si>
  <si>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</si>
  <si>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</si>
  <si>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</si>
  <si>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</si>
  <si>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</si>
  <si>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</si>
  <si>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</si>
  <si>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</si>
  <si>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</si>
  <si>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</si>
  <si>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</si>
  <si>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</si>
  <si>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</si>
  <si>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</si>
  <si>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</si>
  <si>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</si>
  <si>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</si>
  <si>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</si>
  <si>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</si>
  <si>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</si>
  <si>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</si>
  <si>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</si>
  <si>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</si>
  <si>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</si>
  <si>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</si>
  <si>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</si>
  <si>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</si>
  <si>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</si>
  <si>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</si>
  <si>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</si>
  <si>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</si>
  <si>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</si>
  <si>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</si>
  <si>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</si>
  <si>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</si>
  <si>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</si>
  <si>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</si>
  <si>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Locations</t>
  </si>
  <si>
    <t>Total Paid:</t>
  </si>
  <si>
    <t>Payments:</t>
  </si>
  <si>
    <t>Days Overdue</t>
  </si>
  <si>
    <t>May 06</t>
  </si>
  <si>
    <t>S 297.27</t>
  </si>
  <si>
    <t>S 932.55</t>
  </si>
  <si>
    <t>S 827.46</t>
  </si>
  <si>
    <t>S 306.34</t>
  </si>
  <si>
    <t>S 561.88</t>
  </si>
  <si>
    <t>S 1098.70</t>
  </si>
  <si>
    <t>S 1370.15</t>
  </si>
  <si>
    <t>S 663.14</t>
  </si>
  <si>
    <t>S 139.85</t>
  </si>
  <si>
    <t>S 343.20</t>
  </si>
  <si>
    <t>S 1427.29</t>
  </si>
  <si>
    <t>S 1286.65</t>
  </si>
  <si>
    <t>S 1357.13</t>
  </si>
  <si>
    <t>S 317.11</t>
  </si>
  <si>
    <t>S 662.32</t>
  </si>
  <si>
    <t>S 1229.66</t>
  </si>
  <si>
    <t>S 96.10</t>
  </si>
  <si>
    <t>S 783.72</t>
  </si>
  <si>
    <t>S 702.87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</si>
</sst>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/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7" fontId="0" fillId="3" borderId="2" xfId="0" applyNumberFormat="1" applyFill="1" applyBorder="1"/>
    <xf numFmtId="10" fontId="0" fillId="3" borderId="3" xfId="0" applyNumberFormat="1" applyFill="1" applyBorder="1"/>
    <xf numFmtId="0" fontId="2" fillId="0" borderId="0" xfId="0" applyFont="1" applyAlignment="1">
      <alignment horizontal="right"/>
    </xf>
    <xf numFmtId="166" fontId="0" fillId="0" borderId="0" xfId="8" applyNumberFormat="1" applyFont="1"/>
    <xf numFmtId="0" fontId="5" fillId="0" borderId="1" xfId="9"/>
    <xf numFmtId="167" fontId="0" fillId="3" borderId="3" xfId="0" applyNumberFormat="1" applyFill="1" applyBorder="1" applyAlignment="1">
      <alignment horizontal="right"/>
    </xf>
    <xf numFmtId="0" fontId="6" fillId="0" borderId="0" xfId="10"/>
    <xf numFmtId="14" fontId="0" fillId="0" borderId="0" xfId="0" applyNumberFormat="1"/>
    <xf numFmtId="14" fontId="7" fillId="4" borderId="0" xfId="11" applyNumberFormat="1" applyAlignment="1">
      <alignment horizontal="right"/>
    </xf>
    <xf numFmtId="0" fontId="7" fillId="4" borderId="0" xfId="11" applyAlignment="1">
      <alignment horizontal="center"/>
    </xf>
    <xf numFmtId="0" fontId="7" fillId="4" borderId="0" xfId="11"/>
    <xf numFmtId="14" fontId="5" fillId="0" borderId="1" xfId="9" applyNumberFormat="1"/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1" fillId="0" borderId="0" xfId="1" applyFill="1" applyBorder="1"/>
    <xf numFmtId="0" fontId="1" fillId="0" borderId="0" xfId="1" applyNumberFormat="1" applyFill="1" applyBorder="1"/>
    <xf numFmtId="0" fontId="7" fillId="7" borderId="0" xfId="0" applyFont="1" applyFill="1"/>
    <xf numFmtId="0" fontId="7" fillId="5" borderId="0" xfId="0" applyFont="1" applyFill="1"/>
    <xf numFmtId="0" fontId="8" fillId="6" borderId="0" xfId="0" applyFont="1" applyFill="1" applyBorder="1" applyAlignment="1">
      <alignment horizontal="center"/>
    </xf>
    <xf numFmtId="0" fontId="7" fillId="7" borderId="4" xfId="0" applyFont="1" applyFill="1" applyBorder="1"/>
    <xf numFmtId="14" fontId="7" fillId="7" borderId="4" xfId="0" applyNumberFormat="1" applyFont="1" applyFill="1" applyBorder="1"/>
    <xf numFmtId="166" fontId="7" fillId="7" borderId="4" xfId="0" applyNumberFormat="1" applyFont="1" applyFill="1" applyBorder="1"/>
    <xf numFmtId="166" fontId="7" fillId="7" borderId="4" xfId="12" applyNumberFormat="1" applyFont="1" applyFill="1" applyBorder="1"/>
    <xf numFmtId="14" fontId="7" fillId="5" borderId="0" xfId="0" applyNumberFormat="1" applyFont="1" applyFill="1"/>
    <xf numFmtId="166" fontId="7" fillId="5" borderId="0" xfId="0" applyNumberFormat="1" applyFont="1" applyFill="1"/>
    <xf numFmtId="166" fontId="7" fillId="5" borderId="0" xfId="12" applyNumberFormat="1" applyFont="1" applyFill="1"/>
    <xf numFmtId="14" fontId="7" fillId="7" borderId="0" xfId="0" applyNumberFormat="1" applyFont="1" applyFill="1"/>
    <xf numFmtId="166" fontId="7" fillId="7" borderId="0" xfId="0" applyNumberFormat="1" applyFont="1" applyFill="1"/>
    <xf numFmtId="166" fontId="7" fillId="7" borderId="0" xfId="12" applyNumberFormat="1" applyFont="1" applyFill="1"/>
  </cellXfs>
  <cellStyles count="13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Percent" xfId="12" builtinId="5"/>
    <cellStyle name="Title" xfId="10" builtinId="15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&quot;$&quot;#,##0.00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&quot;$&quot;#,##0.00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66" formatCode="&quot;$&quot;#,##0.0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theme="1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F0AE3-CCDD-4AFF-96FE-71B08B85B1B2}" name="tbl_supplier" displayName="tbl_supplier" ref="A1:S85" totalsRowShown="0" headerRowDxfId="16">
  <autoFilter ref="A1:S85" xr:uid="{0A6F0AE3-CCDD-4AFF-96FE-71B08B85B1B2}"/>
  <tableColumns count="19">
    <tableColumn id="1" xr3:uid="{945FDE22-CD5A-4387-B005-FF8033D88E44}" name="Document No" dataDxfId="29" dataCellStyle="20% - Accent3"/>
    <tableColumn id="2" xr3:uid="{501B8401-D171-46C5-966A-A0F4FA461C7D}" name="Payment No." dataDxfId="28" dataCellStyle="20% - Accent3"/>
    <tableColumn id="3" xr3:uid="{12B82C9F-016C-438E-83B2-14C38D201257}" name="Paid" dataDxfId="27" dataCellStyle="20% - Accent3"/>
    <tableColumn id="4" xr3:uid="{F48370D8-DEEA-4305-8C8E-FBD1CE6BD8FA}" name="Invoiced" dataDxfId="26" dataCellStyle="20% - Accent3"/>
    <tableColumn id="5" xr3:uid="{2D2F0245-7FCD-4567-A9CA-04A9CD12797F}" name="Inv/cr" dataDxfId="25" dataCellStyle="20% - Accent3"/>
    <tableColumn id="6" xr3:uid="{86241A12-138A-47AF-9714-A319F01A635A}" name="Paid Amount" dataDxfId="24" dataCellStyle="20% - Accent3"/>
    <tableColumn id="7" xr3:uid="{4052B4D2-E982-475E-BA9C-A9DBE962662B}" name="Customer PO" dataDxfId="23" dataCellStyle="20% - Accent3"/>
    <tableColumn id="8" xr3:uid="{69DC2B08-2E58-4303-8B0E-652438167382}" name="ABN" dataDxfId="22" dataCellStyle="20% - Accent3"/>
    <tableColumn id="9" xr3:uid="{1D9B39EC-95A9-43F1-8F5F-614B17EB9603}" name="Acct" dataDxfId="21" dataCellStyle="20% - Accent3"/>
    <tableColumn id="10" xr3:uid="{961E3B64-A7D9-42D4-8355-61236D742FAC}" name="Check" dataDxfId="20" dataCellStyle="20% - Accent3"/>
    <tableColumn id="11" xr3:uid="{0ABD22DC-7315-4552-8179-EA848870D34C}" name="Payment No">
      <calculatedColumnFormula>CONCATENATE(A2,"_",B2)</calculatedColumnFormula>
    </tableColumn>
    <tableColumn id="12" xr3:uid="{A6E5D7DC-A4C2-404D-AC3A-E39E88CA045B}" name="Bank Details">
      <calculatedColumnFormula>H2&amp;"-"&amp;I2&amp;"-"&amp;J2</calculatedColumnFormula>
    </tableColumn>
    <tableColumn id="13" xr3:uid="{BD38CE1C-51EA-4835-A752-498530902917}" name="Inv Month">
      <calculatedColumnFormula>LEFT(D2,3)</calculatedColumnFormula>
    </tableColumn>
    <tableColumn id="14" xr3:uid="{9FF8CFE7-A97D-4119-B22C-638C401AE1C7}" name="PO Number">
      <calculatedColumnFormula>RIGHT(G2,6)</calculatedColumnFormula>
    </tableColumn>
    <tableColumn id="15" xr3:uid="{F56A9429-B799-45DC-A0C2-086D7665E3C8}" name="Location">
      <calculatedColumnFormula>MID(G2,4,FIND("-",G2,4)-4)</calculatedColumnFormula>
    </tableColumn>
    <tableColumn id="16" xr3:uid="{33550B8F-A033-4E45-A9BE-B7B9BA39E9E9}" name="Type">
      <calculatedColumnFormula>UPPER(TRIM(CLEAN(E2)))</calculatedColumnFormula>
    </tableColumn>
    <tableColumn id="17" xr3:uid="{74CD73A5-94D9-40C3-A839-C87632B8A459}" name="$ Amount" dataDxfId="19">
      <calculatedColumnFormula>VALUE(SUBSTITUTE(SUBSTITUTE(F2,"S","$"),CHAR(160),""))</calculatedColumnFormula>
    </tableColumn>
    <tableColumn id="18" xr3:uid="{CC72B18F-9720-4DFC-A831-3A1995652F2E}" name="Invoice Date" dataDxfId="18">
      <calculatedColumnFormula>DATE(2020,MONTH(1&amp;M2),RIGHT(D2,2))</calculatedColumnFormula>
    </tableColumn>
    <tableColumn id="19" xr3:uid="{BD669BEC-49D5-455D-85E3-7C8B7D5927D3}" name="Paid Date" dataDxfId="17">
      <calculatedColumnFormula>DATE(2020,4,RIGHT(C2,2))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ABE51E-01C0-4332-9F4A-53085DB1692A}" name="tbl_mc" displayName="tbl_mc" ref="A4:N88" totalsRowShown="0" headerRowDxfId="0" dataDxfId="1">
  <autoFilter ref="A4:N88" xr:uid="{20ABE51E-01C0-4332-9F4A-53085DB1692A}"/>
  <tableColumns count="14">
    <tableColumn id="1" xr3:uid="{1D0CBA76-A7F3-4636-9046-64F88269E868}" name="Payment Ref" dataDxfId="15"/>
    <tableColumn id="2" xr3:uid="{4C82B4E0-17B2-4809-95C9-4B1B0079B129}" name="Supplier Code" dataDxfId="14"/>
    <tableColumn id="3" xr3:uid="{85EBBB55-1B00-45C4-ADD9-3C291B7F6F03}" name="Payment No." dataDxfId="13"/>
    <tableColumn id="4" xr3:uid="{6DD30612-182B-4D36-812F-B5C095F919E2}" name="Invoice Date" dataDxfId="12"/>
    <tableColumn id="5" xr3:uid="{53ACD660-2288-4691-8F07-D08C15125EE7}" name="Due Date" dataDxfId="11">
      <calculatedColumnFormula>WORKDAY(EDATE(D5,1)-1,1)</calculatedColumnFormula>
    </tableColumn>
    <tableColumn id="6" xr3:uid="{A416A623-B070-48F2-A748-ABD2F502CAC3}" name="Payment Date" dataDxfId="10"/>
    <tableColumn id="7" xr3:uid="{7D1F44F0-3715-4539-943B-AD4CF9485A41}" name="Bank Details" dataDxfId="9"/>
    <tableColumn id="8" xr3:uid="{6D34A290-8985-4C24-87CA-237E17DF99AA}" name="PO Number" dataDxfId="8"/>
    <tableColumn id="9" xr3:uid="{4877D478-AFF2-4D0F-B6D4-B67054E20080}" name="Location" dataDxfId="7"/>
    <tableColumn id="10" xr3:uid="{C30F0B3E-9689-459D-8094-981FAB601FE7}" name="Amount" dataDxfId="6"/>
    <tableColumn id="11" xr3:uid="{6A9C458B-21B3-4528-A1B0-7D36FC95CD8F}" name="Invoice Month" dataDxfId="5">
      <calculatedColumnFormula>TEXT(D5,"MMM")</calculatedColumnFormula>
    </tableColumn>
    <tableColumn id="12" xr3:uid="{7221F5BD-7FFE-4D13-908D-33290DB7726A}" name="Invoice Day" dataDxfId="4">
      <calculatedColumnFormula>DAY(D5)</calculatedColumnFormula>
    </tableColumn>
    <tableColumn id="13" xr3:uid="{817B814A-84F0-4958-9443-92E475DB7B14}" name="Over Due By" dataDxfId="3">
      <calculatedColumnFormula>IF(F5&gt;E5,NETWORKDAYS(E5,F5,'NSW Holidays 2020'!$A$4:$A$15),0)</calculatedColumnFormula>
    </tableColumn>
    <tableColumn id="14" xr3:uid="{AEAF19BF-2597-4770-9620-0C1888808EA4}" name="Late Charge" dataDxfId="2" dataCellStyle="Percent">
      <calculatedColumnFormula>J5*M5*Penalty_Rate+Flat_Rate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W85"/>
  <sheetViews>
    <sheetView zoomScale="130" zoomScaleNormal="130" workbookViewId="0">
      <selection activeCell="M9" sqref="M9"/>
    </sheetView>
  </sheetViews>
  <sheetFormatPr defaultColWidth="9.109375" defaultRowHeight="14.4" x14ac:dyDescent="0.3"/>
  <cols>
    <col min="1" max="1" width="14" customWidth="1"/>
    <col min="2" max="2" width="13.21875" customWidth="1"/>
    <col min="3" max="3" width="11.77734375" customWidth="1"/>
    <col min="4" max="4" width="13.21875" customWidth="1"/>
    <col min="5" max="5" width="9.33203125" hidden="1" customWidth="1"/>
    <col min="6" max="6" width="12.21875" hidden="1" customWidth="1"/>
    <col min="7" max="7" width="19.77734375" hidden="1" customWidth="1"/>
    <col min="8" max="8" width="5.6640625" hidden="1" customWidth="1"/>
    <col min="9" max="9" width="9.44140625" hidden="1" customWidth="1"/>
    <col min="10" max="10" width="2.44140625" hidden="1" customWidth="1"/>
    <col min="11" max="11" width="12.77734375" customWidth="1"/>
    <col min="12" max="12" width="17.5546875" customWidth="1"/>
    <col min="13" max="13" width="11" customWidth="1"/>
    <col min="14" max="14" width="12.21875" customWidth="1"/>
    <col min="15" max="15" width="11.21875" customWidth="1"/>
    <col min="16" max="16" width="8.109375" customWidth="1"/>
    <col min="17" max="17" width="10.77734375" style="1" customWidth="1"/>
    <col min="18" max="18" width="12.77734375" customWidth="1"/>
    <col min="19" max="19" width="11.77734375" style="4" customWidth="1"/>
    <col min="20" max="20" width="11.21875" customWidth="1"/>
    <col min="21" max="21" width="3.21875" customWidth="1"/>
    <col min="22" max="22" width="12.109375" customWidth="1"/>
    <col min="23" max="23" width="15.77734375" customWidth="1"/>
  </cols>
  <sheetData>
    <row r="1" spans="1:23" s="4" customFormat="1" ht="22.95" customHeight="1" x14ac:dyDescent="0.3">
      <c r="A1" s="17" t="s">
        <v>3</v>
      </c>
      <c r="B1" s="17" t="s">
        <v>5</v>
      </c>
      <c r="C1" s="17" t="s">
        <v>354</v>
      </c>
      <c r="D1" s="17" t="s">
        <v>353</v>
      </c>
      <c r="E1" s="17" t="s">
        <v>355</v>
      </c>
      <c r="F1" s="17" t="s">
        <v>342</v>
      </c>
      <c r="G1" s="17" t="s">
        <v>4</v>
      </c>
      <c r="H1" s="17" t="s">
        <v>11</v>
      </c>
      <c r="I1" s="17" t="s">
        <v>6</v>
      </c>
      <c r="J1" s="17" t="s">
        <v>9</v>
      </c>
      <c r="K1" s="17" t="s">
        <v>336</v>
      </c>
      <c r="L1" s="17" t="s">
        <v>8</v>
      </c>
      <c r="M1" s="17" t="s">
        <v>19</v>
      </c>
      <c r="N1" s="17" t="s">
        <v>21</v>
      </c>
      <c r="O1" s="17" t="s">
        <v>7</v>
      </c>
      <c r="P1" s="17" t="s">
        <v>10</v>
      </c>
      <c r="Q1" s="19" t="s">
        <v>20</v>
      </c>
      <c r="R1" s="17" t="s">
        <v>0</v>
      </c>
      <c r="S1" s="17" t="s">
        <v>357</v>
      </c>
      <c r="V1" s="17" t="s">
        <v>397</v>
      </c>
      <c r="W1" s="18"/>
    </row>
    <row r="2" spans="1:23" x14ac:dyDescent="0.3">
      <c r="A2" s="20">
        <v>24673</v>
      </c>
      <c r="B2" s="20">
        <v>1</v>
      </c>
      <c r="C2" s="21" t="s">
        <v>66</v>
      </c>
      <c r="D2" s="21" t="s">
        <v>358</v>
      </c>
      <c r="E2" s="20" t="s">
        <v>12</v>
      </c>
      <c r="F2" s="20" t="s">
        <v>73</v>
      </c>
      <c r="G2" s="20" t="s">
        <v>74</v>
      </c>
      <c r="H2" s="20">
        <v>1641</v>
      </c>
      <c r="I2" s="20">
        <v>7654320</v>
      </c>
      <c r="J2" s="20">
        <v>72</v>
      </c>
      <c r="K2" t="str">
        <f>CONCATENATE(A2,"_",B2)</f>
        <v>24673_1</v>
      </c>
      <c r="L2" t="str">
        <f>H2&amp;"-"&amp;I2&amp;"-"&amp;J2</f>
        <v>1641-7654320-72</v>
      </c>
      <c r="M2" t="str">
        <f>LEFT(D2,3)</f>
        <v>Mar</v>
      </c>
      <c r="N2" t="str">
        <f>RIGHT(G2,6)</f>
        <v>223809</v>
      </c>
      <c r="O2" t="str">
        <f>MID(G2,4,FIND("-",G2,4)-4)</f>
        <v>Sydney</v>
      </c>
      <c r="P2" t="str">
        <f>UPPER(TRIM(CLEAN(E2)))</f>
        <v>INV</v>
      </c>
      <c r="Q2" s="1">
        <f>VALUE(SUBSTITUTE(SUBSTITUTE(F2,"S","$"),CHAR(160),""))</f>
        <v>742.5</v>
      </c>
      <c r="R2" s="12">
        <f>DATE(2020,MONTH(1&amp;M2),RIGHT(D2,2))</f>
        <v>43892</v>
      </c>
      <c r="S2" s="12">
        <f t="shared" ref="S2:S33" si="0">DATE(2020,4,RIGHT(C2,2))</f>
        <v>43938</v>
      </c>
      <c r="V2" s="17" t="s">
        <v>398</v>
      </c>
    </row>
    <row r="3" spans="1:23" x14ac:dyDescent="0.3">
      <c r="A3" s="20">
        <v>24673</v>
      </c>
      <c r="B3" s="20">
        <v>1</v>
      </c>
      <c r="C3" s="21" t="s">
        <v>22</v>
      </c>
      <c r="D3" s="21" t="s">
        <v>35</v>
      </c>
      <c r="E3" s="20" t="s">
        <v>13</v>
      </c>
      <c r="F3" s="20" t="s">
        <v>75</v>
      </c>
      <c r="G3" s="20" t="s">
        <v>76</v>
      </c>
      <c r="H3" s="20">
        <v>2554</v>
      </c>
      <c r="I3" s="20">
        <v>4551221</v>
      </c>
      <c r="J3" s="20">
        <v>33</v>
      </c>
      <c r="K3" t="str">
        <f t="shared" ref="K3:K66" si="1">CONCATENATE(A3,"_",B3)</f>
        <v>24673_1</v>
      </c>
      <c r="L3" t="str">
        <f t="shared" ref="L3:L66" si="2">H3&amp;"-"&amp;I3&amp;"-"&amp;J3</f>
        <v>2554-4551221-33</v>
      </c>
      <c r="M3" t="str">
        <f t="shared" ref="M3:M66" si="3">LEFT(D3,3)</f>
        <v>Apr</v>
      </c>
      <c r="N3" t="str">
        <f t="shared" ref="N3:N66" si="4">RIGHT(G3,6)</f>
        <v>327600</v>
      </c>
      <c r="O3" t="str">
        <f t="shared" ref="O3:O66" si="5">MID(G3,4,FIND("-",G3,4)-4)</f>
        <v>Melbourne</v>
      </c>
      <c r="P3" t="str">
        <f t="shared" ref="P3:P66" si="6">UPPER(TRIM(CLEAN(E3)))</f>
        <v>INV</v>
      </c>
      <c r="Q3" s="1">
        <f t="shared" ref="Q3:Q66" si="7">VALUE(SUBSTITUTE(SUBSTITUTE(F3,"S","$"),CHAR(160),""))</f>
        <v>1021.02</v>
      </c>
      <c r="R3" s="12">
        <f t="shared" ref="R3:R66" si="8">DATE(2020,MONTH(1&amp;M3),RIGHT(D3,2))</f>
        <v>43922</v>
      </c>
      <c r="S3" s="12">
        <f t="shared" si="0"/>
        <v>43941</v>
      </c>
    </row>
    <row r="4" spans="1:23" x14ac:dyDescent="0.3">
      <c r="A4" s="20">
        <v>24675</v>
      </c>
      <c r="B4" s="20">
        <v>1</v>
      </c>
      <c r="C4" s="21" t="s">
        <v>28</v>
      </c>
      <c r="D4" s="21" t="s">
        <v>31</v>
      </c>
      <c r="E4" s="20" t="s">
        <v>12</v>
      </c>
      <c r="F4" s="20" t="s">
        <v>77</v>
      </c>
      <c r="G4" s="20" t="s">
        <v>78</v>
      </c>
      <c r="H4" s="20">
        <v>2554</v>
      </c>
      <c r="I4" s="20">
        <v>4551221</v>
      </c>
      <c r="J4" s="20">
        <v>33</v>
      </c>
      <c r="K4" t="str">
        <f t="shared" si="1"/>
        <v>24675_1</v>
      </c>
      <c r="L4" t="str">
        <f t="shared" si="2"/>
        <v>2554-4551221-33</v>
      </c>
      <c r="M4" t="str">
        <f t="shared" si="3"/>
        <v>Mar</v>
      </c>
      <c r="N4" t="str">
        <f t="shared" si="4"/>
        <v>332589</v>
      </c>
      <c r="O4" t="str">
        <f t="shared" si="5"/>
        <v>Melbourne</v>
      </c>
      <c r="P4" t="str">
        <f t="shared" si="6"/>
        <v>INV</v>
      </c>
      <c r="Q4" s="1">
        <f t="shared" si="7"/>
        <v>409.53</v>
      </c>
      <c r="R4" s="12">
        <f t="shared" si="8"/>
        <v>43906</v>
      </c>
      <c r="S4" s="12">
        <f t="shared" si="0"/>
        <v>43926</v>
      </c>
    </row>
    <row r="5" spans="1:23" x14ac:dyDescent="0.3">
      <c r="A5" s="20">
        <v>24676</v>
      </c>
      <c r="B5" s="20">
        <v>1</v>
      </c>
      <c r="C5" s="21" t="s">
        <v>22</v>
      </c>
      <c r="D5" s="21" t="s">
        <v>67</v>
      </c>
      <c r="E5" s="20" t="s">
        <v>14</v>
      </c>
      <c r="F5" s="20" t="s">
        <v>79</v>
      </c>
      <c r="G5" s="20" t="s">
        <v>80</v>
      </c>
      <c r="H5" s="20">
        <v>2554</v>
      </c>
      <c r="I5" s="20">
        <v>4551221</v>
      </c>
      <c r="J5" s="20">
        <v>33</v>
      </c>
      <c r="K5" t="str">
        <f t="shared" si="1"/>
        <v>24676_1</v>
      </c>
      <c r="L5" t="str">
        <f t="shared" si="2"/>
        <v>2554-4551221-33</v>
      </c>
      <c r="M5" t="str">
        <f t="shared" si="3"/>
        <v>Mar</v>
      </c>
      <c r="N5" t="str">
        <f t="shared" si="4"/>
        <v>337131</v>
      </c>
      <c r="O5" t="str">
        <f t="shared" si="5"/>
        <v>Melbourne</v>
      </c>
      <c r="P5" t="str">
        <f t="shared" si="6"/>
        <v>CR</v>
      </c>
      <c r="Q5" s="1">
        <f t="shared" si="7"/>
        <v>234.96</v>
      </c>
      <c r="R5" s="12">
        <f t="shared" si="8"/>
        <v>43915</v>
      </c>
      <c r="S5" s="12">
        <f t="shared" si="0"/>
        <v>43941</v>
      </c>
    </row>
    <row r="6" spans="1:23" x14ac:dyDescent="0.3">
      <c r="A6" s="20">
        <v>24677</v>
      </c>
      <c r="B6" s="20">
        <v>1</v>
      </c>
      <c r="C6" s="21" t="s">
        <v>30</v>
      </c>
      <c r="D6" s="21" t="s">
        <v>60</v>
      </c>
      <c r="E6" s="20" t="s">
        <v>15</v>
      </c>
      <c r="F6" s="20" t="s">
        <v>81</v>
      </c>
      <c r="G6" s="20" t="s">
        <v>82</v>
      </c>
      <c r="H6" s="20">
        <v>2554</v>
      </c>
      <c r="I6" s="20">
        <v>4551221</v>
      </c>
      <c r="J6" s="20">
        <v>33</v>
      </c>
      <c r="K6" t="str">
        <f t="shared" si="1"/>
        <v>24677_1</v>
      </c>
      <c r="L6" t="str">
        <f t="shared" si="2"/>
        <v>2554-4551221-33</v>
      </c>
      <c r="M6" t="str">
        <f t="shared" si="3"/>
        <v>Mar</v>
      </c>
      <c r="N6" t="str">
        <f t="shared" si="4"/>
        <v>319376</v>
      </c>
      <c r="O6" t="str">
        <f t="shared" si="5"/>
        <v>Melbourne</v>
      </c>
      <c r="P6" t="str">
        <f t="shared" si="6"/>
        <v>CR</v>
      </c>
      <c r="Q6" s="1">
        <f t="shared" si="7"/>
        <v>450.12</v>
      </c>
      <c r="R6" s="12">
        <f t="shared" si="8"/>
        <v>43907</v>
      </c>
      <c r="S6" s="12">
        <f t="shared" si="0"/>
        <v>43931</v>
      </c>
    </row>
    <row r="7" spans="1:23" x14ac:dyDescent="0.3">
      <c r="A7" s="20">
        <v>24679</v>
      </c>
      <c r="B7" s="20">
        <v>1</v>
      </c>
      <c r="C7" s="21" t="s">
        <v>83</v>
      </c>
      <c r="D7" s="21" t="s">
        <v>49</v>
      </c>
      <c r="E7" s="20" t="s">
        <v>13</v>
      </c>
      <c r="F7" s="20" t="s">
        <v>84</v>
      </c>
      <c r="G7" s="20" t="s">
        <v>85</v>
      </c>
      <c r="H7" s="20">
        <v>2554</v>
      </c>
      <c r="I7" s="20">
        <v>4551221</v>
      </c>
      <c r="J7" s="20">
        <v>33</v>
      </c>
      <c r="K7" t="str">
        <f t="shared" si="1"/>
        <v>24679_1</v>
      </c>
      <c r="L7" t="str">
        <f t="shared" si="2"/>
        <v>2554-4551221-33</v>
      </c>
      <c r="M7" t="str">
        <f t="shared" si="3"/>
        <v>Apr</v>
      </c>
      <c r="N7" t="str">
        <f t="shared" si="4"/>
        <v>334724</v>
      </c>
      <c r="O7" t="str">
        <f t="shared" si="5"/>
        <v>Melbourne</v>
      </c>
      <c r="P7" t="str">
        <f t="shared" si="6"/>
        <v>INV</v>
      </c>
      <c r="Q7" s="1">
        <f t="shared" si="7"/>
        <v>114.18</v>
      </c>
      <c r="R7" s="12">
        <f t="shared" si="8"/>
        <v>43930</v>
      </c>
      <c r="S7" s="12">
        <f t="shared" si="0"/>
        <v>43951</v>
      </c>
    </row>
    <row r="8" spans="1:23" x14ac:dyDescent="0.3">
      <c r="A8" s="20">
        <v>24679</v>
      </c>
      <c r="B8" s="20">
        <v>2</v>
      </c>
      <c r="C8" s="21" t="s">
        <v>83</v>
      </c>
      <c r="D8" s="21" t="s">
        <v>71</v>
      </c>
      <c r="E8" s="20" t="s">
        <v>16</v>
      </c>
      <c r="F8" s="20" t="s">
        <v>86</v>
      </c>
      <c r="G8" s="20" t="s">
        <v>87</v>
      </c>
      <c r="H8" s="20">
        <v>2554</v>
      </c>
      <c r="I8" s="20">
        <v>4551221</v>
      </c>
      <c r="J8" s="20">
        <v>33</v>
      </c>
      <c r="K8" t="str">
        <f t="shared" si="1"/>
        <v>24679_2</v>
      </c>
      <c r="L8" t="str">
        <f t="shared" si="2"/>
        <v>2554-4551221-33</v>
      </c>
      <c r="M8" t="str">
        <f t="shared" si="3"/>
        <v>Mar</v>
      </c>
      <c r="N8" t="str">
        <f t="shared" si="4"/>
        <v>310607</v>
      </c>
      <c r="O8" t="str">
        <f t="shared" si="5"/>
        <v>Melbourne</v>
      </c>
      <c r="P8" t="str">
        <f t="shared" si="6"/>
        <v>INV</v>
      </c>
      <c r="Q8" s="1">
        <f t="shared" si="7"/>
        <v>930.93</v>
      </c>
      <c r="R8" s="12">
        <f t="shared" si="8"/>
        <v>43913</v>
      </c>
      <c r="S8" s="12">
        <f t="shared" si="0"/>
        <v>43951</v>
      </c>
    </row>
    <row r="9" spans="1:23" x14ac:dyDescent="0.3">
      <c r="A9" s="20">
        <v>24680</v>
      </c>
      <c r="B9" s="20">
        <v>1</v>
      </c>
      <c r="C9" s="21" t="s">
        <v>68</v>
      </c>
      <c r="D9" s="21" t="s">
        <v>69</v>
      </c>
      <c r="E9" s="20" t="s">
        <v>17</v>
      </c>
      <c r="F9" s="20" t="s">
        <v>59</v>
      </c>
      <c r="G9" s="20" t="s">
        <v>88</v>
      </c>
      <c r="H9" s="20">
        <v>1641</v>
      </c>
      <c r="I9" s="20">
        <v>7654320</v>
      </c>
      <c r="J9" s="20">
        <v>72</v>
      </c>
      <c r="K9" t="str">
        <f t="shared" si="1"/>
        <v>24680_1</v>
      </c>
      <c r="L9" t="str">
        <f t="shared" si="2"/>
        <v>1641-7654320-72</v>
      </c>
      <c r="M9" t="str">
        <f t="shared" si="3"/>
        <v>Mar</v>
      </c>
      <c r="N9" t="str">
        <f t="shared" si="4"/>
        <v>226225</v>
      </c>
      <c r="O9" t="str">
        <f t="shared" si="5"/>
        <v>Sydney</v>
      </c>
      <c r="P9" t="str">
        <f t="shared" si="6"/>
        <v>INV</v>
      </c>
      <c r="Q9" s="1">
        <f t="shared" si="7"/>
        <v>466.29</v>
      </c>
      <c r="R9" s="12">
        <f t="shared" si="8"/>
        <v>43917</v>
      </c>
      <c r="S9" s="12">
        <f t="shared" si="0"/>
        <v>43935</v>
      </c>
    </row>
    <row r="10" spans="1:23" x14ac:dyDescent="0.3">
      <c r="A10" s="20">
        <v>24683</v>
      </c>
      <c r="B10" s="20">
        <v>1</v>
      </c>
      <c r="C10" s="21" t="s">
        <v>89</v>
      </c>
      <c r="D10" s="21" t="s">
        <v>39</v>
      </c>
      <c r="E10" s="20" t="s">
        <v>13</v>
      </c>
      <c r="F10" s="20" t="s">
        <v>90</v>
      </c>
      <c r="G10" s="20" t="s">
        <v>91</v>
      </c>
      <c r="H10" s="20">
        <v>1641</v>
      </c>
      <c r="I10" s="20">
        <v>7654320</v>
      </c>
      <c r="J10" s="20">
        <v>72</v>
      </c>
      <c r="K10" t="str">
        <f t="shared" si="1"/>
        <v>24683_1</v>
      </c>
      <c r="L10" t="str">
        <f t="shared" si="2"/>
        <v>1641-7654320-72</v>
      </c>
      <c r="M10" t="str">
        <f t="shared" si="3"/>
        <v>Mar</v>
      </c>
      <c r="N10" t="str">
        <f t="shared" si="4"/>
        <v>223858</v>
      </c>
      <c r="O10" t="str">
        <f t="shared" si="5"/>
        <v>Sydney</v>
      </c>
      <c r="P10" t="str">
        <f t="shared" si="6"/>
        <v>INV</v>
      </c>
      <c r="Q10" s="1">
        <f t="shared" si="7"/>
        <v>222.42</v>
      </c>
      <c r="R10" s="12">
        <f t="shared" si="8"/>
        <v>43912</v>
      </c>
      <c r="S10" s="12">
        <f t="shared" si="0"/>
        <v>43948</v>
      </c>
    </row>
    <row r="11" spans="1:23" x14ac:dyDescent="0.3">
      <c r="A11" s="20">
        <v>24685</v>
      </c>
      <c r="B11" s="20">
        <v>1</v>
      </c>
      <c r="C11" s="21" t="s">
        <v>51</v>
      </c>
      <c r="D11" s="21" t="s">
        <v>92</v>
      </c>
      <c r="E11" s="20" t="s">
        <v>12</v>
      </c>
      <c r="F11" s="20" t="s">
        <v>93</v>
      </c>
      <c r="G11" s="20" t="s">
        <v>94</v>
      </c>
      <c r="H11" s="20">
        <v>1641</v>
      </c>
      <c r="I11" s="20">
        <v>7654320</v>
      </c>
      <c r="J11" s="20">
        <v>72</v>
      </c>
      <c r="K11" t="str">
        <f t="shared" si="1"/>
        <v>24685_1</v>
      </c>
      <c r="L11" t="str">
        <f t="shared" si="2"/>
        <v>1641-7654320-72</v>
      </c>
      <c r="M11" t="str">
        <f t="shared" si="3"/>
        <v>Mar</v>
      </c>
      <c r="N11" t="str">
        <f t="shared" si="4"/>
        <v>211781</v>
      </c>
      <c r="O11" t="str">
        <f t="shared" si="5"/>
        <v>Sydney</v>
      </c>
      <c r="P11" t="str">
        <f t="shared" si="6"/>
        <v>INV</v>
      </c>
      <c r="Q11" s="1">
        <f t="shared" si="7"/>
        <v>679.8</v>
      </c>
      <c r="R11" s="12">
        <f t="shared" si="8"/>
        <v>43899</v>
      </c>
      <c r="S11" s="12">
        <f t="shared" si="0"/>
        <v>43932</v>
      </c>
    </row>
    <row r="12" spans="1:23" x14ac:dyDescent="0.3">
      <c r="A12" s="20">
        <v>24690</v>
      </c>
      <c r="B12" s="20">
        <v>1</v>
      </c>
      <c r="C12" s="21" t="s">
        <v>64</v>
      </c>
      <c r="D12" s="21" t="s">
        <v>32</v>
      </c>
      <c r="E12" s="20" t="s">
        <v>13</v>
      </c>
      <c r="F12" s="20" t="s">
        <v>95</v>
      </c>
      <c r="G12" s="20" t="s">
        <v>96</v>
      </c>
      <c r="H12" s="20">
        <v>1641</v>
      </c>
      <c r="I12" s="20">
        <v>7654320</v>
      </c>
      <c r="J12" s="20">
        <v>72</v>
      </c>
      <c r="K12" t="str">
        <f t="shared" si="1"/>
        <v>24690_1</v>
      </c>
      <c r="L12" t="str">
        <f t="shared" si="2"/>
        <v>1641-7654320-72</v>
      </c>
      <c r="M12" t="str">
        <f t="shared" si="3"/>
        <v>Apr</v>
      </c>
      <c r="N12" t="str">
        <f t="shared" si="4"/>
        <v>232805</v>
      </c>
      <c r="O12" t="str">
        <f t="shared" si="5"/>
        <v>Sydney</v>
      </c>
      <c r="P12" t="str">
        <f t="shared" si="6"/>
        <v>INV</v>
      </c>
      <c r="Q12" s="1">
        <f t="shared" si="7"/>
        <v>171.93</v>
      </c>
      <c r="R12" s="12">
        <f t="shared" si="8"/>
        <v>43925</v>
      </c>
      <c r="S12" s="12">
        <f t="shared" si="0"/>
        <v>43944</v>
      </c>
    </row>
    <row r="13" spans="1:23" x14ac:dyDescent="0.3">
      <c r="A13" s="20">
        <v>24693</v>
      </c>
      <c r="B13" s="20">
        <v>1</v>
      </c>
      <c r="C13" s="21" t="s">
        <v>33</v>
      </c>
      <c r="D13" s="21" t="s">
        <v>97</v>
      </c>
      <c r="E13" s="20" t="s">
        <v>18</v>
      </c>
      <c r="F13" s="20" t="s">
        <v>98</v>
      </c>
      <c r="G13" s="20" t="s">
        <v>99</v>
      </c>
      <c r="H13" s="20">
        <v>2554</v>
      </c>
      <c r="I13" s="20">
        <v>4551221</v>
      </c>
      <c r="J13" s="20">
        <v>33</v>
      </c>
      <c r="K13" t="str">
        <f t="shared" si="1"/>
        <v>24693_1</v>
      </c>
      <c r="L13" t="str">
        <f t="shared" si="2"/>
        <v>2554-4551221-33</v>
      </c>
      <c r="M13" t="str">
        <f t="shared" si="3"/>
        <v>Feb</v>
      </c>
      <c r="N13" t="str">
        <f t="shared" si="4"/>
        <v>312187</v>
      </c>
      <c r="O13" t="str">
        <f t="shared" si="5"/>
        <v>Melbourne</v>
      </c>
      <c r="P13" t="str">
        <f t="shared" si="6"/>
        <v>INV</v>
      </c>
      <c r="Q13" s="1">
        <f t="shared" si="7"/>
        <v>623.70000000000005</v>
      </c>
      <c r="R13" s="12">
        <f t="shared" si="8"/>
        <v>43885</v>
      </c>
      <c r="S13" s="12">
        <f t="shared" si="0"/>
        <v>43927</v>
      </c>
    </row>
    <row r="14" spans="1:23" x14ac:dyDescent="0.3">
      <c r="A14" s="20">
        <v>24697</v>
      </c>
      <c r="B14" s="20">
        <v>1</v>
      </c>
      <c r="C14" s="21" t="s">
        <v>42</v>
      </c>
      <c r="D14" s="21" t="s">
        <v>47</v>
      </c>
      <c r="E14" s="20" t="s">
        <v>13</v>
      </c>
      <c r="F14" s="20" t="s">
        <v>100</v>
      </c>
      <c r="G14" s="20" t="s">
        <v>101</v>
      </c>
      <c r="H14" s="20">
        <v>2554</v>
      </c>
      <c r="I14" s="20">
        <v>4551221</v>
      </c>
      <c r="J14" s="20">
        <v>33</v>
      </c>
      <c r="K14" t="str">
        <f t="shared" si="1"/>
        <v>24697_1</v>
      </c>
      <c r="L14" t="str">
        <f t="shared" si="2"/>
        <v>2554-4551221-33</v>
      </c>
      <c r="M14" t="str">
        <f t="shared" si="3"/>
        <v>Mar</v>
      </c>
      <c r="N14" t="str">
        <f t="shared" si="4"/>
        <v>319790</v>
      </c>
      <c r="O14" t="str">
        <f t="shared" si="5"/>
        <v>Melbourne</v>
      </c>
      <c r="P14" t="str">
        <f t="shared" si="6"/>
        <v>INV</v>
      </c>
      <c r="Q14" s="1">
        <f t="shared" si="7"/>
        <v>221.1</v>
      </c>
      <c r="R14" s="12">
        <f t="shared" si="8"/>
        <v>43919</v>
      </c>
      <c r="S14" s="12">
        <f t="shared" si="0"/>
        <v>43945</v>
      </c>
    </row>
    <row r="15" spans="1:23" x14ac:dyDescent="0.3">
      <c r="A15" s="20">
        <v>24698</v>
      </c>
      <c r="B15" s="20">
        <v>1</v>
      </c>
      <c r="C15" s="21" t="s">
        <v>54</v>
      </c>
      <c r="D15" s="21" t="s">
        <v>49</v>
      </c>
      <c r="E15" s="20" t="s">
        <v>13</v>
      </c>
      <c r="F15" s="20" t="s">
        <v>102</v>
      </c>
      <c r="G15" s="20" t="s">
        <v>103</v>
      </c>
      <c r="H15" s="20">
        <v>2554</v>
      </c>
      <c r="I15" s="20">
        <v>4551221</v>
      </c>
      <c r="J15" s="20">
        <v>33</v>
      </c>
      <c r="K15" t="str">
        <f t="shared" si="1"/>
        <v>24698_1</v>
      </c>
      <c r="L15" t="str">
        <f t="shared" si="2"/>
        <v>2554-4551221-33</v>
      </c>
      <c r="M15" t="str">
        <f t="shared" si="3"/>
        <v>Apr</v>
      </c>
      <c r="N15" t="str">
        <f t="shared" si="4"/>
        <v>327342</v>
      </c>
      <c r="O15" t="str">
        <f t="shared" si="5"/>
        <v>Melbourne</v>
      </c>
      <c r="P15" t="str">
        <f t="shared" si="6"/>
        <v>INV</v>
      </c>
      <c r="Q15" s="1">
        <f t="shared" si="7"/>
        <v>393.36</v>
      </c>
      <c r="R15" s="12">
        <f t="shared" si="8"/>
        <v>43930</v>
      </c>
      <c r="S15" s="12">
        <f t="shared" si="0"/>
        <v>43949</v>
      </c>
    </row>
    <row r="16" spans="1:23" x14ac:dyDescent="0.3">
      <c r="A16" s="20">
        <v>24699</v>
      </c>
      <c r="B16" s="20">
        <v>1</v>
      </c>
      <c r="C16" s="21" t="s">
        <v>50</v>
      </c>
      <c r="D16" s="21" t="s">
        <v>92</v>
      </c>
      <c r="E16" s="20" t="s">
        <v>13</v>
      </c>
      <c r="F16" s="20" t="s">
        <v>104</v>
      </c>
      <c r="G16" s="20" t="s">
        <v>105</v>
      </c>
      <c r="H16" s="20">
        <v>2554</v>
      </c>
      <c r="I16" s="20">
        <v>4551221</v>
      </c>
      <c r="J16" s="20">
        <v>33</v>
      </c>
      <c r="K16" t="str">
        <f t="shared" si="1"/>
        <v>24699_1</v>
      </c>
      <c r="L16" t="str">
        <f t="shared" si="2"/>
        <v>2554-4551221-33</v>
      </c>
      <c r="M16" t="str">
        <f t="shared" si="3"/>
        <v>Mar</v>
      </c>
      <c r="N16" t="str">
        <f t="shared" si="4"/>
        <v>335460</v>
      </c>
      <c r="O16" t="str">
        <f t="shared" si="5"/>
        <v>Melbourne</v>
      </c>
      <c r="P16" t="str">
        <f t="shared" si="6"/>
        <v>INV</v>
      </c>
      <c r="Q16" s="1">
        <f t="shared" si="7"/>
        <v>642.17999999999995</v>
      </c>
      <c r="R16" s="12">
        <f t="shared" si="8"/>
        <v>43899</v>
      </c>
      <c r="S16" s="12">
        <f t="shared" si="0"/>
        <v>43942</v>
      </c>
    </row>
    <row r="17" spans="1:19" x14ac:dyDescent="0.3">
      <c r="A17" s="20">
        <v>24704</v>
      </c>
      <c r="B17" s="20">
        <v>1</v>
      </c>
      <c r="C17" s="21" t="s">
        <v>83</v>
      </c>
      <c r="D17" s="21" t="s">
        <v>36</v>
      </c>
      <c r="E17" s="20" t="s">
        <v>12</v>
      </c>
      <c r="F17" s="20" t="s">
        <v>106</v>
      </c>
      <c r="G17" s="20" t="s">
        <v>107</v>
      </c>
      <c r="H17" s="20">
        <v>2554</v>
      </c>
      <c r="I17" s="20">
        <v>4551221</v>
      </c>
      <c r="J17" s="20">
        <v>33</v>
      </c>
      <c r="K17" t="str">
        <f t="shared" si="1"/>
        <v>24704_1</v>
      </c>
      <c r="L17" t="str">
        <f t="shared" si="2"/>
        <v>2554-4551221-33</v>
      </c>
      <c r="M17" t="str">
        <f t="shared" si="3"/>
        <v>Mar</v>
      </c>
      <c r="N17" t="str">
        <f t="shared" si="4"/>
        <v>323955</v>
      </c>
      <c r="O17" t="str">
        <f t="shared" si="5"/>
        <v>Melbourne</v>
      </c>
      <c r="P17" t="str">
        <f t="shared" si="6"/>
        <v>INV</v>
      </c>
      <c r="Q17" s="1">
        <f t="shared" si="7"/>
        <v>499.95</v>
      </c>
      <c r="R17" s="12">
        <f t="shared" si="8"/>
        <v>43909</v>
      </c>
      <c r="S17" s="12">
        <f t="shared" si="0"/>
        <v>43951</v>
      </c>
    </row>
    <row r="18" spans="1:19" x14ac:dyDescent="0.3">
      <c r="A18" s="20">
        <v>24707</v>
      </c>
      <c r="B18" s="20">
        <v>1</v>
      </c>
      <c r="C18" s="21" t="s">
        <v>34</v>
      </c>
      <c r="D18" s="21" t="s">
        <v>108</v>
      </c>
      <c r="E18" s="20" t="s">
        <v>12</v>
      </c>
      <c r="F18" s="20" t="s">
        <v>109</v>
      </c>
      <c r="G18" s="20" t="s">
        <v>110</v>
      </c>
      <c r="H18" s="20">
        <v>2554</v>
      </c>
      <c r="I18" s="20">
        <v>4551221</v>
      </c>
      <c r="J18" s="20">
        <v>33</v>
      </c>
      <c r="K18" t="str">
        <f t="shared" si="1"/>
        <v>24707_1</v>
      </c>
      <c r="L18" t="str">
        <f t="shared" si="2"/>
        <v>2554-4551221-33</v>
      </c>
      <c r="M18" t="str">
        <f t="shared" si="3"/>
        <v>Feb</v>
      </c>
      <c r="N18" t="str">
        <f t="shared" si="4"/>
        <v>316515</v>
      </c>
      <c r="O18" t="str">
        <f t="shared" si="5"/>
        <v>Melbourne</v>
      </c>
      <c r="P18" t="str">
        <f t="shared" si="6"/>
        <v>INV</v>
      </c>
      <c r="Q18" s="1">
        <f t="shared" si="7"/>
        <v>299.64</v>
      </c>
      <c r="R18" s="12">
        <f t="shared" si="8"/>
        <v>43890</v>
      </c>
      <c r="S18" s="12">
        <f t="shared" si="0"/>
        <v>43928</v>
      </c>
    </row>
    <row r="19" spans="1:19" x14ac:dyDescent="0.3">
      <c r="A19" s="20">
        <v>24712</v>
      </c>
      <c r="B19" s="20">
        <v>1</v>
      </c>
      <c r="C19" s="21" t="s">
        <v>83</v>
      </c>
      <c r="D19" s="21" t="s">
        <v>39</v>
      </c>
      <c r="E19" s="20" t="s">
        <v>12</v>
      </c>
      <c r="F19" s="20" t="s">
        <v>111</v>
      </c>
      <c r="G19" s="20" t="s">
        <v>112</v>
      </c>
      <c r="H19" s="20">
        <v>1641</v>
      </c>
      <c r="I19" s="20">
        <v>7654320</v>
      </c>
      <c r="J19" s="20">
        <v>72</v>
      </c>
      <c r="K19" t="str">
        <f t="shared" si="1"/>
        <v>24712_1</v>
      </c>
      <c r="L19" t="str">
        <f t="shared" si="2"/>
        <v>1641-7654320-72</v>
      </c>
      <c r="M19" t="str">
        <f t="shared" si="3"/>
        <v>Mar</v>
      </c>
      <c r="N19" t="str">
        <f t="shared" si="4"/>
        <v>231320</v>
      </c>
      <c r="O19" t="str">
        <f t="shared" si="5"/>
        <v>Sydney</v>
      </c>
      <c r="P19" t="str">
        <f t="shared" si="6"/>
        <v>INV</v>
      </c>
      <c r="Q19" s="1">
        <f t="shared" si="7"/>
        <v>312.83999999999997</v>
      </c>
      <c r="R19" s="12">
        <f t="shared" si="8"/>
        <v>43912</v>
      </c>
      <c r="S19" s="12">
        <f t="shared" si="0"/>
        <v>43951</v>
      </c>
    </row>
    <row r="20" spans="1:19" x14ac:dyDescent="0.3">
      <c r="A20" s="20">
        <v>24717</v>
      </c>
      <c r="B20" s="20">
        <v>1</v>
      </c>
      <c r="C20" s="21" t="s">
        <v>28</v>
      </c>
      <c r="D20" s="21" t="s">
        <v>57</v>
      </c>
      <c r="E20" s="20" t="s">
        <v>13</v>
      </c>
      <c r="F20" s="20" t="s">
        <v>113</v>
      </c>
      <c r="G20" s="20" t="s">
        <v>114</v>
      </c>
      <c r="H20" s="20">
        <v>1641</v>
      </c>
      <c r="I20" s="20">
        <v>7654320</v>
      </c>
      <c r="J20" s="20">
        <v>72</v>
      </c>
      <c r="K20" t="str">
        <f t="shared" si="1"/>
        <v>24717_1</v>
      </c>
      <c r="L20" t="str">
        <f t="shared" si="2"/>
        <v>1641-7654320-72</v>
      </c>
      <c r="M20" t="str">
        <f t="shared" si="3"/>
        <v>Mar</v>
      </c>
      <c r="N20" t="str">
        <f t="shared" si="4"/>
        <v>213670</v>
      </c>
      <c r="O20" t="str">
        <f t="shared" si="5"/>
        <v>Sydney</v>
      </c>
      <c r="P20" t="str">
        <f t="shared" si="6"/>
        <v>INV</v>
      </c>
      <c r="Q20" s="1">
        <f t="shared" si="7"/>
        <v>993.63</v>
      </c>
      <c r="R20" s="12">
        <f t="shared" si="8"/>
        <v>43904</v>
      </c>
      <c r="S20" s="12">
        <f t="shared" si="0"/>
        <v>43926</v>
      </c>
    </row>
    <row r="21" spans="1:19" x14ac:dyDescent="0.3">
      <c r="A21" s="20">
        <v>24722</v>
      </c>
      <c r="B21" s="20">
        <v>1</v>
      </c>
      <c r="C21" s="21" t="s">
        <v>35</v>
      </c>
      <c r="D21" s="21" t="s">
        <v>69</v>
      </c>
      <c r="E21" s="20" t="s">
        <v>13</v>
      </c>
      <c r="F21" s="20" t="s">
        <v>115</v>
      </c>
      <c r="G21" s="20" t="s">
        <v>116</v>
      </c>
      <c r="H21" s="20">
        <v>1641</v>
      </c>
      <c r="I21" s="20">
        <v>7654320</v>
      </c>
      <c r="J21" s="20">
        <v>72</v>
      </c>
      <c r="K21" t="str">
        <f t="shared" si="1"/>
        <v>24722_1</v>
      </c>
      <c r="L21" t="str">
        <f t="shared" si="2"/>
        <v>1641-7654320-72</v>
      </c>
      <c r="M21" t="str">
        <f t="shared" si="3"/>
        <v>Mar</v>
      </c>
      <c r="N21" t="str">
        <f t="shared" si="4"/>
        <v>226166</v>
      </c>
      <c r="O21" t="str">
        <f t="shared" si="5"/>
        <v>Sydney</v>
      </c>
      <c r="P21" t="str">
        <f t="shared" si="6"/>
        <v>INV</v>
      </c>
      <c r="Q21" s="1">
        <f t="shared" si="7"/>
        <v>1053.69</v>
      </c>
      <c r="R21" s="12">
        <f t="shared" si="8"/>
        <v>43917</v>
      </c>
      <c r="S21" s="12">
        <f t="shared" si="0"/>
        <v>43922</v>
      </c>
    </row>
    <row r="22" spans="1:19" x14ac:dyDescent="0.3">
      <c r="A22" s="20">
        <v>24727</v>
      </c>
      <c r="B22" s="20">
        <v>1</v>
      </c>
      <c r="C22" s="21" t="s">
        <v>83</v>
      </c>
      <c r="D22" s="21" t="s">
        <v>53</v>
      </c>
      <c r="E22" s="20" t="s">
        <v>13</v>
      </c>
      <c r="F22" s="20" t="s">
        <v>117</v>
      </c>
      <c r="G22" s="20" t="s">
        <v>118</v>
      </c>
      <c r="H22" s="20">
        <v>2554</v>
      </c>
      <c r="I22" s="20">
        <v>4551221</v>
      </c>
      <c r="J22" s="20">
        <v>33</v>
      </c>
      <c r="K22" t="str">
        <f t="shared" si="1"/>
        <v>24727_1</v>
      </c>
      <c r="L22" t="str">
        <f t="shared" si="2"/>
        <v>2554-4551221-33</v>
      </c>
      <c r="M22" t="str">
        <f t="shared" si="3"/>
        <v>Apr</v>
      </c>
      <c r="N22" t="str">
        <f t="shared" si="4"/>
        <v>316479</v>
      </c>
      <c r="O22" t="str">
        <f t="shared" si="5"/>
        <v>Melbourne</v>
      </c>
      <c r="P22" t="str">
        <f t="shared" si="6"/>
        <v>INV</v>
      </c>
      <c r="Q22" s="1">
        <f t="shared" si="7"/>
        <v>1047.75</v>
      </c>
      <c r="R22" s="12">
        <f t="shared" si="8"/>
        <v>43929</v>
      </c>
      <c r="S22" s="12">
        <f t="shared" si="0"/>
        <v>43951</v>
      </c>
    </row>
    <row r="23" spans="1:19" x14ac:dyDescent="0.3">
      <c r="A23" s="20">
        <v>24730</v>
      </c>
      <c r="B23" s="20">
        <v>1</v>
      </c>
      <c r="C23" s="21" t="s">
        <v>53</v>
      </c>
      <c r="D23" s="21" t="s">
        <v>119</v>
      </c>
      <c r="E23" s="20" t="s">
        <v>13</v>
      </c>
      <c r="F23" s="20" t="s">
        <v>120</v>
      </c>
      <c r="G23" s="20" t="s">
        <v>121</v>
      </c>
      <c r="H23" s="20">
        <v>1641</v>
      </c>
      <c r="I23" s="20">
        <v>7654320</v>
      </c>
      <c r="J23" s="20">
        <v>72</v>
      </c>
      <c r="K23" t="str">
        <f t="shared" si="1"/>
        <v>24730_1</v>
      </c>
      <c r="L23" t="str">
        <f t="shared" si="2"/>
        <v>1641-7654320-72</v>
      </c>
      <c r="M23" t="str">
        <f t="shared" si="3"/>
        <v>Feb</v>
      </c>
      <c r="N23" t="str">
        <f t="shared" si="4"/>
        <v>230046</v>
      </c>
      <c r="O23" t="str">
        <f t="shared" si="5"/>
        <v>Sydney</v>
      </c>
      <c r="P23" t="str">
        <f t="shared" si="6"/>
        <v>INV</v>
      </c>
      <c r="Q23" s="1">
        <f t="shared" si="7"/>
        <v>1096.92</v>
      </c>
      <c r="R23" s="12">
        <f t="shared" si="8"/>
        <v>43888</v>
      </c>
      <c r="S23" s="12">
        <f t="shared" si="0"/>
        <v>43929</v>
      </c>
    </row>
    <row r="24" spans="1:19" x14ac:dyDescent="0.3">
      <c r="A24" s="20">
        <v>24732</v>
      </c>
      <c r="B24" s="20">
        <v>1</v>
      </c>
      <c r="C24" s="21" t="s">
        <v>34</v>
      </c>
      <c r="D24" s="21" t="s">
        <v>65</v>
      </c>
      <c r="E24" s="20" t="s">
        <v>13</v>
      </c>
      <c r="F24" s="20" t="s">
        <v>122</v>
      </c>
      <c r="G24" s="20" t="s">
        <v>123</v>
      </c>
      <c r="H24" s="20">
        <v>1641</v>
      </c>
      <c r="I24" s="20">
        <v>7654320</v>
      </c>
      <c r="J24" s="20">
        <v>72</v>
      </c>
      <c r="K24" t="str">
        <f t="shared" si="1"/>
        <v>24732_1</v>
      </c>
      <c r="L24" t="str">
        <f t="shared" si="2"/>
        <v>1641-7654320-72</v>
      </c>
      <c r="M24" t="str">
        <f t="shared" si="3"/>
        <v>Feb</v>
      </c>
      <c r="N24" t="str">
        <f t="shared" si="4"/>
        <v>224680</v>
      </c>
      <c r="O24" t="str">
        <f t="shared" si="5"/>
        <v>Sydney</v>
      </c>
      <c r="P24" t="str">
        <f t="shared" si="6"/>
        <v>INV</v>
      </c>
      <c r="Q24" s="1">
        <f t="shared" si="7"/>
        <v>257.07</v>
      </c>
      <c r="R24" s="12">
        <f t="shared" si="8"/>
        <v>43886</v>
      </c>
      <c r="S24" s="12">
        <f t="shared" si="0"/>
        <v>43928</v>
      </c>
    </row>
    <row r="25" spans="1:19" x14ac:dyDescent="0.3">
      <c r="A25" s="20">
        <v>24735</v>
      </c>
      <c r="B25" s="20">
        <v>2</v>
      </c>
      <c r="C25" s="21" t="s">
        <v>54</v>
      </c>
      <c r="D25" s="21" t="s">
        <v>42</v>
      </c>
      <c r="E25" s="20" t="s">
        <v>13</v>
      </c>
      <c r="F25" s="20" t="s">
        <v>124</v>
      </c>
      <c r="G25" s="20" t="s">
        <v>125</v>
      </c>
      <c r="H25" s="20">
        <v>1641</v>
      </c>
      <c r="I25" s="20">
        <v>7654320</v>
      </c>
      <c r="J25" s="20">
        <v>72</v>
      </c>
      <c r="K25" t="str">
        <f t="shared" si="1"/>
        <v>24735_2</v>
      </c>
      <c r="L25" t="str">
        <f t="shared" si="2"/>
        <v>1641-7654320-72</v>
      </c>
      <c r="M25" t="str">
        <f t="shared" si="3"/>
        <v>Apr</v>
      </c>
      <c r="N25" t="str">
        <f t="shared" si="4"/>
        <v>238023</v>
      </c>
      <c r="O25" t="str">
        <f t="shared" si="5"/>
        <v>Sydney</v>
      </c>
      <c r="P25" t="str">
        <f t="shared" si="6"/>
        <v>INV</v>
      </c>
      <c r="Q25" s="1">
        <f t="shared" si="7"/>
        <v>215.49</v>
      </c>
      <c r="R25" s="12">
        <f t="shared" si="8"/>
        <v>43945</v>
      </c>
      <c r="S25" s="12">
        <f t="shared" si="0"/>
        <v>43949</v>
      </c>
    </row>
    <row r="26" spans="1:19" x14ac:dyDescent="0.3">
      <c r="A26" s="20">
        <v>24739</v>
      </c>
      <c r="B26" s="20">
        <v>1</v>
      </c>
      <c r="C26" s="21" t="s">
        <v>42</v>
      </c>
      <c r="D26" s="21" t="s">
        <v>28</v>
      </c>
      <c r="E26" s="20" t="s">
        <v>13</v>
      </c>
      <c r="F26" s="20" t="s">
        <v>126</v>
      </c>
      <c r="G26" s="20" t="s">
        <v>127</v>
      </c>
      <c r="H26" s="20">
        <v>1641</v>
      </c>
      <c r="I26" s="20">
        <v>7654320</v>
      </c>
      <c r="J26" s="20">
        <v>72</v>
      </c>
      <c r="K26" t="str">
        <f t="shared" si="1"/>
        <v>24739_1</v>
      </c>
      <c r="L26" t="str">
        <f t="shared" si="2"/>
        <v>1641-7654320-72</v>
      </c>
      <c r="M26" t="str">
        <f t="shared" si="3"/>
        <v>Apr</v>
      </c>
      <c r="N26" t="str">
        <f t="shared" si="4"/>
        <v>224184</v>
      </c>
      <c r="O26" t="str">
        <f t="shared" si="5"/>
        <v>Sydney</v>
      </c>
      <c r="P26" t="str">
        <f t="shared" si="6"/>
        <v>INV</v>
      </c>
      <c r="Q26" s="1">
        <f t="shared" si="7"/>
        <v>455.07</v>
      </c>
      <c r="R26" s="12">
        <f t="shared" si="8"/>
        <v>43926</v>
      </c>
      <c r="S26" s="12">
        <f t="shared" si="0"/>
        <v>43945</v>
      </c>
    </row>
    <row r="27" spans="1:19" x14ac:dyDescent="0.3">
      <c r="A27" s="20">
        <v>24740</v>
      </c>
      <c r="B27" s="20">
        <v>1</v>
      </c>
      <c r="C27" s="21" t="s">
        <v>49</v>
      </c>
      <c r="D27" s="21" t="s">
        <v>46</v>
      </c>
      <c r="E27" s="20" t="s">
        <v>13</v>
      </c>
      <c r="F27" s="20" t="s">
        <v>128</v>
      </c>
      <c r="G27" s="20" t="s">
        <v>129</v>
      </c>
      <c r="H27" s="20">
        <v>1641</v>
      </c>
      <c r="I27" s="20">
        <v>7654320</v>
      </c>
      <c r="J27" s="20">
        <v>72</v>
      </c>
      <c r="K27" t="str">
        <f t="shared" si="1"/>
        <v>24740_1</v>
      </c>
      <c r="L27" t="str">
        <f t="shared" si="2"/>
        <v>1641-7654320-72</v>
      </c>
      <c r="M27" t="str">
        <f t="shared" si="3"/>
        <v>Apr</v>
      </c>
      <c r="N27" t="str">
        <f t="shared" si="4"/>
        <v>216205</v>
      </c>
      <c r="O27" t="str">
        <f t="shared" si="5"/>
        <v>Sydney</v>
      </c>
      <c r="P27" t="str">
        <f t="shared" si="6"/>
        <v>INV</v>
      </c>
      <c r="Q27" s="1">
        <f t="shared" si="7"/>
        <v>711.81</v>
      </c>
      <c r="R27" s="12">
        <f t="shared" si="8"/>
        <v>43923</v>
      </c>
      <c r="S27" s="12">
        <f t="shared" si="0"/>
        <v>43930</v>
      </c>
    </row>
    <row r="28" spans="1:19" x14ac:dyDescent="0.3">
      <c r="A28" s="20">
        <v>24743</v>
      </c>
      <c r="B28" s="20">
        <v>1</v>
      </c>
      <c r="C28" s="21" t="s">
        <v>32</v>
      </c>
      <c r="D28" s="21" t="s">
        <v>130</v>
      </c>
      <c r="E28" s="20" t="s">
        <v>13</v>
      </c>
      <c r="F28" s="20" t="s">
        <v>131</v>
      </c>
      <c r="G28" s="20" t="s">
        <v>132</v>
      </c>
      <c r="H28" s="20">
        <v>2554</v>
      </c>
      <c r="I28" s="20">
        <v>4551221</v>
      </c>
      <c r="J28" s="20">
        <v>33</v>
      </c>
      <c r="K28" t="str">
        <f t="shared" si="1"/>
        <v>24743_1</v>
      </c>
      <c r="L28" t="str">
        <f t="shared" si="2"/>
        <v>2554-4551221-33</v>
      </c>
      <c r="M28" t="str">
        <f t="shared" si="3"/>
        <v>Mar</v>
      </c>
      <c r="N28" t="str">
        <f t="shared" si="4"/>
        <v>331383</v>
      </c>
      <c r="O28" t="str">
        <f t="shared" si="5"/>
        <v>Melbourne</v>
      </c>
      <c r="P28" t="str">
        <f t="shared" si="6"/>
        <v>INV</v>
      </c>
      <c r="Q28" s="1">
        <f t="shared" si="7"/>
        <v>78.540000000000006</v>
      </c>
      <c r="R28" s="12">
        <f t="shared" si="8"/>
        <v>43911</v>
      </c>
      <c r="S28" s="12">
        <f t="shared" si="0"/>
        <v>43925</v>
      </c>
    </row>
    <row r="29" spans="1:19" x14ac:dyDescent="0.3">
      <c r="A29" s="20">
        <v>24746</v>
      </c>
      <c r="B29" s="20">
        <v>1</v>
      </c>
      <c r="C29" s="21" t="s">
        <v>33</v>
      </c>
      <c r="D29" s="21" t="s">
        <v>62</v>
      </c>
      <c r="E29" s="20" t="s">
        <v>13</v>
      </c>
      <c r="F29" s="20" t="s">
        <v>133</v>
      </c>
      <c r="G29" s="20" t="s">
        <v>134</v>
      </c>
      <c r="H29" s="20">
        <v>2554</v>
      </c>
      <c r="I29" s="20">
        <v>4551221</v>
      </c>
      <c r="J29" s="20">
        <v>33</v>
      </c>
      <c r="K29" t="str">
        <f t="shared" si="1"/>
        <v>24746_1</v>
      </c>
      <c r="L29" t="str">
        <f t="shared" si="2"/>
        <v>2554-4551221-33</v>
      </c>
      <c r="M29" t="str">
        <f t="shared" si="3"/>
        <v>Mar</v>
      </c>
      <c r="N29" t="str">
        <f t="shared" si="4"/>
        <v>335282</v>
      </c>
      <c r="O29" t="str">
        <f t="shared" si="5"/>
        <v>Melbourne</v>
      </c>
      <c r="P29" t="str">
        <f t="shared" si="6"/>
        <v>INV</v>
      </c>
      <c r="Q29" s="1">
        <f t="shared" si="7"/>
        <v>302.61</v>
      </c>
      <c r="R29" s="12">
        <f t="shared" si="8"/>
        <v>43892</v>
      </c>
      <c r="S29" s="12">
        <f t="shared" si="0"/>
        <v>43927</v>
      </c>
    </row>
    <row r="30" spans="1:19" x14ac:dyDescent="0.3">
      <c r="A30" s="20">
        <v>24750</v>
      </c>
      <c r="B30" s="20">
        <v>1</v>
      </c>
      <c r="C30" s="21" t="s">
        <v>30</v>
      </c>
      <c r="D30" s="21" t="s">
        <v>65</v>
      </c>
      <c r="E30" s="20" t="s">
        <v>12</v>
      </c>
      <c r="F30" s="20" t="s">
        <v>135</v>
      </c>
      <c r="G30" s="20" t="s">
        <v>136</v>
      </c>
      <c r="H30" s="20">
        <v>2554</v>
      </c>
      <c r="I30" s="20">
        <v>4551221</v>
      </c>
      <c r="J30" s="20">
        <v>33</v>
      </c>
      <c r="K30" t="str">
        <f t="shared" si="1"/>
        <v>24750_1</v>
      </c>
      <c r="L30" t="str">
        <f t="shared" si="2"/>
        <v>2554-4551221-33</v>
      </c>
      <c r="M30" t="str">
        <f t="shared" si="3"/>
        <v>Feb</v>
      </c>
      <c r="N30" t="str">
        <f t="shared" si="4"/>
        <v>330858</v>
      </c>
      <c r="O30" t="str">
        <f t="shared" si="5"/>
        <v>Melbourne</v>
      </c>
      <c r="P30" t="str">
        <f t="shared" si="6"/>
        <v>INV</v>
      </c>
      <c r="Q30" s="1">
        <f t="shared" si="7"/>
        <v>426.03</v>
      </c>
      <c r="R30" s="12">
        <f t="shared" si="8"/>
        <v>43886</v>
      </c>
      <c r="S30" s="12">
        <f t="shared" si="0"/>
        <v>43931</v>
      </c>
    </row>
    <row r="31" spans="1:19" x14ac:dyDescent="0.3">
      <c r="A31" s="20">
        <v>24753</v>
      </c>
      <c r="B31" s="20">
        <v>1</v>
      </c>
      <c r="C31" s="21" t="s">
        <v>51</v>
      </c>
      <c r="D31" s="21" t="s">
        <v>92</v>
      </c>
      <c r="E31" s="20" t="s">
        <v>13</v>
      </c>
      <c r="F31" s="20" t="s">
        <v>137</v>
      </c>
      <c r="G31" s="20" t="s">
        <v>138</v>
      </c>
      <c r="H31" s="20">
        <v>1641</v>
      </c>
      <c r="I31" s="20">
        <v>7654320</v>
      </c>
      <c r="J31" s="20">
        <v>72</v>
      </c>
      <c r="K31" t="str">
        <f t="shared" si="1"/>
        <v>24753_1</v>
      </c>
      <c r="L31" t="str">
        <f t="shared" si="2"/>
        <v>1641-7654320-72</v>
      </c>
      <c r="M31" t="str">
        <f t="shared" si="3"/>
        <v>Mar</v>
      </c>
      <c r="N31" t="str">
        <f t="shared" si="4"/>
        <v>238202</v>
      </c>
      <c r="O31" t="str">
        <f t="shared" si="5"/>
        <v>Sydney</v>
      </c>
      <c r="P31" t="str">
        <f t="shared" si="6"/>
        <v>INV</v>
      </c>
      <c r="Q31" s="1">
        <f t="shared" si="7"/>
        <v>489.72</v>
      </c>
      <c r="R31" s="12">
        <f t="shared" si="8"/>
        <v>43899</v>
      </c>
      <c r="S31" s="12">
        <f t="shared" si="0"/>
        <v>43932</v>
      </c>
    </row>
    <row r="32" spans="1:19" x14ac:dyDescent="0.3">
      <c r="A32" s="20">
        <v>24754</v>
      </c>
      <c r="B32" s="20">
        <v>1</v>
      </c>
      <c r="C32" s="21" t="s">
        <v>54</v>
      </c>
      <c r="D32" s="21" t="s">
        <v>67</v>
      </c>
      <c r="E32" s="20" t="s">
        <v>13</v>
      </c>
      <c r="F32" s="20" t="s">
        <v>139</v>
      </c>
      <c r="G32" s="20" t="s">
        <v>140</v>
      </c>
      <c r="H32" s="20">
        <v>1641</v>
      </c>
      <c r="I32" s="20">
        <v>7654320</v>
      </c>
      <c r="J32" s="20">
        <v>72</v>
      </c>
      <c r="K32" t="str">
        <f t="shared" si="1"/>
        <v>24754_1</v>
      </c>
      <c r="L32" t="str">
        <f t="shared" si="2"/>
        <v>1641-7654320-72</v>
      </c>
      <c r="M32" t="str">
        <f t="shared" si="3"/>
        <v>Mar</v>
      </c>
      <c r="N32" t="str">
        <f t="shared" si="4"/>
        <v>217217</v>
      </c>
      <c r="O32" t="str">
        <f t="shared" si="5"/>
        <v>Sydney</v>
      </c>
      <c r="P32" t="str">
        <f t="shared" si="6"/>
        <v>INV</v>
      </c>
      <c r="Q32" s="1">
        <f t="shared" si="7"/>
        <v>352.44</v>
      </c>
      <c r="R32" s="12">
        <f t="shared" si="8"/>
        <v>43915</v>
      </c>
      <c r="S32" s="12">
        <f t="shared" si="0"/>
        <v>43949</v>
      </c>
    </row>
    <row r="33" spans="1:19" x14ac:dyDescent="0.3">
      <c r="A33" s="20">
        <v>24756</v>
      </c>
      <c r="B33" s="20">
        <v>1</v>
      </c>
      <c r="C33" s="21" t="s">
        <v>48</v>
      </c>
      <c r="D33" s="21" t="s">
        <v>39</v>
      </c>
      <c r="E33" s="20" t="s">
        <v>13</v>
      </c>
      <c r="F33" s="20" t="s">
        <v>141</v>
      </c>
      <c r="G33" s="20" t="s">
        <v>142</v>
      </c>
      <c r="H33" s="20">
        <v>1641</v>
      </c>
      <c r="I33" s="20">
        <v>7654320</v>
      </c>
      <c r="J33" s="20">
        <v>72</v>
      </c>
      <c r="K33" t="str">
        <f t="shared" si="1"/>
        <v>24756_1</v>
      </c>
      <c r="L33" t="str">
        <f t="shared" si="2"/>
        <v>1641-7654320-72</v>
      </c>
      <c r="M33" t="str">
        <f t="shared" si="3"/>
        <v>Mar</v>
      </c>
      <c r="N33" t="str">
        <f t="shared" si="4"/>
        <v>234637</v>
      </c>
      <c r="O33" t="str">
        <f t="shared" si="5"/>
        <v>Sydney</v>
      </c>
      <c r="P33" t="str">
        <f t="shared" si="6"/>
        <v>INV</v>
      </c>
      <c r="Q33" s="1">
        <f t="shared" si="7"/>
        <v>238.59</v>
      </c>
      <c r="R33" s="12">
        <f t="shared" si="8"/>
        <v>43912</v>
      </c>
      <c r="S33" s="12">
        <f t="shared" si="0"/>
        <v>43937</v>
      </c>
    </row>
    <row r="34" spans="1:19" x14ac:dyDescent="0.3">
      <c r="A34" s="20">
        <v>24757</v>
      </c>
      <c r="B34" s="20">
        <v>1</v>
      </c>
      <c r="C34" s="21" t="s">
        <v>22</v>
      </c>
      <c r="D34" s="21" t="s">
        <v>26</v>
      </c>
      <c r="E34" s="20" t="s">
        <v>13</v>
      </c>
      <c r="F34" s="20" t="s">
        <v>143</v>
      </c>
      <c r="G34" s="20" t="s">
        <v>144</v>
      </c>
      <c r="H34" s="20">
        <v>2554</v>
      </c>
      <c r="I34" s="20">
        <v>4551221</v>
      </c>
      <c r="J34" s="20">
        <v>33</v>
      </c>
      <c r="K34" t="str">
        <f t="shared" si="1"/>
        <v>24757_1</v>
      </c>
      <c r="L34" t="str">
        <f t="shared" si="2"/>
        <v>2554-4551221-33</v>
      </c>
      <c r="M34" t="str">
        <f t="shared" si="3"/>
        <v>Apr</v>
      </c>
      <c r="N34" t="str">
        <f t="shared" si="4"/>
        <v>332725</v>
      </c>
      <c r="O34" t="str">
        <f t="shared" si="5"/>
        <v>Melbourne</v>
      </c>
      <c r="P34" t="str">
        <f t="shared" si="6"/>
        <v>INV</v>
      </c>
      <c r="Q34" s="1">
        <f t="shared" si="7"/>
        <v>549.12</v>
      </c>
      <c r="R34" s="12">
        <f t="shared" si="8"/>
        <v>43936</v>
      </c>
      <c r="S34" s="12">
        <f t="shared" ref="S34:S65" si="9">DATE(2020,4,RIGHT(C34,2))</f>
        <v>43941</v>
      </c>
    </row>
    <row r="35" spans="1:19" x14ac:dyDescent="0.3">
      <c r="A35" s="20">
        <v>24758</v>
      </c>
      <c r="B35" s="20">
        <v>1</v>
      </c>
      <c r="C35" s="21" t="s">
        <v>46</v>
      </c>
      <c r="D35" s="21" t="s">
        <v>25</v>
      </c>
      <c r="E35" s="20" t="s">
        <v>13</v>
      </c>
      <c r="F35" s="20" t="s">
        <v>145</v>
      </c>
      <c r="G35" s="20" t="s">
        <v>146</v>
      </c>
      <c r="H35" s="20">
        <v>1641</v>
      </c>
      <c r="I35" s="20">
        <v>7654320</v>
      </c>
      <c r="J35" s="20">
        <v>72</v>
      </c>
      <c r="K35" t="str">
        <f t="shared" si="1"/>
        <v>24758_1</v>
      </c>
      <c r="L35" t="str">
        <f t="shared" si="2"/>
        <v>1641-7654320-72</v>
      </c>
      <c r="M35" t="str">
        <f t="shared" si="3"/>
        <v>Mar</v>
      </c>
      <c r="N35" t="str">
        <f t="shared" si="4"/>
        <v>227351</v>
      </c>
      <c r="O35" t="str">
        <f t="shared" si="5"/>
        <v>Sydney</v>
      </c>
      <c r="P35" t="str">
        <f t="shared" si="6"/>
        <v>INV</v>
      </c>
      <c r="Q35" s="1">
        <f t="shared" si="7"/>
        <v>322.41000000000003</v>
      </c>
      <c r="R35" s="12">
        <f t="shared" si="8"/>
        <v>43893</v>
      </c>
      <c r="S35" s="12">
        <f t="shared" si="9"/>
        <v>43923</v>
      </c>
    </row>
    <row r="36" spans="1:19" x14ac:dyDescent="0.3">
      <c r="A36" s="20">
        <v>24759</v>
      </c>
      <c r="B36" s="20">
        <v>1</v>
      </c>
      <c r="C36" s="21" t="s">
        <v>24</v>
      </c>
      <c r="D36" s="21" t="s">
        <v>62</v>
      </c>
      <c r="E36" s="20" t="s">
        <v>13</v>
      </c>
      <c r="F36" s="20" t="s">
        <v>147</v>
      </c>
      <c r="G36" s="20" t="s">
        <v>148</v>
      </c>
      <c r="H36" s="20">
        <v>2554</v>
      </c>
      <c r="I36" s="20">
        <v>4551221</v>
      </c>
      <c r="J36" s="20">
        <v>33</v>
      </c>
      <c r="K36" t="str">
        <f t="shared" si="1"/>
        <v>24759_1</v>
      </c>
      <c r="L36" t="str">
        <f t="shared" si="2"/>
        <v>2554-4551221-33</v>
      </c>
      <c r="M36" t="str">
        <f t="shared" si="3"/>
        <v>Mar</v>
      </c>
      <c r="N36" t="str">
        <f t="shared" si="4"/>
        <v>336345</v>
      </c>
      <c r="O36" t="str">
        <f t="shared" si="5"/>
        <v>Melbourne</v>
      </c>
      <c r="P36" t="str">
        <f t="shared" si="6"/>
        <v>INV</v>
      </c>
      <c r="Q36" s="1">
        <f t="shared" si="7"/>
        <v>644.82000000000005</v>
      </c>
      <c r="R36" s="12">
        <f t="shared" si="8"/>
        <v>43892</v>
      </c>
      <c r="S36" s="12">
        <f t="shared" si="9"/>
        <v>43934</v>
      </c>
    </row>
    <row r="37" spans="1:19" x14ac:dyDescent="0.3">
      <c r="A37" s="20">
        <v>24760</v>
      </c>
      <c r="B37" s="20">
        <v>1</v>
      </c>
      <c r="C37" s="21" t="s">
        <v>64</v>
      </c>
      <c r="D37" s="21" t="s">
        <v>46</v>
      </c>
      <c r="E37" s="20" t="s">
        <v>13</v>
      </c>
      <c r="F37" s="20" t="s">
        <v>149</v>
      </c>
      <c r="G37" s="20" t="s">
        <v>150</v>
      </c>
      <c r="H37" s="20">
        <v>2554</v>
      </c>
      <c r="I37" s="20">
        <v>4551221</v>
      </c>
      <c r="J37" s="20">
        <v>33</v>
      </c>
      <c r="K37" t="str">
        <f t="shared" si="1"/>
        <v>24760_1</v>
      </c>
      <c r="L37" t="str">
        <f t="shared" si="2"/>
        <v>2554-4551221-33</v>
      </c>
      <c r="M37" t="str">
        <f t="shared" si="3"/>
        <v>Apr</v>
      </c>
      <c r="N37" t="str">
        <f t="shared" si="4"/>
        <v>338595</v>
      </c>
      <c r="O37" t="str">
        <f t="shared" si="5"/>
        <v>Melbourne</v>
      </c>
      <c r="P37" t="str">
        <f t="shared" si="6"/>
        <v>INV</v>
      </c>
      <c r="Q37" s="1">
        <f t="shared" si="7"/>
        <v>113.19</v>
      </c>
      <c r="R37" s="12">
        <f t="shared" si="8"/>
        <v>43923</v>
      </c>
      <c r="S37" s="12">
        <f t="shared" si="9"/>
        <v>43944</v>
      </c>
    </row>
    <row r="38" spans="1:19" x14ac:dyDescent="0.3">
      <c r="A38" s="20">
        <v>24761</v>
      </c>
      <c r="B38" s="20">
        <v>1</v>
      </c>
      <c r="C38" s="21" t="s">
        <v>54</v>
      </c>
      <c r="D38" s="21" t="s">
        <v>22</v>
      </c>
      <c r="E38" s="20" t="s">
        <v>13</v>
      </c>
      <c r="F38" s="20" t="s">
        <v>151</v>
      </c>
      <c r="G38" s="20" t="s">
        <v>152</v>
      </c>
      <c r="H38" s="20">
        <v>2554</v>
      </c>
      <c r="I38" s="20">
        <v>4551221</v>
      </c>
      <c r="J38" s="20">
        <v>33</v>
      </c>
      <c r="K38" t="str">
        <f t="shared" si="1"/>
        <v>24761_1</v>
      </c>
      <c r="L38" t="str">
        <f t="shared" si="2"/>
        <v>2554-4551221-33</v>
      </c>
      <c r="M38" t="str">
        <f t="shared" si="3"/>
        <v>Apr</v>
      </c>
      <c r="N38" t="str">
        <f t="shared" si="4"/>
        <v>325149</v>
      </c>
      <c r="O38" t="str">
        <f t="shared" si="5"/>
        <v>Melbourne</v>
      </c>
      <c r="P38" t="str">
        <f t="shared" si="6"/>
        <v>INV</v>
      </c>
      <c r="Q38" s="1">
        <f t="shared" si="7"/>
        <v>449.13</v>
      </c>
      <c r="R38" s="12">
        <f t="shared" si="8"/>
        <v>43941</v>
      </c>
      <c r="S38" s="12">
        <f t="shared" si="9"/>
        <v>43949</v>
      </c>
    </row>
    <row r="39" spans="1:19" x14ac:dyDescent="0.3">
      <c r="A39" s="20">
        <v>24764</v>
      </c>
      <c r="B39" s="20">
        <v>1</v>
      </c>
      <c r="C39" s="21" t="s">
        <v>45</v>
      </c>
      <c r="D39" s="21" t="s">
        <v>130</v>
      </c>
      <c r="E39" s="20" t="s">
        <v>13</v>
      </c>
      <c r="F39" s="20" t="s">
        <v>153</v>
      </c>
      <c r="G39" s="20" t="s">
        <v>154</v>
      </c>
      <c r="H39" s="20">
        <v>1641</v>
      </c>
      <c r="I39" s="20">
        <v>7654320</v>
      </c>
      <c r="J39" s="20">
        <v>72</v>
      </c>
      <c r="K39" t="str">
        <f t="shared" si="1"/>
        <v>24764_1</v>
      </c>
      <c r="L39" t="str">
        <f t="shared" si="2"/>
        <v>1641-7654320-72</v>
      </c>
      <c r="M39" t="str">
        <f t="shared" si="3"/>
        <v>Mar</v>
      </c>
      <c r="N39" t="str">
        <f t="shared" si="4"/>
        <v>227994</v>
      </c>
      <c r="O39" t="str">
        <f t="shared" si="5"/>
        <v>Sydney</v>
      </c>
      <c r="P39" t="str">
        <f t="shared" si="6"/>
        <v>INV</v>
      </c>
      <c r="Q39" s="1">
        <f t="shared" si="7"/>
        <v>819.06</v>
      </c>
      <c r="R39" s="12">
        <f t="shared" si="8"/>
        <v>43911</v>
      </c>
      <c r="S39" s="12">
        <f t="shared" si="9"/>
        <v>43933</v>
      </c>
    </row>
    <row r="40" spans="1:19" x14ac:dyDescent="0.3">
      <c r="A40" s="20">
        <v>24767</v>
      </c>
      <c r="B40" s="20">
        <v>1</v>
      </c>
      <c r="C40" s="21" t="s">
        <v>40</v>
      </c>
      <c r="D40" s="21" t="s">
        <v>155</v>
      </c>
      <c r="E40" s="20" t="s">
        <v>13</v>
      </c>
      <c r="F40" s="20" t="s">
        <v>156</v>
      </c>
      <c r="G40" s="20" t="s">
        <v>157</v>
      </c>
      <c r="H40" s="20">
        <v>1641</v>
      </c>
      <c r="I40" s="20">
        <v>7654320</v>
      </c>
      <c r="J40" s="20">
        <v>72</v>
      </c>
      <c r="K40" t="str">
        <f t="shared" si="1"/>
        <v>24767_1</v>
      </c>
      <c r="L40" t="str">
        <f t="shared" si="2"/>
        <v>1641-7654320-72</v>
      </c>
      <c r="M40" t="str">
        <f t="shared" si="3"/>
        <v>Feb</v>
      </c>
      <c r="N40" t="str">
        <f t="shared" si="4"/>
        <v>222399</v>
      </c>
      <c r="O40" t="str">
        <f t="shared" si="5"/>
        <v>Sydney</v>
      </c>
      <c r="P40" t="str">
        <f t="shared" si="6"/>
        <v>INV</v>
      </c>
      <c r="Q40" s="1">
        <f t="shared" si="7"/>
        <v>1019.04</v>
      </c>
      <c r="R40" s="12">
        <f t="shared" si="8"/>
        <v>43880</v>
      </c>
      <c r="S40" s="12">
        <f t="shared" si="9"/>
        <v>43924</v>
      </c>
    </row>
    <row r="41" spans="1:19" x14ac:dyDescent="0.3">
      <c r="A41" s="20">
        <v>24771</v>
      </c>
      <c r="B41" s="20">
        <v>1</v>
      </c>
      <c r="C41" s="21" t="s">
        <v>68</v>
      </c>
      <c r="D41" s="21" t="s">
        <v>47</v>
      </c>
      <c r="E41" s="20" t="s">
        <v>13</v>
      </c>
      <c r="F41" s="20" t="s">
        <v>158</v>
      </c>
      <c r="G41" s="20" t="s">
        <v>159</v>
      </c>
      <c r="H41" s="20">
        <v>2554</v>
      </c>
      <c r="I41" s="20">
        <v>4551221</v>
      </c>
      <c r="J41" s="20">
        <v>33</v>
      </c>
      <c r="K41" t="str">
        <f t="shared" si="1"/>
        <v>24771_1</v>
      </c>
      <c r="L41" t="str">
        <f t="shared" si="2"/>
        <v>2554-4551221-33</v>
      </c>
      <c r="M41" t="str">
        <f t="shared" si="3"/>
        <v>Mar</v>
      </c>
      <c r="N41" t="str">
        <f t="shared" si="4"/>
        <v>316436</v>
      </c>
      <c r="O41" t="str">
        <f t="shared" si="5"/>
        <v>Melbourne</v>
      </c>
      <c r="P41" t="str">
        <f t="shared" si="6"/>
        <v>INV</v>
      </c>
      <c r="Q41" s="1">
        <f t="shared" si="7"/>
        <v>736.23</v>
      </c>
      <c r="R41" s="12">
        <f t="shared" si="8"/>
        <v>43919</v>
      </c>
      <c r="S41" s="12">
        <f t="shared" si="9"/>
        <v>43935</v>
      </c>
    </row>
    <row r="42" spans="1:19" x14ac:dyDescent="0.3">
      <c r="A42" s="20">
        <v>24775</v>
      </c>
      <c r="B42" s="20">
        <v>1</v>
      </c>
      <c r="C42" s="21" t="s">
        <v>48</v>
      </c>
      <c r="D42" s="21" t="s">
        <v>160</v>
      </c>
      <c r="E42" s="20" t="s">
        <v>15</v>
      </c>
      <c r="F42" s="20" t="s">
        <v>161</v>
      </c>
      <c r="G42" s="20" t="s">
        <v>162</v>
      </c>
      <c r="H42" s="20">
        <v>2554</v>
      </c>
      <c r="I42" s="20">
        <v>4551221</v>
      </c>
      <c r="J42" s="20">
        <v>33</v>
      </c>
      <c r="K42" t="str">
        <f t="shared" si="1"/>
        <v>24775_1</v>
      </c>
      <c r="L42" t="str">
        <f t="shared" si="2"/>
        <v>2554-4551221-33</v>
      </c>
      <c r="M42" t="str">
        <f t="shared" si="3"/>
        <v>Mar</v>
      </c>
      <c r="N42" t="str">
        <f t="shared" si="4"/>
        <v>312603</v>
      </c>
      <c r="O42" t="str">
        <f t="shared" si="5"/>
        <v>Melbourne</v>
      </c>
      <c r="P42" t="str">
        <f t="shared" si="6"/>
        <v>CR</v>
      </c>
      <c r="Q42" s="1">
        <f t="shared" si="7"/>
        <v>600.27</v>
      </c>
      <c r="R42" s="12">
        <f t="shared" si="8"/>
        <v>43895</v>
      </c>
      <c r="S42" s="12">
        <f t="shared" si="9"/>
        <v>43937</v>
      </c>
    </row>
    <row r="43" spans="1:19" x14ac:dyDescent="0.3">
      <c r="A43" s="20">
        <v>24779</v>
      </c>
      <c r="B43" s="20">
        <v>1</v>
      </c>
      <c r="C43" s="21" t="s">
        <v>53</v>
      </c>
      <c r="D43" s="21" t="s">
        <v>60</v>
      </c>
      <c r="E43" s="20" t="s">
        <v>13</v>
      </c>
      <c r="F43" s="20" t="s">
        <v>163</v>
      </c>
      <c r="G43" s="20" t="s">
        <v>164</v>
      </c>
      <c r="H43" s="20">
        <v>2554</v>
      </c>
      <c r="I43" s="20">
        <v>4551221</v>
      </c>
      <c r="J43" s="20">
        <v>33</v>
      </c>
      <c r="K43" t="str">
        <f t="shared" si="1"/>
        <v>24779_1</v>
      </c>
      <c r="L43" t="str">
        <f t="shared" si="2"/>
        <v>2554-4551221-33</v>
      </c>
      <c r="M43" t="str">
        <f t="shared" si="3"/>
        <v>Mar</v>
      </c>
      <c r="N43" t="str">
        <f t="shared" si="4"/>
        <v>339907</v>
      </c>
      <c r="O43" t="str">
        <f t="shared" si="5"/>
        <v>Melbourne</v>
      </c>
      <c r="P43" t="str">
        <f t="shared" si="6"/>
        <v>INV</v>
      </c>
      <c r="Q43" s="1">
        <f t="shared" si="7"/>
        <v>480.81</v>
      </c>
      <c r="R43" s="12">
        <f t="shared" si="8"/>
        <v>43907</v>
      </c>
      <c r="S43" s="12">
        <f t="shared" si="9"/>
        <v>43929</v>
      </c>
    </row>
    <row r="44" spans="1:19" x14ac:dyDescent="0.3">
      <c r="A44" s="20">
        <v>24784</v>
      </c>
      <c r="B44" s="20">
        <v>1</v>
      </c>
      <c r="C44" s="21" t="s">
        <v>89</v>
      </c>
      <c r="D44" s="21" t="s">
        <v>165</v>
      </c>
      <c r="E44" s="20" t="s">
        <v>13</v>
      </c>
      <c r="F44" s="20" t="s">
        <v>166</v>
      </c>
      <c r="G44" s="20" t="s">
        <v>167</v>
      </c>
      <c r="H44" s="20">
        <v>1641</v>
      </c>
      <c r="I44" s="20">
        <v>7654320</v>
      </c>
      <c r="J44" s="20">
        <v>72</v>
      </c>
      <c r="K44" t="str">
        <f t="shared" si="1"/>
        <v>24784_1</v>
      </c>
      <c r="L44" t="str">
        <f t="shared" si="2"/>
        <v>1641-7654320-72</v>
      </c>
      <c r="M44" t="str">
        <f t="shared" si="3"/>
        <v>Mar</v>
      </c>
      <c r="N44" t="str">
        <f t="shared" si="4"/>
        <v>218463</v>
      </c>
      <c r="O44" t="str">
        <f t="shared" si="5"/>
        <v>Sydney</v>
      </c>
      <c r="P44" t="str">
        <f t="shared" si="6"/>
        <v>INV</v>
      </c>
      <c r="Q44" s="1">
        <f t="shared" si="7"/>
        <v>253.77</v>
      </c>
      <c r="R44" s="12">
        <f t="shared" si="8"/>
        <v>43908</v>
      </c>
      <c r="S44" s="12">
        <f t="shared" si="9"/>
        <v>43948</v>
      </c>
    </row>
    <row r="45" spans="1:19" x14ac:dyDescent="0.3">
      <c r="A45" s="20">
        <v>24788</v>
      </c>
      <c r="B45" s="20">
        <v>1</v>
      </c>
      <c r="C45" s="21" t="s">
        <v>54</v>
      </c>
      <c r="D45" s="21" t="s">
        <v>31</v>
      </c>
      <c r="E45" s="20" t="s">
        <v>13</v>
      </c>
      <c r="F45" s="20" t="s">
        <v>168</v>
      </c>
      <c r="G45" s="20" t="s">
        <v>148</v>
      </c>
      <c r="H45" s="20">
        <v>2554</v>
      </c>
      <c r="I45" s="20">
        <v>4551221</v>
      </c>
      <c r="J45" s="20">
        <v>33</v>
      </c>
      <c r="K45" t="str">
        <f t="shared" si="1"/>
        <v>24788_1</v>
      </c>
      <c r="L45" t="str">
        <f t="shared" si="2"/>
        <v>2554-4551221-33</v>
      </c>
      <c r="M45" t="str">
        <f t="shared" si="3"/>
        <v>Mar</v>
      </c>
      <c r="N45" t="str">
        <f t="shared" si="4"/>
        <v>336345</v>
      </c>
      <c r="O45" t="str">
        <f t="shared" si="5"/>
        <v>Melbourne</v>
      </c>
      <c r="P45" t="str">
        <f t="shared" si="6"/>
        <v>INV</v>
      </c>
      <c r="Q45" s="1">
        <f t="shared" si="7"/>
        <v>442.86</v>
      </c>
      <c r="R45" s="12">
        <f t="shared" si="8"/>
        <v>43906</v>
      </c>
      <c r="S45" s="12">
        <f t="shared" si="9"/>
        <v>43949</v>
      </c>
    </row>
    <row r="46" spans="1:19" x14ac:dyDescent="0.3">
      <c r="A46" s="20">
        <v>24792</v>
      </c>
      <c r="B46" s="20">
        <v>1</v>
      </c>
      <c r="C46" s="21" t="s">
        <v>40</v>
      </c>
      <c r="D46" s="21" t="s">
        <v>27</v>
      </c>
      <c r="E46" s="20" t="s">
        <v>13</v>
      </c>
      <c r="F46" s="20" t="s">
        <v>169</v>
      </c>
      <c r="G46" s="20" t="s">
        <v>170</v>
      </c>
      <c r="H46" s="20">
        <v>1641</v>
      </c>
      <c r="I46" s="20">
        <v>7654320</v>
      </c>
      <c r="J46" s="20">
        <v>72</v>
      </c>
      <c r="K46" t="str">
        <f t="shared" si="1"/>
        <v>24792_1</v>
      </c>
      <c r="L46" t="str">
        <f t="shared" si="2"/>
        <v>1641-7654320-72</v>
      </c>
      <c r="M46" t="str">
        <f t="shared" si="3"/>
        <v>Mar</v>
      </c>
      <c r="N46" t="str">
        <f t="shared" si="4"/>
        <v>227664</v>
      </c>
      <c r="O46" t="str">
        <f t="shared" si="5"/>
        <v>Sydney</v>
      </c>
      <c r="P46" t="str">
        <f t="shared" si="6"/>
        <v>INV</v>
      </c>
      <c r="Q46" s="1">
        <f t="shared" si="7"/>
        <v>630.96</v>
      </c>
      <c r="R46" s="12">
        <f t="shared" si="8"/>
        <v>43901</v>
      </c>
      <c r="S46" s="12">
        <f t="shared" si="9"/>
        <v>43924</v>
      </c>
    </row>
    <row r="47" spans="1:19" x14ac:dyDescent="0.3">
      <c r="A47" s="20">
        <v>24793</v>
      </c>
      <c r="B47" s="20">
        <v>1</v>
      </c>
      <c r="C47" s="21" t="s">
        <v>32</v>
      </c>
      <c r="D47" s="21" t="s">
        <v>160</v>
      </c>
      <c r="E47" s="20" t="s">
        <v>13</v>
      </c>
      <c r="F47" s="20" t="s">
        <v>171</v>
      </c>
      <c r="G47" s="20" t="s">
        <v>172</v>
      </c>
      <c r="H47" s="20">
        <v>2554</v>
      </c>
      <c r="I47" s="20">
        <v>4551221</v>
      </c>
      <c r="J47" s="20">
        <v>33</v>
      </c>
      <c r="K47" t="str">
        <f t="shared" si="1"/>
        <v>24793_1</v>
      </c>
      <c r="L47" t="str">
        <f t="shared" si="2"/>
        <v>2554-4551221-33</v>
      </c>
      <c r="M47" t="str">
        <f t="shared" si="3"/>
        <v>Mar</v>
      </c>
      <c r="N47" t="str">
        <f t="shared" si="4"/>
        <v>331460</v>
      </c>
      <c r="O47" t="str">
        <f t="shared" si="5"/>
        <v>Melbourne</v>
      </c>
      <c r="P47" t="str">
        <f t="shared" si="6"/>
        <v>INV</v>
      </c>
      <c r="Q47" s="1">
        <f t="shared" si="7"/>
        <v>821.37</v>
      </c>
      <c r="R47" s="12">
        <f t="shared" si="8"/>
        <v>43895</v>
      </c>
      <c r="S47" s="12">
        <f t="shared" si="9"/>
        <v>43925</v>
      </c>
    </row>
    <row r="48" spans="1:19" x14ac:dyDescent="0.3">
      <c r="A48" s="20">
        <v>24795</v>
      </c>
      <c r="B48" s="20">
        <v>1</v>
      </c>
      <c r="C48" s="21" t="s">
        <v>34</v>
      </c>
      <c r="D48" s="21" t="s">
        <v>119</v>
      </c>
      <c r="E48" s="20" t="s">
        <v>13</v>
      </c>
      <c r="F48" s="20" t="s">
        <v>173</v>
      </c>
      <c r="G48" s="20" t="s">
        <v>174</v>
      </c>
      <c r="H48" s="20">
        <v>2554</v>
      </c>
      <c r="I48" s="20">
        <v>4551221</v>
      </c>
      <c r="J48" s="20">
        <v>33</v>
      </c>
      <c r="K48" t="str">
        <f t="shared" si="1"/>
        <v>24795_1</v>
      </c>
      <c r="L48" t="str">
        <f t="shared" si="2"/>
        <v>2554-4551221-33</v>
      </c>
      <c r="M48" t="str">
        <f t="shared" si="3"/>
        <v>Feb</v>
      </c>
      <c r="N48" t="str">
        <f t="shared" si="4"/>
        <v>327740</v>
      </c>
      <c r="O48" t="str">
        <f t="shared" si="5"/>
        <v>Melbourne</v>
      </c>
      <c r="P48" t="str">
        <f t="shared" si="6"/>
        <v>INV</v>
      </c>
      <c r="Q48" s="1">
        <f t="shared" si="7"/>
        <v>950.73</v>
      </c>
      <c r="R48" s="12">
        <f t="shared" si="8"/>
        <v>43888</v>
      </c>
      <c r="S48" s="12">
        <f t="shared" si="9"/>
        <v>43928</v>
      </c>
    </row>
    <row r="49" spans="1:19" x14ac:dyDescent="0.3">
      <c r="A49" s="20">
        <v>24798</v>
      </c>
      <c r="B49" s="20">
        <v>1</v>
      </c>
      <c r="C49" s="21" t="s">
        <v>30</v>
      </c>
      <c r="D49" s="21" t="s">
        <v>55</v>
      </c>
      <c r="E49" s="20" t="s">
        <v>13</v>
      </c>
      <c r="F49" s="20" t="s">
        <v>175</v>
      </c>
      <c r="G49" s="20" t="s">
        <v>176</v>
      </c>
      <c r="H49" s="20">
        <v>1641</v>
      </c>
      <c r="I49" s="20">
        <v>7654320</v>
      </c>
      <c r="J49" s="20">
        <v>72</v>
      </c>
      <c r="K49" t="str">
        <f t="shared" si="1"/>
        <v>24798_1</v>
      </c>
      <c r="L49" t="str">
        <f t="shared" si="2"/>
        <v>1641-7654320-72</v>
      </c>
      <c r="M49" t="str">
        <f t="shared" si="3"/>
        <v>Mar</v>
      </c>
      <c r="N49" t="str">
        <f t="shared" si="4"/>
        <v>221183</v>
      </c>
      <c r="O49" t="str">
        <f t="shared" si="5"/>
        <v>Sydney</v>
      </c>
      <c r="P49" t="str">
        <f t="shared" si="6"/>
        <v>INV</v>
      </c>
      <c r="Q49" s="1">
        <f t="shared" si="7"/>
        <v>956.34</v>
      </c>
      <c r="R49" s="12">
        <f t="shared" si="8"/>
        <v>43921</v>
      </c>
      <c r="S49" s="12">
        <f t="shared" si="9"/>
        <v>43931</v>
      </c>
    </row>
    <row r="50" spans="1:19" x14ac:dyDescent="0.3">
      <c r="A50" s="20">
        <v>24801</v>
      </c>
      <c r="B50" s="20">
        <v>1</v>
      </c>
      <c r="C50" s="21" t="s">
        <v>45</v>
      </c>
      <c r="D50" s="21" t="s">
        <v>69</v>
      </c>
      <c r="E50" s="20" t="s">
        <v>13</v>
      </c>
      <c r="F50" s="20" t="s">
        <v>177</v>
      </c>
      <c r="G50" s="20" t="s">
        <v>178</v>
      </c>
      <c r="H50" s="20">
        <v>1641</v>
      </c>
      <c r="I50" s="20">
        <v>7654320</v>
      </c>
      <c r="J50" s="20">
        <v>72</v>
      </c>
      <c r="K50" t="str">
        <f t="shared" si="1"/>
        <v>24801_1</v>
      </c>
      <c r="L50" t="str">
        <f t="shared" si="2"/>
        <v>1641-7654320-72</v>
      </c>
      <c r="M50" t="str">
        <f t="shared" si="3"/>
        <v>Mar</v>
      </c>
      <c r="N50" t="str">
        <f t="shared" si="4"/>
        <v>214234</v>
      </c>
      <c r="O50" t="str">
        <f t="shared" si="5"/>
        <v>Sydney</v>
      </c>
      <c r="P50" t="str">
        <f t="shared" si="6"/>
        <v>INV</v>
      </c>
      <c r="Q50" s="1">
        <f t="shared" si="7"/>
        <v>1094.28</v>
      </c>
      <c r="R50" s="12">
        <f t="shared" si="8"/>
        <v>43917</v>
      </c>
      <c r="S50" s="12">
        <f t="shared" si="9"/>
        <v>43933</v>
      </c>
    </row>
    <row r="51" spans="1:19" x14ac:dyDescent="0.3">
      <c r="A51" s="20">
        <v>24803</v>
      </c>
      <c r="B51" s="20">
        <v>1</v>
      </c>
      <c r="C51" s="21" t="s">
        <v>28</v>
      </c>
      <c r="D51" s="21" t="s">
        <v>165</v>
      </c>
      <c r="E51" s="20" t="s">
        <v>13</v>
      </c>
      <c r="F51" s="20" t="s">
        <v>179</v>
      </c>
      <c r="G51" s="20" t="s">
        <v>180</v>
      </c>
      <c r="H51" s="20">
        <v>2554</v>
      </c>
      <c r="I51" s="20">
        <v>4551221</v>
      </c>
      <c r="J51" s="20">
        <v>33</v>
      </c>
      <c r="K51" t="str">
        <f t="shared" si="1"/>
        <v>24803_1</v>
      </c>
      <c r="L51" t="str">
        <f t="shared" si="2"/>
        <v>2554-4551221-33</v>
      </c>
      <c r="M51" t="str">
        <f t="shared" si="3"/>
        <v>Mar</v>
      </c>
      <c r="N51" t="str">
        <f t="shared" si="4"/>
        <v>321456</v>
      </c>
      <c r="O51" t="str">
        <f t="shared" si="5"/>
        <v>Melbourne</v>
      </c>
      <c r="P51" t="str">
        <f t="shared" si="6"/>
        <v>INV</v>
      </c>
      <c r="Q51" s="1">
        <f t="shared" si="7"/>
        <v>628.98</v>
      </c>
      <c r="R51" s="12">
        <f t="shared" si="8"/>
        <v>43908</v>
      </c>
      <c r="S51" s="12">
        <f t="shared" si="9"/>
        <v>43926</v>
      </c>
    </row>
    <row r="52" spans="1:19" x14ac:dyDescent="0.3">
      <c r="A52" s="20">
        <v>24808</v>
      </c>
      <c r="B52" s="20">
        <v>1</v>
      </c>
      <c r="C52" s="21" t="s">
        <v>22</v>
      </c>
      <c r="D52" s="21" t="s">
        <v>53</v>
      </c>
      <c r="E52" s="20" t="s">
        <v>13</v>
      </c>
      <c r="F52" s="20" t="s">
        <v>181</v>
      </c>
      <c r="G52" s="20" t="s">
        <v>182</v>
      </c>
      <c r="H52" s="20">
        <v>1641</v>
      </c>
      <c r="I52" s="20">
        <v>7654320</v>
      </c>
      <c r="J52" s="20">
        <v>72</v>
      </c>
      <c r="K52" t="str">
        <f t="shared" si="1"/>
        <v>24808_1</v>
      </c>
      <c r="L52" t="str">
        <f t="shared" si="2"/>
        <v>1641-7654320-72</v>
      </c>
      <c r="M52" t="str">
        <f t="shared" si="3"/>
        <v>Apr</v>
      </c>
      <c r="N52" t="str">
        <f t="shared" si="4"/>
        <v>233209</v>
      </c>
      <c r="O52" t="str">
        <f t="shared" si="5"/>
        <v>Sydney</v>
      </c>
      <c r="P52" t="str">
        <f t="shared" si="6"/>
        <v>INV</v>
      </c>
      <c r="Q52" s="1">
        <f t="shared" si="7"/>
        <v>1058.31</v>
      </c>
      <c r="R52" s="12">
        <f t="shared" si="8"/>
        <v>43929</v>
      </c>
      <c r="S52" s="12">
        <f t="shared" si="9"/>
        <v>43941</v>
      </c>
    </row>
    <row r="53" spans="1:19" x14ac:dyDescent="0.3">
      <c r="A53" s="20">
        <v>24813</v>
      </c>
      <c r="B53" s="20">
        <v>1</v>
      </c>
      <c r="C53" s="21" t="s">
        <v>53</v>
      </c>
      <c r="D53" s="21" t="s">
        <v>55</v>
      </c>
      <c r="E53" s="20" t="s">
        <v>13</v>
      </c>
      <c r="F53" s="20" t="s">
        <v>183</v>
      </c>
      <c r="G53" s="20" t="s">
        <v>184</v>
      </c>
      <c r="H53" s="20">
        <v>1641</v>
      </c>
      <c r="I53" s="20">
        <v>7654320</v>
      </c>
      <c r="J53" s="20">
        <v>72</v>
      </c>
      <c r="K53" t="str">
        <f t="shared" si="1"/>
        <v>24813_1</v>
      </c>
      <c r="L53" t="str">
        <f t="shared" si="2"/>
        <v>1641-7654320-72</v>
      </c>
      <c r="M53" t="str">
        <f t="shared" si="3"/>
        <v>Mar</v>
      </c>
      <c r="N53" t="str">
        <f t="shared" si="4"/>
        <v>222998</v>
      </c>
      <c r="O53" t="str">
        <f t="shared" si="5"/>
        <v>Sydney</v>
      </c>
      <c r="P53" t="str">
        <f t="shared" si="6"/>
        <v>INV</v>
      </c>
      <c r="Q53" s="1">
        <f t="shared" si="7"/>
        <v>705.54</v>
      </c>
      <c r="R53" s="12">
        <f t="shared" si="8"/>
        <v>43921</v>
      </c>
      <c r="S53" s="12">
        <f t="shared" si="9"/>
        <v>43929</v>
      </c>
    </row>
    <row r="54" spans="1:19" x14ac:dyDescent="0.3">
      <c r="A54" s="20">
        <v>24815</v>
      </c>
      <c r="B54" s="20">
        <v>1</v>
      </c>
      <c r="C54" s="21" t="s">
        <v>89</v>
      </c>
      <c r="D54" s="21" t="s">
        <v>68</v>
      </c>
      <c r="E54" s="20" t="s">
        <v>13</v>
      </c>
      <c r="F54" s="20" t="s">
        <v>185</v>
      </c>
      <c r="G54" s="20" t="s">
        <v>186</v>
      </c>
      <c r="H54" s="20">
        <v>1641</v>
      </c>
      <c r="I54" s="20">
        <v>7654320</v>
      </c>
      <c r="J54" s="20">
        <v>72</v>
      </c>
      <c r="K54" t="str">
        <f t="shared" si="1"/>
        <v>24815_1</v>
      </c>
      <c r="L54" t="str">
        <f t="shared" si="2"/>
        <v>1641-7654320-72</v>
      </c>
      <c r="M54" t="str">
        <f t="shared" si="3"/>
        <v>Apr</v>
      </c>
      <c r="N54" t="str">
        <f t="shared" si="4"/>
        <v>228246</v>
      </c>
      <c r="O54" t="str">
        <f t="shared" si="5"/>
        <v>Sydney</v>
      </c>
      <c r="P54" t="str">
        <f t="shared" si="6"/>
        <v>INV</v>
      </c>
      <c r="Q54" s="1">
        <f t="shared" si="7"/>
        <v>138.6</v>
      </c>
      <c r="R54" s="12">
        <f t="shared" si="8"/>
        <v>43935</v>
      </c>
      <c r="S54" s="12">
        <f t="shared" si="9"/>
        <v>43948</v>
      </c>
    </row>
    <row r="55" spans="1:19" x14ac:dyDescent="0.3">
      <c r="A55" s="20">
        <v>24819</v>
      </c>
      <c r="B55" s="20">
        <v>1</v>
      </c>
      <c r="C55" s="21" t="s">
        <v>34</v>
      </c>
      <c r="D55" s="21" t="s">
        <v>61</v>
      </c>
      <c r="E55" s="20" t="s">
        <v>13</v>
      </c>
      <c r="F55" s="20" t="s">
        <v>187</v>
      </c>
      <c r="G55" s="20" t="s">
        <v>188</v>
      </c>
      <c r="H55" s="20">
        <v>2554</v>
      </c>
      <c r="I55" s="20">
        <v>4551221</v>
      </c>
      <c r="J55" s="20">
        <v>33</v>
      </c>
      <c r="K55" t="str">
        <f t="shared" si="1"/>
        <v>24819_1</v>
      </c>
      <c r="L55" t="str">
        <f t="shared" si="2"/>
        <v>2554-4551221-33</v>
      </c>
      <c r="M55" t="str">
        <f t="shared" si="3"/>
        <v>Mar</v>
      </c>
      <c r="N55" t="str">
        <f t="shared" si="4"/>
        <v>314876</v>
      </c>
      <c r="O55" t="str">
        <f t="shared" si="5"/>
        <v>Melbourne</v>
      </c>
      <c r="P55" t="str">
        <f t="shared" si="6"/>
        <v>INV</v>
      </c>
      <c r="Q55" s="1">
        <f t="shared" si="7"/>
        <v>417.12</v>
      </c>
      <c r="R55" s="12">
        <f t="shared" si="8"/>
        <v>43914</v>
      </c>
      <c r="S55" s="12">
        <f t="shared" si="9"/>
        <v>43928</v>
      </c>
    </row>
    <row r="56" spans="1:19" x14ac:dyDescent="0.3">
      <c r="A56" s="20">
        <v>24822</v>
      </c>
      <c r="B56" s="20">
        <v>1</v>
      </c>
      <c r="C56" s="21" t="s">
        <v>44</v>
      </c>
      <c r="D56" s="21" t="s">
        <v>71</v>
      </c>
      <c r="E56" s="20" t="s">
        <v>13</v>
      </c>
      <c r="F56" s="20" t="s">
        <v>189</v>
      </c>
      <c r="G56" s="20" t="s">
        <v>190</v>
      </c>
      <c r="H56" s="20">
        <v>1641</v>
      </c>
      <c r="I56" s="20">
        <v>7654320</v>
      </c>
      <c r="J56" s="20">
        <v>72</v>
      </c>
      <c r="K56" t="str">
        <f t="shared" si="1"/>
        <v>24822_1</v>
      </c>
      <c r="L56" t="str">
        <f t="shared" si="2"/>
        <v>1641-7654320-72</v>
      </c>
      <c r="M56" t="str">
        <f t="shared" si="3"/>
        <v>Mar</v>
      </c>
      <c r="N56" t="str">
        <f t="shared" si="4"/>
        <v>223602</v>
      </c>
      <c r="O56" t="str">
        <f t="shared" si="5"/>
        <v>Sydney</v>
      </c>
      <c r="P56" t="str">
        <f t="shared" si="6"/>
        <v>INV</v>
      </c>
      <c r="Q56" s="1">
        <f t="shared" si="7"/>
        <v>422.73</v>
      </c>
      <c r="R56" s="12">
        <f t="shared" si="8"/>
        <v>43913</v>
      </c>
      <c r="S56" s="12">
        <f t="shared" si="9"/>
        <v>43939</v>
      </c>
    </row>
    <row r="57" spans="1:19" x14ac:dyDescent="0.3">
      <c r="A57" s="20">
        <v>24824</v>
      </c>
      <c r="B57" s="20">
        <v>1</v>
      </c>
      <c r="C57" s="21" t="s">
        <v>68</v>
      </c>
      <c r="D57" s="21" t="s">
        <v>165</v>
      </c>
      <c r="E57" s="20" t="s">
        <v>13</v>
      </c>
      <c r="F57" s="20" t="s">
        <v>191</v>
      </c>
      <c r="G57" s="20" t="s">
        <v>192</v>
      </c>
      <c r="H57" s="20">
        <v>2554</v>
      </c>
      <c r="I57" s="20">
        <v>4551221</v>
      </c>
      <c r="J57" s="20">
        <v>33</v>
      </c>
      <c r="K57" t="str">
        <f t="shared" si="1"/>
        <v>24824_1</v>
      </c>
      <c r="L57" t="str">
        <f t="shared" si="2"/>
        <v>2554-4551221-33</v>
      </c>
      <c r="M57" t="str">
        <f t="shared" si="3"/>
        <v>Mar</v>
      </c>
      <c r="N57" t="str">
        <f t="shared" si="4"/>
        <v>319833</v>
      </c>
      <c r="O57" t="str">
        <f t="shared" si="5"/>
        <v>Melbourne</v>
      </c>
      <c r="P57" t="str">
        <f t="shared" si="6"/>
        <v>INV</v>
      </c>
      <c r="Q57" s="1">
        <f t="shared" si="7"/>
        <v>1061.94</v>
      </c>
      <c r="R57" s="12">
        <f t="shared" si="8"/>
        <v>43908</v>
      </c>
      <c r="S57" s="12">
        <f t="shared" si="9"/>
        <v>43935</v>
      </c>
    </row>
    <row r="58" spans="1:19" x14ac:dyDescent="0.3">
      <c r="A58" s="20">
        <v>24825</v>
      </c>
      <c r="B58" s="20">
        <v>1</v>
      </c>
      <c r="C58" s="21" t="s">
        <v>33</v>
      </c>
      <c r="D58" s="21" t="s">
        <v>39</v>
      </c>
      <c r="E58" s="20" t="s">
        <v>13</v>
      </c>
      <c r="F58" s="20" t="s">
        <v>193</v>
      </c>
      <c r="G58" s="20" t="s">
        <v>194</v>
      </c>
      <c r="H58" s="20">
        <v>2554</v>
      </c>
      <c r="I58" s="20">
        <v>4551221</v>
      </c>
      <c r="J58" s="20">
        <v>33</v>
      </c>
      <c r="K58" t="str">
        <f t="shared" si="1"/>
        <v>24825_1</v>
      </c>
      <c r="L58" t="str">
        <f t="shared" si="2"/>
        <v>2554-4551221-33</v>
      </c>
      <c r="M58" t="str">
        <f t="shared" si="3"/>
        <v>Mar</v>
      </c>
      <c r="N58" t="str">
        <f t="shared" si="4"/>
        <v>310345</v>
      </c>
      <c r="O58" t="str">
        <f t="shared" si="5"/>
        <v>Melbourne</v>
      </c>
      <c r="P58" t="str">
        <f t="shared" si="6"/>
        <v>INV</v>
      </c>
      <c r="Q58" s="1">
        <f t="shared" si="7"/>
        <v>602.58000000000004</v>
      </c>
      <c r="R58" s="12">
        <f t="shared" si="8"/>
        <v>43912</v>
      </c>
      <c r="S58" s="12">
        <f t="shared" si="9"/>
        <v>43927</v>
      </c>
    </row>
    <row r="59" spans="1:19" x14ac:dyDescent="0.3">
      <c r="A59" s="20">
        <v>24830</v>
      </c>
      <c r="B59" s="20">
        <v>1</v>
      </c>
      <c r="C59" s="21" t="s">
        <v>83</v>
      </c>
      <c r="D59" s="21" t="s">
        <v>33</v>
      </c>
      <c r="E59" s="20" t="s">
        <v>13</v>
      </c>
      <c r="F59" s="20" t="s">
        <v>195</v>
      </c>
      <c r="G59" s="20" t="s">
        <v>196</v>
      </c>
      <c r="H59" s="20">
        <v>2554</v>
      </c>
      <c r="I59" s="20">
        <v>4551221</v>
      </c>
      <c r="J59" s="20">
        <v>33</v>
      </c>
      <c r="K59" t="str">
        <f t="shared" si="1"/>
        <v>24830_1</v>
      </c>
      <c r="L59" t="str">
        <f t="shared" si="2"/>
        <v>2554-4551221-33</v>
      </c>
      <c r="M59" t="str">
        <f t="shared" si="3"/>
        <v>Apr</v>
      </c>
      <c r="N59" t="str">
        <f t="shared" si="4"/>
        <v>317142</v>
      </c>
      <c r="O59" t="str">
        <f t="shared" si="5"/>
        <v>Melbourne</v>
      </c>
      <c r="P59" t="str">
        <f t="shared" si="6"/>
        <v>INV</v>
      </c>
      <c r="Q59" s="1">
        <f t="shared" si="7"/>
        <v>132.66</v>
      </c>
      <c r="R59" s="12">
        <f t="shared" si="8"/>
        <v>43927</v>
      </c>
      <c r="S59" s="12">
        <f t="shared" si="9"/>
        <v>43951</v>
      </c>
    </row>
    <row r="60" spans="1:19" x14ac:dyDescent="0.3">
      <c r="A60" s="20">
        <v>24831</v>
      </c>
      <c r="B60" s="20">
        <v>1</v>
      </c>
      <c r="C60" s="21" t="s">
        <v>32</v>
      </c>
      <c r="D60" s="21" t="s">
        <v>52</v>
      </c>
      <c r="E60" s="20" t="s">
        <v>13</v>
      </c>
      <c r="F60" s="20" t="s">
        <v>197</v>
      </c>
      <c r="G60" s="20" t="s">
        <v>198</v>
      </c>
      <c r="H60" s="20">
        <v>2554</v>
      </c>
      <c r="I60" s="20">
        <v>4551221</v>
      </c>
      <c r="J60" s="20">
        <v>33</v>
      </c>
      <c r="K60" t="str">
        <f t="shared" si="1"/>
        <v>24831_1</v>
      </c>
      <c r="L60" t="str">
        <f t="shared" si="2"/>
        <v>2554-4551221-33</v>
      </c>
      <c r="M60" t="str">
        <f t="shared" si="3"/>
        <v>Mar</v>
      </c>
      <c r="N60" t="str">
        <f t="shared" si="4"/>
        <v>313747</v>
      </c>
      <c r="O60" t="str">
        <f t="shared" si="5"/>
        <v>Melbourne</v>
      </c>
      <c r="P60" t="str">
        <f t="shared" si="6"/>
        <v>INV</v>
      </c>
      <c r="Q60" s="1">
        <f t="shared" si="7"/>
        <v>56.43</v>
      </c>
      <c r="R60" s="12">
        <f t="shared" si="8"/>
        <v>43896</v>
      </c>
      <c r="S60" s="12">
        <f t="shared" si="9"/>
        <v>43925</v>
      </c>
    </row>
    <row r="61" spans="1:19" x14ac:dyDescent="0.3">
      <c r="A61" s="20">
        <v>24833</v>
      </c>
      <c r="B61" s="20">
        <v>1</v>
      </c>
      <c r="C61" s="21" t="s">
        <v>28</v>
      </c>
      <c r="D61" s="21" t="s">
        <v>58</v>
      </c>
      <c r="E61" s="20" t="s">
        <v>13</v>
      </c>
      <c r="F61" s="20" t="s">
        <v>199</v>
      </c>
      <c r="G61" s="20" t="s">
        <v>200</v>
      </c>
      <c r="H61" s="20">
        <v>1641</v>
      </c>
      <c r="I61" s="20">
        <v>7654320</v>
      </c>
      <c r="J61" s="20">
        <v>72</v>
      </c>
      <c r="K61" t="str">
        <f t="shared" si="1"/>
        <v>24833_1</v>
      </c>
      <c r="L61" t="str">
        <f t="shared" si="2"/>
        <v>1641-7654320-72</v>
      </c>
      <c r="M61" t="str">
        <f t="shared" si="3"/>
        <v>Feb</v>
      </c>
      <c r="N61" t="str">
        <f t="shared" si="4"/>
        <v>234966</v>
      </c>
      <c r="O61" t="str">
        <f t="shared" si="5"/>
        <v>Sydney</v>
      </c>
      <c r="P61" t="str">
        <f t="shared" si="6"/>
        <v>INV</v>
      </c>
      <c r="Q61" s="1">
        <f t="shared" si="7"/>
        <v>511.83</v>
      </c>
      <c r="R61" s="12">
        <f t="shared" si="8"/>
        <v>43881</v>
      </c>
      <c r="S61" s="12">
        <f t="shared" si="9"/>
        <v>43926</v>
      </c>
    </row>
    <row r="62" spans="1:19" x14ac:dyDescent="0.3">
      <c r="A62" s="20">
        <v>24837</v>
      </c>
      <c r="B62" s="20">
        <v>1</v>
      </c>
      <c r="C62" s="21" t="s">
        <v>53</v>
      </c>
      <c r="D62" s="21" t="s">
        <v>72</v>
      </c>
      <c r="E62" s="20" t="s">
        <v>13</v>
      </c>
      <c r="F62" s="20" t="s">
        <v>201</v>
      </c>
      <c r="G62" s="20" t="s">
        <v>202</v>
      </c>
      <c r="H62" s="20">
        <v>1641</v>
      </c>
      <c r="I62" s="20">
        <v>7654320</v>
      </c>
      <c r="J62" s="20">
        <v>72</v>
      </c>
      <c r="K62" t="str">
        <f t="shared" si="1"/>
        <v>24837_1</v>
      </c>
      <c r="L62" t="str">
        <f t="shared" si="2"/>
        <v>1641-7654320-72</v>
      </c>
      <c r="M62" t="str">
        <f t="shared" si="3"/>
        <v>Mar</v>
      </c>
      <c r="N62" t="str">
        <f t="shared" si="4"/>
        <v>215639</v>
      </c>
      <c r="O62" t="str">
        <f t="shared" si="5"/>
        <v>Sydney</v>
      </c>
      <c r="P62" t="str">
        <f t="shared" si="6"/>
        <v>INV</v>
      </c>
      <c r="Q62" s="1">
        <f t="shared" si="7"/>
        <v>361.02</v>
      </c>
      <c r="R62" s="12">
        <f t="shared" si="8"/>
        <v>43916</v>
      </c>
      <c r="S62" s="12">
        <f t="shared" si="9"/>
        <v>43929</v>
      </c>
    </row>
    <row r="63" spans="1:19" x14ac:dyDescent="0.3">
      <c r="A63" s="20">
        <v>24838</v>
      </c>
      <c r="B63" s="20">
        <v>1</v>
      </c>
      <c r="C63" s="21" t="s">
        <v>89</v>
      </c>
      <c r="D63" s="21" t="s">
        <v>51</v>
      </c>
      <c r="E63" s="20" t="s">
        <v>13</v>
      </c>
      <c r="F63" s="20" t="s">
        <v>203</v>
      </c>
      <c r="G63" s="20" t="s">
        <v>204</v>
      </c>
      <c r="H63" s="20">
        <v>2554</v>
      </c>
      <c r="I63" s="20">
        <v>4551221</v>
      </c>
      <c r="J63" s="20">
        <v>33</v>
      </c>
      <c r="K63" t="str">
        <f t="shared" si="1"/>
        <v>24838_1</v>
      </c>
      <c r="L63" t="str">
        <f t="shared" si="2"/>
        <v>2554-4551221-33</v>
      </c>
      <c r="M63" t="str">
        <f t="shared" si="3"/>
        <v>Apr</v>
      </c>
      <c r="N63" t="str">
        <f t="shared" si="4"/>
        <v>328536</v>
      </c>
      <c r="O63" t="str">
        <f t="shared" si="5"/>
        <v>Melbourne</v>
      </c>
      <c r="P63" t="str">
        <f t="shared" si="6"/>
        <v>INV</v>
      </c>
      <c r="Q63" s="1">
        <f t="shared" si="7"/>
        <v>668.25</v>
      </c>
      <c r="R63" s="12">
        <f t="shared" si="8"/>
        <v>43932</v>
      </c>
      <c r="S63" s="12">
        <f t="shared" si="9"/>
        <v>43948</v>
      </c>
    </row>
    <row r="64" spans="1:19" x14ac:dyDescent="0.3">
      <c r="A64" s="20">
        <v>24842</v>
      </c>
      <c r="B64" s="20">
        <v>1</v>
      </c>
      <c r="C64" s="21" t="s">
        <v>45</v>
      </c>
      <c r="D64" s="21" t="s">
        <v>61</v>
      </c>
      <c r="E64" s="20" t="s">
        <v>13</v>
      </c>
      <c r="F64" s="20" t="s">
        <v>43</v>
      </c>
      <c r="G64" s="20" t="s">
        <v>205</v>
      </c>
      <c r="H64" s="20">
        <v>1641</v>
      </c>
      <c r="I64" s="20">
        <v>7654320</v>
      </c>
      <c r="J64" s="20">
        <v>72</v>
      </c>
      <c r="K64" t="str">
        <f t="shared" si="1"/>
        <v>24842_1</v>
      </c>
      <c r="L64" t="str">
        <f t="shared" si="2"/>
        <v>1641-7654320-72</v>
      </c>
      <c r="M64" t="str">
        <f t="shared" si="3"/>
        <v>Mar</v>
      </c>
      <c r="N64" t="str">
        <f t="shared" si="4"/>
        <v>210023</v>
      </c>
      <c r="O64" t="str">
        <f t="shared" si="5"/>
        <v>Sydney</v>
      </c>
      <c r="P64" t="str">
        <f t="shared" si="6"/>
        <v>INV</v>
      </c>
      <c r="Q64" s="1">
        <f t="shared" si="7"/>
        <v>126.72</v>
      </c>
      <c r="R64" s="12">
        <f t="shared" si="8"/>
        <v>43914</v>
      </c>
      <c r="S64" s="12">
        <f t="shared" si="9"/>
        <v>43933</v>
      </c>
    </row>
    <row r="65" spans="1:19" x14ac:dyDescent="0.3">
      <c r="A65" s="20">
        <v>24847</v>
      </c>
      <c r="B65" s="20">
        <v>1</v>
      </c>
      <c r="C65" s="21" t="s">
        <v>56</v>
      </c>
      <c r="D65" s="21" t="s">
        <v>38</v>
      </c>
      <c r="E65" s="20" t="s">
        <v>13</v>
      </c>
      <c r="F65" s="20" t="s">
        <v>206</v>
      </c>
      <c r="G65" s="20" t="s">
        <v>207</v>
      </c>
      <c r="H65" s="20">
        <v>2554</v>
      </c>
      <c r="I65" s="20">
        <v>4551221</v>
      </c>
      <c r="J65" s="20">
        <v>33</v>
      </c>
      <c r="K65" t="str">
        <f t="shared" si="1"/>
        <v>24847_1</v>
      </c>
      <c r="L65" t="str">
        <f t="shared" si="2"/>
        <v>2554-4551221-33</v>
      </c>
      <c r="M65" t="str">
        <f t="shared" si="3"/>
        <v>Mar</v>
      </c>
      <c r="N65" t="str">
        <f t="shared" si="4"/>
        <v>338938</v>
      </c>
      <c r="O65" t="str">
        <f t="shared" si="5"/>
        <v>Melbourne</v>
      </c>
      <c r="P65" t="str">
        <f t="shared" si="6"/>
        <v>INV</v>
      </c>
      <c r="Q65" s="1">
        <f t="shared" si="7"/>
        <v>1000.23</v>
      </c>
      <c r="R65" s="12">
        <f t="shared" si="8"/>
        <v>43905</v>
      </c>
      <c r="S65" s="12">
        <f t="shared" si="9"/>
        <v>43943</v>
      </c>
    </row>
    <row r="66" spans="1:19" x14ac:dyDescent="0.3">
      <c r="A66" s="20">
        <v>24851</v>
      </c>
      <c r="B66" s="20">
        <v>1</v>
      </c>
      <c r="C66" s="21" t="s">
        <v>44</v>
      </c>
      <c r="D66" s="21" t="s">
        <v>63</v>
      </c>
      <c r="E66" s="20" t="s">
        <v>13</v>
      </c>
      <c r="F66" s="20" t="s">
        <v>208</v>
      </c>
      <c r="G66" s="20" t="s">
        <v>209</v>
      </c>
      <c r="H66" s="20">
        <v>2554</v>
      </c>
      <c r="I66" s="20">
        <v>4551221</v>
      </c>
      <c r="J66" s="20">
        <v>33</v>
      </c>
      <c r="K66" t="str">
        <f t="shared" si="1"/>
        <v>24851_1</v>
      </c>
      <c r="L66" t="str">
        <f t="shared" si="2"/>
        <v>2554-4551221-33</v>
      </c>
      <c r="M66" t="str">
        <f t="shared" si="3"/>
        <v>Mar</v>
      </c>
      <c r="N66" t="str">
        <f t="shared" si="4"/>
        <v>320536</v>
      </c>
      <c r="O66" t="str">
        <f t="shared" si="5"/>
        <v>Melbourne</v>
      </c>
      <c r="P66" t="str">
        <f t="shared" si="6"/>
        <v>INV</v>
      </c>
      <c r="Q66" s="1">
        <f t="shared" si="7"/>
        <v>948.75</v>
      </c>
      <c r="R66" s="12">
        <f t="shared" si="8"/>
        <v>43918</v>
      </c>
      <c r="S66" s="12">
        <f t="shared" ref="S66:S85" si="10">DATE(2020,4,RIGHT(C66,2))</f>
        <v>43939</v>
      </c>
    </row>
    <row r="67" spans="1:19" x14ac:dyDescent="0.3">
      <c r="A67" s="20">
        <v>24854</v>
      </c>
      <c r="B67" s="20">
        <v>1</v>
      </c>
      <c r="C67" s="21" t="s">
        <v>48</v>
      </c>
      <c r="D67" s="21" t="s">
        <v>57</v>
      </c>
      <c r="E67" s="20" t="s">
        <v>13</v>
      </c>
      <c r="F67" s="20" t="s">
        <v>210</v>
      </c>
      <c r="G67" s="20" t="s">
        <v>211</v>
      </c>
      <c r="H67" s="20">
        <v>2554</v>
      </c>
      <c r="I67" s="20">
        <v>4551221</v>
      </c>
      <c r="J67" s="20">
        <v>33</v>
      </c>
      <c r="K67" t="str">
        <f t="shared" ref="K67:K85" si="11">CONCATENATE(A67,"_",B67)</f>
        <v>24854_1</v>
      </c>
      <c r="L67" t="str">
        <f t="shared" ref="L67:L85" si="12">H67&amp;"-"&amp;I67&amp;"-"&amp;J67</f>
        <v>2554-4551221-33</v>
      </c>
      <c r="M67" t="str">
        <f t="shared" ref="M67:M85" si="13">LEFT(D67,3)</f>
        <v>Mar</v>
      </c>
      <c r="N67" t="str">
        <f t="shared" ref="N67:N85" si="14">RIGHT(G67,6)</f>
        <v>322800</v>
      </c>
      <c r="O67" t="str">
        <f t="shared" ref="O67:O85" si="15">MID(G67,4,FIND("-",G67,4)-4)</f>
        <v>Melbourne</v>
      </c>
      <c r="P67" t="str">
        <f t="shared" ref="P67:P85" si="16">UPPER(TRIM(CLEAN(E67)))</f>
        <v>INV</v>
      </c>
      <c r="Q67" s="1">
        <f t="shared" ref="Q67:Q85" si="17">VALUE(SUBSTITUTE(SUBSTITUTE(F67,"S","$"),CHAR(160),""))</f>
        <v>446.49</v>
      </c>
      <c r="R67" s="12">
        <f t="shared" ref="R67:R85" si="18">DATE(2020,MONTH(1&amp;M67),RIGHT(D67,2))</f>
        <v>43904</v>
      </c>
      <c r="S67" s="12">
        <f t="shared" si="10"/>
        <v>43937</v>
      </c>
    </row>
    <row r="68" spans="1:19" x14ac:dyDescent="0.3">
      <c r="A68" s="20">
        <v>24857</v>
      </c>
      <c r="B68" s="20">
        <v>1</v>
      </c>
      <c r="C68" s="21" t="s">
        <v>37</v>
      </c>
      <c r="D68" s="21" t="s">
        <v>45</v>
      </c>
      <c r="E68" s="20" t="s">
        <v>13</v>
      </c>
      <c r="F68" s="20" t="s">
        <v>212</v>
      </c>
      <c r="G68" s="20" t="s">
        <v>213</v>
      </c>
      <c r="H68" s="20">
        <v>2554</v>
      </c>
      <c r="I68" s="20">
        <v>4551221</v>
      </c>
      <c r="J68" s="20">
        <v>33</v>
      </c>
      <c r="K68" t="str">
        <f t="shared" si="11"/>
        <v>24857_1</v>
      </c>
      <c r="L68" t="str">
        <f t="shared" si="12"/>
        <v>2554-4551221-33</v>
      </c>
      <c r="M68" t="str">
        <f t="shared" si="13"/>
        <v>Apr</v>
      </c>
      <c r="N68" t="str">
        <f t="shared" si="14"/>
        <v>321358</v>
      </c>
      <c r="O68" t="str">
        <f t="shared" si="15"/>
        <v>Melbourne</v>
      </c>
      <c r="P68" t="str">
        <f t="shared" si="16"/>
        <v>INV</v>
      </c>
      <c r="Q68" s="1">
        <f t="shared" si="17"/>
        <v>242.22</v>
      </c>
      <c r="R68" s="12">
        <f t="shared" si="18"/>
        <v>43933</v>
      </c>
      <c r="S68" s="12">
        <f t="shared" si="10"/>
        <v>43940</v>
      </c>
    </row>
    <row r="69" spans="1:19" x14ac:dyDescent="0.3">
      <c r="A69" s="20">
        <v>24861</v>
      </c>
      <c r="B69" s="20">
        <v>1</v>
      </c>
      <c r="C69" s="21" t="s">
        <v>53</v>
      </c>
      <c r="D69" s="21" t="s">
        <v>214</v>
      </c>
      <c r="E69" s="20" t="s">
        <v>13</v>
      </c>
      <c r="F69" s="20" t="s">
        <v>215</v>
      </c>
      <c r="G69" s="20" t="s">
        <v>216</v>
      </c>
      <c r="H69" s="20">
        <v>2554</v>
      </c>
      <c r="I69" s="20">
        <v>4551221</v>
      </c>
      <c r="J69" s="20">
        <v>33</v>
      </c>
      <c r="K69" t="str">
        <f t="shared" si="11"/>
        <v>24861_1</v>
      </c>
      <c r="L69" t="str">
        <f t="shared" si="12"/>
        <v>2554-4551221-33</v>
      </c>
      <c r="M69" t="str">
        <f t="shared" si="13"/>
        <v>Feb</v>
      </c>
      <c r="N69" t="str">
        <f t="shared" si="14"/>
        <v>316190</v>
      </c>
      <c r="O69" t="str">
        <f t="shared" si="15"/>
        <v>Melbourne</v>
      </c>
      <c r="P69" t="str">
        <f t="shared" si="16"/>
        <v>INV</v>
      </c>
      <c r="Q69" s="1">
        <f t="shared" si="17"/>
        <v>600.6</v>
      </c>
      <c r="R69" s="12">
        <f t="shared" si="18"/>
        <v>43887</v>
      </c>
      <c r="S69" s="12">
        <f t="shared" si="10"/>
        <v>43929</v>
      </c>
    </row>
    <row r="70" spans="1:19" x14ac:dyDescent="0.3">
      <c r="A70" s="20">
        <v>24863</v>
      </c>
      <c r="B70" s="20">
        <v>1</v>
      </c>
      <c r="C70" s="21" t="s">
        <v>50</v>
      </c>
      <c r="D70" s="21" t="s">
        <v>38</v>
      </c>
      <c r="E70" s="20" t="s">
        <v>13</v>
      </c>
      <c r="F70" s="20" t="s">
        <v>217</v>
      </c>
      <c r="G70" s="20" t="s">
        <v>218</v>
      </c>
      <c r="H70" s="20">
        <v>2554</v>
      </c>
      <c r="I70" s="20">
        <v>4551221</v>
      </c>
      <c r="J70" s="20">
        <v>33</v>
      </c>
      <c r="K70" t="str">
        <f t="shared" si="11"/>
        <v>24863_1</v>
      </c>
      <c r="L70" t="str">
        <f t="shared" si="12"/>
        <v>2554-4551221-33</v>
      </c>
      <c r="M70" t="str">
        <f t="shared" si="13"/>
        <v>Mar</v>
      </c>
      <c r="N70" t="str">
        <f t="shared" si="14"/>
        <v>327938</v>
      </c>
      <c r="O70" t="str">
        <f t="shared" si="15"/>
        <v>Melbourne</v>
      </c>
      <c r="P70" t="str">
        <f t="shared" si="16"/>
        <v>INV</v>
      </c>
      <c r="Q70" s="1">
        <f t="shared" si="17"/>
        <v>546.80999999999995</v>
      </c>
      <c r="R70" s="12">
        <f t="shared" si="18"/>
        <v>43905</v>
      </c>
      <c r="S70" s="12">
        <f t="shared" si="10"/>
        <v>43942</v>
      </c>
    </row>
    <row r="71" spans="1:19" x14ac:dyDescent="0.3">
      <c r="A71" s="20">
        <v>24866</v>
      </c>
      <c r="B71" s="20">
        <v>1</v>
      </c>
      <c r="C71" s="21" t="s">
        <v>30</v>
      </c>
      <c r="D71" s="21" t="s">
        <v>41</v>
      </c>
      <c r="E71" s="20" t="s">
        <v>13</v>
      </c>
      <c r="F71" s="20" t="s">
        <v>219</v>
      </c>
      <c r="G71" s="20" t="s">
        <v>220</v>
      </c>
      <c r="H71" s="20">
        <v>1641</v>
      </c>
      <c r="I71" s="20">
        <v>7654320</v>
      </c>
      <c r="J71" s="20">
        <v>72</v>
      </c>
      <c r="K71" t="str">
        <f t="shared" si="11"/>
        <v>24866_1</v>
      </c>
      <c r="L71" t="str">
        <f t="shared" si="12"/>
        <v>1641-7654320-72</v>
      </c>
      <c r="M71" t="str">
        <f t="shared" si="13"/>
        <v>Mar</v>
      </c>
      <c r="N71" t="str">
        <f t="shared" si="14"/>
        <v>234487</v>
      </c>
      <c r="O71" t="str">
        <f t="shared" si="15"/>
        <v>Sydney</v>
      </c>
      <c r="P71" t="str">
        <f t="shared" si="16"/>
        <v>INV</v>
      </c>
      <c r="Q71" s="1">
        <f t="shared" si="17"/>
        <v>840.51</v>
      </c>
      <c r="R71" s="12">
        <f t="shared" si="18"/>
        <v>43900</v>
      </c>
      <c r="S71" s="12">
        <f t="shared" si="10"/>
        <v>43931</v>
      </c>
    </row>
    <row r="72" spans="1:19" x14ac:dyDescent="0.3">
      <c r="A72" s="20">
        <v>24870</v>
      </c>
      <c r="B72" s="20">
        <v>1</v>
      </c>
      <c r="C72" s="21" t="s">
        <v>83</v>
      </c>
      <c r="D72" s="21" t="s">
        <v>46</v>
      </c>
      <c r="E72" s="20" t="s">
        <v>13</v>
      </c>
      <c r="F72" s="20" t="s">
        <v>70</v>
      </c>
      <c r="G72" s="20" t="s">
        <v>221</v>
      </c>
      <c r="H72" s="20">
        <v>1641</v>
      </c>
      <c r="I72" s="20">
        <v>7654320</v>
      </c>
      <c r="J72" s="20">
        <v>72</v>
      </c>
      <c r="K72" t="str">
        <f t="shared" si="11"/>
        <v>24870_1</v>
      </c>
      <c r="L72" t="str">
        <f t="shared" si="12"/>
        <v>1641-7654320-72</v>
      </c>
      <c r="M72" t="str">
        <f t="shared" si="13"/>
        <v>Apr</v>
      </c>
      <c r="N72" t="str">
        <f t="shared" si="14"/>
        <v>231274</v>
      </c>
      <c r="O72" t="str">
        <f t="shared" si="15"/>
        <v>Sydney</v>
      </c>
      <c r="P72" t="str">
        <f t="shared" si="16"/>
        <v>INV</v>
      </c>
      <c r="Q72" s="1">
        <f t="shared" si="17"/>
        <v>603.57000000000005</v>
      </c>
      <c r="R72" s="12">
        <f t="shared" si="18"/>
        <v>43923</v>
      </c>
      <c r="S72" s="12">
        <f t="shared" si="10"/>
        <v>43951</v>
      </c>
    </row>
    <row r="73" spans="1:19" x14ac:dyDescent="0.3">
      <c r="A73" s="20">
        <v>24873</v>
      </c>
      <c r="B73" s="20">
        <v>1</v>
      </c>
      <c r="C73" s="21" t="s">
        <v>64</v>
      </c>
      <c r="D73" s="21" t="s">
        <v>61</v>
      </c>
      <c r="E73" s="20" t="s">
        <v>13</v>
      </c>
      <c r="F73" s="20" t="s">
        <v>222</v>
      </c>
      <c r="G73" s="20" t="s">
        <v>223</v>
      </c>
      <c r="H73" s="20">
        <v>1641</v>
      </c>
      <c r="I73" s="20">
        <v>7654320</v>
      </c>
      <c r="J73" s="20">
        <v>72</v>
      </c>
      <c r="K73" t="str">
        <f t="shared" si="11"/>
        <v>24873_1</v>
      </c>
      <c r="L73" t="str">
        <f t="shared" si="12"/>
        <v>1641-7654320-72</v>
      </c>
      <c r="M73" t="str">
        <f t="shared" si="13"/>
        <v>Mar</v>
      </c>
      <c r="N73" t="str">
        <f t="shared" si="14"/>
        <v>224955</v>
      </c>
      <c r="O73" t="str">
        <f t="shared" si="15"/>
        <v>Sydney</v>
      </c>
      <c r="P73" t="str">
        <f t="shared" si="16"/>
        <v>INV</v>
      </c>
      <c r="Q73" s="1">
        <f t="shared" si="17"/>
        <v>816.75</v>
      </c>
      <c r="R73" s="12">
        <f t="shared" si="18"/>
        <v>43914</v>
      </c>
      <c r="S73" s="12">
        <f t="shared" si="10"/>
        <v>43944</v>
      </c>
    </row>
    <row r="74" spans="1:19" x14ac:dyDescent="0.3">
      <c r="A74" s="20">
        <v>24875</v>
      </c>
      <c r="B74" s="20">
        <v>1</v>
      </c>
      <c r="C74" s="21" t="s">
        <v>83</v>
      </c>
      <c r="D74" s="21" t="s">
        <v>39</v>
      </c>
      <c r="E74" s="20" t="s">
        <v>13</v>
      </c>
      <c r="F74" s="20" t="s">
        <v>224</v>
      </c>
      <c r="G74" s="20" t="s">
        <v>225</v>
      </c>
      <c r="H74" s="20">
        <v>1641</v>
      </c>
      <c r="I74" s="20">
        <v>7654320</v>
      </c>
      <c r="J74" s="20">
        <v>72</v>
      </c>
      <c r="K74" t="str">
        <f t="shared" si="11"/>
        <v>24875_1</v>
      </c>
      <c r="L74" t="str">
        <f t="shared" si="12"/>
        <v>1641-7654320-72</v>
      </c>
      <c r="M74" t="str">
        <f t="shared" si="13"/>
        <v>Mar</v>
      </c>
      <c r="N74" t="str">
        <f t="shared" si="14"/>
        <v>217275</v>
      </c>
      <c r="O74" t="str">
        <f t="shared" si="15"/>
        <v>Sydney</v>
      </c>
      <c r="P74" t="str">
        <f t="shared" si="16"/>
        <v>INV</v>
      </c>
      <c r="Q74" s="1">
        <f t="shared" si="17"/>
        <v>1065.57</v>
      </c>
      <c r="R74" s="12">
        <f t="shared" si="18"/>
        <v>43912</v>
      </c>
      <c r="S74" s="12">
        <f t="shared" si="10"/>
        <v>43951</v>
      </c>
    </row>
    <row r="75" spans="1:19" x14ac:dyDescent="0.3">
      <c r="A75" s="20">
        <v>24876</v>
      </c>
      <c r="B75" s="20">
        <v>1</v>
      </c>
      <c r="C75" s="21" t="s">
        <v>32</v>
      </c>
      <c r="D75" s="21" t="s">
        <v>47</v>
      </c>
      <c r="E75" s="20" t="s">
        <v>13</v>
      </c>
      <c r="F75" s="20" t="s">
        <v>226</v>
      </c>
      <c r="G75" s="20" t="s">
        <v>227</v>
      </c>
      <c r="H75" s="20">
        <v>1641</v>
      </c>
      <c r="I75" s="20">
        <v>7654320</v>
      </c>
      <c r="J75" s="20">
        <v>72</v>
      </c>
      <c r="K75" t="str">
        <f t="shared" si="11"/>
        <v>24876_1</v>
      </c>
      <c r="L75" t="str">
        <f t="shared" si="12"/>
        <v>1641-7654320-72</v>
      </c>
      <c r="M75" t="str">
        <f t="shared" si="13"/>
        <v>Mar</v>
      </c>
      <c r="N75" t="str">
        <f t="shared" si="14"/>
        <v>226240</v>
      </c>
      <c r="O75" t="str">
        <f t="shared" si="15"/>
        <v>Sydney</v>
      </c>
      <c r="P75" t="str">
        <f t="shared" si="16"/>
        <v>INV</v>
      </c>
      <c r="Q75" s="1">
        <f t="shared" si="17"/>
        <v>523.38</v>
      </c>
      <c r="R75" s="12">
        <f t="shared" si="18"/>
        <v>43919</v>
      </c>
      <c r="S75" s="12">
        <f t="shared" si="10"/>
        <v>43925</v>
      </c>
    </row>
    <row r="76" spans="1:19" x14ac:dyDescent="0.3">
      <c r="A76" s="20">
        <v>24877</v>
      </c>
      <c r="B76" s="20">
        <v>1</v>
      </c>
      <c r="C76" s="21" t="s">
        <v>51</v>
      </c>
      <c r="D76" s="21" t="s">
        <v>108</v>
      </c>
      <c r="E76" s="20" t="s">
        <v>13</v>
      </c>
      <c r="F76" s="20" t="s">
        <v>228</v>
      </c>
      <c r="G76" s="20" t="s">
        <v>229</v>
      </c>
      <c r="H76" s="20">
        <v>2554</v>
      </c>
      <c r="I76" s="20">
        <v>4551221</v>
      </c>
      <c r="J76" s="20">
        <v>33</v>
      </c>
      <c r="K76" t="str">
        <f t="shared" si="11"/>
        <v>24877_1</v>
      </c>
      <c r="L76" t="str">
        <f t="shared" si="12"/>
        <v>2554-4551221-33</v>
      </c>
      <c r="M76" t="str">
        <f t="shared" si="13"/>
        <v>Feb</v>
      </c>
      <c r="N76" t="str">
        <f t="shared" si="14"/>
        <v>325643</v>
      </c>
      <c r="O76" t="str">
        <f t="shared" si="15"/>
        <v>Melbourne</v>
      </c>
      <c r="P76" t="str">
        <f t="shared" si="16"/>
        <v>INV</v>
      </c>
      <c r="Q76" s="1">
        <f t="shared" si="17"/>
        <v>650.42999999999995</v>
      </c>
      <c r="R76" s="12">
        <f t="shared" si="18"/>
        <v>43890</v>
      </c>
      <c r="S76" s="12">
        <f t="shared" si="10"/>
        <v>43932</v>
      </c>
    </row>
    <row r="77" spans="1:19" x14ac:dyDescent="0.3">
      <c r="A77" s="20">
        <v>24878</v>
      </c>
      <c r="B77" s="20">
        <v>1</v>
      </c>
      <c r="C77" s="21" t="s">
        <v>56</v>
      </c>
      <c r="D77" s="21" t="s">
        <v>24</v>
      </c>
      <c r="E77" s="20" t="s">
        <v>13</v>
      </c>
      <c r="F77" s="20" t="s">
        <v>230</v>
      </c>
      <c r="G77" s="20" t="s">
        <v>231</v>
      </c>
      <c r="H77" s="20">
        <v>2554</v>
      </c>
      <c r="I77" s="20">
        <v>4551221</v>
      </c>
      <c r="J77" s="20">
        <v>33</v>
      </c>
      <c r="K77" t="str">
        <f t="shared" si="11"/>
        <v>24878_1</v>
      </c>
      <c r="L77" t="str">
        <f t="shared" si="12"/>
        <v>2554-4551221-33</v>
      </c>
      <c r="M77" t="str">
        <f t="shared" si="13"/>
        <v>Apr</v>
      </c>
      <c r="N77" t="str">
        <f t="shared" si="14"/>
        <v>312800</v>
      </c>
      <c r="O77" t="str">
        <f t="shared" si="15"/>
        <v>Melbourne</v>
      </c>
      <c r="P77" t="str">
        <f t="shared" si="16"/>
        <v>INV</v>
      </c>
      <c r="Q77" s="1">
        <f t="shared" si="17"/>
        <v>809.49</v>
      </c>
      <c r="R77" s="12">
        <f t="shared" si="18"/>
        <v>43934</v>
      </c>
      <c r="S77" s="12">
        <f t="shared" si="10"/>
        <v>43943</v>
      </c>
    </row>
    <row r="78" spans="1:19" x14ac:dyDescent="0.3">
      <c r="A78" s="20">
        <v>24880</v>
      </c>
      <c r="B78" s="20">
        <v>1</v>
      </c>
      <c r="C78" s="21" t="s">
        <v>56</v>
      </c>
      <c r="D78" s="21" t="s">
        <v>27</v>
      </c>
      <c r="E78" s="20" t="s">
        <v>13</v>
      </c>
      <c r="F78" s="20" t="s">
        <v>232</v>
      </c>
      <c r="G78" s="20" t="s">
        <v>233</v>
      </c>
      <c r="H78" s="20">
        <v>2554</v>
      </c>
      <c r="I78" s="20">
        <v>4551221</v>
      </c>
      <c r="J78" s="20">
        <v>33</v>
      </c>
      <c r="K78" t="str">
        <f t="shared" si="11"/>
        <v>24880_1</v>
      </c>
      <c r="L78" t="str">
        <f t="shared" si="12"/>
        <v>2554-4551221-33</v>
      </c>
      <c r="M78" t="str">
        <f t="shared" si="13"/>
        <v>Mar</v>
      </c>
      <c r="N78" t="str">
        <f t="shared" si="14"/>
        <v>338807</v>
      </c>
      <c r="O78" t="str">
        <f t="shared" si="15"/>
        <v>Melbourne</v>
      </c>
      <c r="P78" t="str">
        <f t="shared" si="16"/>
        <v>INV</v>
      </c>
      <c r="Q78" s="1">
        <f t="shared" si="17"/>
        <v>424.38</v>
      </c>
      <c r="R78" s="12">
        <f t="shared" si="18"/>
        <v>43901</v>
      </c>
      <c r="S78" s="12">
        <f t="shared" si="10"/>
        <v>43943</v>
      </c>
    </row>
    <row r="79" spans="1:19" x14ac:dyDescent="0.3">
      <c r="A79" s="20">
        <v>24882</v>
      </c>
      <c r="B79" s="20">
        <v>1</v>
      </c>
      <c r="C79" s="21" t="s">
        <v>68</v>
      </c>
      <c r="D79" s="21" t="s">
        <v>45</v>
      </c>
      <c r="E79" s="20" t="s">
        <v>13</v>
      </c>
      <c r="F79" s="20" t="s">
        <v>234</v>
      </c>
      <c r="G79" s="20" t="s">
        <v>235</v>
      </c>
      <c r="H79" s="20">
        <v>1641</v>
      </c>
      <c r="I79" s="20">
        <v>7654320</v>
      </c>
      <c r="J79" s="20">
        <v>72</v>
      </c>
      <c r="K79" t="str">
        <f t="shared" si="11"/>
        <v>24882_1</v>
      </c>
      <c r="L79" t="str">
        <f t="shared" si="12"/>
        <v>1641-7654320-72</v>
      </c>
      <c r="M79" t="str">
        <f t="shared" si="13"/>
        <v>Apr</v>
      </c>
      <c r="N79" t="str">
        <f t="shared" si="14"/>
        <v>239476</v>
      </c>
      <c r="O79" t="str">
        <f t="shared" si="15"/>
        <v>Sydney</v>
      </c>
      <c r="P79" t="str">
        <f t="shared" si="16"/>
        <v>INV</v>
      </c>
      <c r="Q79" s="1">
        <f t="shared" si="17"/>
        <v>955.68</v>
      </c>
      <c r="R79" s="12">
        <f t="shared" si="18"/>
        <v>43933</v>
      </c>
      <c r="S79" s="12">
        <f t="shared" si="10"/>
        <v>43935</v>
      </c>
    </row>
    <row r="80" spans="1:19" x14ac:dyDescent="0.3">
      <c r="A80" s="20">
        <v>24885</v>
      </c>
      <c r="B80" s="20">
        <v>1</v>
      </c>
      <c r="C80" s="21" t="s">
        <v>236</v>
      </c>
      <c r="D80" s="21" t="s">
        <v>50</v>
      </c>
      <c r="E80" s="20" t="s">
        <v>13</v>
      </c>
      <c r="F80" s="20" t="s">
        <v>237</v>
      </c>
      <c r="G80" s="20" t="s">
        <v>238</v>
      </c>
      <c r="H80" s="20">
        <v>1641</v>
      </c>
      <c r="I80" s="20">
        <v>7654320</v>
      </c>
      <c r="J80" s="20">
        <v>72</v>
      </c>
      <c r="K80" t="str">
        <f t="shared" si="11"/>
        <v>24885_1</v>
      </c>
      <c r="L80" t="str">
        <f t="shared" si="12"/>
        <v>1641-7654320-72</v>
      </c>
      <c r="M80" t="str">
        <f t="shared" si="13"/>
        <v>Apr</v>
      </c>
      <c r="N80" t="str">
        <f t="shared" si="14"/>
        <v>213693</v>
      </c>
      <c r="O80" t="str">
        <f t="shared" si="15"/>
        <v>Sydney</v>
      </c>
      <c r="P80" t="str">
        <f t="shared" si="16"/>
        <v>INV</v>
      </c>
      <c r="Q80" s="1">
        <f t="shared" si="17"/>
        <v>764.28</v>
      </c>
      <c r="R80" s="12">
        <f t="shared" si="18"/>
        <v>43942</v>
      </c>
      <c r="S80" s="12">
        <f t="shared" si="10"/>
        <v>43950</v>
      </c>
    </row>
    <row r="81" spans="1:19" x14ac:dyDescent="0.3">
      <c r="A81" s="20">
        <v>24887</v>
      </c>
      <c r="B81" s="20">
        <v>1</v>
      </c>
      <c r="C81" s="21" t="s">
        <v>28</v>
      </c>
      <c r="D81" s="21" t="s">
        <v>29</v>
      </c>
      <c r="E81" s="20" t="s">
        <v>13</v>
      </c>
      <c r="F81" s="20" t="s">
        <v>239</v>
      </c>
      <c r="G81" s="20" t="s">
        <v>240</v>
      </c>
      <c r="H81" s="20">
        <v>1641</v>
      </c>
      <c r="I81" s="20">
        <v>7654320</v>
      </c>
      <c r="J81" s="20">
        <v>72</v>
      </c>
      <c r="K81" t="str">
        <f t="shared" si="11"/>
        <v>24887_1</v>
      </c>
      <c r="L81" t="str">
        <f t="shared" si="12"/>
        <v>1641-7654320-72</v>
      </c>
      <c r="M81" t="str">
        <f t="shared" si="13"/>
        <v>Mar</v>
      </c>
      <c r="N81" t="str">
        <f t="shared" si="14"/>
        <v>235040</v>
      </c>
      <c r="O81" t="str">
        <f t="shared" si="15"/>
        <v>Sydney</v>
      </c>
      <c r="P81" t="str">
        <f t="shared" si="16"/>
        <v>INV</v>
      </c>
      <c r="Q81" s="1">
        <f t="shared" si="17"/>
        <v>335.61</v>
      </c>
      <c r="R81" s="12">
        <f t="shared" si="18"/>
        <v>43897</v>
      </c>
      <c r="S81" s="12">
        <f t="shared" si="10"/>
        <v>43926</v>
      </c>
    </row>
    <row r="82" spans="1:19" x14ac:dyDescent="0.3">
      <c r="A82" s="20">
        <v>24891</v>
      </c>
      <c r="B82" s="20">
        <v>1</v>
      </c>
      <c r="C82" s="21" t="s">
        <v>37</v>
      </c>
      <c r="D82" s="21" t="s">
        <v>23</v>
      </c>
      <c r="E82" s="20" t="s">
        <v>13</v>
      </c>
      <c r="F82" s="20" t="s">
        <v>241</v>
      </c>
      <c r="G82" s="20" t="s">
        <v>242</v>
      </c>
      <c r="H82" s="20">
        <v>1641</v>
      </c>
      <c r="I82" s="20">
        <v>7654320</v>
      </c>
      <c r="J82" s="20">
        <v>72</v>
      </c>
      <c r="K82" t="str">
        <f t="shared" si="11"/>
        <v>24891_1</v>
      </c>
      <c r="L82" t="str">
        <f t="shared" si="12"/>
        <v>1641-7654320-72</v>
      </c>
      <c r="M82" t="str">
        <f t="shared" si="13"/>
        <v>Mar</v>
      </c>
      <c r="N82" t="str">
        <f t="shared" si="14"/>
        <v>211771</v>
      </c>
      <c r="O82" t="str">
        <f t="shared" si="15"/>
        <v>Sydney</v>
      </c>
      <c r="P82" t="str">
        <f t="shared" si="16"/>
        <v>INV</v>
      </c>
      <c r="Q82" s="1">
        <f t="shared" si="17"/>
        <v>763.29</v>
      </c>
      <c r="R82" s="12">
        <f t="shared" si="18"/>
        <v>43898</v>
      </c>
      <c r="S82" s="12">
        <f t="shared" si="10"/>
        <v>43940</v>
      </c>
    </row>
    <row r="83" spans="1:19" x14ac:dyDescent="0.3">
      <c r="A83" s="20">
        <v>24893</v>
      </c>
      <c r="B83" s="20">
        <v>1</v>
      </c>
      <c r="C83" s="21" t="s">
        <v>45</v>
      </c>
      <c r="D83" s="21" t="s">
        <v>47</v>
      </c>
      <c r="E83" s="20" t="s">
        <v>13</v>
      </c>
      <c r="F83" s="20" t="s">
        <v>243</v>
      </c>
      <c r="G83" s="20" t="s">
        <v>244</v>
      </c>
      <c r="H83" s="20">
        <v>2554</v>
      </c>
      <c r="I83" s="20">
        <v>4551221</v>
      </c>
      <c r="J83" s="20">
        <v>33</v>
      </c>
      <c r="K83" t="str">
        <f t="shared" si="11"/>
        <v>24893_1</v>
      </c>
      <c r="L83" t="str">
        <f t="shared" si="12"/>
        <v>2554-4551221-33</v>
      </c>
      <c r="M83" t="str">
        <f t="shared" si="13"/>
        <v>Mar</v>
      </c>
      <c r="N83" t="str">
        <f t="shared" si="14"/>
        <v>326543</v>
      </c>
      <c r="O83" t="str">
        <f t="shared" si="15"/>
        <v>Melbourne</v>
      </c>
      <c r="P83" t="str">
        <f t="shared" si="16"/>
        <v>INV</v>
      </c>
      <c r="Q83" s="1">
        <f t="shared" si="17"/>
        <v>446.16</v>
      </c>
      <c r="R83" s="12">
        <f t="shared" si="18"/>
        <v>43919</v>
      </c>
      <c r="S83" s="12">
        <f t="shared" si="10"/>
        <v>43933</v>
      </c>
    </row>
    <row r="84" spans="1:19" x14ac:dyDescent="0.3">
      <c r="A84" s="20">
        <v>24898</v>
      </c>
      <c r="B84" s="20">
        <v>1</v>
      </c>
      <c r="C84" s="21" t="s">
        <v>22</v>
      </c>
      <c r="D84" s="21" t="s">
        <v>23</v>
      </c>
      <c r="E84" s="20" t="s">
        <v>13</v>
      </c>
      <c r="F84" s="20" t="s">
        <v>245</v>
      </c>
      <c r="G84" s="20" t="s">
        <v>246</v>
      </c>
      <c r="H84" s="20">
        <v>2554</v>
      </c>
      <c r="I84" s="20">
        <v>4551221</v>
      </c>
      <c r="J84" s="20">
        <v>33</v>
      </c>
      <c r="K84" t="str">
        <f t="shared" si="11"/>
        <v>24898_1</v>
      </c>
      <c r="L84" t="str">
        <f t="shared" si="12"/>
        <v>2554-4551221-33</v>
      </c>
      <c r="M84" t="str">
        <f t="shared" si="13"/>
        <v>Mar</v>
      </c>
      <c r="N84" t="str">
        <f t="shared" si="14"/>
        <v>338553</v>
      </c>
      <c r="O84" t="str">
        <f t="shared" si="15"/>
        <v>Melbourne</v>
      </c>
      <c r="P84" t="str">
        <f t="shared" si="16"/>
        <v>INV</v>
      </c>
      <c r="Q84" s="1">
        <f t="shared" si="17"/>
        <v>1032.24</v>
      </c>
      <c r="R84" s="12">
        <f t="shared" si="18"/>
        <v>43898</v>
      </c>
      <c r="S84" s="12">
        <f t="shared" si="10"/>
        <v>43941</v>
      </c>
    </row>
    <row r="85" spans="1:19" x14ac:dyDescent="0.3">
      <c r="A85" s="20">
        <v>24902</v>
      </c>
      <c r="B85" s="20">
        <v>1</v>
      </c>
      <c r="C85" s="21" t="s">
        <v>45</v>
      </c>
      <c r="D85" s="21" t="s">
        <v>67</v>
      </c>
      <c r="E85" s="20" t="s">
        <v>13</v>
      </c>
      <c r="F85" s="20" t="s">
        <v>247</v>
      </c>
      <c r="G85" s="20" t="s">
        <v>248</v>
      </c>
      <c r="H85" s="20">
        <v>1641</v>
      </c>
      <c r="I85" s="20">
        <v>7654320</v>
      </c>
      <c r="J85" s="20">
        <v>72</v>
      </c>
      <c r="K85" t="str">
        <f t="shared" si="11"/>
        <v>24902_1</v>
      </c>
      <c r="L85" t="str">
        <f t="shared" si="12"/>
        <v>1641-7654320-72</v>
      </c>
      <c r="M85" t="str">
        <f t="shared" si="13"/>
        <v>Mar</v>
      </c>
      <c r="N85" t="str">
        <f t="shared" si="14"/>
        <v>213342</v>
      </c>
      <c r="O85" t="str">
        <f t="shared" si="15"/>
        <v>Sydney</v>
      </c>
      <c r="P85" t="str">
        <f t="shared" si="16"/>
        <v>INV</v>
      </c>
      <c r="Q85" s="1">
        <f t="shared" si="17"/>
        <v>533.28</v>
      </c>
      <c r="R85" s="12">
        <f t="shared" si="18"/>
        <v>43915</v>
      </c>
      <c r="S85" s="12">
        <f t="shared" si="10"/>
        <v>43933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N88"/>
  <sheetViews>
    <sheetView tabSelected="1" topLeftCell="J4" zoomScale="130" zoomScaleNormal="130" workbookViewId="0">
      <selection activeCell="W15" sqref="W15"/>
    </sheetView>
  </sheetViews>
  <sheetFormatPr defaultRowHeight="14.4" x14ac:dyDescent="0.3"/>
  <cols>
    <col min="1" max="1" width="13.109375" customWidth="1"/>
    <col min="2" max="2" width="14.109375" customWidth="1"/>
    <col min="3" max="3" width="13.21875" customWidth="1"/>
    <col min="4" max="4" width="13.77734375" style="2" bestFit="1" customWidth="1"/>
    <col min="5" max="5" width="13.77734375" style="2" customWidth="1"/>
    <col min="6" max="6" width="14.21875" style="2" customWidth="1"/>
    <col min="7" max="7" width="17.21875" customWidth="1"/>
    <col min="8" max="8" width="12.21875" customWidth="1"/>
    <col min="9" max="9" width="13.109375" customWidth="1"/>
    <col min="10" max="10" width="13.21875" customWidth="1"/>
    <col min="11" max="11" width="14.5546875" customWidth="1"/>
    <col min="12" max="12" width="12" customWidth="1"/>
    <col min="13" max="13" width="12.77734375" customWidth="1"/>
    <col min="14" max="14" width="12.21875" customWidth="1"/>
  </cols>
  <sheetData>
    <row r="1" spans="1:14" ht="23.4" x14ac:dyDescent="0.45">
      <c r="A1" s="11" t="s">
        <v>339</v>
      </c>
    </row>
    <row r="2" spans="1:14" x14ac:dyDescent="0.3">
      <c r="A2" t="s">
        <v>360</v>
      </c>
      <c r="B2" s="12">
        <f ca="1">TODAY()</f>
        <v>46307</v>
      </c>
      <c r="D2"/>
      <c r="E2" s="12"/>
      <c r="J2" s="5" t="s">
        <v>352</v>
      </c>
      <c r="K2" s="10"/>
      <c r="M2" s="5" t="s">
        <v>344</v>
      </c>
      <c r="N2" s="6">
        <v>3.5999999999999999E-3</v>
      </c>
    </row>
    <row r="3" spans="1:14" x14ac:dyDescent="0.3">
      <c r="K3" s="2"/>
      <c r="M3" s="2"/>
    </row>
    <row r="4" spans="1:14" s="4" customFormat="1" ht="15" thickBot="1" x14ac:dyDescent="0.35">
      <c r="A4" s="24" t="s">
        <v>338</v>
      </c>
      <c r="B4" s="24" t="s">
        <v>337</v>
      </c>
      <c r="C4" s="24" t="s">
        <v>5</v>
      </c>
      <c r="D4" s="24" t="s">
        <v>0</v>
      </c>
      <c r="E4" s="24" t="s">
        <v>1</v>
      </c>
      <c r="F4" s="24" t="s">
        <v>2</v>
      </c>
      <c r="G4" s="24" t="s">
        <v>8</v>
      </c>
      <c r="H4" s="24" t="s">
        <v>21</v>
      </c>
      <c r="I4" s="24" t="s">
        <v>7</v>
      </c>
      <c r="J4" s="24" t="s">
        <v>356</v>
      </c>
      <c r="K4" s="24" t="s">
        <v>341</v>
      </c>
      <c r="L4" s="24" t="s">
        <v>359</v>
      </c>
      <c r="M4" s="24" t="s">
        <v>345</v>
      </c>
      <c r="N4" s="24" t="s">
        <v>343</v>
      </c>
    </row>
    <row r="5" spans="1:14" x14ac:dyDescent="0.3">
      <c r="A5" s="25" t="s">
        <v>249</v>
      </c>
      <c r="B5" s="25" t="s">
        <v>340</v>
      </c>
      <c r="C5" s="25">
        <f>545671</f>
        <v>545671</v>
      </c>
      <c r="D5" s="26">
        <v>43892</v>
      </c>
      <c r="E5" s="26">
        <f>WORKDAY(EDATE(D5,1)-1,1)</f>
        <v>43923</v>
      </c>
      <c r="F5" s="26">
        <v>43938</v>
      </c>
      <c r="G5" s="25" t="s">
        <v>250</v>
      </c>
      <c r="H5" s="25">
        <v>223809</v>
      </c>
      <c r="I5" s="25" t="s">
        <v>251</v>
      </c>
      <c r="J5" s="27">
        <v>742.5</v>
      </c>
      <c r="K5" s="25" t="str">
        <f>TEXT(D5,"MMM")</f>
        <v>Mar</v>
      </c>
      <c r="L5" s="25">
        <f>DAY(D5)</f>
        <v>2</v>
      </c>
      <c r="M5" s="25">
        <f>IF(F5&gt;E5,NETWORKDAYS(E5,F5,'NSW Holidays 2020'!$A$4:$A$15),0)</f>
        <v>10</v>
      </c>
      <c r="N5" s="28">
        <f t="shared" ref="N5:N36" si="0">J5*M5*Penalty_Rate+Flat_Rate</f>
        <v>31.73</v>
      </c>
    </row>
    <row r="6" spans="1:14" x14ac:dyDescent="0.3">
      <c r="A6" s="23" t="s">
        <v>249</v>
      </c>
      <c r="B6" s="23" t="s">
        <v>340</v>
      </c>
      <c r="C6" s="23">
        <v>545672</v>
      </c>
      <c r="D6" s="29">
        <v>43923</v>
      </c>
      <c r="E6" s="29">
        <f t="shared" ref="E6:E69" si="1">WORKDAY(EDATE(D6,1)-1,1)</f>
        <v>43955</v>
      </c>
      <c r="F6" s="29">
        <v>43941</v>
      </c>
      <c r="G6" s="23" t="s">
        <v>252</v>
      </c>
      <c r="H6" s="23">
        <v>327600</v>
      </c>
      <c r="I6" s="23" t="s">
        <v>253</v>
      </c>
      <c r="J6" s="30">
        <v>1021.02</v>
      </c>
      <c r="K6" s="23" t="str">
        <f t="shared" ref="K6:K69" si="2">TEXT(D6,"MMM")</f>
        <v>Apr</v>
      </c>
      <c r="L6" s="23">
        <f t="shared" ref="L6:L69" si="3">DAY(D6)</f>
        <v>2</v>
      </c>
      <c r="M6" s="23">
        <f>IF(F6&gt;E6,NETWORKDAYS(E6,F6,'NSW Holidays 2020'!$A$4:$A$15),0)</f>
        <v>0</v>
      </c>
      <c r="N6" s="31">
        <f t="shared" si="0"/>
        <v>5</v>
      </c>
    </row>
    <row r="7" spans="1:14" x14ac:dyDescent="0.3">
      <c r="A7" s="22" t="s">
        <v>254</v>
      </c>
      <c r="B7" s="22" t="s">
        <v>340</v>
      </c>
      <c r="C7" s="22">
        <v>545674</v>
      </c>
      <c r="D7" s="32">
        <v>43906</v>
      </c>
      <c r="E7" s="32">
        <f t="shared" si="1"/>
        <v>43937</v>
      </c>
      <c r="F7" s="32">
        <v>43926</v>
      </c>
      <c r="G7" s="22" t="s">
        <v>252</v>
      </c>
      <c r="H7" s="22">
        <v>332589</v>
      </c>
      <c r="I7" s="22" t="s">
        <v>253</v>
      </c>
      <c r="J7" s="33">
        <v>409.53</v>
      </c>
      <c r="K7" s="22" t="str">
        <f t="shared" si="2"/>
        <v>Mar</v>
      </c>
      <c r="L7" s="22">
        <f t="shared" si="3"/>
        <v>16</v>
      </c>
      <c r="M7" s="22">
        <f>IF(F7&gt;E7,NETWORKDAYS(E7,F7,'NSW Holidays 2020'!$A$4:$A$15),0)</f>
        <v>0</v>
      </c>
      <c r="N7" s="34">
        <f t="shared" si="0"/>
        <v>5</v>
      </c>
    </row>
    <row r="8" spans="1:14" x14ac:dyDescent="0.3">
      <c r="A8" s="23" t="s">
        <v>255</v>
      </c>
      <c r="B8" s="23" t="s">
        <v>340</v>
      </c>
      <c r="C8" s="23">
        <v>545676</v>
      </c>
      <c r="D8" s="29">
        <v>43915</v>
      </c>
      <c r="E8" s="29">
        <f t="shared" si="1"/>
        <v>43948</v>
      </c>
      <c r="F8" s="29">
        <v>43941</v>
      </c>
      <c r="G8" s="23" t="s">
        <v>252</v>
      </c>
      <c r="H8" s="23">
        <v>337131</v>
      </c>
      <c r="I8" s="23" t="s">
        <v>253</v>
      </c>
      <c r="J8" s="30">
        <v>-234.96</v>
      </c>
      <c r="K8" s="23" t="str">
        <f t="shared" si="2"/>
        <v>Mar</v>
      </c>
      <c r="L8" s="23">
        <f t="shared" si="3"/>
        <v>25</v>
      </c>
      <c r="M8" s="23">
        <f>IF(F8&gt;E8,NETWORKDAYS(E8,F8,'NSW Holidays 2020'!$A$4:$A$15),0)</f>
        <v>0</v>
      </c>
      <c r="N8" s="31">
        <f t="shared" si="0"/>
        <v>5</v>
      </c>
    </row>
    <row r="9" spans="1:14" x14ac:dyDescent="0.3">
      <c r="A9" s="22" t="s">
        <v>256</v>
      </c>
      <c r="B9" s="22" t="s">
        <v>340</v>
      </c>
      <c r="C9" s="22">
        <v>545677</v>
      </c>
      <c r="D9" s="32">
        <v>43907</v>
      </c>
      <c r="E9" s="32">
        <f t="shared" si="1"/>
        <v>43938</v>
      </c>
      <c r="F9" s="32">
        <v>43931</v>
      </c>
      <c r="G9" s="22" t="s">
        <v>252</v>
      </c>
      <c r="H9" s="22">
        <v>319376</v>
      </c>
      <c r="I9" s="22" t="s">
        <v>253</v>
      </c>
      <c r="J9" s="33">
        <v>-450.12</v>
      </c>
      <c r="K9" s="22" t="str">
        <f t="shared" si="2"/>
        <v>Mar</v>
      </c>
      <c r="L9" s="22">
        <f t="shared" si="3"/>
        <v>17</v>
      </c>
      <c r="M9" s="22">
        <f>IF(F9&gt;E9,NETWORKDAYS(E9,F9,'NSW Holidays 2020'!$A$4:$A$15),0)</f>
        <v>0</v>
      </c>
      <c r="N9" s="34">
        <f t="shared" si="0"/>
        <v>5</v>
      </c>
    </row>
    <row r="10" spans="1:14" x14ac:dyDescent="0.3">
      <c r="A10" s="23" t="s">
        <v>257</v>
      </c>
      <c r="B10" s="23" t="s">
        <v>340</v>
      </c>
      <c r="C10" s="23">
        <v>545678</v>
      </c>
      <c r="D10" s="29">
        <v>43930</v>
      </c>
      <c r="E10" s="29">
        <f t="shared" si="1"/>
        <v>43962</v>
      </c>
      <c r="F10" s="29">
        <v>43951</v>
      </c>
      <c r="G10" s="23" t="s">
        <v>252</v>
      </c>
      <c r="H10" s="23">
        <v>334724</v>
      </c>
      <c r="I10" s="23" t="s">
        <v>253</v>
      </c>
      <c r="J10" s="30">
        <v>114.18</v>
      </c>
      <c r="K10" s="23" t="str">
        <f t="shared" si="2"/>
        <v>Apr</v>
      </c>
      <c r="L10" s="23">
        <f t="shared" si="3"/>
        <v>9</v>
      </c>
      <c r="M10" s="23">
        <f>IF(F10&gt;E10,NETWORKDAYS(E10,F10,'NSW Holidays 2020'!$A$4:$A$15),0)</f>
        <v>0</v>
      </c>
      <c r="N10" s="31">
        <f t="shared" si="0"/>
        <v>5</v>
      </c>
    </row>
    <row r="11" spans="1:14" x14ac:dyDescent="0.3">
      <c r="A11" s="22" t="s">
        <v>258</v>
      </c>
      <c r="B11" s="22" t="s">
        <v>340</v>
      </c>
      <c r="C11" s="22">
        <v>545679</v>
      </c>
      <c r="D11" s="32">
        <v>43913</v>
      </c>
      <c r="E11" s="32">
        <f t="shared" si="1"/>
        <v>43944</v>
      </c>
      <c r="F11" s="32">
        <v>43951</v>
      </c>
      <c r="G11" s="22" t="s">
        <v>252</v>
      </c>
      <c r="H11" s="22">
        <v>310607</v>
      </c>
      <c r="I11" s="22" t="s">
        <v>253</v>
      </c>
      <c r="J11" s="33">
        <v>930.93</v>
      </c>
      <c r="K11" s="22" t="str">
        <f t="shared" si="2"/>
        <v>Mar</v>
      </c>
      <c r="L11" s="22">
        <f t="shared" si="3"/>
        <v>23</v>
      </c>
      <c r="M11" s="22">
        <f>IF(F11&gt;E11,NETWORKDAYS(E11,F11,'NSW Holidays 2020'!$A$4:$A$15),0)</f>
        <v>6</v>
      </c>
      <c r="N11" s="34">
        <f t="shared" si="0"/>
        <v>25.108087999999999</v>
      </c>
    </row>
    <row r="12" spans="1:14" x14ac:dyDescent="0.3">
      <c r="A12" s="23" t="s">
        <v>259</v>
      </c>
      <c r="B12" s="23" t="s">
        <v>340</v>
      </c>
      <c r="C12" s="23">
        <v>545681</v>
      </c>
      <c r="D12" s="29">
        <v>43917</v>
      </c>
      <c r="E12" s="29">
        <f t="shared" si="1"/>
        <v>43948</v>
      </c>
      <c r="F12" s="29">
        <v>43935</v>
      </c>
      <c r="G12" s="23" t="s">
        <v>250</v>
      </c>
      <c r="H12" s="23">
        <v>226225</v>
      </c>
      <c r="I12" s="23" t="s">
        <v>251</v>
      </c>
      <c r="J12" s="30">
        <v>466.29</v>
      </c>
      <c r="K12" s="23" t="str">
        <f t="shared" si="2"/>
        <v>Mar</v>
      </c>
      <c r="L12" s="23">
        <f t="shared" si="3"/>
        <v>27</v>
      </c>
      <c r="M12" s="23">
        <f>IF(F12&gt;E12,NETWORKDAYS(E12,F12,'NSW Holidays 2020'!$A$4:$A$15),0)</f>
        <v>0</v>
      </c>
      <c r="N12" s="31">
        <f t="shared" si="0"/>
        <v>5</v>
      </c>
    </row>
    <row r="13" spans="1:14" x14ac:dyDescent="0.3">
      <c r="A13" s="22" t="s">
        <v>260</v>
      </c>
      <c r="B13" s="22" t="s">
        <v>340</v>
      </c>
      <c r="C13" s="22">
        <v>545682</v>
      </c>
      <c r="D13" s="32">
        <v>43912</v>
      </c>
      <c r="E13" s="32">
        <f t="shared" si="1"/>
        <v>43943</v>
      </c>
      <c r="F13" s="32">
        <v>43948</v>
      </c>
      <c r="G13" s="22" t="s">
        <v>250</v>
      </c>
      <c r="H13" s="22">
        <v>223858</v>
      </c>
      <c r="I13" s="22" t="s">
        <v>251</v>
      </c>
      <c r="J13" s="33">
        <v>222.42</v>
      </c>
      <c r="K13" s="22" t="str">
        <f t="shared" si="2"/>
        <v>Mar</v>
      </c>
      <c r="L13" s="22">
        <f t="shared" si="3"/>
        <v>22</v>
      </c>
      <c r="M13" s="22">
        <f>IF(F13&gt;E13,NETWORKDAYS(E13,F13,'NSW Holidays 2020'!$A$4:$A$15),0)</f>
        <v>4</v>
      </c>
      <c r="N13" s="34">
        <f t="shared" si="0"/>
        <v>8.2028479999999995</v>
      </c>
    </row>
    <row r="14" spans="1:14" x14ac:dyDescent="0.3">
      <c r="A14" s="23" t="s">
        <v>261</v>
      </c>
      <c r="B14" s="23" t="s">
        <v>340</v>
      </c>
      <c r="C14" s="23">
        <v>545683</v>
      </c>
      <c r="D14" s="29">
        <v>43899</v>
      </c>
      <c r="E14" s="29">
        <f t="shared" si="1"/>
        <v>43930</v>
      </c>
      <c r="F14" s="29">
        <v>43932</v>
      </c>
      <c r="G14" s="23" t="s">
        <v>250</v>
      </c>
      <c r="H14" s="23">
        <v>211781</v>
      </c>
      <c r="I14" s="23" t="s">
        <v>251</v>
      </c>
      <c r="J14" s="30">
        <v>679.8</v>
      </c>
      <c r="K14" s="23" t="str">
        <f t="shared" si="2"/>
        <v>Mar</v>
      </c>
      <c r="L14" s="23">
        <f t="shared" si="3"/>
        <v>9</v>
      </c>
      <c r="M14" s="23">
        <f>IF(F14&gt;E14,NETWORKDAYS(E14,F14,'NSW Holidays 2020'!$A$4:$A$15),0)</f>
        <v>1</v>
      </c>
      <c r="N14" s="31">
        <f t="shared" si="0"/>
        <v>7.4472799999999992</v>
      </c>
    </row>
    <row r="15" spans="1:14" x14ac:dyDescent="0.3">
      <c r="A15" s="22" t="s">
        <v>262</v>
      </c>
      <c r="B15" s="22" t="s">
        <v>340</v>
      </c>
      <c r="C15" s="22">
        <v>545685</v>
      </c>
      <c r="D15" s="32">
        <v>43925</v>
      </c>
      <c r="E15" s="32">
        <f t="shared" si="1"/>
        <v>43955</v>
      </c>
      <c r="F15" s="32">
        <v>43944</v>
      </c>
      <c r="G15" s="22" t="s">
        <v>250</v>
      </c>
      <c r="H15" s="22">
        <v>232805</v>
      </c>
      <c r="I15" s="22" t="s">
        <v>251</v>
      </c>
      <c r="J15" s="33">
        <v>171.93</v>
      </c>
      <c r="K15" s="22" t="str">
        <f t="shared" si="2"/>
        <v>Apr</v>
      </c>
      <c r="L15" s="22">
        <f t="shared" si="3"/>
        <v>4</v>
      </c>
      <c r="M15" s="22">
        <f>IF(F15&gt;E15,NETWORKDAYS(E15,F15,'NSW Holidays 2020'!$A$4:$A$15),0)</f>
        <v>0</v>
      </c>
      <c r="N15" s="34">
        <f t="shared" si="0"/>
        <v>5</v>
      </c>
    </row>
    <row r="16" spans="1:14" x14ac:dyDescent="0.3">
      <c r="A16" s="23" t="s">
        <v>263</v>
      </c>
      <c r="B16" s="23" t="s">
        <v>340</v>
      </c>
      <c r="C16" s="23">
        <v>545687</v>
      </c>
      <c r="D16" s="29">
        <v>43885</v>
      </c>
      <c r="E16" s="29">
        <f t="shared" si="1"/>
        <v>43914</v>
      </c>
      <c r="F16" s="29">
        <v>43927</v>
      </c>
      <c r="G16" s="23" t="s">
        <v>252</v>
      </c>
      <c r="H16" s="23">
        <v>312187</v>
      </c>
      <c r="I16" s="23" t="s">
        <v>253</v>
      </c>
      <c r="J16" s="30">
        <v>623.70000000000005</v>
      </c>
      <c r="K16" s="23" t="str">
        <f t="shared" si="2"/>
        <v>Feb</v>
      </c>
      <c r="L16" s="23">
        <f t="shared" si="3"/>
        <v>24</v>
      </c>
      <c r="M16" s="23">
        <f>IF(F16&gt;E16,NETWORKDAYS(E16,F16,'NSW Holidays 2020'!$A$4:$A$15),0)</f>
        <v>10</v>
      </c>
      <c r="N16" s="31">
        <f t="shared" si="0"/>
        <v>27.453199999999999</v>
      </c>
    </row>
    <row r="17" spans="1:14" x14ac:dyDescent="0.3">
      <c r="A17" s="22" t="s">
        <v>264</v>
      </c>
      <c r="B17" s="22" t="s">
        <v>340</v>
      </c>
      <c r="C17" s="22">
        <v>545689</v>
      </c>
      <c r="D17" s="32">
        <v>43919</v>
      </c>
      <c r="E17" s="32">
        <f t="shared" si="1"/>
        <v>43950</v>
      </c>
      <c r="F17" s="32">
        <v>43945</v>
      </c>
      <c r="G17" s="22" t="s">
        <v>252</v>
      </c>
      <c r="H17" s="22">
        <v>319790</v>
      </c>
      <c r="I17" s="22" t="s">
        <v>253</v>
      </c>
      <c r="J17" s="33">
        <v>221.1</v>
      </c>
      <c r="K17" s="22" t="str">
        <f t="shared" si="2"/>
        <v>Mar</v>
      </c>
      <c r="L17" s="22">
        <f t="shared" si="3"/>
        <v>29</v>
      </c>
      <c r="M17" s="22">
        <f>IF(F17&gt;E17,NETWORKDAYS(E17,F17,'NSW Holidays 2020'!$A$4:$A$15),0)</f>
        <v>0</v>
      </c>
      <c r="N17" s="34">
        <f t="shared" si="0"/>
        <v>5</v>
      </c>
    </row>
    <row r="18" spans="1:14" x14ac:dyDescent="0.3">
      <c r="A18" s="23" t="s">
        <v>265</v>
      </c>
      <c r="B18" s="23" t="s">
        <v>340</v>
      </c>
      <c r="C18" s="23">
        <v>545690</v>
      </c>
      <c r="D18" s="29">
        <v>43930</v>
      </c>
      <c r="E18" s="29">
        <f t="shared" si="1"/>
        <v>43962</v>
      </c>
      <c r="F18" s="29">
        <v>43949</v>
      </c>
      <c r="G18" s="23" t="s">
        <v>252</v>
      </c>
      <c r="H18" s="23">
        <v>327342</v>
      </c>
      <c r="I18" s="23" t="s">
        <v>253</v>
      </c>
      <c r="J18" s="30">
        <v>393.36</v>
      </c>
      <c r="K18" s="23" t="str">
        <f t="shared" si="2"/>
        <v>Apr</v>
      </c>
      <c r="L18" s="23">
        <f t="shared" si="3"/>
        <v>9</v>
      </c>
      <c r="M18" s="23">
        <f>IF(F18&gt;E18,NETWORKDAYS(E18,F18,'NSW Holidays 2020'!$A$4:$A$15),0)</f>
        <v>0</v>
      </c>
      <c r="N18" s="31">
        <f t="shared" si="0"/>
        <v>5</v>
      </c>
    </row>
    <row r="19" spans="1:14" x14ac:dyDescent="0.3">
      <c r="A19" s="22" t="s">
        <v>266</v>
      </c>
      <c r="B19" s="22" t="s">
        <v>340</v>
      </c>
      <c r="C19" s="22">
        <v>545691</v>
      </c>
      <c r="D19" s="32">
        <v>43899</v>
      </c>
      <c r="E19" s="32">
        <f t="shared" si="1"/>
        <v>43930</v>
      </c>
      <c r="F19" s="32">
        <v>43942</v>
      </c>
      <c r="G19" s="22" t="s">
        <v>252</v>
      </c>
      <c r="H19" s="22">
        <v>335460</v>
      </c>
      <c r="I19" s="22" t="s">
        <v>253</v>
      </c>
      <c r="J19" s="33">
        <v>642.17999999999995</v>
      </c>
      <c r="K19" s="22" t="str">
        <f t="shared" si="2"/>
        <v>Mar</v>
      </c>
      <c r="L19" s="22">
        <f t="shared" si="3"/>
        <v>9</v>
      </c>
      <c r="M19" s="22">
        <f>IF(F19&gt;E19,NETWORKDAYS(E19,F19,'NSW Holidays 2020'!$A$4:$A$15),0)</f>
        <v>7</v>
      </c>
      <c r="N19" s="34">
        <f t="shared" si="0"/>
        <v>21.182935999999998</v>
      </c>
    </row>
    <row r="20" spans="1:14" x14ac:dyDescent="0.3">
      <c r="A20" s="23" t="s">
        <v>267</v>
      </c>
      <c r="B20" s="23" t="s">
        <v>340</v>
      </c>
      <c r="C20" s="23">
        <v>545692</v>
      </c>
      <c r="D20" s="29">
        <v>43909</v>
      </c>
      <c r="E20" s="29">
        <f t="shared" si="1"/>
        <v>43941</v>
      </c>
      <c r="F20" s="29">
        <v>43951</v>
      </c>
      <c r="G20" s="23" t="s">
        <v>252</v>
      </c>
      <c r="H20" s="23">
        <v>323955</v>
      </c>
      <c r="I20" s="23" t="s">
        <v>253</v>
      </c>
      <c r="J20" s="30">
        <v>499.95</v>
      </c>
      <c r="K20" s="23" t="str">
        <f t="shared" si="2"/>
        <v>Mar</v>
      </c>
      <c r="L20" s="23">
        <f t="shared" si="3"/>
        <v>19</v>
      </c>
      <c r="M20" s="23">
        <f>IF(F20&gt;E20,NETWORKDAYS(E20,F20,'NSW Holidays 2020'!$A$4:$A$15),0)</f>
        <v>9</v>
      </c>
      <c r="N20" s="31">
        <f t="shared" si="0"/>
        <v>21.19838</v>
      </c>
    </row>
    <row r="21" spans="1:14" x14ac:dyDescent="0.3">
      <c r="A21" s="22" t="s">
        <v>268</v>
      </c>
      <c r="B21" s="22" t="s">
        <v>340</v>
      </c>
      <c r="C21" s="22">
        <v>545693</v>
      </c>
      <c r="D21" s="32">
        <v>43890</v>
      </c>
      <c r="E21" s="32">
        <f t="shared" si="1"/>
        <v>43920</v>
      </c>
      <c r="F21" s="32">
        <v>43928</v>
      </c>
      <c r="G21" s="22" t="s">
        <v>252</v>
      </c>
      <c r="H21" s="22">
        <v>316515</v>
      </c>
      <c r="I21" s="22" t="s">
        <v>253</v>
      </c>
      <c r="J21" s="33">
        <v>299.64</v>
      </c>
      <c r="K21" s="22" t="str">
        <f t="shared" si="2"/>
        <v>Feb</v>
      </c>
      <c r="L21" s="22">
        <f t="shared" si="3"/>
        <v>29</v>
      </c>
      <c r="M21" s="22">
        <f>IF(F21&gt;E21,NETWORKDAYS(E21,F21,'NSW Holidays 2020'!$A$4:$A$15),0)</f>
        <v>7</v>
      </c>
      <c r="N21" s="34">
        <f t="shared" si="0"/>
        <v>12.550927999999999</v>
      </c>
    </row>
    <row r="22" spans="1:14" x14ac:dyDescent="0.3">
      <c r="A22" s="23" t="s">
        <v>269</v>
      </c>
      <c r="B22" s="23" t="s">
        <v>340</v>
      </c>
      <c r="C22" s="23">
        <v>545695</v>
      </c>
      <c r="D22" s="29">
        <v>43912</v>
      </c>
      <c r="E22" s="29">
        <f t="shared" si="1"/>
        <v>43943</v>
      </c>
      <c r="F22" s="29">
        <v>43951</v>
      </c>
      <c r="G22" s="23" t="s">
        <v>250</v>
      </c>
      <c r="H22" s="23">
        <v>231320</v>
      </c>
      <c r="I22" s="23" t="s">
        <v>251</v>
      </c>
      <c r="J22" s="30">
        <v>312.83999999999997</v>
      </c>
      <c r="K22" s="23" t="str">
        <f t="shared" si="2"/>
        <v>Mar</v>
      </c>
      <c r="L22" s="23">
        <f t="shared" si="3"/>
        <v>22</v>
      </c>
      <c r="M22" s="23">
        <f>IF(F22&gt;E22,NETWORKDAYS(E22,F22,'NSW Holidays 2020'!$A$4:$A$15),0)</f>
        <v>7</v>
      </c>
      <c r="N22" s="31">
        <f t="shared" si="0"/>
        <v>12.883567999999999</v>
      </c>
    </row>
    <row r="23" spans="1:14" x14ac:dyDescent="0.3">
      <c r="A23" s="22" t="s">
        <v>270</v>
      </c>
      <c r="B23" s="22" t="s">
        <v>340</v>
      </c>
      <c r="C23" s="22">
        <v>545696</v>
      </c>
      <c r="D23" s="32">
        <v>43904</v>
      </c>
      <c r="E23" s="32">
        <f t="shared" si="1"/>
        <v>43935</v>
      </c>
      <c r="F23" s="32">
        <v>43926</v>
      </c>
      <c r="G23" s="22" t="s">
        <v>250</v>
      </c>
      <c r="H23" s="22">
        <v>213670</v>
      </c>
      <c r="I23" s="22" t="s">
        <v>251</v>
      </c>
      <c r="J23" s="33">
        <v>993.63</v>
      </c>
      <c r="K23" s="22" t="str">
        <f t="shared" si="2"/>
        <v>Mar</v>
      </c>
      <c r="L23" s="22">
        <f t="shared" si="3"/>
        <v>14</v>
      </c>
      <c r="M23" s="22">
        <f>IF(F23&gt;E23,NETWORKDAYS(E23,F23,'NSW Holidays 2020'!$A$4:$A$15),0)</f>
        <v>0</v>
      </c>
      <c r="N23" s="34">
        <f t="shared" si="0"/>
        <v>5</v>
      </c>
    </row>
    <row r="24" spans="1:14" x14ac:dyDescent="0.3">
      <c r="A24" s="23" t="s">
        <v>271</v>
      </c>
      <c r="B24" s="23" t="s">
        <v>340</v>
      </c>
      <c r="C24" s="23">
        <v>545697</v>
      </c>
      <c r="D24" s="29">
        <v>43917</v>
      </c>
      <c r="E24" s="29">
        <f t="shared" si="1"/>
        <v>43948</v>
      </c>
      <c r="F24" s="29">
        <v>43922</v>
      </c>
      <c r="G24" s="23" t="s">
        <v>250</v>
      </c>
      <c r="H24" s="23">
        <v>226166</v>
      </c>
      <c r="I24" s="23" t="s">
        <v>251</v>
      </c>
      <c r="J24" s="30">
        <v>1053.69</v>
      </c>
      <c r="K24" s="23" t="str">
        <f t="shared" si="2"/>
        <v>Mar</v>
      </c>
      <c r="L24" s="23">
        <f t="shared" si="3"/>
        <v>27</v>
      </c>
      <c r="M24" s="23">
        <f>IF(F24&gt;E24,NETWORKDAYS(E24,F24,'NSW Holidays 2020'!$A$4:$A$15),0)</f>
        <v>0</v>
      </c>
      <c r="N24" s="31">
        <f t="shared" si="0"/>
        <v>5</v>
      </c>
    </row>
    <row r="25" spans="1:14" x14ac:dyDescent="0.3">
      <c r="A25" s="22" t="s">
        <v>272</v>
      </c>
      <c r="B25" s="22" t="s">
        <v>340</v>
      </c>
      <c r="C25" s="22">
        <v>545698</v>
      </c>
      <c r="D25" s="32">
        <v>43929</v>
      </c>
      <c r="E25" s="32">
        <f t="shared" si="1"/>
        <v>43959</v>
      </c>
      <c r="F25" s="32">
        <v>43951</v>
      </c>
      <c r="G25" s="22" t="s">
        <v>252</v>
      </c>
      <c r="H25" s="22">
        <v>316479</v>
      </c>
      <c r="I25" s="22" t="s">
        <v>253</v>
      </c>
      <c r="J25" s="33">
        <v>1047.75</v>
      </c>
      <c r="K25" s="22" t="str">
        <f t="shared" si="2"/>
        <v>Apr</v>
      </c>
      <c r="L25" s="22">
        <f t="shared" si="3"/>
        <v>8</v>
      </c>
      <c r="M25" s="22">
        <f>IF(F25&gt;E25,NETWORKDAYS(E25,F25,'NSW Holidays 2020'!$A$4:$A$15),0)</f>
        <v>0</v>
      </c>
      <c r="N25" s="34">
        <f t="shared" si="0"/>
        <v>5</v>
      </c>
    </row>
    <row r="26" spans="1:14" x14ac:dyDescent="0.3">
      <c r="A26" s="23" t="s">
        <v>273</v>
      </c>
      <c r="B26" s="23" t="s">
        <v>340</v>
      </c>
      <c r="C26" s="23">
        <v>545700</v>
      </c>
      <c r="D26" s="29">
        <v>43888</v>
      </c>
      <c r="E26" s="29">
        <f t="shared" si="1"/>
        <v>43917</v>
      </c>
      <c r="F26" s="29">
        <v>43929</v>
      </c>
      <c r="G26" s="23" t="s">
        <v>250</v>
      </c>
      <c r="H26" s="23">
        <v>230046</v>
      </c>
      <c r="I26" s="23" t="s">
        <v>251</v>
      </c>
      <c r="J26" s="30">
        <v>1096.92</v>
      </c>
      <c r="K26" s="23" t="str">
        <f t="shared" si="2"/>
        <v>Feb</v>
      </c>
      <c r="L26" s="23">
        <f t="shared" si="3"/>
        <v>27</v>
      </c>
      <c r="M26" s="23">
        <f>IF(F26&gt;E26,NETWORKDAYS(E26,F26,'NSW Holidays 2020'!$A$4:$A$15),0)</f>
        <v>9</v>
      </c>
      <c r="N26" s="31">
        <f t="shared" si="0"/>
        <v>40.540208</v>
      </c>
    </row>
    <row r="27" spans="1:14" x14ac:dyDescent="0.3">
      <c r="A27" s="22" t="s">
        <v>274</v>
      </c>
      <c r="B27" s="22" t="s">
        <v>340</v>
      </c>
      <c r="C27" s="22">
        <v>545702</v>
      </c>
      <c r="D27" s="32">
        <v>43886</v>
      </c>
      <c r="E27" s="32">
        <f t="shared" si="1"/>
        <v>43915</v>
      </c>
      <c r="F27" s="32">
        <v>43928</v>
      </c>
      <c r="G27" s="22" t="s">
        <v>250</v>
      </c>
      <c r="H27" s="22">
        <v>224680</v>
      </c>
      <c r="I27" s="22" t="s">
        <v>251</v>
      </c>
      <c r="J27" s="33">
        <v>257.07</v>
      </c>
      <c r="K27" s="22" t="str">
        <f t="shared" si="2"/>
        <v>Feb</v>
      </c>
      <c r="L27" s="22">
        <f t="shared" si="3"/>
        <v>25</v>
      </c>
      <c r="M27" s="22">
        <f>IF(F27&gt;E27,NETWORKDAYS(E27,F27,'NSW Holidays 2020'!$A$4:$A$15),0)</f>
        <v>10</v>
      </c>
      <c r="N27" s="34">
        <f t="shared" si="0"/>
        <v>14.254519999999999</v>
      </c>
    </row>
    <row r="28" spans="1:14" x14ac:dyDescent="0.3">
      <c r="A28" s="23" t="s">
        <v>275</v>
      </c>
      <c r="B28" s="23" t="s">
        <v>340</v>
      </c>
      <c r="C28" s="23">
        <v>545703</v>
      </c>
      <c r="D28" s="29">
        <v>43945</v>
      </c>
      <c r="E28" s="29">
        <f t="shared" si="1"/>
        <v>43976</v>
      </c>
      <c r="F28" s="29">
        <v>43949</v>
      </c>
      <c r="G28" s="23" t="s">
        <v>250</v>
      </c>
      <c r="H28" s="23">
        <v>238023</v>
      </c>
      <c r="I28" s="23" t="s">
        <v>251</v>
      </c>
      <c r="J28" s="30">
        <v>215.49</v>
      </c>
      <c r="K28" s="23" t="str">
        <f t="shared" si="2"/>
        <v>Apr</v>
      </c>
      <c r="L28" s="23">
        <f t="shared" si="3"/>
        <v>24</v>
      </c>
      <c r="M28" s="23">
        <f>IF(F28&gt;E28,NETWORKDAYS(E28,F28,'NSW Holidays 2020'!$A$4:$A$15),0)</f>
        <v>0</v>
      </c>
      <c r="N28" s="31">
        <f t="shared" si="0"/>
        <v>5</v>
      </c>
    </row>
    <row r="29" spans="1:14" x14ac:dyDescent="0.3">
      <c r="A29" s="22" t="s">
        <v>276</v>
      </c>
      <c r="B29" s="22" t="s">
        <v>340</v>
      </c>
      <c r="C29" s="22">
        <v>545705</v>
      </c>
      <c r="D29" s="32">
        <v>43926</v>
      </c>
      <c r="E29" s="32">
        <f t="shared" si="1"/>
        <v>43956</v>
      </c>
      <c r="F29" s="32">
        <v>43945</v>
      </c>
      <c r="G29" s="22" t="s">
        <v>250</v>
      </c>
      <c r="H29" s="22">
        <v>224184</v>
      </c>
      <c r="I29" s="22" t="s">
        <v>251</v>
      </c>
      <c r="J29" s="33">
        <v>455.07</v>
      </c>
      <c r="K29" s="22" t="str">
        <f t="shared" si="2"/>
        <v>Apr</v>
      </c>
      <c r="L29" s="22">
        <f t="shared" si="3"/>
        <v>5</v>
      </c>
      <c r="M29" s="22">
        <f>IF(F29&gt;E29,NETWORKDAYS(E29,F29,'NSW Holidays 2020'!$A$4:$A$15),0)</f>
        <v>0</v>
      </c>
      <c r="N29" s="34">
        <f t="shared" si="0"/>
        <v>5</v>
      </c>
    </row>
    <row r="30" spans="1:14" x14ac:dyDescent="0.3">
      <c r="A30" s="23" t="s">
        <v>277</v>
      </c>
      <c r="B30" s="23" t="s">
        <v>340</v>
      </c>
      <c r="C30" s="23">
        <v>545706</v>
      </c>
      <c r="D30" s="29">
        <v>43923</v>
      </c>
      <c r="E30" s="29">
        <f t="shared" si="1"/>
        <v>43955</v>
      </c>
      <c r="F30" s="29">
        <v>43930</v>
      </c>
      <c r="G30" s="23" t="s">
        <v>250</v>
      </c>
      <c r="H30" s="23">
        <v>216205</v>
      </c>
      <c r="I30" s="23" t="s">
        <v>251</v>
      </c>
      <c r="J30" s="30">
        <v>711.81</v>
      </c>
      <c r="K30" s="23" t="str">
        <f t="shared" si="2"/>
        <v>Apr</v>
      </c>
      <c r="L30" s="23">
        <f t="shared" si="3"/>
        <v>2</v>
      </c>
      <c r="M30" s="23">
        <f>IF(F30&gt;E30,NETWORKDAYS(E30,F30,'NSW Holidays 2020'!$A$4:$A$15),0)</f>
        <v>0</v>
      </c>
      <c r="N30" s="31">
        <f t="shared" si="0"/>
        <v>5</v>
      </c>
    </row>
    <row r="31" spans="1:14" x14ac:dyDescent="0.3">
      <c r="A31" s="22" t="s">
        <v>278</v>
      </c>
      <c r="B31" s="22" t="s">
        <v>340</v>
      </c>
      <c r="C31" s="22">
        <v>545707</v>
      </c>
      <c r="D31" s="32">
        <v>43911</v>
      </c>
      <c r="E31" s="32">
        <f t="shared" si="1"/>
        <v>43942</v>
      </c>
      <c r="F31" s="32">
        <v>43925</v>
      </c>
      <c r="G31" s="22" t="s">
        <v>252</v>
      </c>
      <c r="H31" s="22">
        <v>331383</v>
      </c>
      <c r="I31" s="22" t="s">
        <v>253</v>
      </c>
      <c r="J31" s="33">
        <v>78.540000000000006</v>
      </c>
      <c r="K31" s="22" t="str">
        <f t="shared" si="2"/>
        <v>Mar</v>
      </c>
      <c r="L31" s="22">
        <f t="shared" si="3"/>
        <v>21</v>
      </c>
      <c r="M31" s="22">
        <f>IF(F31&gt;E31,NETWORKDAYS(E31,F31,'NSW Holidays 2020'!$A$4:$A$15),0)</f>
        <v>0</v>
      </c>
      <c r="N31" s="34">
        <f t="shared" si="0"/>
        <v>5</v>
      </c>
    </row>
    <row r="32" spans="1:14" x14ac:dyDescent="0.3">
      <c r="A32" s="23" t="s">
        <v>279</v>
      </c>
      <c r="B32" s="23" t="s">
        <v>340</v>
      </c>
      <c r="C32" s="23">
        <v>545708</v>
      </c>
      <c r="D32" s="29">
        <v>43892</v>
      </c>
      <c r="E32" s="29">
        <f t="shared" si="1"/>
        <v>43923</v>
      </c>
      <c r="F32" s="29">
        <v>43927</v>
      </c>
      <c r="G32" s="23" t="s">
        <v>252</v>
      </c>
      <c r="H32" s="23">
        <v>335282</v>
      </c>
      <c r="I32" s="23" t="s">
        <v>253</v>
      </c>
      <c r="J32" s="30">
        <v>302.61</v>
      </c>
      <c r="K32" s="23" t="str">
        <f t="shared" si="2"/>
        <v>Mar</v>
      </c>
      <c r="L32" s="23">
        <f t="shared" si="3"/>
        <v>2</v>
      </c>
      <c r="M32" s="23">
        <f>IF(F32&gt;E32,NETWORKDAYS(E32,F32,'NSW Holidays 2020'!$A$4:$A$15),0)</f>
        <v>3</v>
      </c>
      <c r="N32" s="31">
        <f t="shared" si="0"/>
        <v>8.2681880000000003</v>
      </c>
    </row>
    <row r="33" spans="1:14" x14ac:dyDescent="0.3">
      <c r="A33" s="22" t="s">
        <v>280</v>
      </c>
      <c r="B33" s="22" t="s">
        <v>340</v>
      </c>
      <c r="C33" s="22">
        <v>545710</v>
      </c>
      <c r="D33" s="32">
        <v>43886</v>
      </c>
      <c r="E33" s="32">
        <f t="shared" si="1"/>
        <v>43915</v>
      </c>
      <c r="F33" s="32">
        <v>43931</v>
      </c>
      <c r="G33" s="22" t="s">
        <v>252</v>
      </c>
      <c r="H33" s="22">
        <v>330858</v>
      </c>
      <c r="I33" s="22" t="s">
        <v>253</v>
      </c>
      <c r="J33" s="33">
        <v>426.03</v>
      </c>
      <c r="K33" s="22" t="str">
        <f t="shared" si="2"/>
        <v>Feb</v>
      </c>
      <c r="L33" s="22">
        <f t="shared" si="3"/>
        <v>25</v>
      </c>
      <c r="M33" s="22">
        <f>IF(F33&gt;E33,NETWORKDAYS(E33,F33,'NSW Holidays 2020'!$A$4:$A$15),0)</f>
        <v>12</v>
      </c>
      <c r="N33" s="34">
        <f t="shared" si="0"/>
        <v>23.404495999999998</v>
      </c>
    </row>
    <row r="34" spans="1:14" x14ac:dyDescent="0.3">
      <c r="A34" s="23" t="s">
        <v>281</v>
      </c>
      <c r="B34" s="23" t="s">
        <v>340</v>
      </c>
      <c r="C34" s="23">
        <v>545711</v>
      </c>
      <c r="D34" s="29">
        <v>43899</v>
      </c>
      <c r="E34" s="29">
        <f t="shared" si="1"/>
        <v>43930</v>
      </c>
      <c r="F34" s="29">
        <v>43932</v>
      </c>
      <c r="G34" s="23" t="s">
        <v>250</v>
      </c>
      <c r="H34" s="23">
        <v>238202</v>
      </c>
      <c r="I34" s="23" t="s">
        <v>251</v>
      </c>
      <c r="J34" s="30">
        <v>489.72</v>
      </c>
      <c r="K34" s="23" t="str">
        <f t="shared" si="2"/>
        <v>Mar</v>
      </c>
      <c r="L34" s="23">
        <f t="shared" si="3"/>
        <v>9</v>
      </c>
      <c r="M34" s="23">
        <f>IF(F34&gt;E34,NETWORKDAYS(E34,F34,'NSW Holidays 2020'!$A$4:$A$15),0)</f>
        <v>1</v>
      </c>
      <c r="N34" s="31">
        <f t="shared" si="0"/>
        <v>6.7629920000000006</v>
      </c>
    </row>
    <row r="35" spans="1:14" x14ac:dyDescent="0.3">
      <c r="A35" s="22" t="s">
        <v>282</v>
      </c>
      <c r="B35" s="22" t="s">
        <v>340</v>
      </c>
      <c r="C35" s="22">
        <v>545713</v>
      </c>
      <c r="D35" s="32">
        <v>43915</v>
      </c>
      <c r="E35" s="32">
        <f t="shared" si="1"/>
        <v>43948</v>
      </c>
      <c r="F35" s="32">
        <v>43949</v>
      </c>
      <c r="G35" s="22" t="s">
        <v>250</v>
      </c>
      <c r="H35" s="22">
        <v>217217</v>
      </c>
      <c r="I35" s="22" t="s">
        <v>251</v>
      </c>
      <c r="J35" s="33">
        <v>352.44</v>
      </c>
      <c r="K35" s="22" t="str">
        <f t="shared" si="2"/>
        <v>Mar</v>
      </c>
      <c r="L35" s="22">
        <f t="shared" si="3"/>
        <v>25</v>
      </c>
      <c r="M35" s="22">
        <f>IF(F35&gt;E35,NETWORKDAYS(E35,F35,'NSW Holidays 2020'!$A$4:$A$15),0)</f>
        <v>2</v>
      </c>
      <c r="N35" s="34">
        <f t="shared" si="0"/>
        <v>7.5375680000000003</v>
      </c>
    </row>
    <row r="36" spans="1:14" x14ac:dyDescent="0.3">
      <c r="A36" s="23" t="s">
        <v>283</v>
      </c>
      <c r="B36" s="23" t="s">
        <v>340</v>
      </c>
      <c r="C36" s="23">
        <v>545715</v>
      </c>
      <c r="D36" s="29">
        <v>43912</v>
      </c>
      <c r="E36" s="29">
        <f t="shared" si="1"/>
        <v>43943</v>
      </c>
      <c r="F36" s="29">
        <v>43937</v>
      </c>
      <c r="G36" s="23" t="s">
        <v>250</v>
      </c>
      <c r="H36" s="23">
        <v>234637</v>
      </c>
      <c r="I36" s="23" t="s">
        <v>251</v>
      </c>
      <c r="J36" s="30">
        <v>238.59</v>
      </c>
      <c r="K36" s="23" t="str">
        <f t="shared" si="2"/>
        <v>Mar</v>
      </c>
      <c r="L36" s="23">
        <f t="shared" si="3"/>
        <v>22</v>
      </c>
      <c r="M36" s="23">
        <f>IF(F36&gt;E36,NETWORKDAYS(E36,F36,'NSW Holidays 2020'!$A$4:$A$15),0)</f>
        <v>0</v>
      </c>
      <c r="N36" s="31">
        <f t="shared" si="0"/>
        <v>5</v>
      </c>
    </row>
    <row r="37" spans="1:14" x14ac:dyDescent="0.3">
      <c r="A37" s="22" t="s">
        <v>284</v>
      </c>
      <c r="B37" s="22" t="s">
        <v>340</v>
      </c>
      <c r="C37" s="22">
        <v>545716</v>
      </c>
      <c r="D37" s="32">
        <v>43936</v>
      </c>
      <c r="E37" s="32">
        <f t="shared" si="1"/>
        <v>43966</v>
      </c>
      <c r="F37" s="32">
        <v>43941</v>
      </c>
      <c r="G37" s="22" t="s">
        <v>252</v>
      </c>
      <c r="H37" s="22">
        <v>332725</v>
      </c>
      <c r="I37" s="22" t="s">
        <v>253</v>
      </c>
      <c r="J37" s="33">
        <v>549.12</v>
      </c>
      <c r="K37" s="22" t="str">
        <f t="shared" si="2"/>
        <v>Apr</v>
      </c>
      <c r="L37" s="22">
        <f t="shared" si="3"/>
        <v>15</v>
      </c>
      <c r="M37" s="22">
        <f>IF(F37&gt;E37,NETWORKDAYS(E37,F37,'NSW Holidays 2020'!$A$4:$A$15),0)</f>
        <v>0</v>
      </c>
      <c r="N37" s="34">
        <f t="shared" ref="N37:N68" si="4">J37*M37*Penalty_Rate+Flat_Rate</f>
        <v>5</v>
      </c>
    </row>
    <row r="38" spans="1:14" x14ac:dyDescent="0.3">
      <c r="A38" s="23" t="s">
        <v>285</v>
      </c>
      <c r="B38" s="23" t="s">
        <v>340</v>
      </c>
      <c r="C38" s="23">
        <v>545718</v>
      </c>
      <c r="D38" s="29">
        <v>43893</v>
      </c>
      <c r="E38" s="29">
        <f t="shared" si="1"/>
        <v>43924</v>
      </c>
      <c r="F38" s="29">
        <v>43923</v>
      </c>
      <c r="G38" s="23" t="s">
        <v>250</v>
      </c>
      <c r="H38" s="23">
        <v>227351</v>
      </c>
      <c r="I38" s="23" t="s">
        <v>251</v>
      </c>
      <c r="J38" s="30">
        <v>322.41000000000003</v>
      </c>
      <c r="K38" s="23" t="str">
        <f t="shared" si="2"/>
        <v>Mar</v>
      </c>
      <c r="L38" s="23">
        <f t="shared" si="3"/>
        <v>3</v>
      </c>
      <c r="M38" s="23">
        <f>IF(F38&gt;E38,NETWORKDAYS(E38,F38,'NSW Holidays 2020'!$A$4:$A$15),0)</f>
        <v>0</v>
      </c>
      <c r="N38" s="31">
        <f t="shared" si="4"/>
        <v>5</v>
      </c>
    </row>
    <row r="39" spans="1:14" x14ac:dyDescent="0.3">
      <c r="A39" s="22" t="s">
        <v>286</v>
      </c>
      <c r="B39" s="22" t="s">
        <v>340</v>
      </c>
      <c r="C39" s="22">
        <v>545719</v>
      </c>
      <c r="D39" s="32">
        <v>43892</v>
      </c>
      <c r="E39" s="32">
        <f t="shared" si="1"/>
        <v>43923</v>
      </c>
      <c r="F39" s="32">
        <v>43934</v>
      </c>
      <c r="G39" s="22" t="s">
        <v>252</v>
      </c>
      <c r="H39" s="22">
        <v>336345</v>
      </c>
      <c r="I39" s="22" t="s">
        <v>253</v>
      </c>
      <c r="J39" s="33">
        <v>644.82000000000005</v>
      </c>
      <c r="K39" s="22" t="str">
        <f t="shared" si="2"/>
        <v>Mar</v>
      </c>
      <c r="L39" s="22">
        <f t="shared" si="3"/>
        <v>2</v>
      </c>
      <c r="M39" s="22">
        <f>IF(F39&gt;E39,NETWORKDAYS(E39,F39,'NSW Holidays 2020'!$A$4:$A$15),0)</f>
        <v>6</v>
      </c>
      <c r="N39" s="34">
        <f t="shared" si="4"/>
        <v>18.928111999999999</v>
      </c>
    </row>
    <row r="40" spans="1:14" x14ac:dyDescent="0.3">
      <c r="A40" s="23" t="s">
        <v>287</v>
      </c>
      <c r="B40" s="23" t="s">
        <v>340</v>
      </c>
      <c r="C40" s="23">
        <v>545721</v>
      </c>
      <c r="D40" s="29">
        <v>43923</v>
      </c>
      <c r="E40" s="29">
        <f t="shared" si="1"/>
        <v>43955</v>
      </c>
      <c r="F40" s="29">
        <v>43944</v>
      </c>
      <c r="G40" s="23" t="s">
        <v>252</v>
      </c>
      <c r="H40" s="23">
        <v>338595</v>
      </c>
      <c r="I40" s="23" t="s">
        <v>253</v>
      </c>
      <c r="J40" s="30">
        <v>113.19</v>
      </c>
      <c r="K40" s="23" t="str">
        <f t="shared" si="2"/>
        <v>Apr</v>
      </c>
      <c r="L40" s="23">
        <f t="shared" si="3"/>
        <v>2</v>
      </c>
      <c r="M40" s="23">
        <f>IF(F40&gt;E40,NETWORKDAYS(E40,F40,'NSW Holidays 2020'!$A$4:$A$15),0)</f>
        <v>0</v>
      </c>
      <c r="N40" s="31">
        <f t="shared" si="4"/>
        <v>5</v>
      </c>
    </row>
    <row r="41" spans="1:14" x14ac:dyDescent="0.3">
      <c r="A41" s="22" t="s">
        <v>288</v>
      </c>
      <c r="B41" s="22" t="s">
        <v>340</v>
      </c>
      <c r="C41" s="22">
        <v>545722</v>
      </c>
      <c r="D41" s="32">
        <v>43941</v>
      </c>
      <c r="E41" s="32">
        <f t="shared" si="1"/>
        <v>43971</v>
      </c>
      <c r="F41" s="32">
        <v>43949</v>
      </c>
      <c r="G41" s="22" t="s">
        <v>252</v>
      </c>
      <c r="H41" s="22">
        <v>325149</v>
      </c>
      <c r="I41" s="22" t="s">
        <v>253</v>
      </c>
      <c r="J41" s="33">
        <v>449.13</v>
      </c>
      <c r="K41" s="22" t="str">
        <f t="shared" si="2"/>
        <v>Apr</v>
      </c>
      <c r="L41" s="22">
        <f t="shared" si="3"/>
        <v>20</v>
      </c>
      <c r="M41" s="22">
        <f>IF(F41&gt;E41,NETWORKDAYS(E41,F41,'NSW Holidays 2020'!$A$4:$A$15),0)</f>
        <v>0</v>
      </c>
      <c r="N41" s="34">
        <f t="shared" si="4"/>
        <v>5</v>
      </c>
    </row>
    <row r="42" spans="1:14" x14ac:dyDescent="0.3">
      <c r="A42" s="23" t="s">
        <v>289</v>
      </c>
      <c r="B42" s="23" t="s">
        <v>340</v>
      </c>
      <c r="C42" s="23">
        <v>545723</v>
      </c>
      <c r="D42" s="29">
        <v>43911</v>
      </c>
      <c r="E42" s="29">
        <f t="shared" si="1"/>
        <v>43942</v>
      </c>
      <c r="F42" s="29">
        <v>43933</v>
      </c>
      <c r="G42" s="23" t="s">
        <v>250</v>
      </c>
      <c r="H42" s="23">
        <v>227994</v>
      </c>
      <c r="I42" s="23" t="s">
        <v>251</v>
      </c>
      <c r="J42" s="30">
        <v>819.06</v>
      </c>
      <c r="K42" s="23" t="str">
        <f t="shared" si="2"/>
        <v>Mar</v>
      </c>
      <c r="L42" s="23">
        <f t="shared" si="3"/>
        <v>21</v>
      </c>
      <c r="M42" s="23">
        <f>IF(F42&gt;E42,NETWORKDAYS(E42,F42,'NSW Holidays 2020'!$A$4:$A$15),0)</f>
        <v>0</v>
      </c>
      <c r="N42" s="31">
        <f t="shared" si="4"/>
        <v>5</v>
      </c>
    </row>
    <row r="43" spans="1:14" x14ac:dyDescent="0.3">
      <c r="A43" s="22" t="s">
        <v>290</v>
      </c>
      <c r="B43" s="22" t="s">
        <v>340</v>
      </c>
      <c r="C43" s="22">
        <v>545724</v>
      </c>
      <c r="D43" s="32">
        <v>43880</v>
      </c>
      <c r="E43" s="32">
        <f t="shared" si="1"/>
        <v>43909</v>
      </c>
      <c r="F43" s="32">
        <v>43924</v>
      </c>
      <c r="G43" s="22" t="s">
        <v>250</v>
      </c>
      <c r="H43" s="22">
        <v>222399</v>
      </c>
      <c r="I43" s="22" t="s">
        <v>251</v>
      </c>
      <c r="J43" s="33">
        <v>1019.04</v>
      </c>
      <c r="K43" s="22" t="str">
        <f t="shared" si="2"/>
        <v>Feb</v>
      </c>
      <c r="L43" s="22">
        <f t="shared" si="3"/>
        <v>19</v>
      </c>
      <c r="M43" s="22">
        <f>IF(F43&gt;E43,NETWORKDAYS(E43,F43,'NSW Holidays 2020'!$A$4:$A$15),0)</f>
        <v>12</v>
      </c>
      <c r="N43" s="34">
        <f t="shared" si="4"/>
        <v>49.022527999999994</v>
      </c>
    </row>
    <row r="44" spans="1:14" x14ac:dyDescent="0.3">
      <c r="A44" s="23" t="s">
        <v>291</v>
      </c>
      <c r="B44" s="23" t="s">
        <v>340</v>
      </c>
      <c r="C44" s="23">
        <v>545725</v>
      </c>
      <c r="D44" s="29">
        <v>43919</v>
      </c>
      <c r="E44" s="29">
        <f t="shared" si="1"/>
        <v>43950</v>
      </c>
      <c r="F44" s="29">
        <v>43935</v>
      </c>
      <c r="G44" s="23" t="s">
        <v>252</v>
      </c>
      <c r="H44" s="23">
        <v>316436</v>
      </c>
      <c r="I44" s="23" t="s">
        <v>253</v>
      </c>
      <c r="J44" s="30">
        <v>736.23</v>
      </c>
      <c r="K44" s="23" t="str">
        <f t="shared" si="2"/>
        <v>Mar</v>
      </c>
      <c r="L44" s="23">
        <f t="shared" si="3"/>
        <v>29</v>
      </c>
      <c r="M44" s="23">
        <f>IF(F44&gt;E44,NETWORKDAYS(E44,F44,'NSW Holidays 2020'!$A$4:$A$15),0)</f>
        <v>0</v>
      </c>
      <c r="N44" s="31">
        <f t="shared" si="4"/>
        <v>5</v>
      </c>
    </row>
    <row r="45" spans="1:14" x14ac:dyDescent="0.3">
      <c r="A45" s="22" t="s">
        <v>292</v>
      </c>
      <c r="B45" s="22" t="s">
        <v>340</v>
      </c>
      <c r="C45" s="22">
        <v>545726</v>
      </c>
      <c r="D45" s="32">
        <v>43895</v>
      </c>
      <c r="E45" s="32">
        <f t="shared" si="1"/>
        <v>43927</v>
      </c>
      <c r="F45" s="32">
        <v>43937</v>
      </c>
      <c r="G45" s="22" t="s">
        <v>252</v>
      </c>
      <c r="H45" s="22">
        <v>312603</v>
      </c>
      <c r="I45" s="22" t="s">
        <v>253</v>
      </c>
      <c r="J45" s="33">
        <v>-600.27</v>
      </c>
      <c r="K45" s="22" t="str">
        <f t="shared" si="2"/>
        <v>Mar</v>
      </c>
      <c r="L45" s="22">
        <f t="shared" si="3"/>
        <v>5</v>
      </c>
      <c r="M45" s="22">
        <f>IF(F45&gt;E45,NETWORKDAYS(E45,F45,'NSW Holidays 2020'!$A$4:$A$15),0)</f>
        <v>7</v>
      </c>
      <c r="N45" s="34">
        <f t="shared" si="4"/>
        <v>-10.126803999999998</v>
      </c>
    </row>
    <row r="46" spans="1:14" x14ac:dyDescent="0.3">
      <c r="A46" s="23" t="s">
        <v>293</v>
      </c>
      <c r="B46" s="23" t="s">
        <v>340</v>
      </c>
      <c r="C46" s="23">
        <v>545727</v>
      </c>
      <c r="D46" s="29">
        <v>43907</v>
      </c>
      <c r="E46" s="29">
        <f t="shared" si="1"/>
        <v>43938</v>
      </c>
      <c r="F46" s="29">
        <v>43929</v>
      </c>
      <c r="G46" s="23" t="s">
        <v>252</v>
      </c>
      <c r="H46" s="23">
        <v>339907</v>
      </c>
      <c r="I46" s="23" t="s">
        <v>253</v>
      </c>
      <c r="J46" s="30">
        <v>480.81</v>
      </c>
      <c r="K46" s="23" t="str">
        <f t="shared" si="2"/>
        <v>Mar</v>
      </c>
      <c r="L46" s="23">
        <f t="shared" si="3"/>
        <v>17</v>
      </c>
      <c r="M46" s="23">
        <f>IF(F46&gt;E46,NETWORKDAYS(E46,F46,'NSW Holidays 2020'!$A$4:$A$15),0)</f>
        <v>0</v>
      </c>
      <c r="N46" s="31">
        <f t="shared" si="4"/>
        <v>5</v>
      </c>
    </row>
    <row r="47" spans="1:14" x14ac:dyDescent="0.3">
      <c r="A47" s="22" t="s">
        <v>294</v>
      </c>
      <c r="B47" s="22" t="s">
        <v>340</v>
      </c>
      <c r="C47" s="22">
        <v>545729</v>
      </c>
      <c r="D47" s="32">
        <v>43908</v>
      </c>
      <c r="E47" s="32">
        <f t="shared" si="1"/>
        <v>43941</v>
      </c>
      <c r="F47" s="32">
        <v>43948</v>
      </c>
      <c r="G47" s="22" t="s">
        <v>250</v>
      </c>
      <c r="H47" s="22">
        <v>218463</v>
      </c>
      <c r="I47" s="22" t="s">
        <v>251</v>
      </c>
      <c r="J47" s="33">
        <v>253.77</v>
      </c>
      <c r="K47" s="22" t="str">
        <f t="shared" si="2"/>
        <v>Mar</v>
      </c>
      <c r="L47" s="22">
        <f t="shared" si="3"/>
        <v>18</v>
      </c>
      <c r="M47" s="22">
        <f>IF(F47&gt;E47,NETWORKDAYS(E47,F47,'NSW Holidays 2020'!$A$4:$A$15),0)</f>
        <v>6</v>
      </c>
      <c r="N47" s="34">
        <f t="shared" si="4"/>
        <v>10.481432</v>
      </c>
    </row>
    <row r="48" spans="1:14" x14ac:dyDescent="0.3">
      <c r="A48" s="23" t="s">
        <v>295</v>
      </c>
      <c r="B48" s="23" t="s">
        <v>340</v>
      </c>
      <c r="C48" s="23">
        <v>545731</v>
      </c>
      <c r="D48" s="29">
        <v>43906</v>
      </c>
      <c r="E48" s="29">
        <f t="shared" si="1"/>
        <v>43937</v>
      </c>
      <c r="F48" s="29">
        <v>43949</v>
      </c>
      <c r="G48" s="23" t="s">
        <v>252</v>
      </c>
      <c r="H48" s="23">
        <v>336345</v>
      </c>
      <c r="I48" s="23" t="s">
        <v>253</v>
      </c>
      <c r="J48" s="30">
        <v>442.86</v>
      </c>
      <c r="K48" s="23" t="str">
        <f t="shared" si="2"/>
        <v>Mar</v>
      </c>
      <c r="L48" s="23">
        <f t="shared" si="3"/>
        <v>16</v>
      </c>
      <c r="M48" s="23">
        <f>IF(F48&gt;E48,NETWORKDAYS(E48,F48,'NSW Holidays 2020'!$A$4:$A$15),0)</f>
        <v>9</v>
      </c>
      <c r="N48" s="31">
        <f t="shared" si="4"/>
        <v>19.348663999999999</v>
      </c>
    </row>
    <row r="49" spans="1:14" x14ac:dyDescent="0.3">
      <c r="A49" s="22" t="s">
        <v>296</v>
      </c>
      <c r="B49" s="22" t="s">
        <v>340</v>
      </c>
      <c r="C49" s="22">
        <v>545732</v>
      </c>
      <c r="D49" s="32">
        <v>43901</v>
      </c>
      <c r="E49" s="32">
        <f t="shared" si="1"/>
        <v>43934</v>
      </c>
      <c r="F49" s="32">
        <v>43924</v>
      </c>
      <c r="G49" s="22" t="s">
        <v>250</v>
      </c>
      <c r="H49" s="22">
        <v>227664</v>
      </c>
      <c r="I49" s="22" t="s">
        <v>251</v>
      </c>
      <c r="J49" s="33">
        <v>630.96</v>
      </c>
      <c r="K49" s="22" t="str">
        <f t="shared" si="2"/>
        <v>Mar</v>
      </c>
      <c r="L49" s="22">
        <f t="shared" si="3"/>
        <v>11</v>
      </c>
      <c r="M49" s="22">
        <f>IF(F49&gt;E49,NETWORKDAYS(E49,F49,'NSW Holidays 2020'!$A$4:$A$15),0)</f>
        <v>0</v>
      </c>
      <c r="N49" s="34">
        <f t="shared" si="4"/>
        <v>5</v>
      </c>
    </row>
    <row r="50" spans="1:14" x14ac:dyDescent="0.3">
      <c r="A50" s="23" t="s">
        <v>297</v>
      </c>
      <c r="B50" s="23" t="s">
        <v>340</v>
      </c>
      <c r="C50" s="23">
        <v>545734</v>
      </c>
      <c r="D50" s="29">
        <v>43895</v>
      </c>
      <c r="E50" s="29">
        <f t="shared" si="1"/>
        <v>43927</v>
      </c>
      <c r="F50" s="29">
        <v>43925</v>
      </c>
      <c r="G50" s="23" t="s">
        <v>252</v>
      </c>
      <c r="H50" s="23">
        <v>331460</v>
      </c>
      <c r="I50" s="23" t="s">
        <v>253</v>
      </c>
      <c r="J50" s="30">
        <v>821.37</v>
      </c>
      <c r="K50" s="23" t="str">
        <f t="shared" si="2"/>
        <v>Mar</v>
      </c>
      <c r="L50" s="23">
        <f t="shared" si="3"/>
        <v>5</v>
      </c>
      <c r="M50" s="23">
        <f>IF(F50&gt;E50,NETWORKDAYS(E50,F50,'NSW Holidays 2020'!$A$4:$A$15),0)</f>
        <v>0</v>
      </c>
      <c r="N50" s="31">
        <f t="shared" si="4"/>
        <v>5</v>
      </c>
    </row>
    <row r="51" spans="1:14" x14ac:dyDescent="0.3">
      <c r="A51" s="22" t="s">
        <v>298</v>
      </c>
      <c r="B51" s="22" t="s">
        <v>340</v>
      </c>
      <c r="C51" s="22">
        <v>545735</v>
      </c>
      <c r="D51" s="32">
        <v>43888</v>
      </c>
      <c r="E51" s="32">
        <f t="shared" si="1"/>
        <v>43917</v>
      </c>
      <c r="F51" s="32">
        <v>43928</v>
      </c>
      <c r="G51" s="22" t="s">
        <v>252</v>
      </c>
      <c r="H51" s="22">
        <v>327740</v>
      </c>
      <c r="I51" s="22" t="s">
        <v>253</v>
      </c>
      <c r="J51" s="33">
        <v>950.73</v>
      </c>
      <c r="K51" s="22" t="str">
        <f t="shared" si="2"/>
        <v>Feb</v>
      </c>
      <c r="L51" s="22">
        <f t="shared" si="3"/>
        <v>27</v>
      </c>
      <c r="M51" s="22">
        <f>IF(F51&gt;E51,NETWORKDAYS(E51,F51,'NSW Holidays 2020'!$A$4:$A$15),0)</f>
        <v>8</v>
      </c>
      <c r="N51" s="34">
        <f t="shared" si="4"/>
        <v>32.381023999999996</v>
      </c>
    </row>
    <row r="52" spans="1:14" x14ac:dyDescent="0.3">
      <c r="A52" s="23" t="s">
        <v>299</v>
      </c>
      <c r="B52" s="23" t="s">
        <v>340</v>
      </c>
      <c r="C52" s="23">
        <v>545737</v>
      </c>
      <c r="D52" s="29">
        <v>43921</v>
      </c>
      <c r="E52" s="29">
        <f t="shared" si="1"/>
        <v>43951</v>
      </c>
      <c r="F52" s="29">
        <v>43931</v>
      </c>
      <c r="G52" s="23" t="s">
        <v>250</v>
      </c>
      <c r="H52" s="23">
        <v>221183</v>
      </c>
      <c r="I52" s="23" t="s">
        <v>251</v>
      </c>
      <c r="J52" s="30">
        <v>956.34</v>
      </c>
      <c r="K52" s="23" t="str">
        <f t="shared" si="2"/>
        <v>Mar</v>
      </c>
      <c r="L52" s="23">
        <f t="shared" si="3"/>
        <v>31</v>
      </c>
      <c r="M52" s="23">
        <f>IF(F52&gt;E52,NETWORKDAYS(E52,F52,'NSW Holidays 2020'!$A$4:$A$15),0)</f>
        <v>0</v>
      </c>
      <c r="N52" s="31">
        <f t="shared" si="4"/>
        <v>5</v>
      </c>
    </row>
    <row r="53" spans="1:14" x14ac:dyDescent="0.3">
      <c r="A53" s="22" t="s">
        <v>300</v>
      </c>
      <c r="B53" s="22" t="s">
        <v>340</v>
      </c>
      <c r="C53" s="22">
        <v>545739</v>
      </c>
      <c r="D53" s="32">
        <v>43917</v>
      </c>
      <c r="E53" s="32">
        <f t="shared" si="1"/>
        <v>43948</v>
      </c>
      <c r="F53" s="32">
        <v>43933</v>
      </c>
      <c r="G53" s="22" t="s">
        <v>250</v>
      </c>
      <c r="H53" s="22">
        <v>214234</v>
      </c>
      <c r="I53" s="22" t="s">
        <v>251</v>
      </c>
      <c r="J53" s="33">
        <v>1094.28</v>
      </c>
      <c r="K53" s="22" t="str">
        <f t="shared" si="2"/>
        <v>Mar</v>
      </c>
      <c r="L53" s="22">
        <f t="shared" si="3"/>
        <v>27</v>
      </c>
      <c r="M53" s="22">
        <f>IF(F53&gt;E53,NETWORKDAYS(E53,F53,'NSW Holidays 2020'!$A$4:$A$15),0)</f>
        <v>0</v>
      </c>
      <c r="N53" s="34">
        <f t="shared" si="4"/>
        <v>5</v>
      </c>
    </row>
    <row r="54" spans="1:14" x14ac:dyDescent="0.3">
      <c r="A54" s="23" t="s">
        <v>301</v>
      </c>
      <c r="B54" s="23" t="s">
        <v>340</v>
      </c>
      <c r="C54" s="23">
        <v>545740</v>
      </c>
      <c r="D54" s="29">
        <v>43908</v>
      </c>
      <c r="E54" s="29">
        <f t="shared" si="1"/>
        <v>43941</v>
      </c>
      <c r="F54" s="29">
        <v>43926</v>
      </c>
      <c r="G54" s="23" t="s">
        <v>252</v>
      </c>
      <c r="H54" s="23">
        <v>321456</v>
      </c>
      <c r="I54" s="23" t="s">
        <v>253</v>
      </c>
      <c r="J54" s="30">
        <v>628.98</v>
      </c>
      <c r="K54" s="23" t="str">
        <f t="shared" si="2"/>
        <v>Mar</v>
      </c>
      <c r="L54" s="23">
        <f t="shared" si="3"/>
        <v>18</v>
      </c>
      <c r="M54" s="23">
        <f>IF(F54&gt;E54,NETWORKDAYS(E54,F54,'NSW Holidays 2020'!$A$4:$A$15),0)</f>
        <v>0</v>
      </c>
      <c r="N54" s="31">
        <f t="shared" si="4"/>
        <v>5</v>
      </c>
    </row>
    <row r="55" spans="1:14" x14ac:dyDescent="0.3">
      <c r="A55" s="22" t="s">
        <v>302</v>
      </c>
      <c r="B55" s="22" t="s">
        <v>340</v>
      </c>
      <c r="C55" s="22">
        <v>545742</v>
      </c>
      <c r="D55" s="32">
        <v>43929</v>
      </c>
      <c r="E55" s="32">
        <f t="shared" si="1"/>
        <v>43959</v>
      </c>
      <c r="F55" s="32">
        <v>43941</v>
      </c>
      <c r="G55" s="22" t="s">
        <v>250</v>
      </c>
      <c r="H55" s="22">
        <v>233209</v>
      </c>
      <c r="I55" s="22" t="s">
        <v>251</v>
      </c>
      <c r="J55" s="33">
        <v>1058.31</v>
      </c>
      <c r="K55" s="22" t="str">
        <f t="shared" si="2"/>
        <v>Apr</v>
      </c>
      <c r="L55" s="22">
        <f t="shared" si="3"/>
        <v>8</v>
      </c>
      <c r="M55" s="22">
        <f>IF(F55&gt;E55,NETWORKDAYS(E55,F55,'NSW Holidays 2020'!$A$4:$A$15),0)</f>
        <v>0</v>
      </c>
      <c r="N55" s="34">
        <f t="shared" si="4"/>
        <v>5</v>
      </c>
    </row>
    <row r="56" spans="1:14" x14ac:dyDescent="0.3">
      <c r="A56" s="23" t="s">
        <v>303</v>
      </c>
      <c r="B56" s="23" t="s">
        <v>340</v>
      </c>
      <c r="C56" s="23">
        <v>545743</v>
      </c>
      <c r="D56" s="29">
        <v>43921</v>
      </c>
      <c r="E56" s="29">
        <f t="shared" si="1"/>
        <v>43951</v>
      </c>
      <c r="F56" s="29">
        <v>43929</v>
      </c>
      <c r="G56" s="23" t="s">
        <v>250</v>
      </c>
      <c r="H56" s="23">
        <v>222998</v>
      </c>
      <c r="I56" s="23" t="s">
        <v>251</v>
      </c>
      <c r="J56" s="30">
        <v>705.54</v>
      </c>
      <c r="K56" s="23" t="str">
        <f t="shared" si="2"/>
        <v>Mar</v>
      </c>
      <c r="L56" s="23">
        <f t="shared" si="3"/>
        <v>31</v>
      </c>
      <c r="M56" s="23">
        <f>IF(F56&gt;E56,NETWORKDAYS(E56,F56,'NSW Holidays 2020'!$A$4:$A$15),0)</f>
        <v>0</v>
      </c>
      <c r="N56" s="31">
        <f t="shared" si="4"/>
        <v>5</v>
      </c>
    </row>
    <row r="57" spans="1:14" x14ac:dyDescent="0.3">
      <c r="A57" s="22" t="s">
        <v>304</v>
      </c>
      <c r="B57" s="22" t="s">
        <v>340</v>
      </c>
      <c r="C57" s="22">
        <v>545745</v>
      </c>
      <c r="D57" s="32">
        <v>43935</v>
      </c>
      <c r="E57" s="32">
        <f t="shared" si="1"/>
        <v>43965</v>
      </c>
      <c r="F57" s="32">
        <v>43948</v>
      </c>
      <c r="G57" s="22" t="s">
        <v>250</v>
      </c>
      <c r="H57" s="22">
        <v>228246</v>
      </c>
      <c r="I57" s="22" t="s">
        <v>251</v>
      </c>
      <c r="J57" s="33">
        <v>138.6</v>
      </c>
      <c r="K57" s="22" t="str">
        <f t="shared" si="2"/>
        <v>Apr</v>
      </c>
      <c r="L57" s="22">
        <f t="shared" si="3"/>
        <v>14</v>
      </c>
      <c r="M57" s="22">
        <f>IF(F57&gt;E57,NETWORKDAYS(E57,F57,'NSW Holidays 2020'!$A$4:$A$15),0)</f>
        <v>0</v>
      </c>
      <c r="N57" s="34">
        <f t="shared" si="4"/>
        <v>5</v>
      </c>
    </row>
    <row r="58" spans="1:14" x14ac:dyDescent="0.3">
      <c r="A58" s="23" t="s">
        <v>305</v>
      </c>
      <c r="B58" s="23" t="s">
        <v>340</v>
      </c>
      <c r="C58" s="23">
        <v>545747</v>
      </c>
      <c r="D58" s="29">
        <v>43914</v>
      </c>
      <c r="E58" s="29">
        <f t="shared" si="1"/>
        <v>43945</v>
      </c>
      <c r="F58" s="29">
        <v>43928</v>
      </c>
      <c r="G58" s="23" t="s">
        <v>252</v>
      </c>
      <c r="H58" s="23">
        <v>314876</v>
      </c>
      <c r="I58" s="23" t="s">
        <v>253</v>
      </c>
      <c r="J58" s="30">
        <v>417.12</v>
      </c>
      <c r="K58" s="23" t="str">
        <f t="shared" si="2"/>
        <v>Mar</v>
      </c>
      <c r="L58" s="23">
        <f t="shared" si="3"/>
        <v>24</v>
      </c>
      <c r="M58" s="23">
        <f>IF(F58&gt;E58,NETWORKDAYS(E58,F58,'NSW Holidays 2020'!$A$4:$A$15),0)</f>
        <v>0</v>
      </c>
      <c r="N58" s="31">
        <f t="shared" si="4"/>
        <v>5</v>
      </c>
    </row>
    <row r="59" spans="1:14" x14ac:dyDescent="0.3">
      <c r="A59" s="22" t="s">
        <v>306</v>
      </c>
      <c r="B59" s="22" t="s">
        <v>340</v>
      </c>
      <c r="C59" s="22">
        <v>545748</v>
      </c>
      <c r="D59" s="32">
        <v>43913</v>
      </c>
      <c r="E59" s="32">
        <f t="shared" si="1"/>
        <v>43944</v>
      </c>
      <c r="F59" s="32">
        <v>43939</v>
      </c>
      <c r="G59" s="22" t="s">
        <v>250</v>
      </c>
      <c r="H59" s="22">
        <v>223602</v>
      </c>
      <c r="I59" s="22" t="s">
        <v>251</v>
      </c>
      <c r="J59" s="33">
        <v>422.73</v>
      </c>
      <c r="K59" s="22" t="str">
        <f t="shared" si="2"/>
        <v>Mar</v>
      </c>
      <c r="L59" s="22">
        <f t="shared" si="3"/>
        <v>23</v>
      </c>
      <c r="M59" s="22">
        <f>IF(F59&gt;E59,NETWORKDAYS(E59,F59,'NSW Holidays 2020'!$A$4:$A$15),0)</f>
        <v>0</v>
      </c>
      <c r="N59" s="34">
        <f t="shared" si="4"/>
        <v>5</v>
      </c>
    </row>
    <row r="60" spans="1:14" x14ac:dyDescent="0.3">
      <c r="A60" s="23" t="s">
        <v>307</v>
      </c>
      <c r="B60" s="23" t="s">
        <v>340</v>
      </c>
      <c r="C60" s="23">
        <v>545750</v>
      </c>
      <c r="D60" s="29">
        <v>43908</v>
      </c>
      <c r="E60" s="29">
        <f t="shared" si="1"/>
        <v>43941</v>
      </c>
      <c r="F60" s="29">
        <v>43935</v>
      </c>
      <c r="G60" s="23" t="s">
        <v>252</v>
      </c>
      <c r="H60" s="23">
        <v>319833</v>
      </c>
      <c r="I60" s="23" t="s">
        <v>253</v>
      </c>
      <c r="J60" s="30">
        <v>1061.94</v>
      </c>
      <c r="K60" s="23" t="str">
        <f t="shared" si="2"/>
        <v>Mar</v>
      </c>
      <c r="L60" s="23">
        <f t="shared" si="3"/>
        <v>18</v>
      </c>
      <c r="M60" s="23">
        <f>IF(F60&gt;E60,NETWORKDAYS(E60,F60,'NSW Holidays 2020'!$A$4:$A$15),0)</f>
        <v>0</v>
      </c>
      <c r="N60" s="31">
        <f t="shared" si="4"/>
        <v>5</v>
      </c>
    </row>
    <row r="61" spans="1:14" x14ac:dyDescent="0.3">
      <c r="A61" s="22" t="s">
        <v>308</v>
      </c>
      <c r="B61" s="22" t="s">
        <v>340</v>
      </c>
      <c r="C61" s="22">
        <v>545751</v>
      </c>
      <c r="D61" s="32">
        <v>43912</v>
      </c>
      <c r="E61" s="32">
        <f t="shared" si="1"/>
        <v>43943</v>
      </c>
      <c r="F61" s="32">
        <v>43927</v>
      </c>
      <c r="G61" s="22" t="s">
        <v>252</v>
      </c>
      <c r="H61" s="22">
        <v>310345</v>
      </c>
      <c r="I61" s="22" t="s">
        <v>253</v>
      </c>
      <c r="J61" s="33">
        <v>602.58000000000004</v>
      </c>
      <c r="K61" s="22" t="str">
        <f t="shared" si="2"/>
        <v>Mar</v>
      </c>
      <c r="L61" s="22">
        <f t="shared" si="3"/>
        <v>22</v>
      </c>
      <c r="M61" s="22">
        <f>IF(F61&gt;E61,NETWORKDAYS(E61,F61,'NSW Holidays 2020'!$A$4:$A$15),0)</f>
        <v>0</v>
      </c>
      <c r="N61" s="34">
        <f t="shared" si="4"/>
        <v>5</v>
      </c>
    </row>
    <row r="62" spans="1:14" x14ac:dyDescent="0.3">
      <c r="A62" s="23" t="s">
        <v>309</v>
      </c>
      <c r="B62" s="23" t="s">
        <v>340</v>
      </c>
      <c r="C62" s="23">
        <v>545753</v>
      </c>
      <c r="D62" s="29">
        <v>43927</v>
      </c>
      <c r="E62" s="29">
        <f t="shared" si="1"/>
        <v>43957</v>
      </c>
      <c r="F62" s="29">
        <v>43951</v>
      </c>
      <c r="G62" s="23" t="s">
        <v>252</v>
      </c>
      <c r="H62" s="23">
        <v>317142</v>
      </c>
      <c r="I62" s="23" t="s">
        <v>253</v>
      </c>
      <c r="J62" s="30">
        <v>132.66</v>
      </c>
      <c r="K62" s="23" t="str">
        <f t="shared" si="2"/>
        <v>Apr</v>
      </c>
      <c r="L62" s="23">
        <f t="shared" si="3"/>
        <v>6</v>
      </c>
      <c r="M62" s="23">
        <f>IF(F62&gt;E62,NETWORKDAYS(E62,F62,'NSW Holidays 2020'!$A$4:$A$15),0)</f>
        <v>0</v>
      </c>
      <c r="N62" s="31">
        <f t="shared" si="4"/>
        <v>5</v>
      </c>
    </row>
    <row r="63" spans="1:14" x14ac:dyDescent="0.3">
      <c r="A63" s="22" t="s">
        <v>310</v>
      </c>
      <c r="B63" s="22" t="s">
        <v>340</v>
      </c>
      <c r="C63" s="22">
        <v>545754</v>
      </c>
      <c r="D63" s="32">
        <v>43896</v>
      </c>
      <c r="E63" s="32">
        <f t="shared" si="1"/>
        <v>43927</v>
      </c>
      <c r="F63" s="32">
        <v>43925</v>
      </c>
      <c r="G63" s="22" t="s">
        <v>252</v>
      </c>
      <c r="H63" s="22">
        <v>313747</v>
      </c>
      <c r="I63" s="22" t="s">
        <v>253</v>
      </c>
      <c r="J63" s="33">
        <v>56.43</v>
      </c>
      <c r="K63" s="22" t="str">
        <f t="shared" si="2"/>
        <v>Mar</v>
      </c>
      <c r="L63" s="22">
        <f t="shared" si="3"/>
        <v>6</v>
      </c>
      <c r="M63" s="22">
        <f>IF(F63&gt;E63,NETWORKDAYS(E63,F63,'NSW Holidays 2020'!$A$4:$A$15),0)</f>
        <v>0</v>
      </c>
      <c r="N63" s="34">
        <f t="shared" si="4"/>
        <v>5</v>
      </c>
    </row>
    <row r="64" spans="1:14" x14ac:dyDescent="0.3">
      <c r="A64" s="23" t="s">
        <v>311</v>
      </c>
      <c r="B64" s="23" t="s">
        <v>340</v>
      </c>
      <c r="C64" s="23">
        <v>545756</v>
      </c>
      <c r="D64" s="29">
        <v>43881</v>
      </c>
      <c r="E64" s="29">
        <f t="shared" si="1"/>
        <v>43910</v>
      </c>
      <c r="F64" s="29">
        <v>43926</v>
      </c>
      <c r="G64" s="23" t="s">
        <v>250</v>
      </c>
      <c r="H64" s="23">
        <v>234966</v>
      </c>
      <c r="I64" s="23" t="s">
        <v>251</v>
      </c>
      <c r="J64" s="30">
        <v>511.83</v>
      </c>
      <c r="K64" s="23" t="str">
        <f t="shared" si="2"/>
        <v>Feb</v>
      </c>
      <c r="L64" s="23">
        <f t="shared" si="3"/>
        <v>20</v>
      </c>
      <c r="M64" s="23">
        <f>IF(F64&gt;E64,NETWORKDAYS(E64,F64,'NSW Holidays 2020'!$A$4:$A$15),0)</f>
        <v>11</v>
      </c>
      <c r="N64" s="31">
        <f t="shared" si="4"/>
        <v>25.268467999999999</v>
      </c>
    </row>
    <row r="65" spans="1:14" x14ac:dyDescent="0.3">
      <c r="A65" s="22" t="s">
        <v>312</v>
      </c>
      <c r="B65" s="22" t="s">
        <v>340</v>
      </c>
      <c r="C65" s="22">
        <v>545758</v>
      </c>
      <c r="D65" s="32">
        <v>43916</v>
      </c>
      <c r="E65" s="32">
        <f t="shared" si="1"/>
        <v>43948</v>
      </c>
      <c r="F65" s="32">
        <v>43929</v>
      </c>
      <c r="G65" s="22" t="s">
        <v>250</v>
      </c>
      <c r="H65" s="22">
        <v>215639</v>
      </c>
      <c r="I65" s="22" t="s">
        <v>251</v>
      </c>
      <c r="J65" s="33">
        <v>361.02</v>
      </c>
      <c r="K65" s="22" t="str">
        <f t="shared" si="2"/>
        <v>Mar</v>
      </c>
      <c r="L65" s="22">
        <f t="shared" si="3"/>
        <v>26</v>
      </c>
      <c r="M65" s="22">
        <f>IF(F65&gt;E65,NETWORKDAYS(E65,F65,'NSW Holidays 2020'!$A$4:$A$15),0)</f>
        <v>0</v>
      </c>
      <c r="N65" s="34">
        <f t="shared" si="4"/>
        <v>5</v>
      </c>
    </row>
    <row r="66" spans="1:14" x14ac:dyDescent="0.3">
      <c r="A66" s="23" t="s">
        <v>313</v>
      </c>
      <c r="B66" s="23" t="s">
        <v>340</v>
      </c>
      <c r="C66" s="23">
        <v>545760</v>
      </c>
      <c r="D66" s="29">
        <v>43932</v>
      </c>
      <c r="E66" s="29">
        <f t="shared" si="1"/>
        <v>43962</v>
      </c>
      <c r="F66" s="29">
        <v>43948</v>
      </c>
      <c r="G66" s="23" t="s">
        <v>252</v>
      </c>
      <c r="H66" s="23">
        <v>328536</v>
      </c>
      <c r="I66" s="23" t="s">
        <v>253</v>
      </c>
      <c r="J66" s="30">
        <v>668.25</v>
      </c>
      <c r="K66" s="23" t="str">
        <f t="shared" si="2"/>
        <v>Apr</v>
      </c>
      <c r="L66" s="23">
        <f t="shared" si="3"/>
        <v>11</v>
      </c>
      <c r="M66" s="23">
        <f>IF(F66&gt;E66,NETWORKDAYS(E66,F66,'NSW Holidays 2020'!$A$4:$A$15),0)</f>
        <v>0</v>
      </c>
      <c r="N66" s="31">
        <f t="shared" si="4"/>
        <v>5</v>
      </c>
    </row>
    <row r="67" spans="1:14" x14ac:dyDescent="0.3">
      <c r="A67" s="22" t="s">
        <v>314</v>
      </c>
      <c r="B67" s="22" t="s">
        <v>340</v>
      </c>
      <c r="C67" s="22">
        <v>545762</v>
      </c>
      <c r="D67" s="32">
        <v>43914</v>
      </c>
      <c r="E67" s="32">
        <f t="shared" si="1"/>
        <v>43945</v>
      </c>
      <c r="F67" s="32">
        <v>43933</v>
      </c>
      <c r="G67" s="22" t="s">
        <v>250</v>
      </c>
      <c r="H67" s="22">
        <v>210023</v>
      </c>
      <c r="I67" s="22" t="s">
        <v>251</v>
      </c>
      <c r="J67" s="33">
        <v>126.72</v>
      </c>
      <c r="K67" s="22" t="str">
        <f t="shared" si="2"/>
        <v>Mar</v>
      </c>
      <c r="L67" s="22">
        <f t="shared" si="3"/>
        <v>24</v>
      </c>
      <c r="M67" s="22">
        <f>IF(F67&gt;E67,NETWORKDAYS(E67,F67,'NSW Holidays 2020'!$A$4:$A$15),0)</f>
        <v>0</v>
      </c>
      <c r="N67" s="34">
        <f t="shared" si="4"/>
        <v>5</v>
      </c>
    </row>
    <row r="68" spans="1:14" x14ac:dyDescent="0.3">
      <c r="A68" s="23" t="s">
        <v>315</v>
      </c>
      <c r="B68" s="23" t="s">
        <v>340</v>
      </c>
      <c r="C68" s="23">
        <v>545763</v>
      </c>
      <c r="D68" s="29">
        <v>43905</v>
      </c>
      <c r="E68" s="29">
        <f t="shared" si="1"/>
        <v>43936</v>
      </c>
      <c r="F68" s="29">
        <v>43943</v>
      </c>
      <c r="G68" s="23" t="s">
        <v>252</v>
      </c>
      <c r="H68" s="23">
        <v>338938</v>
      </c>
      <c r="I68" s="23" t="s">
        <v>253</v>
      </c>
      <c r="J68" s="30">
        <v>1000.23</v>
      </c>
      <c r="K68" s="23" t="str">
        <f t="shared" si="2"/>
        <v>Mar</v>
      </c>
      <c r="L68" s="23">
        <f t="shared" si="3"/>
        <v>15</v>
      </c>
      <c r="M68" s="23">
        <f>IF(F68&gt;E68,NETWORKDAYS(E68,F68,'NSW Holidays 2020'!$A$4:$A$15),0)</f>
        <v>6</v>
      </c>
      <c r="N68" s="31">
        <f t="shared" si="4"/>
        <v>26.604968</v>
      </c>
    </row>
    <row r="69" spans="1:14" x14ac:dyDescent="0.3">
      <c r="A69" s="22" t="s">
        <v>316</v>
      </c>
      <c r="B69" s="22" t="s">
        <v>340</v>
      </c>
      <c r="C69" s="22">
        <v>545765</v>
      </c>
      <c r="D69" s="32">
        <v>43918</v>
      </c>
      <c r="E69" s="32">
        <f t="shared" si="1"/>
        <v>43949</v>
      </c>
      <c r="F69" s="32">
        <v>43939</v>
      </c>
      <c r="G69" s="22" t="s">
        <v>252</v>
      </c>
      <c r="H69" s="22">
        <v>320536</v>
      </c>
      <c r="I69" s="22" t="s">
        <v>253</v>
      </c>
      <c r="J69" s="33">
        <v>948.75</v>
      </c>
      <c r="K69" s="22" t="str">
        <f t="shared" si="2"/>
        <v>Mar</v>
      </c>
      <c r="L69" s="22">
        <f t="shared" si="3"/>
        <v>28</v>
      </c>
      <c r="M69" s="22">
        <f>IF(F69&gt;E69,NETWORKDAYS(E69,F69,'NSW Holidays 2020'!$A$4:$A$15),0)</f>
        <v>0</v>
      </c>
      <c r="N69" s="34">
        <f t="shared" ref="N69:N88" si="5">J69*M69*Penalty_Rate+Flat_Rate</f>
        <v>5</v>
      </c>
    </row>
    <row r="70" spans="1:14" x14ac:dyDescent="0.3">
      <c r="A70" s="23" t="s">
        <v>317</v>
      </c>
      <c r="B70" s="23" t="s">
        <v>340</v>
      </c>
      <c r="C70" s="23">
        <v>545767</v>
      </c>
      <c r="D70" s="29">
        <v>43904</v>
      </c>
      <c r="E70" s="29">
        <f t="shared" ref="E70:E88" si="6">WORKDAY(EDATE(D70,1)-1,1)</f>
        <v>43935</v>
      </c>
      <c r="F70" s="29">
        <v>43937</v>
      </c>
      <c r="G70" s="23" t="s">
        <v>252</v>
      </c>
      <c r="H70" s="23">
        <v>322800</v>
      </c>
      <c r="I70" s="23" t="s">
        <v>253</v>
      </c>
      <c r="J70" s="30">
        <v>446.49</v>
      </c>
      <c r="K70" s="23" t="str">
        <f t="shared" ref="K70:K88" si="7">TEXT(D70,"MMM")</f>
        <v>Mar</v>
      </c>
      <c r="L70" s="23">
        <f t="shared" ref="L70:L88" si="8">DAY(D70)</f>
        <v>14</v>
      </c>
      <c r="M70" s="23">
        <f>IF(F70&gt;E70,NETWORKDAYS(E70,F70,'NSW Holidays 2020'!$A$4:$A$15),0)</f>
        <v>3</v>
      </c>
      <c r="N70" s="31">
        <f t="shared" si="5"/>
        <v>9.8220919999999996</v>
      </c>
    </row>
    <row r="71" spans="1:14" x14ac:dyDescent="0.3">
      <c r="A71" s="22" t="s">
        <v>318</v>
      </c>
      <c r="B71" s="22" t="s">
        <v>340</v>
      </c>
      <c r="C71" s="22">
        <v>545768</v>
      </c>
      <c r="D71" s="32">
        <v>43933</v>
      </c>
      <c r="E71" s="32">
        <f t="shared" si="6"/>
        <v>43963</v>
      </c>
      <c r="F71" s="32">
        <v>43940</v>
      </c>
      <c r="G71" s="22" t="s">
        <v>252</v>
      </c>
      <c r="H71" s="22">
        <v>321358</v>
      </c>
      <c r="I71" s="22" t="s">
        <v>253</v>
      </c>
      <c r="J71" s="33">
        <v>242.22</v>
      </c>
      <c r="K71" s="22" t="str">
        <f t="shared" si="7"/>
        <v>Apr</v>
      </c>
      <c r="L71" s="22">
        <f t="shared" si="8"/>
        <v>12</v>
      </c>
      <c r="M71" s="22">
        <f>IF(F71&gt;E71,NETWORKDAYS(E71,F71,'NSW Holidays 2020'!$A$4:$A$15),0)</f>
        <v>0</v>
      </c>
      <c r="N71" s="34">
        <f t="shared" si="5"/>
        <v>5</v>
      </c>
    </row>
    <row r="72" spans="1:14" x14ac:dyDescent="0.3">
      <c r="A72" s="23" t="s">
        <v>319</v>
      </c>
      <c r="B72" s="23" t="s">
        <v>340</v>
      </c>
      <c r="C72" s="23">
        <v>545769</v>
      </c>
      <c r="D72" s="29">
        <v>43887</v>
      </c>
      <c r="E72" s="29">
        <f t="shared" si="6"/>
        <v>43916</v>
      </c>
      <c r="F72" s="29">
        <v>43929</v>
      </c>
      <c r="G72" s="23" t="s">
        <v>252</v>
      </c>
      <c r="H72" s="23">
        <v>316190</v>
      </c>
      <c r="I72" s="23" t="s">
        <v>253</v>
      </c>
      <c r="J72" s="30">
        <v>600.6</v>
      </c>
      <c r="K72" s="23" t="str">
        <f t="shared" si="7"/>
        <v>Feb</v>
      </c>
      <c r="L72" s="23">
        <f t="shared" si="8"/>
        <v>26</v>
      </c>
      <c r="M72" s="23">
        <f>IF(F72&gt;E72,NETWORKDAYS(E72,F72,'NSW Holidays 2020'!$A$4:$A$15),0)</f>
        <v>10</v>
      </c>
      <c r="N72" s="31">
        <f t="shared" si="5"/>
        <v>26.621600000000001</v>
      </c>
    </row>
    <row r="73" spans="1:14" x14ac:dyDescent="0.3">
      <c r="A73" s="22" t="s">
        <v>320</v>
      </c>
      <c r="B73" s="22" t="s">
        <v>340</v>
      </c>
      <c r="C73" s="22">
        <v>545770</v>
      </c>
      <c r="D73" s="32">
        <v>43905</v>
      </c>
      <c r="E73" s="32">
        <f t="shared" si="6"/>
        <v>43936</v>
      </c>
      <c r="F73" s="32">
        <v>43942</v>
      </c>
      <c r="G73" s="22" t="s">
        <v>252</v>
      </c>
      <c r="H73" s="22">
        <v>327938</v>
      </c>
      <c r="I73" s="22" t="s">
        <v>253</v>
      </c>
      <c r="J73" s="33">
        <v>546.80999999999995</v>
      </c>
      <c r="K73" s="22" t="str">
        <f t="shared" si="7"/>
        <v>Mar</v>
      </c>
      <c r="L73" s="22">
        <f t="shared" si="8"/>
        <v>15</v>
      </c>
      <c r="M73" s="22">
        <f>IF(F73&gt;E73,NETWORKDAYS(E73,F73,'NSW Holidays 2020'!$A$4:$A$15),0)</f>
        <v>5</v>
      </c>
      <c r="N73" s="34">
        <f t="shared" si="5"/>
        <v>14.842579999999998</v>
      </c>
    </row>
    <row r="74" spans="1:14" x14ac:dyDescent="0.3">
      <c r="A74" s="23" t="s">
        <v>321</v>
      </c>
      <c r="B74" s="23" t="s">
        <v>340</v>
      </c>
      <c r="C74" s="23">
        <v>545772</v>
      </c>
      <c r="D74" s="29">
        <v>43900</v>
      </c>
      <c r="E74" s="29">
        <f t="shared" si="6"/>
        <v>43931</v>
      </c>
      <c r="F74" s="29">
        <v>43931</v>
      </c>
      <c r="G74" s="23" t="s">
        <v>250</v>
      </c>
      <c r="H74" s="23">
        <v>234487</v>
      </c>
      <c r="I74" s="23" t="s">
        <v>251</v>
      </c>
      <c r="J74" s="30">
        <v>840.51</v>
      </c>
      <c r="K74" s="23" t="str">
        <f t="shared" si="7"/>
        <v>Mar</v>
      </c>
      <c r="L74" s="23">
        <f t="shared" si="8"/>
        <v>10</v>
      </c>
      <c r="M74" s="23">
        <f>IF(F74&gt;E74,NETWORKDAYS(E74,F74,'NSW Holidays 2020'!$A$4:$A$15),0)</f>
        <v>0</v>
      </c>
      <c r="N74" s="31">
        <f t="shared" si="5"/>
        <v>5</v>
      </c>
    </row>
    <row r="75" spans="1:14" x14ac:dyDescent="0.3">
      <c r="A75" s="22" t="s">
        <v>322</v>
      </c>
      <c r="B75" s="22" t="s">
        <v>340</v>
      </c>
      <c r="C75" s="22">
        <v>545773</v>
      </c>
      <c r="D75" s="32">
        <v>43923</v>
      </c>
      <c r="E75" s="32">
        <f t="shared" si="6"/>
        <v>43955</v>
      </c>
      <c r="F75" s="32">
        <v>43951</v>
      </c>
      <c r="G75" s="22" t="s">
        <v>250</v>
      </c>
      <c r="H75" s="22">
        <v>231274</v>
      </c>
      <c r="I75" s="22" t="s">
        <v>251</v>
      </c>
      <c r="J75" s="33">
        <v>603.57000000000005</v>
      </c>
      <c r="K75" s="22" t="str">
        <f t="shared" si="7"/>
        <v>Apr</v>
      </c>
      <c r="L75" s="22">
        <f t="shared" si="8"/>
        <v>2</v>
      </c>
      <c r="M75" s="22">
        <f>IF(F75&gt;E75,NETWORKDAYS(E75,F75,'NSW Holidays 2020'!$A$4:$A$15),0)</f>
        <v>0</v>
      </c>
      <c r="N75" s="34">
        <f t="shared" si="5"/>
        <v>5</v>
      </c>
    </row>
    <row r="76" spans="1:14" x14ac:dyDescent="0.3">
      <c r="A76" s="23" t="s">
        <v>323</v>
      </c>
      <c r="B76" s="23" t="s">
        <v>340</v>
      </c>
      <c r="C76" s="23">
        <v>545774</v>
      </c>
      <c r="D76" s="29">
        <v>43914</v>
      </c>
      <c r="E76" s="29">
        <f t="shared" si="6"/>
        <v>43945</v>
      </c>
      <c r="F76" s="29">
        <v>43944</v>
      </c>
      <c r="G76" s="23" t="s">
        <v>250</v>
      </c>
      <c r="H76" s="23">
        <v>224955</v>
      </c>
      <c r="I76" s="23" t="s">
        <v>251</v>
      </c>
      <c r="J76" s="30">
        <v>816.75</v>
      </c>
      <c r="K76" s="23" t="str">
        <f t="shared" si="7"/>
        <v>Mar</v>
      </c>
      <c r="L76" s="23">
        <f t="shared" si="8"/>
        <v>24</v>
      </c>
      <c r="M76" s="23">
        <f>IF(F76&gt;E76,NETWORKDAYS(E76,F76,'NSW Holidays 2020'!$A$4:$A$15),0)</f>
        <v>0</v>
      </c>
      <c r="N76" s="31">
        <f t="shared" si="5"/>
        <v>5</v>
      </c>
    </row>
    <row r="77" spans="1:14" x14ac:dyDescent="0.3">
      <c r="A77" s="22" t="s">
        <v>324</v>
      </c>
      <c r="B77" s="22" t="s">
        <v>340</v>
      </c>
      <c r="C77" s="22">
        <v>545775</v>
      </c>
      <c r="D77" s="32">
        <v>43912</v>
      </c>
      <c r="E77" s="32">
        <f t="shared" si="6"/>
        <v>43943</v>
      </c>
      <c r="F77" s="32">
        <v>43951</v>
      </c>
      <c r="G77" s="22" t="s">
        <v>250</v>
      </c>
      <c r="H77" s="22">
        <v>217275</v>
      </c>
      <c r="I77" s="22" t="s">
        <v>251</v>
      </c>
      <c r="J77" s="33">
        <v>1065.57</v>
      </c>
      <c r="K77" s="22" t="str">
        <f t="shared" si="7"/>
        <v>Mar</v>
      </c>
      <c r="L77" s="22">
        <f t="shared" si="8"/>
        <v>22</v>
      </c>
      <c r="M77" s="22">
        <f>IF(F77&gt;E77,NETWORKDAYS(E77,F77,'NSW Holidays 2020'!$A$4:$A$15),0)</f>
        <v>7</v>
      </c>
      <c r="N77" s="34">
        <f t="shared" si="5"/>
        <v>31.852363999999998</v>
      </c>
    </row>
    <row r="78" spans="1:14" x14ac:dyDescent="0.3">
      <c r="A78" s="23" t="s">
        <v>325</v>
      </c>
      <c r="B78" s="23" t="s">
        <v>340</v>
      </c>
      <c r="C78" s="23">
        <v>545776</v>
      </c>
      <c r="D78" s="29">
        <v>43919</v>
      </c>
      <c r="E78" s="29">
        <f t="shared" si="6"/>
        <v>43950</v>
      </c>
      <c r="F78" s="29">
        <v>43925</v>
      </c>
      <c r="G78" s="23" t="s">
        <v>250</v>
      </c>
      <c r="H78" s="23">
        <v>226240</v>
      </c>
      <c r="I78" s="23" t="s">
        <v>251</v>
      </c>
      <c r="J78" s="30">
        <v>523.38</v>
      </c>
      <c r="K78" s="23" t="str">
        <f t="shared" si="7"/>
        <v>Mar</v>
      </c>
      <c r="L78" s="23">
        <f t="shared" si="8"/>
        <v>29</v>
      </c>
      <c r="M78" s="23">
        <f>IF(F78&gt;E78,NETWORKDAYS(E78,F78,'NSW Holidays 2020'!$A$4:$A$15),0)</f>
        <v>0</v>
      </c>
      <c r="N78" s="31">
        <f t="shared" si="5"/>
        <v>5</v>
      </c>
    </row>
    <row r="79" spans="1:14" x14ac:dyDescent="0.3">
      <c r="A79" s="22" t="s">
        <v>326</v>
      </c>
      <c r="B79" s="22" t="s">
        <v>340</v>
      </c>
      <c r="C79" s="22">
        <v>545778</v>
      </c>
      <c r="D79" s="32">
        <v>43890</v>
      </c>
      <c r="E79" s="32">
        <f t="shared" si="6"/>
        <v>43920</v>
      </c>
      <c r="F79" s="32">
        <v>43932</v>
      </c>
      <c r="G79" s="22" t="s">
        <v>252</v>
      </c>
      <c r="H79" s="22">
        <v>325643</v>
      </c>
      <c r="I79" s="22" t="s">
        <v>253</v>
      </c>
      <c r="J79" s="33">
        <v>650.42999999999995</v>
      </c>
      <c r="K79" s="22" t="str">
        <f t="shared" si="7"/>
        <v>Feb</v>
      </c>
      <c r="L79" s="22">
        <f t="shared" si="8"/>
        <v>29</v>
      </c>
      <c r="M79" s="22">
        <f>IF(F79&gt;E79,NETWORKDAYS(E79,F79,'NSW Holidays 2020'!$A$4:$A$15),0)</f>
        <v>9</v>
      </c>
      <c r="N79" s="34">
        <f t="shared" si="5"/>
        <v>26.073931999999999</v>
      </c>
    </row>
    <row r="80" spans="1:14" x14ac:dyDescent="0.3">
      <c r="A80" s="23" t="s">
        <v>327</v>
      </c>
      <c r="B80" s="23" t="s">
        <v>340</v>
      </c>
      <c r="C80" s="23">
        <v>545780</v>
      </c>
      <c r="D80" s="29">
        <v>43934</v>
      </c>
      <c r="E80" s="29">
        <f t="shared" si="6"/>
        <v>43964</v>
      </c>
      <c r="F80" s="29">
        <v>43943</v>
      </c>
      <c r="G80" s="23" t="s">
        <v>252</v>
      </c>
      <c r="H80" s="23">
        <v>312800</v>
      </c>
      <c r="I80" s="23" t="s">
        <v>253</v>
      </c>
      <c r="J80" s="30">
        <v>809.49</v>
      </c>
      <c r="K80" s="23" t="str">
        <f t="shared" si="7"/>
        <v>Apr</v>
      </c>
      <c r="L80" s="23">
        <f t="shared" si="8"/>
        <v>13</v>
      </c>
      <c r="M80" s="23">
        <f>IF(F80&gt;E80,NETWORKDAYS(E80,F80,'NSW Holidays 2020'!$A$4:$A$15),0)</f>
        <v>0</v>
      </c>
      <c r="N80" s="31">
        <f t="shared" si="5"/>
        <v>5</v>
      </c>
    </row>
    <row r="81" spans="1:14" x14ac:dyDescent="0.3">
      <c r="A81" s="22" t="s">
        <v>328</v>
      </c>
      <c r="B81" s="22" t="s">
        <v>340</v>
      </c>
      <c r="C81" s="22">
        <v>545781</v>
      </c>
      <c r="D81" s="32">
        <v>43901</v>
      </c>
      <c r="E81" s="32">
        <f t="shared" si="6"/>
        <v>43934</v>
      </c>
      <c r="F81" s="32">
        <v>43943</v>
      </c>
      <c r="G81" s="22" t="s">
        <v>252</v>
      </c>
      <c r="H81" s="22">
        <v>338807</v>
      </c>
      <c r="I81" s="22" t="s">
        <v>253</v>
      </c>
      <c r="J81" s="33">
        <v>424.38</v>
      </c>
      <c r="K81" s="22" t="str">
        <f t="shared" si="7"/>
        <v>Mar</v>
      </c>
      <c r="L81" s="22">
        <f t="shared" si="8"/>
        <v>11</v>
      </c>
      <c r="M81" s="22">
        <f>IF(F81&gt;E81,NETWORKDAYS(E81,F81,'NSW Holidays 2020'!$A$4:$A$15),0)</f>
        <v>7</v>
      </c>
      <c r="N81" s="34">
        <f t="shared" si="5"/>
        <v>15.694375999999998</v>
      </c>
    </row>
    <row r="82" spans="1:14" x14ac:dyDescent="0.3">
      <c r="A82" s="23" t="s">
        <v>329</v>
      </c>
      <c r="B82" s="23" t="s">
        <v>340</v>
      </c>
      <c r="C82" s="23">
        <v>545783</v>
      </c>
      <c r="D82" s="29">
        <v>43933</v>
      </c>
      <c r="E82" s="29">
        <f t="shared" si="6"/>
        <v>43963</v>
      </c>
      <c r="F82" s="29">
        <v>43935</v>
      </c>
      <c r="G82" s="23" t="s">
        <v>250</v>
      </c>
      <c r="H82" s="23">
        <v>239476</v>
      </c>
      <c r="I82" s="23" t="s">
        <v>251</v>
      </c>
      <c r="J82" s="30">
        <v>955.68</v>
      </c>
      <c r="K82" s="23" t="str">
        <f t="shared" si="7"/>
        <v>Apr</v>
      </c>
      <c r="L82" s="23">
        <f t="shared" si="8"/>
        <v>12</v>
      </c>
      <c r="M82" s="23">
        <f>IF(F82&gt;E82,NETWORKDAYS(E82,F82,'NSW Holidays 2020'!$A$4:$A$15),0)</f>
        <v>0</v>
      </c>
      <c r="N82" s="31">
        <f t="shared" si="5"/>
        <v>5</v>
      </c>
    </row>
    <row r="83" spans="1:14" x14ac:dyDescent="0.3">
      <c r="A83" s="22" t="s">
        <v>330</v>
      </c>
      <c r="B83" s="22" t="s">
        <v>340</v>
      </c>
      <c r="C83" s="22">
        <v>545784</v>
      </c>
      <c r="D83" s="32">
        <v>43942</v>
      </c>
      <c r="E83" s="32">
        <f t="shared" si="6"/>
        <v>43972</v>
      </c>
      <c r="F83" s="32">
        <v>43950</v>
      </c>
      <c r="G83" s="22" t="s">
        <v>250</v>
      </c>
      <c r="H83" s="22">
        <v>213693</v>
      </c>
      <c r="I83" s="22" t="s">
        <v>251</v>
      </c>
      <c r="J83" s="33">
        <v>764.28</v>
      </c>
      <c r="K83" s="22" t="str">
        <f t="shared" si="7"/>
        <v>Apr</v>
      </c>
      <c r="L83" s="22">
        <f t="shared" si="8"/>
        <v>21</v>
      </c>
      <c r="M83" s="22">
        <f>IF(F83&gt;E83,NETWORKDAYS(E83,F83,'NSW Holidays 2020'!$A$4:$A$15),0)</f>
        <v>0</v>
      </c>
      <c r="N83" s="34">
        <f t="shared" si="5"/>
        <v>5</v>
      </c>
    </row>
    <row r="84" spans="1:14" x14ac:dyDescent="0.3">
      <c r="A84" s="23" t="s">
        <v>331</v>
      </c>
      <c r="B84" s="23" t="s">
        <v>340</v>
      </c>
      <c r="C84" s="23">
        <v>545785</v>
      </c>
      <c r="D84" s="29">
        <v>43897</v>
      </c>
      <c r="E84" s="29">
        <f t="shared" si="6"/>
        <v>43928</v>
      </c>
      <c r="F84" s="29">
        <v>43926</v>
      </c>
      <c r="G84" s="23" t="s">
        <v>250</v>
      </c>
      <c r="H84" s="23">
        <v>235040</v>
      </c>
      <c r="I84" s="23" t="s">
        <v>251</v>
      </c>
      <c r="J84" s="30">
        <v>335.61</v>
      </c>
      <c r="K84" s="23" t="str">
        <f t="shared" si="7"/>
        <v>Mar</v>
      </c>
      <c r="L84" s="23">
        <f t="shared" si="8"/>
        <v>7</v>
      </c>
      <c r="M84" s="23">
        <f>IF(F84&gt;E84,NETWORKDAYS(E84,F84,'NSW Holidays 2020'!$A$4:$A$15),0)</f>
        <v>0</v>
      </c>
      <c r="N84" s="31">
        <f t="shared" si="5"/>
        <v>5</v>
      </c>
    </row>
    <row r="85" spans="1:14" x14ac:dyDescent="0.3">
      <c r="A85" s="22" t="s">
        <v>332</v>
      </c>
      <c r="B85" s="22" t="s">
        <v>340</v>
      </c>
      <c r="C85" s="22">
        <v>545786</v>
      </c>
      <c r="D85" s="32">
        <v>43898</v>
      </c>
      <c r="E85" s="32">
        <f t="shared" si="6"/>
        <v>43929</v>
      </c>
      <c r="F85" s="32">
        <v>43940</v>
      </c>
      <c r="G85" s="22" t="s">
        <v>250</v>
      </c>
      <c r="H85" s="22">
        <v>211771</v>
      </c>
      <c r="I85" s="22" t="s">
        <v>251</v>
      </c>
      <c r="J85" s="33">
        <v>763.29</v>
      </c>
      <c r="K85" s="22" t="str">
        <f t="shared" si="7"/>
        <v>Mar</v>
      </c>
      <c r="L85" s="22">
        <f t="shared" si="8"/>
        <v>8</v>
      </c>
      <c r="M85" s="22">
        <f>IF(F85&gt;E85,NETWORKDAYS(E85,F85,'NSW Holidays 2020'!$A$4:$A$15),0)</f>
        <v>6</v>
      </c>
      <c r="N85" s="34">
        <f t="shared" si="5"/>
        <v>21.487064</v>
      </c>
    </row>
    <row r="86" spans="1:14" x14ac:dyDescent="0.3">
      <c r="A86" s="23" t="s">
        <v>333</v>
      </c>
      <c r="B86" s="23" t="s">
        <v>340</v>
      </c>
      <c r="C86" s="23">
        <v>545788</v>
      </c>
      <c r="D86" s="29">
        <v>43919</v>
      </c>
      <c r="E86" s="29">
        <f t="shared" si="6"/>
        <v>43950</v>
      </c>
      <c r="F86" s="29">
        <v>43933</v>
      </c>
      <c r="G86" s="23" t="s">
        <v>252</v>
      </c>
      <c r="H86" s="23">
        <v>326543</v>
      </c>
      <c r="I86" s="23" t="s">
        <v>253</v>
      </c>
      <c r="J86" s="30">
        <v>446.16</v>
      </c>
      <c r="K86" s="23" t="str">
        <f t="shared" si="7"/>
        <v>Mar</v>
      </c>
      <c r="L86" s="23">
        <f t="shared" si="8"/>
        <v>29</v>
      </c>
      <c r="M86" s="23">
        <f>IF(F86&gt;E86,NETWORKDAYS(E86,F86,'NSW Holidays 2020'!$A$4:$A$15),0)</f>
        <v>0</v>
      </c>
      <c r="N86" s="31">
        <f t="shared" si="5"/>
        <v>5</v>
      </c>
    </row>
    <row r="87" spans="1:14" x14ac:dyDescent="0.3">
      <c r="A87" s="22" t="s">
        <v>334</v>
      </c>
      <c r="B87" s="22" t="s">
        <v>340</v>
      </c>
      <c r="C87" s="22">
        <v>545789</v>
      </c>
      <c r="D87" s="32">
        <v>43898</v>
      </c>
      <c r="E87" s="32">
        <f t="shared" si="6"/>
        <v>43929</v>
      </c>
      <c r="F87" s="32">
        <v>43941</v>
      </c>
      <c r="G87" s="22" t="s">
        <v>252</v>
      </c>
      <c r="H87" s="22">
        <v>338553</v>
      </c>
      <c r="I87" s="22" t="s">
        <v>253</v>
      </c>
      <c r="J87" s="33">
        <v>1032.24</v>
      </c>
      <c r="K87" s="22" t="str">
        <f t="shared" si="7"/>
        <v>Mar</v>
      </c>
      <c r="L87" s="22">
        <f t="shared" si="8"/>
        <v>8</v>
      </c>
      <c r="M87" s="22">
        <f>IF(F87&gt;E87,NETWORKDAYS(E87,F87,'NSW Holidays 2020'!$A$4:$A$15),0)</f>
        <v>7</v>
      </c>
      <c r="N87" s="34">
        <f t="shared" si="5"/>
        <v>31.012447999999999</v>
      </c>
    </row>
    <row r="88" spans="1:14" x14ac:dyDescent="0.3">
      <c r="A88" s="23" t="s">
        <v>335</v>
      </c>
      <c r="B88" s="23" t="s">
        <v>340</v>
      </c>
      <c r="C88" s="23">
        <v>545790</v>
      </c>
      <c r="D88" s="29">
        <v>43915</v>
      </c>
      <c r="E88" s="29">
        <f t="shared" si="6"/>
        <v>43948</v>
      </c>
      <c r="F88" s="29">
        <v>43933</v>
      </c>
      <c r="G88" s="23" t="s">
        <v>250</v>
      </c>
      <c r="H88" s="23">
        <v>213342</v>
      </c>
      <c r="I88" s="23" t="s">
        <v>251</v>
      </c>
      <c r="J88" s="30">
        <v>533.28</v>
      </c>
      <c r="K88" s="23" t="str">
        <f t="shared" si="7"/>
        <v>Mar</v>
      </c>
      <c r="L88" s="23">
        <f t="shared" si="8"/>
        <v>25</v>
      </c>
      <c r="M88" s="23">
        <f>IF(F88&gt;E88,NETWORKDAYS(E88,F88,'NSW Holidays 2020'!$A$4:$A$15),0)</f>
        <v>0</v>
      </c>
      <c r="N88" s="31">
        <f t="shared" si="5"/>
        <v>5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30" priority="1">
      <formula>$I5=$K$2</formula>
    </cfRule>
  </conditionalFormatting>
  <dataValidations count="1">
    <dataValidation type="list" allowBlank="1" showInputMessage="1" showErrorMessage="1" sqref="K2" xr:uid="{DA0DBD6C-D839-48D2-B7C8-FC60EA5D0A58}">
      <formula1>Locations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E10"/>
  <sheetViews>
    <sheetView zoomScale="180" zoomScaleNormal="180" workbookViewId="0">
      <selection activeCell="B8" sqref="B8"/>
    </sheetView>
  </sheetViews>
  <sheetFormatPr defaultRowHeight="14.4" x14ac:dyDescent="0.3"/>
  <cols>
    <col min="1" max="1" width="22.33203125" customWidth="1"/>
    <col min="2" max="5" width="19.21875" customWidth="1"/>
    <col min="6" max="6" width="21.33203125" customWidth="1"/>
  </cols>
  <sheetData>
    <row r="1" spans="1:5" ht="20.399999999999999" thickBot="1" x14ac:dyDescent="0.45">
      <c r="A1" s="9" t="s">
        <v>346</v>
      </c>
      <c r="B1" s="9"/>
      <c r="C1" s="9"/>
    </row>
    <row r="2" spans="1:5" ht="15" thickTop="1" x14ac:dyDescent="0.3"/>
    <row r="3" spans="1:5" x14ac:dyDescent="0.3">
      <c r="A3" t="s">
        <v>348</v>
      </c>
      <c r="B3" s="1">
        <f>SUM('Supplier Invoice Statement'!Q2:Q85)</f>
        <v>48282.62999999999</v>
      </c>
    </row>
    <row r="4" spans="1:5" x14ac:dyDescent="0.3">
      <c r="A4" t="s">
        <v>347</v>
      </c>
      <c r="B4" s="1">
        <f>SUM(Amount_Paid)</f>
        <v>45711.929999999993</v>
      </c>
    </row>
    <row r="5" spans="1:5" x14ac:dyDescent="0.3">
      <c r="A5" t="s">
        <v>349</v>
      </c>
      <c r="B5" s="1">
        <f>B3-B4</f>
        <v>2570.6999999999971</v>
      </c>
    </row>
    <row r="7" spans="1:5" x14ac:dyDescent="0.3">
      <c r="A7" s="3" t="s">
        <v>396</v>
      </c>
      <c r="B7" s="7" t="s">
        <v>350</v>
      </c>
      <c r="C7" s="7" t="s">
        <v>351</v>
      </c>
      <c r="D7" s="7" t="s">
        <v>399</v>
      </c>
      <c r="E7" s="7" t="s">
        <v>343</v>
      </c>
    </row>
    <row r="8" spans="1:5" x14ac:dyDescent="0.3">
      <c r="A8" t="s">
        <v>251</v>
      </c>
      <c r="B8">
        <f>COUNTIFS(Location,A8)</f>
        <v>40</v>
      </c>
      <c r="C8" s="8">
        <f>SUMIFS(Amount_Paid,Location,A8)</f>
        <v>24082.739999999998</v>
      </c>
      <c r="E8" s="1"/>
    </row>
    <row r="9" spans="1:5" x14ac:dyDescent="0.3">
      <c r="A9" t="s">
        <v>253</v>
      </c>
      <c r="B9">
        <f>COUNTIFS(Location,A9)</f>
        <v>44</v>
      </c>
      <c r="C9" s="8">
        <f>SUMIFS(Amount_Paid,Location,A9)</f>
        <v>21629.190000000006</v>
      </c>
      <c r="E9" s="1"/>
    </row>
    <row r="10" spans="1:5" x14ac:dyDescent="0.3">
      <c r="C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>
      <selection activeCell="G11" sqref="G11"/>
    </sheetView>
  </sheetViews>
  <sheetFormatPr defaultRowHeight="14.4" x14ac:dyDescent="0.3"/>
  <cols>
    <col min="1" max="1" width="13.33203125" style="12" customWidth="1"/>
    <col min="2" max="2" width="9.109375" style="4"/>
    <col min="3" max="3" width="24.5546875" customWidth="1"/>
  </cols>
  <sheetData>
    <row r="1" spans="1:3" ht="20.399999999999999" thickBot="1" x14ac:dyDescent="0.45">
      <c r="A1" s="16" t="s">
        <v>376</v>
      </c>
      <c r="B1" s="16"/>
      <c r="C1" s="16"/>
    </row>
    <row r="2" spans="1:3" ht="15" thickTop="1" x14ac:dyDescent="0.3"/>
    <row r="3" spans="1:3" x14ac:dyDescent="0.3">
      <c r="A3" s="13" t="s">
        <v>361</v>
      </c>
      <c r="B3" s="14" t="s">
        <v>362</v>
      </c>
      <c r="C3" s="15" t="s">
        <v>363</v>
      </c>
    </row>
    <row r="4" spans="1:3" x14ac:dyDescent="0.3">
      <c r="A4" s="12">
        <v>43831</v>
      </c>
      <c r="B4" s="4" t="str">
        <f>TEXT(A4,"ddd")</f>
        <v>Wed</v>
      </c>
      <c r="C4" t="s">
        <v>364</v>
      </c>
    </row>
    <row r="5" spans="1:3" x14ac:dyDescent="0.3">
      <c r="A5" s="12">
        <v>43857</v>
      </c>
      <c r="B5" s="4" t="str">
        <f t="shared" ref="B5:B15" si="0">TEXT(A5,"ddd")</f>
        <v>Mon</v>
      </c>
      <c r="C5" t="s">
        <v>365</v>
      </c>
    </row>
    <row r="6" spans="1:3" x14ac:dyDescent="0.3">
      <c r="A6" s="12">
        <v>43931</v>
      </c>
      <c r="B6" s="4" t="str">
        <f t="shared" si="0"/>
        <v>Fri</v>
      </c>
      <c r="C6" t="s">
        <v>367</v>
      </c>
    </row>
    <row r="7" spans="1:3" x14ac:dyDescent="0.3">
      <c r="A7" s="12">
        <v>43932</v>
      </c>
      <c r="B7" s="4" t="str">
        <f t="shared" si="0"/>
        <v>Sat</v>
      </c>
      <c r="C7" t="s">
        <v>368</v>
      </c>
    </row>
    <row r="8" spans="1:3" x14ac:dyDescent="0.3">
      <c r="A8" s="12">
        <v>43933</v>
      </c>
      <c r="B8" s="4" t="str">
        <f t="shared" si="0"/>
        <v>Sun</v>
      </c>
      <c r="C8" t="s">
        <v>369</v>
      </c>
    </row>
    <row r="9" spans="1:3" x14ac:dyDescent="0.3">
      <c r="A9" s="12">
        <v>43934</v>
      </c>
      <c r="B9" s="4" t="str">
        <f t="shared" si="0"/>
        <v>Mon</v>
      </c>
      <c r="C9" t="s">
        <v>370</v>
      </c>
    </row>
    <row r="10" spans="1:3" x14ac:dyDescent="0.3">
      <c r="A10" s="12">
        <v>43946</v>
      </c>
      <c r="B10" s="4" t="str">
        <f t="shared" si="0"/>
        <v>Sat</v>
      </c>
      <c r="C10" t="s">
        <v>371</v>
      </c>
    </row>
    <row r="11" spans="1:3" x14ac:dyDescent="0.3">
      <c r="A11" s="12">
        <v>43990</v>
      </c>
      <c r="B11" s="4" t="str">
        <f t="shared" si="0"/>
        <v>Mon</v>
      </c>
      <c r="C11" t="s">
        <v>372</v>
      </c>
    </row>
    <row r="12" spans="1:3" x14ac:dyDescent="0.3">
      <c r="A12" s="12">
        <v>44109</v>
      </c>
      <c r="B12" s="4" t="str">
        <f t="shared" si="0"/>
        <v>Mon</v>
      </c>
      <c r="C12" t="s">
        <v>366</v>
      </c>
    </row>
    <row r="13" spans="1:3" x14ac:dyDescent="0.3">
      <c r="A13" s="12">
        <v>44190</v>
      </c>
      <c r="B13" s="4" t="str">
        <f t="shared" si="0"/>
        <v>Fri</v>
      </c>
      <c r="C13" t="s">
        <v>373</v>
      </c>
    </row>
    <row r="14" spans="1:3" x14ac:dyDescent="0.3">
      <c r="A14" s="12">
        <v>44191</v>
      </c>
      <c r="B14" s="4" t="str">
        <f t="shared" si="0"/>
        <v>Sat</v>
      </c>
      <c r="C14" t="s">
        <v>374</v>
      </c>
    </row>
    <row r="15" spans="1:3" x14ac:dyDescent="0.3">
      <c r="A15" s="12">
        <v>44193</v>
      </c>
      <c r="B15" s="4" t="str">
        <f t="shared" si="0"/>
        <v>Mon</v>
      </c>
      <c r="C15" t="s">
        <v>375</v>
      </c>
    </row>
    <row r="19" spans="1:3" x14ac:dyDescent="0.3">
      <c r="A19" t="s">
        <v>392</v>
      </c>
      <c r="B19"/>
    </row>
    <row r="20" spans="1:3" x14ac:dyDescent="0.3">
      <c r="A20" s="15" t="s">
        <v>393</v>
      </c>
      <c r="B20" s="15" t="s">
        <v>394</v>
      </c>
      <c r="C20" s="15"/>
    </row>
    <row r="21" spans="1:3" x14ac:dyDescent="0.3">
      <c r="A21" t="s">
        <v>377</v>
      </c>
      <c r="B21" t="s">
        <v>378</v>
      </c>
    </row>
    <row r="22" spans="1:3" x14ac:dyDescent="0.3">
      <c r="A22">
        <v>2</v>
      </c>
      <c r="B22" t="s">
        <v>379</v>
      </c>
    </row>
    <row r="23" spans="1:3" x14ac:dyDescent="0.3">
      <c r="A23">
        <v>3</v>
      </c>
      <c r="B23" t="s">
        <v>380</v>
      </c>
    </row>
    <row r="24" spans="1:3" x14ac:dyDescent="0.3">
      <c r="A24">
        <v>4</v>
      </c>
      <c r="B24" t="s">
        <v>381</v>
      </c>
    </row>
    <row r="25" spans="1:3" x14ac:dyDescent="0.3">
      <c r="A25">
        <v>5</v>
      </c>
      <c r="B25" t="s">
        <v>382</v>
      </c>
    </row>
    <row r="26" spans="1:3" x14ac:dyDescent="0.3">
      <c r="A26">
        <v>6</v>
      </c>
      <c r="B26" t="s">
        <v>383</v>
      </c>
    </row>
    <row r="27" spans="1:3" x14ac:dyDescent="0.3">
      <c r="A27">
        <v>7</v>
      </c>
      <c r="B27" t="s">
        <v>384</v>
      </c>
    </row>
    <row r="28" spans="1:3" x14ac:dyDescent="0.3">
      <c r="A28">
        <v>11</v>
      </c>
      <c r="B28" t="s">
        <v>385</v>
      </c>
    </row>
    <row r="29" spans="1:3" x14ac:dyDescent="0.3">
      <c r="A29">
        <v>12</v>
      </c>
      <c r="B29" t="s">
        <v>386</v>
      </c>
    </row>
    <row r="30" spans="1:3" x14ac:dyDescent="0.3">
      <c r="A30">
        <v>13</v>
      </c>
      <c r="B30" t="s">
        <v>387</v>
      </c>
    </row>
    <row r="31" spans="1:3" x14ac:dyDescent="0.3">
      <c r="A31">
        <v>14</v>
      </c>
      <c r="B31" t="s">
        <v>388</v>
      </c>
    </row>
    <row r="32" spans="1:3" x14ac:dyDescent="0.3">
      <c r="A32">
        <v>15</v>
      </c>
      <c r="B32" t="s">
        <v>389</v>
      </c>
    </row>
    <row r="33" spans="1:2" x14ac:dyDescent="0.3">
      <c r="A33">
        <v>16</v>
      </c>
      <c r="B33" t="s">
        <v>390</v>
      </c>
    </row>
    <row r="34" spans="1:2" x14ac:dyDescent="0.3">
      <c r="A34">
        <v>17</v>
      </c>
      <c r="B34" t="s">
        <v>391</v>
      </c>
    </row>
    <row r="35" spans="1:2" x14ac:dyDescent="0.3">
      <c r="A35" s="12" t="s">
        <v>395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D495-079E-494E-A925-BC5D57BE5C5D}">
  <dimension ref="A1:K19"/>
  <sheetViews>
    <sheetView zoomScale="180" zoomScaleNormal="180" workbookViewId="0">
      <selection activeCell="C17" sqref="C17"/>
    </sheetView>
  </sheetViews>
  <sheetFormatPr defaultRowHeight="14.4" x14ac:dyDescent="0.3"/>
  <sheetData>
    <row r="1" spans="1:11" x14ac:dyDescent="0.3">
      <c r="A1">
        <v>24673</v>
      </c>
      <c r="B1">
        <v>1</v>
      </c>
      <c r="C1" t="s">
        <v>400</v>
      </c>
      <c r="D1" t="s">
        <v>28</v>
      </c>
      <c r="E1" t="s">
        <v>12</v>
      </c>
      <c r="F1" t="s">
        <v>401</v>
      </c>
      <c r="G1" t="s">
        <v>74</v>
      </c>
      <c r="H1">
        <v>1641</v>
      </c>
      <c r="I1">
        <v>7654320</v>
      </c>
      <c r="J1">
        <v>72</v>
      </c>
      <c r="K1" t="s">
        <v>249</v>
      </c>
    </row>
    <row r="2" spans="1:11" x14ac:dyDescent="0.3">
      <c r="A2">
        <v>24673</v>
      </c>
      <c r="B2">
        <v>1</v>
      </c>
      <c r="C2" t="s">
        <v>400</v>
      </c>
      <c r="D2" t="s">
        <v>400</v>
      </c>
      <c r="E2" t="s">
        <v>13</v>
      </c>
      <c r="F2" t="s">
        <v>402</v>
      </c>
      <c r="G2" t="s">
        <v>76</v>
      </c>
      <c r="H2">
        <v>2554</v>
      </c>
      <c r="I2">
        <v>4551221</v>
      </c>
      <c r="J2">
        <v>33</v>
      </c>
      <c r="K2" t="s">
        <v>249</v>
      </c>
    </row>
    <row r="3" spans="1:11" x14ac:dyDescent="0.3">
      <c r="A3">
        <v>24675</v>
      </c>
      <c r="B3">
        <v>1</v>
      </c>
      <c r="C3" t="s">
        <v>400</v>
      </c>
      <c r="D3" t="s">
        <v>28</v>
      </c>
      <c r="E3" t="s">
        <v>12</v>
      </c>
      <c r="F3" t="s">
        <v>403</v>
      </c>
      <c r="G3" t="s">
        <v>78</v>
      </c>
      <c r="H3">
        <v>2554</v>
      </c>
      <c r="I3">
        <v>4551221</v>
      </c>
      <c r="J3">
        <v>33</v>
      </c>
      <c r="K3" t="s">
        <v>254</v>
      </c>
    </row>
    <row r="4" spans="1:11" x14ac:dyDescent="0.3">
      <c r="A4">
        <v>24676</v>
      </c>
      <c r="B4">
        <v>1</v>
      </c>
      <c r="C4" t="s">
        <v>400</v>
      </c>
      <c r="D4" t="s">
        <v>28</v>
      </c>
      <c r="E4" t="s">
        <v>14</v>
      </c>
      <c r="F4" t="s">
        <v>404</v>
      </c>
      <c r="G4" t="s">
        <v>80</v>
      </c>
      <c r="H4">
        <v>2554</v>
      </c>
      <c r="I4">
        <v>4551221</v>
      </c>
      <c r="J4">
        <v>33</v>
      </c>
      <c r="K4" t="s">
        <v>255</v>
      </c>
    </row>
    <row r="5" spans="1:11" x14ac:dyDescent="0.3">
      <c r="A5">
        <v>24677</v>
      </c>
      <c r="B5">
        <v>1</v>
      </c>
      <c r="C5" t="s">
        <v>400</v>
      </c>
      <c r="D5" t="s">
        <v>28</v>
      </c>
      <c r="E5" t="s">
        <v>15</v>
      </c>
      <c r="F5" t="s">
        <v>405</v>
      </c>
      <c r="G5" t="s">
        <v>82</v>
      </c>
      <c r="H5">
        <v>2554</v>
      </c>
      <c r="I5">
        <v>4551221</v>
      </c>
      <c r="J5">
        <v>33</v>
      </c>
      <c r="K5" t="s">
        <v>256</v>
      </c>
    </row>
    <row r="6" spans="1:11" x14ac:dyDescent="0.3">
      <c r="A6">
        <v>24679</v>
      </c>
      <c r="B6">
        <v>1</v>
      </c>
      <c r="C6" t="s">
        <v>400</v>
      </c>
      <c r="D6" t="s">
        <v>400</v>
      </c>
      <c r="E6" t="s">
        <v>13</v>
      </c>
      <c r="F6" t="s">
        <v>406</v>
      </c>
      <c r="G6" t="s">
        <v>85</v>
      </c>
      <c r="H6">
        <v>2554</v>
      </c>
      <c r="I6">
        <v>4551221</v>
      </c>
      <c r="J6">
        <v>33</v>
      </c>
      <c r="K6" t="s">
        <v>257</v>
      </c>
    </row>
    <row r="7" spans="1:11" x14ac:dyDescent="0.3">
      <c r="A7">
        <v>24679</v>
      </c>
      <c r="B7">
        <v>2</v>
      </c>
      <c r="C7" t="s">
        <v>400</v>
      </c>
      <c r="D7" t="s">
        <v>28</v>
      </c>
      <c r="E7" t="s">
        <v>16</v>
      </c>
      <c r="F7" t="s">
        <v>407</v>
      </c>
      <c r="G7" t="s">
        <v>87</v>
      </c>
      <c r="H7">
        <v>2554</v>
      </c>
      <c r="I7">
        <v>4551221</v>
      </c>
      <c r="J7">
        <v>33</v>
      </c>
      <c r="K7" t="s">
        <v>258</v>
      </c>
    </row>
    <row r="8" spans="1:11" x14ac:dyDescent="0.3">
      <c r="A8">
        <v>24680</v>
      </c>
      <c r="B8">
        <v>1</v>
      </c>
      <c r="C8" t="s">
        <v>400</v>
      </c>
      <c r="D8" t="s">
        <v>28</v>
      </c>
      <c r="E8" t="s">
        <v>17</v>
      </c>
      <c r="F8" t="s">
        <v>408</v>
      </c>
      <c r="G8" t="s">
        <v>88</v>
      </c>
      <c r="H8">
        <v>1641</v>
      </c>
      <c r="I8">
        <v>7654320</v>
      </c>
      <c r="J8">
        <v>72</v>
      </c>
      <c r="K8" t="s">
        <v>259</v>
      </c>
    </row>
    <row r="9" spans="1:11" x14ac:dyDescent="0.3">
      <c r="A9">
        <v>24683</v>
      </c>
      <c r="B9">
        <v>1</v>
      </c>
      <c r="C9" t="s">
        <v>400</v>
      </c>
      <c r="D9" t="s">
        <v>28</v>
      </c>
      <c r="E9" t="s">
        <v>13</v>
      </c>
      <c r="F9" t="s">
        <v>409</v>
      </c>
      <c r="G9" t="s">
        <v>91</v>
      </c>
      <c r="H9">
        <v>1641</v>
      </c>
      <c r="I9">
        <v>7654320</v>
      </c>
      <c r="J9">
        <v>72</v>
      </c>
      <c r="K9" t="s">
        <v>260</v>
      </c>
    </row>
    <row r="10" spans="1:11" x14ac:dyDescent="0.3">
      <c r="A10">
        <v>24685</v>
      </c>
      <c r="B10">
        <v>1</v>
      </c>
      <c r="C10" t="s">
        <v>400</v>
      </c>
      <c r="D10" t="s">
        <v>28</v>
      </c>
      <c r="E10" t="s">
        <v>12</v>
      </c>
      <c r="F10" t="s">
        <v>410</v>
      </c>
      <c r="G10" t="s">
        <v>94</v>
      </c>
      <c r="H10">
        <v>1641</v>
      </c>
      <c r="I10">
        <v>7654320</v>
      </c>
      <c r="J10">
        <v>72</v>
      </c>
      <c r="K10" t="s">
        <v>261</v>
      </c>
    </row>
    <row r="11" spans="1:11" x14ac:dyDescent="0.3">
      <c r="A11">
        <v>24690</v>
      </c>
      <c r="B11">
        <v>1</v>
      </c>
      <c r="C11" t="s">
        <v>400</v>
      </c>
      <c r="D11" t="s">
        <v>400</v>
      </c>
      <c r="E11" t="s">
        <v>13</v>
      </c>
      <c r="F11" t="s">
        <v>411</v>
      </c>
      <c r="G11" t="s">
        <v>96</v>
      </c>
      <c r="H11">
        <v>1641</v>
      </c>
      <c r="I11">
        <v>7654320</v>
      </c>
      <c r="J11">
        <v>72</v>
      </c>
      <c r="K11" t="s">
        <v>262</v>
      </c>
    </row>
    <row r="12" spans="1:11" x14ac:dyDescent="0.3">
      <c r="A12">
        <v>24693</v>
      </c>
      <c r="B12">
        <v>1</v>
      </c>
      <c r="C12" t="s">
        <v>400</v>
      </c>
      <c r="D12" t="s">
        <v>29</v>
      </c>
      <c r="E12" t="s">
        <v>18</v>
      </c>
      <c r="F12" t="s">
        <v>412</v>
      </c>
      <c r="G12" t="s">
        <v>99</v>
      </c>
      <c r="H12">
        <v>2554</v>
      </c>
      <c r="I12">
        <v>4551221</v>
      </c>
      <c r="J12">
        <v>33</v>
      </c>
      <c r="K12" t="s">
        <v>263</v>
      </c>
    </row>
    <row r="13" spans="1:11" x14ac:dyDescent="0.3">
      <c r="A13">
        <v>24697</v>
      </c>
      <c r="B13">
        <v>1</v>
      </c>
      <c r="C13" t="s">
        <v>400</v>
      </c>
      <c r="D13" t="s">
        <v>28</v>
      </c>
      <c r="E13" t="s">
        <v>13</v>
      </c>
      <c r="F13" t="s">
        <v>413</v>
      </c>
      <c r="G13" t="s">
        <v>101</v>
      </c>
      <c r="H13">
        <v>2554</v>
      </c>
      <c r="I13">
        <v>4551221</v>
      </c>
      <c r="J13">
        <v>33</v>
      </c>
      <c r="K13" t="s">
        <v>264</v>
      </c>
    </row>
    <row r="14" spans="1:11" x14ac:dyDescent="0.3">
      <c r="A14">
        <v>24698</v>
      </c>
      <c r="B14">
        <v>1</v>
      </c>
      <c r="C14" t="s">
        <v>400</v>
      </c>
      <c r="D14" t="s">
        <v>400</v>
      </c>
      <c r="E14" t="s">
        <v>13</v>
      </c>
      <c r="F14" t="s">
        <v>414</v>
      </c>
      <c r="G14" t="s">
        <v>103</v>
      </c>
      <c r="H14">
        <v>2554</v>
      </c>
      <c r="I14">
        <v>4551221</v>
      </c>
      <c r="J14">
        <v>33</v>
      </c>
      <c r="K14" t="s">
        <v>265</v>
      </c>
    </row>
    <row r="15" spans="1:11" x14ac:dyDescent="0.3">
      <c r="A15">
        <v>24699</v>
      </c>
      <c r="B15">
        <v>1</v>
      </c>
      <c r="C15" t="s">
        <v>400</v>
      </c>
      <c r="D15" t="s">
        <v>28</v>
      </c>
      <c r="E15" t="s">
        <v>13</v>
      </c>
      <c r="F15" t="s">
        <v>415</v>
      </c>
      <c r="G15" t="s">
        <v>105</v>
      </c>
      <c r="H15">
        <v>2554</v>
      </c>
      <c r="I15">
        <v>4551221</v>
      </c>
      <c r="J15">
        <v>33</v>
      </c>
      <c r="K15" t="s">
        <v>266</v>
      </c>
    </row>
    <row r="16" spans="1:11" x14ac:dyDescent="0.3">
      <c r="A16">
        <v>24704</v>
      </c>
      <c r="B16">
        <v>1</v>
      </c>
      <c r="C16" t="s">
        <v>400</v>
      </c>
      <c r="D16" t="s">
        <v>28</v>
      </c>
      <c r="E16" t="s">
        <v>12</v>
      </c>
      <c r="F16" t="s">
        <v>416</v>
      </c>
      <c r="G16" t="s">
        <v>107</v>
      </c>
      <c r="H16">
        <v>2554</v>
      </c>
      <c r="I16">
        <v>4551221</v>
      </c>
      <c r="J16">
        <v>33</v>
      </c>
      <c r="K16" t="s">
        <v>267</v>
      </c>
    </row>
    <row r="17" spans="1:11" x14ac:dyDescent="0.3">
      <c r="A17">
        <v>24707</v>
      </c>
      <c r="B17">
        <v>1</v>
      </c>
      <c r="C17" t="s">
        <v>400</v>
      </c>
      <c r="D17" t="s">
        <v>23</v>
      </c>
      <c r="E17" t="s">
        <v>12</v>
      </c>
      <c r="F17" t="s">
        <v>417</v>
      </c>
      <c r="G17" t="s">
        <v>110</v>
      </c>
      <c r="H17">
        <v>2554</v>
      </c>
      <c r="I17">
        <v>4551221</v>
      </c>
      <c r="J17">
        <v>33</v>
      </c>
      <c r="K17" t="s">
        <v>268</v>
      </c>
    </row>
    <row r="18" spans="1:11" x14ac:dyDescent="0.3">
      <c r="A18">
        <v>24712</v>
      </c>
      <c r="B18">
        <v>1</v>
      </c>
      <c r="C18" t="s">
        <v>400</v>
      </c>
      <c r="D18" t="s">
        <v>28</v>
      </c>
      <c r="E18" t="s">
        <v>12</v>
      </c>
      <c r="F18" t="s">
        <v>418</v>
      </c>
      <c r="G18" t="s">
        <v>112</v>
      </c>
      <c r="H18">
        <v>1641</v>
      </c>
      <c r="I18">
        <v>7654320</v>
      </c>
      <c r="J18">
        <v>72</v>
      </c>
      <c r="K18" t="s">
        <v>269</v>
      </c>
    </row>
    <row r="19" spans="1:11" x14ac:dyDescent="0.3">
      <c r="A19">
        <v>24717</v>
      </c>
      <c r="B19">
        <v>1</v>
      </c>
      <c r="C19" t="s">
        <v>400</v>
      </c>
      <c r="D19" t="s">
        <v>28</v>
      </c>
      <c r="E19" t="s">
        <v>13</v>
      </c>
      <c r="F19" t="s">
        <v>419</v>
      </c>
      <c r="G19" t="s">
        <v>114</v>
      </c>
      <c r="H19">
        <v>1641</v>
      </c>
      <c r="I19">
        <v>7654320</v>
      </c>
      <c r="J19">
        <v>72</v>
      </c>
      <c r="K1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Supplier Invoice Statement</vt:lpstr>
      <vt:lpstr>MC Invoice Report</vt:lpstr>
      <vt:lpstr>Recon Analysis</vt:lpstr>
      <vt:lpstr>NSW Holidays 2020</vt:lpstr>
      <vt:lpstr>Demo Data</vt:lpstr>
      <vt:lpstr>Amount_Paid</vt:lpstr>
      <vt:lpstr>Bank_Details</vt:lpstr>
      <vt:lpstr>Due_Date</vt:lpstr>
      <vt:lpstr>Invoice_Date</vt:lpstr>
      <vt:lpstr>Invoice_Day</vt:lpstr>
      <vt:lpstr>Invoice_Month</vt:lpstr>
      <vt:lpstr>Late_Charge</vt:lpstr>
      <vt:lpstr>Location</vt:lpstr>
      <vt:lpstr>Over_Due_By</vt:lpstr>
      <vt:lpstr>Payment_Date</vt:lpstr>
      <vt:lpstr>Payment_No.</vt:lpstr>
      <vt:lpstr>Payment_Ref</vt:lpstr>
      <vt:lpstr>Penalty_Rate</vt:lpstr>
      <vt:lpstr>PO_Number</vt:lpstr>
      <vt:lpstr>Supplier_Code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2026-10-13T01:43:03Z</dcterms:modified>
</cp:coreProperties>
</file>