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_\Em1Repo\chamba\Excel_Practice\semanaTec\"/>
    </mc:Choice>
  </mc:AlternateContent>
  <xr:revisionPtr revIDLastSave="0" documentId="13_ncr:1_{04CEFDA4-42FF-4641-B3CC-B489C0F31C65}" xr6:coauthVersionLast="47" xr6:coauthVersionMax="47" xr10:uidLastSave="{00000000-0000-0000-0000-000000000000}"/>
  <bookViews>
    <workbookView xWindow="-108" yWindow="-108" windowWidth="23256" windowHeight="12456" activeTab="1" xr2:uid="{93FAD5DA-AD02-C043-8CF9-8C7E87EF4C20}"/>
  </bookViews>
  <sheets>
    <sheet name="ecommerce_sales_data" sheetId="1" r:id="rId1"/>
    <sheet name="Funcion filtro" sheetId="3" r:id="rId2"/>
    <sheet name="Buscador de ordenes" sheetId="2" r:id="rId3"/>
  </sheets>
  <definedNames>
    <definedName name="Analisis_margen">Master_ventas[Analisis de Margen]</definedName>
    <definedName name="Category">Master_ventas[Category]</definedName>
    <definedName name="CatUpper">Master_ventas[CatUpper]</definedName>
    <definedName name="Dias_transcurridos">Master_ventas[Días_transcurridos_orden]</definedName>
    <definedName name="Ext_Year">Master_ventas[Ext-Year]</definedName>
    <definedName name="InvNumber">Master_ventas[Invoice Number]</definedName>
    <definedName name="Key_ID">Master_ventas[Key_id]</definedName>
    <definedName name="Margen_Neto">Master_ventas[Margen_Neto]</definedName>
    <definedName name="Order_date">Master_ventas[Order Date]</definedName>
    <definedName name="Product_Name">Master_ventas[Product Name]</definedName>
    <definedName name="ProdUpper">Master_ventas[ProdUpper]</definedName>
    <definedName name="Profit">Master_ventas[Profit]</definedName>
    <definedName name="Quantity">Master_ventas[Quantity]</definedName>
    <definedName name="Referencia_Hoy">ecommerce_sales_data!$A$3509</definedName>
    <definedName name="Region">Master_ventas[Region]</definedName>
    <definedName name="Sales">Master_ventas[Sales]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C7" i="2"/>
  <c r="C8" i="2"/>
  <c r="C9" i="2"/>
  <c r="C10" i="2" a="1"/>
  <c r="C11" i="2"/>
  <c r="C12" i="2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N2627" i="1" s="1"/>
  <c r="J2628" i="1"/>
  <c r="N2628" i="1" s="1"/>
  <c r="J2629" i="1"/>
  <c r="N2629" i="1" s="1"/>
  <c r="J2630" i="1"/>
  <c r="N2630" i="1" s="1"/>
  <c r="J2631" i="1"/>
  <c r="N2631" i="1" s="1"/>
  <c r="J2632" i="1"/>
  <c r="N2632" i="1" s="1"/>
  <c r="J2633" i="1"/>
  <c r="N2633" i="1" s="1"/>
  <c r="J2634" i="1"/>
  <c r="N2634" i="1" s="1"/>
  <c r="J2635" i="1"/>
  <c r="N2635" i="1" s="1"/>
  <c r="J2636" i="1"/>
  <c r="N2636" i="1" s="1"/>
  <c r="J2637" i="1"/>
  <c r="N2637" i="1" s="1"/>
  <c r="J2638" i="1"/>
  <c r="N2638" i="1" s="1"/>
  <c r="J2639" i="1"/>
  <c r="N2639" i="1" s="1"/>
  <c r="J2640" i="1"/>
  <c r="N2640" i="1" s="1"/>
  <c r="J2641" i="1"/>
  <c r="N2641" i="1" s="1"/>
  <c r="J2642" i="1"/>
  <c r="N2642" i="1" s="1"/>
  <c r="J2643" i="1"/>
  <c r="N2643" i="1" s="1"/>
  <c r="J2644" i="1"/>
  <c r="N2644" i="1" s="1"/>
  <c r="J2645" i="1"/>
  <c r="N2645" i="1" s="1"/>
  <c r="J2646" i="1"/>
  <c r="N2646" i="1" s="1"/>
  <c r="J2647" i="1"/>
  <c r="N2647" i="1" s="1"/>
  <c r="J2648" i="1"/>
  <c r="N2648" i="1" s="1"/>
  <c r="J2649" i="1"/>
  <c r="N2649" i="1" s="1"/>
  <c r="J2650" i="1"/>
  <c r="N2650" i="1" s="1"/>
  <c r="J2651" i="1"/>
  <c r="N2651" i="1" s="1"/>
  <c r="J2652" i="1"/>
  <c r="N2652" i="1" s="1"/>
  <c r="J2653" i="1"/>
  <c r="N2653" i="1" s="1"/>
  <c r="J2654" i="1"/>
  <c r="N2654" i="1" s="1"/>
  <c r="J2655" i="1"/>
  <c r="N2655" i="1" s="1"/>
  <c r="J2656" i="1"/>
  <c r="N2656" i="1" s="1"/>
  <c r="J2657" i="1"/>
  <c r="N2657" i="1" s="1"/>
  <c r="J2658" i="1"/>
  <c r="N2658" i="1" s="1"/>
  <c r="J2659" i="1"/>
  <c r="N2659" i="1" s="1"/>
  <c r="J2660" i="1"/>
  <c r="N2660" i="1" s="1"/>
  <c r="J2661" i="1"/>
  <c r="N2661" i="1" s="1"/>
  <c r="J2662" i="1"/>
  <c r="N2662" i="1" s="1"/>
  <c r="J2663" i="1"/>
  <c r="N2663" i="1" s="1"/>
  <c r="J2664" i="1"/>
  <c r="N2664" i="1" s="1"/>
  <c r="J2665" i="1"/>
  <c r="N2665" i="1" s="1"/>
  <c r="J2666" i="1"/>
  <c r="N2666" i="1" s="1"/>
  <c r="J2667" i="1"/>
  <c r="N2667" i="1" s="1"/>
  <c r="J2668" i="1"/>
  <c r="N2668" i="1" s="1"/>
  <c r="J2669" i="1"/>
  <c r="N2669" i="1" s="1"/>
  <c r="J2670" i="1"/>
  <c r="N2670" i="1" s="1"/>
  <c r="J2671" i="1"/>
  <c r="N2671" i="1" s="1"/>
  <c r="J2672" i="1"/>
  <c r="N2672" i="1" s="1"/>
  <c r="J2673" i="1"/>
  <c r="N2673" i="1" s="1"/>
  <c r="J2674" i="1"/>
  <c r="N2674" i="1" s="1"/>
  <c r="J2675" i="1"/>
  <c r="N2675" i="1" s="1"/>
  <c r="J2676" i="1"/>
  <c r="N2676" i="1" s="1"/>
  <c r="J2677" i="1"/>
  <c r="N2677" i="1" s="1"/>
  <c r="J2678" i="1"/>
  <c r="N2678" i="1" s="1"/>
  <c r="J2679" i="1"/>
  <c r="N2679" i="1" s="1"/>
  <c r="J2680" i="1"/>
  <c r="N2680" i="1" s="1"/>
  <c r="J2681" i="1"/>
  <c r="N2681" i="1" s="1"/>
  <c r="J2682" i="1"/>
  <c r="N2682" i="1" s="1"/>
  <c r="J2683" i="1"/>
  <c r="N2683" i="1" s="1"/>
  <c r="J2684" i="1"/>
  <c r="N2684" i="1" s="1"/>
  <c r="J2685" i="1"/>
  <c r="N2685" i="1" s="1"/>
  <c r="J2686" i="1"/>
  <c r="N2686" i="1" s="1"/>
  <c r="J2687" i="1"/>
  <c r="N2687" i="1" s="1"/>
  <c r="J2688" i="1"/>
  <c r="N2688" i="1" s="1"/>
  <c r="J2689" i="1"/>
  <c r="N2689" i="1" s="1"/>
  <c r="J2690" i="1"/>
  <c r="N2690" i="1" s="1"/>
  <c r="J2691" i="1"/>
  <c r="N2691" i="1" s="1"/>
  <c r="J2692" i="1"/>
  <c r="N2692" i="1" s="1"/>
  <c r="J2693" i="1"/>
  <c r="N2693" i="1" s="1"/>
  <c r="J2694" i="1"/>
  <c r="N2694" i="1" s="1"/>
  <c r="J2695" i="1"/>
  <c r="N2695" i="1" s="1"/>
  <c r="J2696" i="1"/>
  <c r="N2696" i="1" s="1"/>
  <c r="J2697" i="1"/>
  <c r="N2697" i="1" s="1"/>
  <c r="J2698" i="1"/>
  <c r="N2698" i="1" s="1"/>
  <c r="J2699" i="1"/>
  <c r="N2699" i="1" s="1"/>
  <c r="J2700" i="1"/>
  <c r="N2700" i="1" s="1"/>
  <c r="J2701" i="1"/>
  <c r="N2701" i="1" s="1"/>
  <c r="J2702" i="1"/>
  <c r="N2702" i="1" s="1"/>
  <c r="J2703" i="1"/>
  <c r="N2703" i="1" s="1"/>
  <c r="J2704" i="1"/>
  <c r="N2704" i="1" s="1"/>
  <c r="J2705" i="1"/>
  <c r="N2705" i="1" s="1"/>
  <c r="J2706" i="1"/>
  <c r="N2706" i="1" s="1"/>
  <c r="J2707" i="1"/>
  <c r="N2707" i="1" s="1"/>
  <c r="J2708" i="1"/>
  <c r="N2708" i="1" s="1"/>
  <c r="J2709" i="1"/>
  <c r="N2709" i="1" s="1"/>
  <c r="J2710" i="1"/>
  <c r="N2710" i="1" s="1"/>
  <c r="J2711" i="1"/>
  <c r="N2711" i="1" s="1"/>
  <c r="J2712" i="1"/>
  <c r="N2712" i="1" s="1"/>
  <c r="J2713" i="1"/>
  <c r="N2713" i="1" s="1"/>
  <c r="J2714" i="1"/>
  <c r="N2714" i="1" s="1"/>
  <c r="J2715" i="1"/>
  <c r="N2715" i="1" s="1"/>
  <c r="J2716" i="1"/>
  <c r="N2716" i="1" s="1"/>
  <c r="J2717" i="1"/>
  <c r="N2717" i="1" s="1"/>
  <c r="J2718" i="1"/>
  <c r="N2718" i="1" s="1"/>
  <c r="J2719" i="1"/>
  <c r="N2719" i="1" s="1"/>
  <c r="J2720" i="1"/>
  <c r="N2720" i="1" s="1"/>
  <c r="J2721" i="1"/>
  <c r="N2721" i="1" s="1"/>
  <c r="J2722" i="1"/>
  <c r="N2722" i="1" s="1"/>
  <c r="J2723" i="1"/>
  <c r="N2723" i="1" s="1"/>
  <c r="J2724" i="1"/>
  <c r="N2724" i="1" s="1"/>
  <c r="J2725" i="1"/>
  <c r="N2725" i="1" s="1"/>
  <c r="J2726" i="1"/>
  <c r="N2726" i="1" s="1"/>
  <c r="J2727" i="1"/>
  <c r="N2727" i="1" s="1"/>
  <c r="J2728" i="1"/>
  <c r="N2728" i="1" s="1"/>
  <c r="J2729" i="1"/>
  <c r="N2729" i="1" s="1"/>
  <c r="J2730" i="1"/>
  <c r="N2730" i="1" s="1"/>
  <c r="J2731" i="1"/>
  <c r="N2731" i="1" s="1"/>
  <c r="J2732" i="1"/>
  <c r="N2732" i="1" s="1"/>
  <c r="J2733" i="1"/>
  <c r="N2733" i="1" s="1"/>
  <c r="J2734" i="1"/>
  <c r="N2734" i="1" s="1"/>
  <c r="J2735" i="1"/>
  <c r="N2735" i="1" s="1"/>
  <c r="J2736" i="1"/>
  <c r="N2736" i="1" s="1"/>
  <c r="J2737" i="1"/>
  <c r="N2737" i="1" s="1"/>
  <c r="J2738" i="1"/>
  <c r="N2738" i="1" s="1"/>
  <c r="J2739" i="1"/>
  <c r="N2739" i="1" s="1"/>
  <c r="J2740" i="1"/>
  <c r="N2740" i="1" s="1"/>
  <c r="J2741" i="1"/>
  <c r="N2741" i="1" s="1"/>
  <c r="J2742" i="1"/>
  <c r="N2742" i="1" s="1"/>
  <c r="J2743" i="1"/>
  <c r="N2743" i="1" s="1"/>
  <c r="J2744" i="1"/>
  <c r="N2744" i="1" s="1"/>
  <c r="J2745" i="1"/>
  <c r="N2745" i="1" s="1"/>
  <c r="J2746" i="1"/>
  <c r="N2746" i="1" s="1"/>
  <c r="J2747" i="1"/>
  <c r="N2747" i="1" s="1"/>
  <c r="J2748" i="1"/>
  <c r="N2748" i="1" s="1"/>
  <c r="J2749" i="1"/>
  <c r="N2749" i="1" s="1"/>
  <c r="J2750" i="1"/>
  <c r="N2750" i="1" s="1"/>
  <c r="J2751" i="1"/>
  <c r="N2751" i="1" s="1"/>
  <c r="J2752" i="1"/>
  <c r="N2752" i="1" s="1"/>
  <c r="J2753" i="1"/>
  <c r="N2753" i="1" s="1"/>
  <c r="J2754" i="1"/>
  <c r="N2754" i="1" s="1"/>
  <c r="J2755" i="1"/>
  <c r="N2755" i="1" s="1"/>
  <c r="J2756" i="1"/>
  <c r="N2756" i="1" s="1"/>
  <c r="J2757" i="1"/>
  <c r="N2757" i="1" s="1"/>
  <c r="J2758" i="1"/>
  <c r="N2758" i="1" s="1"/>
  <c r="J2759" i="1"/>
  <c r="N2759" i="1" s="1"/>
  <c r="J2760" i="1"/>
  <c r="N2760" i="1" s="1"/>
  <c r="J2761" i="1"/>
  <c r="N2761" i="1" s="1"/>
  <c r="J2762" i="1"/>
  <c r="N2762" i="1" s="1"/>
  <c r="J2763" i="1"/>
  <c r="N2763" i="1" s="1"/>
  <c r="J2764" i="1"/>
  <c r="N2764" i="1" s="1"/>
  <c r="J2765" i="1"/>
  <c r="N2765" i="1" s="1"/>
  <c r="J2766" i="1"/>
  <c r="N2766" i="1" s="1"/>
  <c r="J2767" i="1"/>
  <c r="N2767" i="1" s="1"/>
  <c r="J2768" i="1"/>
  <c r="N2768" i="1" s="1"/>
  <c r="J2769" i="1"/>
  <c r="N2769" i="1" s="1"/>
  <c r="J2770" i="1"/>
  <c r="N2770" i="1" s="1"/>
  <c r="J2771" i="1"/>
  <c r="N2771" i="1" s="1"/>
  <c r="J2772" i="1"/>
  <c r="N2772" i="1" s="1"/>
  <c r="J2773" i="1"/>
  <c r="N2773" i="1" s="1"/>
  <c r="J2774" i="1"/>
  <c r="N2774" i="1" s="1"/>
  <c r="J2775" i="1"/>
  <c r="N2775" i="1" s="1"/>
  <c r="J2776" i="1"/>
  <c r="N2776" i="1" s="1"/>
  <c r="J2777" i="1"/>
  <c r="N2777" i="1" s="1"/>
  <c r="J2778" i="1"/>
  <c r="N2778" i="1" s="1"/>
  <c r="J2779" i="1"/>
  <c r="N2779" i="1" s="1"/>
  <c r="J2780" i="1"/>
  <c r="N2780" i="1" s="1"/>
  <c r="J2781" i="1"/>
  <c r="N2781" i="1" s="1"/>
  <c r="J2782" i="1"/>
  <c r="N2782" i="1" s="1"/>
  <c r="J2783" i="1"/>
  <c r="N2783" i="1" s="1"/>
  <c r="J2784" i="1"/>
  <c r="N2784" i="1" s="1"/>
  <c r="J2785" i="1"/>
  <c r="N2785" i="1" s="1"/>
  <c r="J2786" i="1"/>
  <c r="N2786" i="1" s="1"/>
  <c r="J2787" i="1"/>
  <c r="N2787" i="1" s="1"/>
  <c r="J2788" i="1"/>
  <c r="N2788" i="1" s="1"/>
  <c r="J2789" i="1"/>
  <c r="N2789" i="1" s="1"/>
  <c r="J2790" i="1"/>
  <c r="N2790" i="1" s="1"/>
  <c r="J2791" i="1"/>
  <c r="N2791" i="1" s="1"/>
  <c r="J2792" i="1"/>
  <c r="N2792" i="1" s="1"/>
  <c r="J2793" i="1"/>
  <c r="N2793" i="1" s="1"/>
  <c r="J2794" i="1"/>
  <c r="N2794" i="1" s="1"/>
  <c r="J2795" i="1"/>
  <c r="N2795" i="1" s="1"/>
  <c r="J2796" i="1"/>
  <c r="N2796" i="1" s="1"/>
  <c r="J2797" i="1"/>
  <c r="N2797" i="1" s="1"/>
  <c r="J2798" i="1"/>
  <c r="N2798" i="1" s="1"/>
  <c r="J2799" i="1"/>
  <c r="N2799" i="1" s="1"/>
  <c r="J2800" i="1"/>
  <c r="N2800" i="1" s="1"/>
  <c r="J2801" i="1"/>
  <c r="N2801" i="1" s="1"/>
  <c r="J2802" i="1"/>
  <c r="N2802" i="1" s="1"/>
  <c r="J2803" i="1"/>
  <c r="N2803" i="1" s="1"/>
  <c r="J2804" i="1"/>
  <c r="N2804" i="1" s="1"/>
  <c r="J2805" i="1"/>
  <c r="N2805" i="1" s="1"/>
  <c r="J2806" i="1"/>
  <c r="N2806" i="1" s="1"/>
  <c r="J2807" i="1"/>
  <c r="N2807" i="1" s="1"/>
  <c r="J2808" i="1"/>
  <c r="N2808" i="1" s="1"/>
  <c r="J2809" i="1"/>
  <c r="N2809" i="1" s="1"/>
  <c r="J2810" i="1"/>
  <c r="N2810" i="1" s="1"/>
  <c r="J2811" i="1"/>
  <c r="N2811" i="1" s="1"/>
  <c r="J2812" i="1"/>
  <c r="N2812" i="1" s="1"/>
  <c r="J2813" i="1"/>
  <c r="N2813" i="1" s="1"/>
  <c r="J2814" i="1"/>
  <c r="N2814" i="1" s="1"/>
  <c r="J2815" i="1"/>
  <c r="N2815" i="1" s="1"/>
  <c r="J2816" i="1"/>
  <c r="N2816" i="1" s="1"/>
  <c r="J2817" i="1"/>
  <c r="N2817" i="1" s="1"/>
  <c r="J2818" i="1"/>
  <c r="N2818" i="1" s="1"/>
  <c r="J2819" i="1"/>
  <c r="N2819" i="1" s="1"/>
  <c r="J2820" i="1"/>
  <c r="N2820" i="1" s="1"/>
  <c r="J2821" i="1"/>
  <c r="N2821" i="1" s="1"/>
  <c r="J2822" i="1"/>
  <c r="N2822" i="1" s="1"/>
  <c r="J2823" i="1"/>
  <c r="N2823" i="1" s="1"/>
  <c r="J2824" i="1"/>
  <c r="N2824" i="1" s="1"/>
  <c r="J2825" i="1"/>
  <c r="N2825" i="1" s="1"/>
  <c r="J2826" i="1"/>
  <c r="N2826" i="1" s="1"/>
  <c r="J2827" i="1"/>
  <c r="N2827" i="1" s="1"/>
  <c r="J2828" i="1"/>
  <c r="N2828" i="1" s="1"/>
  <c r="J2829" i="1"/>
  <c r="N2829" i="1" s="1"/>
  <c r="J2830" i="1"/>
  <c r="N2830" i="1" s="1"/>
  <c r="J2831" i="1"/>
  <c r="N2831" i="1" s="1"/>
  <c r="J2832" i="1"/>
  <c r="N2832" i="1" s="1"/>
  <c r="J2833" i="1"/>
  <c r="N2833" i="1" s="1"/>
  <c r="J2834" i="1"/>
  <c r="N2834" i="1" s="1"/>
  <c r="J2835" i="1"/>
  <c r="N2835" i="1" s="1"/>
  <c r="J2836" i="1"/>
  <c r="N2836" i="1" s="1"/>
  <c r="J2837" i="1"/>
  <c r="N2837" i="1" s="1"/>
  <c r="J2838" i="1"/>
  <c r="N2838" i="1" s="1"/>
  <c r="J2839" i="1"/>
  <c r="N2839" i="1" s="1"/>
  <c r="J2840" i="1"/>
  <c r="N2840" i="1" s="1"/>
  <c r="J2841" i="1"/>
  <c r="N2841" i="1" s="1"/>
  <c r="J2842" i="1"/>
  <c r="N2842" i="1" s="1"/>
  <c r="J2843" i="1"/>
  <c r="N2843" i="1" s="1"/>
  <c r="J2844" i="1"/>
  <c r="N2844" i="1" s="1"/>
  <c r="J2845" i="1"/>
  <c r="N2845" i="1" s="1"/>
  <c r="J2846" i="1"/>
  <c r="N2846" i="1" s="1"/>
  <c r="J2847" i="1"/>
  <c r="N2847" i="1" s="1"/>
  <c r="J2848" i="1"/>
  <c r="N2848" i="1" s="1"/>
  <c r="J2849" i="1"/>
  <c r="N2849" i="1" s="1"/>
  <c r="J2850" i="1"/>
  <c r="N2850" i="1" s="1"/>
  <c r="J2851" i="1"/>
  <c r="N2851" i="1" s="1"/>
  <c r="J2852" i="1"/>
  <c r="N2852" i="1" s="1"/>
  <c r="J2853" i="1"/>
  <c r="N2853" i="1" s="1"/>
  <c r="J2854" i="1"/>
  <c r="N2854" i="1" s="1"/>
  <c r="J2855" i="1"/>
  <c r="N2855" i="1" s="1"/>
  <c r="J2856" i="1"/>
  <c r="N2856" i="1" s="1"/>
  <c r="J2857" i="1"/>
  <c r="N2857" i="1" s="1"/>
  <c r="J2858" i="1"/>
  <c r="N2858" i="1" s="1"/>
  <c r="J2859" i="1"/>
  <c r="N2859" i="1" s="1"/>
  <c r="J2860" i="1"/>
  <c r="N2860" i="1" s="1"/>
  <c r="J2861" i="1"/>
  <c r="N2861" i="1" s="1"/>
  <c r="J2862" i="1"/>
  <c r="N2862" i="1" s="1"/>
  <c r="J2863" i="1"/>
  <c r="N2863" i="1" s="1"/>
  <c r="J2864" i="1"/>
  <c r="N2864" i="1" s="1"/>
  <c r="J2865" i="1"/>
  <c r="N2865" i="1" s="1"/>
  <c r="J2866" i="1"/>
  <c r="N2866" i="1" s="1"/>
  <c r="J2867" i="1"/>
  <c r="N2867" i="1" s="1"/>
  <c r="J2868" i="1"/>
  <c r="N2868" i="1" s="1"/>
  <c r="J2869" i="1"/>
  <c r="N2869" i="1" s="1"/>
  <c r="J2870" i="1"/>
  <c r="N2870" i="1" s="1"/>
  <c r="J2871" i="1"/>
  <c r="N2871" i="1" s="1"/>
  <c r="J2872" i="1"/>
  <c r="N2872" i="1" s="1"/>
  <c r="J2873" i="1"/>
  <c r="N2873" i="1" s="1"/>
  <c r="J2874" i="1"/>
  <c r="N2874" i="1" s="1"/>
  <c r="J2875" i="1"/>
  <c r="N2875" i="1" s="1"/>
  <c r="J2876" i="1"/>
  <c r="N2876" i="1" s="1"/>
  <c r="J2877" i="1"/>
  <c r="N2877" i="1" s="1"/>
  <c r="J2878" i="1"/>
  <c r="N2878" i="1" s="1"/>
  <c r="J2879" i="1"/>
  <c r="N2879" i="1" s="1"/>
  <c r="J2880" i="1"/>
  <c r="N2880" i="1" s="1"/>
  <c r="J2881" i="1"/>
  <c r="N2881" i="1" s="1"/>
  <c r="J2882" i="1"/>
  <c r="N2882" i="1" s="1"/>
  <c r="J2883" i="1"/>
  <c r="N2883" i="1" s="1"/>
  <c r="J2884" i="1"/>
  <c r="N2884" i="1" s="1"/>
  <c r="J2885" i="1"/>
  <c r="N2885" i="1" s="1"/>
  <c r="J2886" i="1"/>
  <c r="N2886" i="1" s="1"/>
  <c r="J2887" i="1"/>
  <c r="N2887" i="1" s="1"/>
  <c r="J2888" i="1"/>
  <c r="N2888" i="1" s="1"/>
  <c r="J2889" i="1"/>
  <c r="N2889" i="1" s="1"/>
  <c r="J2890" i="1"/>
  <c r="N2890" i="1" s="1"/>
  <c r="J2891" i="1"/>
  <c r="N2891" i="1" s="1"/>
  <c r="J2892" i="1"/>
  <c r="N2892" i="1" s="1"/>
  <c r="J2893" i="1"/>
  <c r="N2893" i="1" s="1"/>
  <c r="J2894" i="1"/>
  <c r="N2894" i="1" s="1"/>
  <c r="J2895" i="1"/>
  <c r="N2895" i="1" s="1"/>
  <c r="J2896" i="1"/>
  <c r="N2896" i="1" s="1"/>
  <c r="J2897" i="1"/>
  <c r="N2897" i="1" s="1"/>
  <c r="J2898" i="1"/>
  <c r="N2898" i="1" s="1"/>
  <c r="J2899" i="1"/>
  <c r="N2899" i="1" s="1"/>
  <c r="J2900" i="1"/>
  <c r="N2900" i="1" s="1"/>
  <c r="J2901" i="1"/>
  <c r="N2901" i="1" s="1"/>
  <c r="J2902" i="1"/>
  <c r="N2902" i="1" s="1"/>
  <c r="J2903" i="1"/>
  <c r="N2903" i="1" s="1"/>
  <c r="J2904" i="1"/>
  <c r="N2904" i="1" s="1"/>
  <c r="J2905" i="1"/>
  <c r="N2905" i="1" s="1"/>
  <c r="J2906" i="1"/>
  <c r="N2906" i="1" s="1"/>
  <c r="J2907" i="1"/>
  <c r="N2907" i="1" s="1"/>
  <c r="J2908" i="1"/>
  <c r="N2908" i="1" s="1"/>
  <c r="J2909" i="1"/>
  <c r="N2909" i="1" s="1"/>
  <c r="J2910" i="1"/>
  <c r="N2910" i="1" s="1"/>
  <c r="J2911" i="1"/>
  <c r="N2911" i="1" s="1"/>
  <c r="J2912" i="1"/>
  <c r="N2912" i="1" s="1"/>
  <c r="J2913" i="1"/>
  <c r="N2913" i="1" s="1"/>
  <c r="J2914" i="1"/>
  <c r="N2914" i="1" s="1"/>
  <c r="J2915" i="1"/>
  <c r="N2915" i="1" s="1"/>
  <c r="J2916" i="1"/>
  <c r="N2916" i="1" s="1"/>
  <c r="J2917" i="1"/>
  <c r="N2917" i="1" s="1"/>
  <c r="J2918" i="1"/>
  <c r="N2918" i="1" s="1"/>
  <c r="J2919" i="1"/>
  <c r="N2919" i="1" s="1"/>
  <c r="J2920" i="1"/>
  <c r="N2920" i="1" s="1"/>
  <c r="J2921" i="1"/>
  <c r="N2921" i="1" s="1"/>
  <c r="J2922" i="1"/>
  <c r="N2922" i="1" s="1"/>
  <c r="J2923" i="1"/>
  <c r="N2923" i="1" s="1"/>
  <c r="J2924" i="1"/>
  <c r="N2924" i="1" s="1"/>
  <c r="J2925" i="1"/>
  <c r="N2925" i="1" s="1"/>
  <c r="J2926" i="1"/>
  <c r="N2926" i="1" s="1"/>
  <c r="J2927" i="1"/>
  <c r="N2927" i="1" s="1"/>
  <c r="J2928" i="1"/>
  <c r="N2928" i="1" s="1"/>
  <c r="J2929" i="1"/>
  <c r="N2929" i="1" s="1"/>
  <c r="J2930" i="1"/>
  <c r="N2930" i="1" s="1"/>
  <c r="J2931" i="1"/>
  <c r="N2931" i="1" s="1"/>
  <c r="J2932" i="1"/>
  <c r="N2932" i="1" s="1"/>
  <c r="J2933" i="1"/>
  <c r="N2933" i="1" s="1"/>
  <c r="J2934" i="1"/>
  <c r="N2934" i="1" s="1"/>
  <c r="J2935" i="1"/>
  <c r="N2935" i="1" s="1"/>
  <c r="J2936" i="1"/>
  <c r="N2936" i="1" s="1"/>
  <c r="J2937" i="1"/>
  <c r="N2937" i="1" s="1"/>
  <c r="J2938" i="1"/>
  <c r="N2938" i="1" s="1"/>
  <c r="J2939" i="1"/>
  <c r="N2939" i="1" s="1"/>
  <c r="J2940" i="1"/>
  <c r="N2940" i="1" s="1"/>
  <c r="J2941" i="1"/>
  <c r="N2941" i="1" s="1"/>
  <c r="J2942" i="1"/>
  <c r="N2942" i="1" s="1"/>
  <c r="J2943" i="1"/>
  <c r="N2943" i="1" s="1"/>
  <c r="J2944" i="1"/>
  <c r="N2944" i="1" s="1"/>
  <c r="J2945" i="1"/>
  <c r="N2945" i="1" s="1"/>
  <c r="J2946" i="1"/>
  <c r="N2946" i="1" s="1"/>
  <c r="J2947" i="1"/>
  <c r="N2947" i="1" s="1"/>
  <c r="J2948" i="1"/>
  <c r="N2948" i="1" s="1"/>
  <c r="J2949" i="1"/>
  <c r="N2949" i="1" s="1"/>
  <c r="J2950" i="1"/>
  <c r="N2950" i="1" s="1"/>
  <c r="J2951" i="1"/>
  <c r="N2951" i="1" s="1"/>
  <c r="J2952" i="1"/>
  <c r="N2952" i="1" s="1"/>
  <c r="J2953" i="1"/>
  <c r="N2953" i="1" s="1"/>
  <c r="J2954" i="1"/>
  <c r="N2954" i="1" s="1"/>
  <c r="J2955" i="1"/>
  <c r="N2955" i="1" s="1"/>
  <c r="J2956" i="1"/>
  <c r="N2956" i="1" s="1"/>
  <c r="J2957" i="1"/>
  <c r="N2957" i="1" s="1"/>
  <c r="J2958" i="1"/>
  <c r="N2958" i="1" s="1"/>
  <c r="J2959" i="1"/>
  <c r="N2959" i="1" s="1"/>
  <c r="J2960" i="1"/>
  <c r="N2960" i="1" s="1"/>
  <c r="J2961" i="1"/>
  <c r="N2961" i="1" s="1"/>
  <c r="J2962" i="1"/>
  <c r="N2962" i="1" s="1"/>
  <c r="J2963" i="1"/>
  <c r="N2963" i="1" s="1"/>
  <c r="J2964" i="1"/>
  <c r="N2964" i="1" s="1"/>
  <c r="J2965" i="1"/>
  <c r="N2965" i="1" s="1"/>
  <c r="J2966" i="1"/>
  <c r="N2966" i="1" s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A3509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M2627" i="1" l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N1752" i="1"/>
  <c r="M1752" i="1"/>
  <c r="N1753" i="1"/>
  <c r="M1753" i="1"/>
  <c r="N1754" i="1"/>
  <c r="M1754" i="1"/>
  <c r="N1755" i="1"/>
  <c r="M1755" i="1"/>
  <c r="N1756" i="1"/>
  <c r="M1756" i="1"/>
  <c r="N1757" i="1"/>
  <c r="M1757" i="1"/>
  <c r="N1758" i="1"/>
  <c r="M1758" i="1"/>
  <c r="N1759" i="1"/>
  <c r="M1759" i="1"/>
  <c r="N1760" i="1"/>
  <c r="M1760" i="1"/>
  <c r="N1761" i="1"/>
  <c r="M1761" i="1"/>
  <c r="N1762" i="1"/>
  <c r="M1762" i="1"/>
  <c r="N1763" i="1"/>
  <c r="M1763" i="1"/>
  <c r="N1764" i="1"/>
  <c r="M1764" i="1"/>
  <c r="N1765" i="1"/>
  <c r="M1765" i="1"/>
  <c r="N1766" i="1"/>
  <c r="M1766" i="1"/>
  <c r="N1767" i="1"/>
  <c r="M1767" i="1"/>
  <c r="N1768" i="1"/>
  <c r="M1768" i="1"/>
  <c r="N1769" i="1"/>
  <c r="M1769" i="1"/>
  <c r="N1770" i="1"/>
  <c r="M1770" i="1"/>
  <c r="N1771" i="1"/>
  <c r="M1771" i="1"/>
  <c r="N1772" i="1"/>
  <c r="M1772" i="1"/>
  <c r="N1773" i="1"/>
  <c r="M1773" i="1"/>
  <c r="N1774" i="1"/>
  <c r="M1774" i="1"/>
  <c r="N1775" i="1"/>
  <c r="M1775" i="1"/>
  <c r="N1776" i="1"/>
  <c r="M1776" i="1"/>
  <c r="N1777" i="1"/>
  <c r="M1777" i="1"/>
  <c r="N1778" i="1"/>
  <c r="M1778" i="1"/>
  <c r="N1779" i="1"/>
  <c r="M1779" i="1"/>
  <c r="N1780" i="1"/>
  <c r="M1780" i="1"/>
  <c r="N1781" i="1"/>
  <c r="M1781" i="1"/>
  <c r="N1782" i="1"/>
  <c r="M1782" i="1"/>
  <c r="N1783" i="1"/>
  <c r="M1783" i="1"/>
  <c r="N1784" i="1"/>
  <c r="M1784" i="1"/>
  <c r="N1785" i="1"/>
  <c r="M1785" i="1"/>
  <c r="N1786" i="1"/>
  <c r="M1786" i="1"/>
  <c r="N1787" i="1"/>
  <c r="M1787" i="1"/>
  <c r="N1788" i="1"/>
  <c r="M1788" i="1"/>
  <c r="N1789" i="1"/>
  <c r="M1789" i="1"/>
  <c r="N1790" i="1"/>
  <c r="M1790" i="1"/>
  <c r="N1791" i="1"/>
  <c r="M1791" i="1"/>
  <c r="N1792" i="1"/>
  <c r="M1792" i="1"/>
  <c r="N1793" i="1"/>
  <c r="M1793" i="1"/>
  <c r="N1794" i="1"/>
  <c r="M1794" i="1"/>
  <c r="N1795" i="1"/>
  <c r="M1795" i="1"/>
  <c r="N1796" i="1"/>
  <c r="M1796" i="1"/>
  <c r="N1797" i="1"/>
  <c r="M1797" i="1"/>
  <c r="N1798" i="1"/>
  <c r="M1798" i="1"/>
  <c r="N1799" i="1"/>
  <c r="M1799" i="1"/>
  <c r="N1800" i="1"/>
  <c r="M1800" i="1"/>
  <c r="N1801" i="1"/>
  <c r="M1801" i="1"/>
  <c r="N1802" i="1"/>
  <c r="M1802" i="1"/>
  <c r="N1803" i="1"/>
  <c r="M1803" i="1"/>
  <c r="N1804" i="1"/>
  <c r="M1804" i="1"/>
  <c r="N1805" i="1"/>
  <c r="M1805" i="1"/>
  <c r="N1806" i="1"/>
  <c r="M1806" i="1"/>
  <c r="N1807" i="1"/>
  <c r="M1807" i="1"/>
  <c r="N1808" i="1"/>
  <c r="M1808" i="1"/>
  <c r="N1809" i="1"/>
  <c r="M1809" i="1"/>
  <c r="N1810" i="1"/>
  <c r="M1810" i="1"/>
  <c r="N1811" i="1"/>
  <c r="M1811" i="1"/>
  <c r="N1812" i="1"/>
  <c r="M1812" i="1"/>
  <c r="N1813" i="1"/>
  <c r="M1813" i="1"/>
  <c r="N1814" i="1"/>
  <c r="M1814" i="1"/>
  <c r="N1815" i="1"/>
  <c r="M1815" i="1"/>
  <c r="N1816" i="1"/>
  <c r="M1816" i="1"/>
  <c r="N1817" i="1"/>
  <c r="M1817" i="1"/>
  <c r="N1818" i="1"/>
  <c r="M1818" i="1"/>
  <c r="N1819" i="1"/>
  <c r="M1819" i="1"/>
  <c r="N1820" i="1"/>
  <c r="M1820" i="1"/>
  <c r="N1821" i="1"/>
  <c r="M1821" i="1"/>
  <c r="N1822" i="1"/>
  <c r="M1822" i="1"/>
  <c r="N1823" i="1"/>
  <c r="M1823" i="1"/>
  <c r="N1824" i="1"/>
  <c r="M1824" i="1"/>
  <c r="N1825" i="1"/>
  <c r="M1825" i="1"/>
  <c r="N1826" i="1"/>
  <c r="M1826" i="1"/>
  <c r="N1827" i="1"/>
  <c r="M1827" i="1"/>
  <c r="N1828" i="1"/>
  <c r="M1828" i="1"/>
  <c r="N1829" i="1"/>
  <c r="M1829" i="1"/>
  <c r="N1830" i="1"/>
  <c r="M1830" i="1"/>
  <c r="N1831" i="1"/>
  <c r="M1831" i="1"/>
  <c r="N1832" i="1"/>
  <c r="M1832" i="1"/>
  <c r="N1833" i="1"/>
  <c r="M1833" i="1"/>
  <c r="N1834" i="1"/>
  <c r="M1834" i="1"/>
  <c r="N1835" i="1"/>
  <c r="M1835" i="1"/>
  <c r="N1836" i="1"/>
  <c r="M1836" i="1"/>
  <c r="N1837" i="1"/>
  <c r="M1837" i="1"/>
  <c r="N1838" i="1"/>
  <c r="M1838" i="1"/>
  <c r="N1839" i="1"/>
  <c r="M1839" i="1"/>
  <c r="N1840" i="1"/>
  <c r="M1840" i="1"/>
  <c r="N1841" i="1"/>
  <c r="M1841" i="1"/>
  <c r="N1842" i="1"/>
  <c r="M1842" i="1"/>
  <c r="N1843" i="1"/>
  <c r="M1843" i="1"/>
  <c r="N1844" i="1"/>
  <c r="M1844" i="1"/>
  <c r="N1845" i="1"/>
  <c r="M1845" i="1"/>
  <c r="N1846" i="1"/>
  <c r="M1846" i="1"/>
  <c r="N1847" i="1"/>
  <c r="M1847" i="1"/>
  <c r="N1848" i="1"/>
  <c r="M1848" i="1"/>
  <c r="N1849" i="1"/>
  <c r="M1849" i="1"/>
  <c r="N1850" i="1"/>
  <c r="M1850" i="1"/>
  <c r="N1851" i="1"/>
  <c r="M1851" i="1"/>
  <c r="N1852" i="1"/>
  <c r="M1852" i="1"/>
  <c r="N1853" i="1"/>
  <c r="M1853" i="1"/>
  <c r="N1854" i="1"/>
  <c r="M1854" i="1"/>
  <c r="N1855" i="1"/>
  <c r="M1855" i="1"/>
  <c r="N1856" i="1"/>
  <c r="M1856" i="1"/>
  <c r="N1857" i="1"/>
  <c r="M1857" i="1"/>
  <c r="N1858" i="1"/>
  <c r="M1858" i="1"/>
  <c r="N1859" i="1"/>
  <c r="M1859" i="1"/>
  <c r="N1860" i="1"/>
  <c r="M1860" i="1"/>
  <c r="N1861" i="1"/>
  <c r="M1861" i="1"/>
  <c r="N1862" i="1"/>
  <c r="M1862" i="1"/>
  <c r="N1863" i="1"/>
  <c r="M1863" i="1"/>
  <c r="N1864" i="1"/>
  <c r="M1864" i="1"/>
  <c r="N1865" i="1"/>
  <c r="M1865" i="1"/>
  <c r="N1866" i="1"/>
  <c r="M1866" i="1"/>
  <c r="N1867" i="1"/>
  <c r="M1867" i="1"/>
  <c r="N1868" i="1"/>
  <c r="M1868" i="1"/>
  <c r="N1869" i="1"/>
  <c r="M1869" i="1"/>
  <c r="N1870" i="1"/>
  <c r="M1870" i="1"/>
  <c r="N1871" i="1"/>
  <c r="M1871" i="1"/>
  <c r="N1872" i="1"/>
  <c r="M1872" i="1"/>
  <c r="N1873" i="1"/>
  <c r="M1873" i="1"/>
  <c r="N1874" i="1"/>
  <c r="M1874" i="1"/>
  <c r="N1875" i="1"/>
  <c r="M1875" i="1"/>
  <c r="N1876" i="1"/>
  <c r="M1876" i="1"/>
  <c r="N1877" i="1"/>
  <c r="M1877" i="1"/>
  <c r="N1878" i="1"/>
  <c r="M1878" i="1"/>
  <c r="N1879" i="1"/>
  <c r="M1879" i="1"/>
  <c r="N1880" i="1"/>
  <c r="M1880" i="1"/>
  <c r="N1881" i="1"/>
  <c r="M1881" i="1"/>
  <c r="N1882" i="1"/>
  <c r="M1882" i="1"/>
  <c r="N1883" i="1"/>
  <c r="M1883" i="1"/>
  <c r="N1884" i="1"/>
  <c r="M1884" i="1"/>
  <c r="N1885" i="1"/>
  <c r="M1885" i="1"/>
  <c r="N1886" i="1"/>
  <c r="M1886" i="1"/>
  <c r="N1887" i="1"/>
  <c r="M1887" i="1"/>
  <c r="N1888" i="1"/>
  <c r="M1888" i="1"/>
  <c r="N1889" i="1"/>
  <c r="M1889" i="1"/>
  <c r="N1890" i="1"/>
  <c r="M1890" i="1"/>
  <c r="N1891" i="1"/>
  <c r="M1891" i="1"/>
  <c r="N1892" i="1"/>
  <c r="M1892" i="1"/>
  <c r="N1893" i="1"/>
  <c r="M1893" i="1"/>
  <c r="N1894" i="1"/>
  <c r="M1894" i="1"/>
  <c r="N1895" i="1"/>
  <c r="M1895" i="1"/>
  <c r="N1896" i="1"/>
  <c r="M1896" i="1"/>
  <c r="N1897" i="1"/>
  <c r="M1897" i="1"/>
  <c r="N1898" i="1"/>
  <c r="M1898" i="1"/>
  <c r="N1899" i="1"/>
  <c r="M1899" i="1"/>
  <c r="N1900" i="1"/>
  <c r="M1900" i="1"/>
  <c r="N1901" i="1"/>
  <c r="M1901" i="1"/>
  <c r="N1902" i="1"/>
  <c r="M1902" i="1"/>
  <c r="N1903" i="1"/>
  <c r="M1903" i="1"/>
  <c r="N1904" i="1"/>
  <c r="M1904" i="1"/>
  <c r="N1905" i="1"/>
  <c r="M1905" i="1"/>
  <c r="N1906" i="1"/>
  <c r="M1906" i="1"/>
  <c r="N1907" i="1"/>
  <c r="M1907" i="1"/>
  <c r="N1908" i="1"/>
  <c r="M1908" i="1"/>
  <c r="N1909" i="1"/>
  <c r="M1909" i="1"/>
  <c r="N1910" i="1"/>
  <c r="M1910" i="1"/>
  <c r="N1911" i="1"/>
  <c r="M1911" i="1"/>
  <c r="N1912" i="1"/>
  <c r="M1912" i="1"/>
  <c r="N1913" i="1"/>
  <c r="M1913" i="1"/>
  <c r="N1914" i="1"/>
  <c r="M1914" i="1"/>
  <c r="N1915" i="1"/>
  <c r="M1915" i="1"/>
  <c r="N1916" i="1"/>
  <c r="M1916" i="1"/>
  <c r="N1917" i="1"/>
  <c r="M1917" i="1"/>
  <c r="N1918" i="1"/>
  <c r="M1918" i="1"/>
  <c r="N1919" i="1"/>
  <c r="M1919" i="1"/>
  <c r="N1920" i="1"/>
  <c r="M1920" i="1"/>
  <c r="N1921" i="1"/>
  <c r="M1921" i="1"/>
  <c r="N1922" i="1"/>
  <c r="M1922" i="1"/>
  <c r="N1923" i="1"/>
  <c r="M1923" i="1"/>
  <c r="N1924" i="1"/>
  <c r="M1924" i="1"/>
  <c r="N1925" i="1"/>
  <c r="M1925" i="1"/>
  <c r="N1926" i="1"/>
  <c r="M1926" i="1"/>
  <c r="N1927" i="1"/>
  <c r="M1927" i="1"/>
  <c r="N1928" i="1"/>
  <c r="M1928" i="1"/>
  <c r="N1929" i="1"/>
  <c r="M1929" i="1"/>
  <c r="N1930" i="1"/>
  <c r="M1930" i="1"/>
  <c r="N1931" i="1"/>
  <c r="M1931" i="1"/>
  <c r="N1932" i="1"/>
  <c r="M1932" i="1"/>
  <c r="N1933" i="1"/>
  <c r="M1933" i="1"/>
  <c r="N1934" i="1"/>
  <c r="M1934" i="1"/>
  <c r="N1935" i="1"/>
  <c r="M1935" i="1"/>
  <c r="N1936" i="1"/>
  <c r="M1936" i="1"/>
  <c r="N1937" i="1"/>
  <c r="M1937" i="1"/>
  <c r="N1938" i="1"/>
  <c r="M1938" i="1"/>
  <c r="N1939" i="1"/>
  <c r="M1939" i="1"/>
  <c r="N1940" i="1"/>
  <c r="M1940" i="1"/>
  <c r="N1941" i="1"/>
  <c r="M1941" i="1"/>
  <c r="N1942" i="1"/>
  <c r="M1942" i="1"/>
  <c r="N1943" i="1"/>
  <c r="M1943" i="1"/>
  <c r="N1944" i="1"/>
  <c r="M1944" i="1"/>
  <c r="N1945" i="1"/>
  <c r="M1945" i="1"/>
  <c r="N1946" i="1"/>
  <c r="M1946" i="1"/>
  <c r="N1947" i="1"/>
  <c r="M1947" i="1"/>
  <c r="N1948" i="1"/>
  <c r="M1948" i="1"/>
  <c r="N1949" i="1"/>
  <c r="M1949" i="1"/>
  <c r="N1950" i="1"/>
  <c r="M1950" i="1"/>
  <c r="N1951" i="1"/>
  <c r="M1951" i="1"/>
  <c r="N1952" i="1"/>
  <c r="M1952" i="1"/>
  <c r="N1953" i="1"/>
  <c r="M1953" i="1"/>
  <c r="N1954" i="1"/>
  <c r="M1954" i="1"/>
  <c r="N1955" i="1"/>
  <c r="M1955" i="1"/>
  <c r="N1956" i="1"/>
  <c r="M1956" i="1"/>
  <c r="N1957" i="1"/>
  <c r="M1957" i="1"/>
  <c r="N1958" i="1"/>
  <c r="M1958" i="1"/>
  <c r="N1959" i="1"/>
  <c r="M1959" i="1"/>
  <c r="N1960" i="1"/>
  <c r="M1960" i="1"/>
  <c r="N1961" i="1"/>
  <c r="M1961" i="1"/>
  <c r="N1962" i="1"/>
  <c r="M1962" i="1"/>
  <c r="N1963" i="1"/>
  <c r="M1963" i="1"/>
  <c r="N1964" i="1"/>
  <c r="M1964" i="1"/>
  <c r="N1965" i="1"/>
  <c r="M1965" i="1"/>
  <c r="N1966" i="1"/>
  <c r="M1966" i="1"/>
  <c r="N1967" i="1"/>
  <c r="M1967" i="1"/>
  <c r="N1968" i="1"/>
  <c r="M1968" i="1"/>
  <c r="N1969" i="1"/>
  <c r="M1969" i="1"/>
  <c r="N1970" i="1"/>
  <c r="M1970" i="1"/>
  <c r="N1971" i="1"/>
  <c r="M1971" i="1"/>
  <c r="N1972" i="1"/>
  <c r="M1972" i="1"/>
  <c r="N1973" i="1"/>
  <c r="M1973" i="1"/>
  <c r="N1974" i="1"/>
  <c r="M1974" i="1"/>
  <c r="N1975" i="1"/>
  <c r="M1975" i="1"/>
  <c r="N1976" i="1"/>
  <c r="M1976" i="1"/>
  <c r="N1977" i="1"/>
  <c r="M1977" i="1"/>
  <c r="N1978" i="1"/>
  <c r="M1978" i="1"/>
  <c r="N1979" i="1"/>
  <c r="M1979" i="1"/>
  <c r="N1980" i="1"/>
  <c r="M1980" i="1"/>
  <c r="N1981" i="1"/>
  <c r="M1981" i="1"/>
  <c r="N1982" i="1"/>
  <c r="M1982" i="1"/>
  <c r="N1983" i="1"/>
  <c r="M1983" i="1"/>
  <c r="N1984" i="1"/>
  <c r="M1984" i="1"/>
  <c r="N1985" i="1"/>
  <c r="M1985" i="1"/>
  <c r="N1986" i="1"/>
  <c r="M1986" i="1"/>
  <c r="N1987" i="1"/>
  <c r="M1987" i="1"/>
  <c r="N1988" i="1"/>
  <c r="M1988" i="1"/>
  <c r="N1989" i="1"/>
  <c r="M1989" i="1"/>
  <c r="N1990" i="1"/>
  <c r="M1990" i="1"/>
  <c r="N1991" i="1"/>
  <c r="M1991" i="1"/>
  <c r="N1992" i="1"/>
  <c r="M1992" i="1"/>
  <c r="N1993" i="1"/>
  <c r="M1993" i="1"/>
  <c r="N1994" i="1"/>
  <c r="M1994" i="1"/>
  <c r="N1995" i="1"/>
  <c r="M1995" i="1"/>
  <c r="N1996" i="1"/>
  <c r="M1996" i="1"/>
  <c r="N1997" i="1"/>
  <c r="M1997" i="1"/>
  <c r="N1998" i="1"/>
  <c r="M1998" i="1"/>
  <c r="N1999" i="1"/>
  <c r="M1999" i="1"/>
  <c r="N2000" i="1"/>
  <c r="M2000" i="1"/>
  <c r="N2001" i="1"/>
  <c r="M2001" i="1"/>
  <c r="N2002" i="1"/>
  <c r="M2002" i="1"/>
  <c r="N2003" i="1"/>
  <c r="M2003" i="1"/>
  <c r="N2004" i="1"/>
  <c r="M2004" i="1"/>
  <c r="N2005" i="1"/>
  <c r="M2005" i="1"/>
  <c r="N2006" i="1"/>
  <c r="M2006" i="1"/>
  <c r="N2007" i="1"/>
  <c r="M2007" i="1"/>
  <c r="N2008" i="1"/>
  <c r="M2008" i="1"/>
  <c r="N2009" i="1"/>
  <c r="M2009" i="1"/>
  <c r="N2010" i="1"/>
  <c r="M2010" i="1"/>
  <c r="N2011" i="1"/>
  <c r="M2011" i="1"/>
  <c r="N2012" i="1"/>
  <c r="M2012" i="1"/>
  <c r="N2013" i="1"/>
  <c r="M2013" i="1"/>
  <c r="N2014" i="1"/>
  <c r="M2014" i="1"/>
  <c r="N2015" i="1"/>
  <c r="M2015" i="1"/>
  <c r="N2016" i="1"/>
  <c r="M2016" i="1"/>
  <c r="N2017" i="1"/>
  <c r="M2017" i="1"/>
  <c r="N2018" i="1"/>
  <c r="M2018" i="1"/>
  <c r="N2019" i="1"/>
  <c r="M2019" i="1"/>
  <c r="N2020" i="1"/>
  <c r="M2020" i="1"/>
  <c r="N2021" i="1"/>
  <c r="M2021" i="1"/>
  <c r="N2022" i="1"/>
  <c r="M2022" i="1"/>
  <c r="N2023" i="1"/>
  <c r="M2023" i="1"/>
  <c r="N2024" i="1"/>
  <c r="M2024" i="1"/>
  <c r="N2025" i="1"/>
  <c r="M2025" i="1"/>
  <c r="N2026" i="1"/>
  <c r="M2026" i="1"/>
  <c r="N2027" i="1"/>
  <c r="M2027" i="1"/>
  <c r="N2028" i="1"/>
  <c r="M2028" i="1"/>
  <c r="N2029" i="1"/>
  <c r="M2029" i="1"/>
  <c r="N2030" i="1"/>
  <c r="M2030" i="1"/>
  <c r="N2031" i="1"/>
  <c r="M2031" i="1"/>
  <c r="N2032" i="1"/>
  <c r="M2032" i="1"/>
  <c r="N2033" i="1"/>
  <c r="M2033" i="1"/>
  <c r="N2034" i="1"/>
  <c r="M2034" i="1"/>
  <c r="N2035" i="1"/>
  <c r="M2035" i="1"/>
  <c r="N2036" i="1"/>
  <c r="M2036" i="1"/>
  <c r="N2037" i="1"/>
  <c r="M2037" i="1"/>
  <c r="N2038" i="1"/>
  <c r="M2038" i="1"/>
  <c r="N2039" i="1"/>
  <c r="M2039" i="1"/>
  <c r="N2040" i="1"/>
  <c r="M2040" i="1"/>
  <c r="N2041" i="1"/>
  <c r="M2041" i="1"/>
  <c r="N2042" i="1"/>
  <c r="M2042" i="1"/>
  <c r="N2043" i="1"/>
  <c r="M2043" i="1"/>
  <c r="N2044" i="1"/>
  <c r="M2044" i="1"/>
  <c r="N2045" i="1"/>
  <c r="M2045" i="1"/>
  <c r="N2046" i="1"/>
  <c r="M2046" i="1"/>
  <c r="N2047" i="1"/>
  <c r="M2047" i="1"/>
  <c r="N2048" i="1"/>
  <c r="M2048" i="1"/>
  <c r="N2049" i="1"/>
  <c r="M2049" i="1"/>
  <c r="N2050" i="1"/>
  <c r="M2050" i="1"/>
  <c r="N2051" i="1"/>
  <c r="M2051" i="1"/>
  <c r="N2052" i="1"/>
  <c r="M2052" i="1"/>
  <c r="N2053" i="1"/>
  <c r="M2053" i="1"/>
  <c r="N2054" i="1"/>
  <c r="M2054" i="1"/>
  <c r="N2055" i="1"/>
  <c r="M2055" i="1"/>
  <c r="N2056" i="1"/>
  <c r="M2056" i="1"/>
  <c r="N2057" i="1"/>
  <c r="M2057" i="1"/>
  <c r="N2058" i="1"/>
  <c r="M2058" i="1"/>
  <c r="N2059" i="1"/>
  <c r="M2059" i="1"/>
  <c r="N2060" i="1"/>
  <c r="M2060" i="1"/>
  <c r="N2061" i="1"/>
  <c r="M2061" i="1"/>
  <c r="N2062" i="1"/>
  <c r="M2062" i="1"/>
  <c r="N2063" i="1"/>
  <c r="M2063" i="1"/>
  <c r="N2064" i="1"/>
  <c r="M2064" i="1"/>
  <c r="N2065" i="1"/>
  <c r="M2065" i="1"/>
  <c r="N2066" i="1"/>
  <c r="M2066" i="1"/>
  <c r="N2067" i="1"/>
  <c r="M2067" i="1"/>
  <c r="N2068" i="1"/>
  <c r="M2068" i="1"/>
  <c r="N2069" i="1"/>
  <c r="M2069" i="1"/>
  <c r="N2070" i="1"/>
  <c r="M2070" i="1"/>
  <c r="N2071" i="1"/>
  <c r="M2071" i="1"/>
  <c r="N2072" i="1"/>
  <c r="M2072" i="1"/>
  <c r="N2073" i="1"/>
  <c r="M2073" i="1"/>
  <c r="N2074" i="1"/>
  <c r="M2074" i="1"/>
  <c r="N2075" i="1"/>
  <c r="M2075" i="1"/>
  <c r="N2076" i="1"/>
  <c r="M2076" i="1"/>
  <c r="N2077" i="1"/>
  <c r="M2077" i="1"/>
  <c r="N2078" i="1"/>
  <c r="M2078" i="1"/>
  <c r="N2079" i="1"/>
  <c r="M2079" i="1"/>
  <c r="N2080" i="1"/>
  <c r="M2080" i="1"/>
  <c r="N2081" i="1"/>
  <c r="M2081" i="1"/>
  <c r="N2082" i="1"/>
  <c r="M2082" i="1"/>
  <c r="N2083" i="1"/>
  <c r="M2083" i="1"/>
  <c r="N2084" i="1"/>
  <c r="M2084" i="1"/>
  <c r="N2085" i="1"/>
  <c r="M2085" i="1"/>
  <c r="N2086" i="1"/>
  <c r="M2086" i="1"/>
  <c r="N2087" i="1"/>
  <c r="M2087" i="1"/>
  <c r="N2088" i="1"/>
  <c r="M2088" i="1"/>
  <c r="N2089" i="1"/>
  <c r="M2089" i="1"/>
  <c r="N2090" i="1"/>
  <c r="M2090" i="1"/>
  <c r="N2091" i="1"/>
  <c r="M2091" i="1"/>
  <c r="N2092" i="1"/>
  <c r="M2092" i="1"/>
  <c r="N2093" i="1"/>
  <c r="M2093" i="1"/>
  <c r="N2094" i="1"/>
  <c r="M2094" i="1"/>
  <c r="N2095" i="1"/>
  <c r="M2095" i="1"/>
  <c r="N2096" i="1"/>
  <c r="M2096" i="1"/>
  <c r="N2097" i="1"/>
  <c r="M2097" i="1"/>
  <c r="N2098" i="1"/>
  <c r="M2098" i="1"/>
  <c r="N2099" i="1"/>
  <c r="M2099" i="1"/>
  <c r="N2100" i="1"/>
  <c r="M2100" i="1"/>
  <c r="N2101" i="1"/>
  <c r="M2101" i="1"/>
  <c r="N2102" i="1"/>
  <c r="M2102" i="1"/>
  <c r="N2103" i="1"/>
  <c r="M2103" i="1"/>
  <c r="N2104" i="1"/>
  <c r="M2104" i="1"/>
  <c r="N2105" i="1"/>
  <c r="M2105" i="1"/>
  <c r="N2106" i="1"/>
  <c r="M2106" i="1"/>
  <c r="N2107" i="1"/>
  <c r="M2107" i="1"/>
  <c r="N2108" i="1"/>
  <c r="M2108" i="1"/>
  <c r="N2109" i="1"/>
  <c r="M2109" i="1"/>
  <c r="N2110" i="1"/>
  <c r="M2110" i="1"/>
  <c r="N2111" i="1"/>
  <c r="M2111" i="1"/>
  <c r="N2112" i="1"/>
  <c r="M2112" i="1"/>
  <c r="N2113" i="1"/>
  <c r="M2113" i="1"/>
  <c r="N2114" i="1"/>
  <c r="M2114" i="1"/>
  <c r="N2115" i="1"/>
  <c r="M2115" i="1"/>
  <c r="N2116" i="1"/>
  <c r="M2116" i="1"/>
  <c r="N2117" i="1"/>
  <c r="M2117" i="1"/>
  <c r="N2118" i="1"/>
  <c r="M2118" i="1"/>
  <c r="N2119" i="1"/>
  <c r="M2119" i="1"/>
  <c r="N2120" i="1"/>
  <c r="M2120" i="1"/>
  <c r="N2121" i="1"/>
  <c r="M2121" i="1"/>
  <c r="N2122" i="1"/>
  <c r="M2122" i="1"/>
  <c r="N2123" i="1"/>
  <c r="M2123" i="1"/>
  <c r="N2124" i="1"/>
  <c r="M2124" i="1"/>
  <c r="N2125" i="1"/>
  <c r="M2125" i="1"/>
  <c r="N2126" i="1"/>
  <c r="M2126" i="1"/>
  <c r="N2127" i="1"/>
  <c r="M2127" i="1"/>
  <c r="N2128" i="1"/>
  <c r="M2128" i="1"/>
  <c r="N2129" i="1"/>
  <c r="M2129" i="1"/>
  <c r="N2130" i="1"/>
  <c r="M2130" i="1"/>
  <c r="N2131" i="1"/>
  <c r="M2131" i="1"/>
  <c r="N2132" i="1"/>
  <c r="M2132" i="1"/>
  <c r="N2133" i="1"/>
  <c r="M2133" i="1"/>
  <c r="N2134" i="1"/>
  <c r="M2134" i="1"/>
  <c r="N2135" i="1"/>
  <c r="M2135" i="1"/>
  <c r="N2136" i="1"/>
  <c r="M2136" i="1"/>
  <c r="N2137" i="1"/>
  <c r="M2137" i="1"/>
  <c r="N2138" i="1"/>
  <c r="M2138" i="1"/>
  <c r="N2139" i="1"/>
  <c r="M2139" i="1"/>
  <c r="N2140" i="1"/>
  <c r="M2140" i="1"/>
  <c r="N2141" i="1"/>
  <c r="M2141" i="1"/>
  <c r="N2142" i="1"/>
  <c r="M2142" i="1"/>
  <c r="N2143" i="1"/>
  <c r="M2143" i="1"/>
  <c r="N2144" i="1"/>
  <c r="M2144" i="1"/>
  <c r="N2145" i="1"/>
  <c r="M2145" i="1"/>
  <c r="N2146" i="1"/>
  <c r="M2146" i="1"/>
  <c r="N2147" i="1"/>
  <c r="M2147" i="1"/>
  <c r="N2148" i="1"/>
  <c r="M2148" i="1"/>
  <c r="N2149" i="1"/>
  <c r="M2149" i="1"/>
  <c r="N2150" i="1"/>
  <c r="M2150" i="1"/>
  <c r="N2151" i="1"/>
  <c r="M2151" i="1"/>
  <c r="N2152" i="1"/>
  <c r="M2152" i="1"/>
  <c r="N2153" i="1"/>
  <c r="M2153" i="1"/>
  <c r="N2154" i="1"/>
  <c r="M2154" i="1"/>
  <c r="N2155" i="1"/>
  <c r="M2155" i="1"/>
  <c r="N2156" i="1"/>
  <c r="M2156" i="1"/>
  <c r="N2157" i="1"/>
  <c r="M2157" i="1"/>
  <c r="N2158" i="1"/>
  <c r="M2158" i="1"/>
  <c r="N2159" i="1"/>
  <c r="M2159" i="1"/>
  <c r="N2160" i="1"/>
  <c r="M2160" i="1"/>
  <c r="N2161" i="1"/>
  <c r="M2161" i="1"/>
  <c r="N2162" i="1"/>
  <c r="M2162" i="1"/>
  <c r="N2163" i="1"/>
  <c r="M2163" i="1"/>
  <c r="N2164" i="1"/>
  <c r="M2164" i="1"/>
  <c r="N2165" i="1"/>
  <c r="M2165" i="1"/>
  <c r="N2166" i="1"/>
  <c r="M2166" i="1"/>
  <c r="N2167" i="1"/>
  <c r="M2167" i="1"/>
  <c r="N2168" i="1"/>
  <c r="M2168" i="1"/>
  <c r="N2169" i="1"/>
  <c r="M2169" i="1"/>
  <c r="N2170" i="1"/>
  <c r="M2170" i="1"/>
  <c r="N2171" i="1"/>
  <c r="M2171" i="1"/>
  <c r="N2172" i="1"/>
  <c r="M2172" i="1"/>
  <c r="N2173" i="1"/>
  <c r="M2173" i="1"/>
  <c r="N2174" i="1"/>
  <c r="M2174" i="1"/>
  <c r="N2175" i="1"/>
  <c r="M2175" i="1"/>
  <c r="N2176" i="1"/>
  <c r="M2176" i="1"/>
  <c r="N2177" i="1"/>
  <c r="M2177" i="1"/>
  <c r="N2178" i="1"/>
  <c r="M2178" i="1"/>
  <c r="N2179" i="1"/>
  <c r="M2179" i="1"/>
  <c r="N2180" i="1"/>
  <c r="M2180" i="1"/>
  <c r="N2181" i="1"/>
  <c r="M2181" i="1"/>
  <c r="N2182" i="1"/>
  <c r="M2182" i="1"/>
  <c r="N2183" i="1"/>
  <c r="M2183" i="1"/>
  <c r="N2184" i="1"/>
  <c r="M2184" i="1"/>
  <c r="N2185" i="1"/>
  <c r="M2185" i="1"/>
  <c r="N2186" i="1"/>
  <c r="M2186" i="1"/>
  <c r="N2187" i="1"/>
  <c r="M2187" i="1"/>
  <c r="N2188" i="1"/>
  <c r="M2188" i="1"/>
  <c r="N2189" i="1"/>
  <c r="M2189" i="1"/>
  <c r="N2190" i="1"/>
  <c r="M2190" i="1"/>
  <c r="N2191" i="1"/>
  <c r="M2191" i="1"/>
  <c r="N2192" i="1"/>
  <c r="M2192" i="1"/>
  <c r="N2193" i="1"/>
  <c r="M2193" i="1"/>
  <c r="N2194" i="1"/>
  <c r="M2194" i="1"/>
  <c r="N2195" i="1"/>
  <c r="M2195" i="1"/>
  <c r="N2196" i="1"/>
  <c r="M2196" i="1"/>
  <c r="N2197" i="1"/>
  <c r="M2197" i="1"/>
  <c r="N2198" i="1"/>
  <c r="M2198" i="1"/>
  <c r="N2199" i="1"/>
  <c r="M2199" i="1"/>
  <c r="N2200" i="1"/>
  <c r="M2200" i="1"/>
  <c r="N2201" i="1"/>
  <c r="M2201" i="1"/>
  <c r="N2202" i="1"/>
  <c r="M2202" i="1"/>
  <c r="N2203" i="1"/>
  <c r="M2203" i="1"/>
  <c r="N2204" i="1"/>
  <c r="M2204" i="1"/>
  <c r="N2205" i="1"/>
  <c r="M2205" i="1"/>
  <c r="N2206" i="1"/>
  <c r="M2206" i="1"/>
  <c r="N2207" i="1"/>
  <c r="M2207" i="1"/>
  <c r="N2208" i="1"/>
  <c r="M2208" i="1"/>
  <c r="N2209" i="1"/>
  <c r="M2209" i="1"/>
  <c r="N2210" i="1"/>
  <c r="M2210" i="1"/>
  <c r="N2211" i="1"/>
  <c r="M2211" i="1"/>
  <c r="N2212" i="1"/>
  <c r="M2212" i="1"/>
  <c r="N2213" i="1"/>
  <c r="M2213" i="1"/>
  <c r="N2214" i="1"/>
  <c r="M2214" i="1"/>
  <c r="N2215" i="1"/>
  <c r="M2215" i="1"/>
  <c r="N2216" i="1"/>
  <c r="M2216" i="1"/>
  <c r="N2217" i="1"/>
  <c r="M2217" i="1"/>
  <c r="N2218" i="1"/>
  <c r="M2218" i="1"/>
  <c r="N2219" i="1"/>
  <c r="M2219" i="1"/>
  <c r="N2220" i="1"/>
  <c r="M2220" i="1"/>
  <c r="N2221" i="1"/>
  <c r="M2221" i="1"/>
  <c r="N2222" i="1"/>
  <c r="M2222" i="1"/>
  <c r="N2223" i="1"/>
  <c r="M2223" i="1"/>
  <c r="N2224" i="1"/>
  <c r="M2224" i="1"/>
  <c r="N2225" i="1"/>
  <c r="M2225" i="1"/>
  <c r="N2226" i="1"/>
  <c r="M2226" i="1"/>
  <c r="N2227" i="1"/>
  <c r="M2227" i="1"/>
  <c r="N2228" i="1"/>
  <c r="M2228" i="1"/>
  <c r="N2229" i="1"/>
  <c r="M2229" i="1"/>
  <c r="N2230" i="1"/>
  <c r="M2230" i="1"/>
  <c r="N2231" i="1"/>
  <c r="M2231" i="1"/>
  <c r="N2232" i="1"/>
  <c r="M2232" i="1"/>
  <c r="N2233" i="1"/>
  <c r="M2233" i="1"/>
  <c r="N2234" i="1"/>
  <c r="M2234" i="1"/>
  <c r="N2235" i="1"/>
  <c r="M2235" i="1"/>
  <c r="N2236" i="1"/>
  <c r="M2236" i="1"/>
  <c r="N2237" i="1"/>
  <c r="M2237" i="1"/>
  <c r="N2238" i="1"/>
  <c r="M2238" i="1"/>
  <c r="N2239" i="1"/>
  <c r="M2239" i="1"/>
  <c r="N2240" i="1"/>
  <c r="M2240" i="1"/>
  <c r="N2241" i="1"/>
  <c r="M2241" i="1"/>
  <c r="N2242" i="1"/>
  <c r="M2242" i="1"/>
  <c r="N2243" i="1"/>
  <c r="M2243" i="1"/>
  <c r="N2244" i="1"/>
  <c r="M2244" i="1"/>
  <c r="N2245" i="1"/>
  <c r="M2245" i="1"/>
  <c r="N2246" i="1"/>
  <c r="M2246" i="1"/>
  <c r="N2247" i="1"/>
  <c r="M2247" i="1"/>
  <c r="N2248" i="1"/>
  <c r="M2248" i="1"/>
  <c r="N2249" i="1"/>
  <c r="M2249" i="1"/>
  <c r="N2250" i="1"/>
  <c r="M2250" i="1"/>
  <c r="N2251" i="1"/>
  <c r="M2251" i="1"/>
  <c r="N2252" i="1"/>
  <c r="M2252" i="1"/>
  <c r="N2253" i="1"/>
  <c r="M2253" i="1"/>
  <c r="N2254" i="1"/>
  <c r="M2254" i="1"/>
  <c r="N2255" i="1"/>
  <c r="M2255" i="1"/>
  <c r="N2256" i="1"/>
  <c r="M2256" i="1"/>
  <c r="N2257" i="1"/>
  <c r="M2257" i="1"/>
  <c r="N2258" i="1"/>
  <c r="M2258" i="1"/>
  <c r="N2259" i="1"/>
  <c r="M2259" i="1"/>
  <c r="N2260" i="1"/>
  <c r="M2260" i="1"/>
  <c r="N2261" i="1"/>
  <c r="M2261" i="1"/>
  <c r="N2262" i="1"/>
  <c r="M2262" i="1"/>
  <c r="N2263" i="1"/>
  <c r="M2263" i="1"/>
  <c r="N2264" i="1"/>
  <c r="M2264" i="1"/>
  <c r="N2265" i="1"/>
  <c r="M2265" i="1"/>
  <c r="N2266" i="1"/>
  <c r="M2266" i="1"/>
  <c r="N2267" i="1"/>
  <c r="M2267" i="1"/>
  <c r="N2268" i="1"/>
  <c r="M2268" i="1"/>
  <c r="N2269" i="1"/>
  <c r="M2269" i="1"/>
  <c r="N2270" i="1"/>
  <c r="M2270" i="1"/>
  <c r="N2271" i="1"/>
  <c r="M2271" i="1"/>
  <c r="N2272" i="1"/>
  <c r="M2272" i="1"/>
  <c r="N2273" i="1"/>
  <c r="M2273" i="1"/>
  <c r="N2274" i="1"/>
  <c r="M2274" i="1"/>
  <c r="N2275" i="1"/>
  <c r="M2275" i="1"/>
  <c r="N2276" i="1"/>
  <c r="M2276" i="1"/>
  <c r="N2277" i="1"/>
  <c r="M2277" i="1"/>
  <c r="N2278" i="1"/>
  <c r="M2278" i="1"/>
  <c r="N2279" i="1"/>
  <c r="M2279" i="1"/>
  <c r="N2280" i="1"/>
  <c r="M2280" i="1"/>
  <c r="N2281" i="1"/>
  <c r="M2281" i="1"/>
  <c r="N2282" i="1"/>
  <c r="M2282" i="1"/>
  <c r="N2283" i="1"/>
  <c r="M2283" i="1"/>
  <c r="N2284" i="1"/>
  <c r="M2284" i="1"/>
  <c r="N2285" i="1"/>
  <c r="M2285" i="1"/>
  <c r="N2286" i="1"/>
  <c r="M2286" i="1"/>
  <c r="N2287" i="1"/>
  <c r="M2287" i="1"/>
  <c r="N2288" i="1"/>
  <c r="M2288" i="1"/>
  <c r="N2289" i="1"/>
  <c r="M2289" i="1"/>
  <c r="N2290" i="1"/>
  <c r="M2290" i="1"/>
  <c r="N2291" i="1"/>
  <c r="M2291" i="1"/>
  <c r="N2292" i="1"/>
  <c r="M2292" i="1"/>
  <c r="N2293" i="1"/>
  <c r="M2293" i="1"/>
  <c r="N2294" i="1"/>
  <c r="M2294" i="1"/>
  <c r="N2295" i="1"/>
  <c r="M2295" i="1"/>
  <c r="N2296" i="1"/>
  <c r="M2296" i="1"/>
  <c r="N2297" i="1"/>
  <c r="M2297" i="1"/>
  <c r="N2298" i="1"/>
  <c r="M2298" i="1"/>
  <c r="N2299" i="1"/>
  <c r="M2299" i="1"/>
  <c r="N2300" i="1"/>
  <c r="M2300" i="1"/>
  <c r="N2301" i="1"/>
  <c r="M2301" i="1"/>
  <c r="N2302" i="1"/>
  <c r="M2302" i="1"/>
  <c r="N2303" i="1"/>
  <c r="M2303" i="1"/>
  <c r="N2304" i="1"/>
  <c r="M2304" i="1"/>
  <c r="N2305" i="1"/>
  <c r="M2305" i="1"/>
  <c r="N2306" i="1"/>
  <c r="M2306" i="1"/>
  <c r="N2307" i="1"/>
  <c r="M2307" i="1"/>
  <c r="N2308" i="1"/>
  <c r="M2308" i="1"/>
  <c r="N2309" i="1"/>
  <c r="M2309" i="1"/>
  <c r="N2310" i="1"/>
  <c r="M2310" i="1"/>
  <c r="N2311" i="1"/>
  <c r="M2311" i="1"/>
  <c r="N2312" i="1"/>
  <c r="M2312" i="1"/>
  <c r="N2313" i="1"/>
  <c r="M2313" i="1"/>
  <c r="N2314" i="1"/>
  <c r="M2314" i="1"/>
  <c r="N2315" i="1"/>
  <c r="M2315" i="1"/>
  <c r="N2316" i="1"/>
  <c r="M2316" i="1"/>
  <c r="N2317" i="1"/>
  <c r="M2317" i="1"/>
  <c r="N2318" i="1"/>
  <c r="M2318" i="1"/>
  <c r="N2319" i="1"/>
  <c r="M2319" i="1"/>
  <c r="N2320" i="1"/>
  <c r="M2320" i="1"/>
  <c r="N2321" i="1"/>
  <c r="M2321" i="1"/>
  <c r="N2322" i="1"/>
  <c r="M2322" i="1"/>
  <c r="N2323" i="1"/>
  <c r="M2323" i="1"/>
  <c r="N2324" i="1"/>
  <c r="M2324" i="1"/>
  <c r="N2325" i="1"/>
  <c r="M2325" i="1"/>
  <c r="N2326" i="1"/>
  <c r="M2326" i="1"/>
  <c r="N2327" i="1"/>
  <c r="M2327" i="1"/>
  <c r="N2328" i="1"/>
  <c r="M2328" i="1"/>
  <c r="N2329" i="1"/>
  <c r="M2329" i="1"/>
  <c r="N2330" i="1"/>
  <c r="M2330" i="1"/>
  <c r="N2331" i="1"/>
  <c r="M2331" i="1"/>
  <c r="N2332" i="1"/>
  <c r="M2332" i="1"/>
  <c r="N2333" i="1"/>
  <c r="M2333" i="1"/>
  <c r="N2334" i="1"/>
  <c r="M2334" i="1"/>
  <c r="N2335" i="1"/>
  <c r="M2335" i="1"/>
  <c r="N2336" i="1"/>
  <c r="M2336" i="1"/>
  <c r="N2337" i="1"/>
  <c r="M2337" i="1"/>
  <c r="N2338" i="1"/>
  <c r="M2338" i="1"/>
  <c r="N2339" i="1"/>
  <c r="M2339" i="1"/>
  <c r="N2340" i="1"/>
  <c r="M2340" i="1"/>
  <c r="N2341" i="1"/>
  <c r="M2341" i="1"/>
  <c r="N2342" i="1"/>
  <c r="M2342" i="1"/>
  <c r="N2343" i="1"/>
  <c r="M2343" i="1"/>
  <c r="N2344" i="1"/>
  <c r="M2344" i="1"/>
  <c r="N2345" i="1"/>
  <c r="M2345" i="1"/>
  <c r="N2346" i="1"/>
  <c r="M2346" i="1"/>
  <c r="N2347" i="1"/>
  <c r="M2347" i="1"/>
  <c r="N2348" i="1"/>
  <c r="M2348" i="1"/>
  <c r="N2349" i="1"/>
  <c r="M2349" i="1"/>
  <c r="N2350" i="1"/>
  <c r="M2350" i="1"/>
  <c r="N2351" i="1"/>
  <c r="M2351" i="1"/>
  <c r="N2352" i="1"/>
  <c r="M2352" i="1"/>
  <c r="N2353" i="1"/>
  <c r="M2353" i="1"/>
  <c r="N2354" i="1"/>
  <c r="M2354" i="1"/>
  <c r="N2355" i="1"/>
  <c r="M2355" i="1"/>
  <c r="N2356" i="1"/>
  <c r="M2356" i="1"/>
  <c r="N2357" i="1"/>
  <c r="M2357" i="1"/>
  <c r="N2358" i="1"/>
  <c r="M2358" i="1"/>
  <c r="N2359" i="1"/>
  <c r="M2359" i="1"/>
  <c r="N2360" i="1"/>
  <c r="M2360" i="1"/>
  <c r="N2361" i="1"/>
  <c r="M2361" i="1"/>
  <c r="N2362" i="1"/>
  <c r="M2362" i="1"/>
  <c r="N2363" i="1"/>
  <c r="M2363" i="1"/>
  <c r="N2364" i="1"/>
  <c r="M2364" i="1"/>
  <c r="N2365" i="1"/>
  <c r="M2365" i="1"/>
  <c r="N2366" i="1"/>
  <c r="M2366" i="1"/>
  <c r="N2367" i="1"/>
  <c r="M2367" i="1"/>
  <c r="N2368" i="1"/>
  <c r="M2368" i="1"/>
  <c r="N2369" i="1"/>
  <c r="M2369" i="1"/>
  <c r="N2370" i="1"/>
  <c r="M2370" i="1"/>
  <c r="N2371" i="1"/>
  <c r="M2371" i="1"/>
  <c r="N2372" i="1"/>
  <c r="M2372" i="1"/>
  <c r="N2373" i="1"/>
  <c r="M2373" i="1"/>
  <c r="N2374" i="1"/>
  <c r="M2374" i="1"/>
  <c r="N2375" i="1"/>
  <c r="M2375" i="1"/>
  <c r="N2376" i="1"/>
  <c r="M2376" i="1"/>
  <c r="N2377" i="1"/>
  <c r="M2377" i="1"/>
  <c r="N2378" i="1"/>
  <c r="M2378" i="1"/>
  <c r="N2379" i="1"/>
  <c r="M2379" i="1"/>
  <c r="N2380" i="1"/>
  <c r="M2380" i="1"/>
  <c r="N2381" i="1"/>
  <c r="M2381" i="1"/>
  <c r="N2382" i="1"/>
  <c r="M2382" i="1"/>
  <c r="N2383" i="1"/>
  <c r="M2383" i="1"/>
  <c r="N2384" i="1"/>
  <c r="M2384" i="1"/>
  <c r="N2385" i="1"/>
  <c r="M2385" i="1"/>
  <c r="N2386" i="1"/>
  <c r="M2386" i="1"/>
  <c r="N2387" i="1"/>
  <c r="M2387" i="1"/>
  <c r="N2388" i="1"/>
  <c r="M2388" i="1"/>
  <c r="N2389" i="1"/>
  <c r="M2389" i="1"/>
  <c r="N2390" i="1"/>
  <c r="M2390" i="1"/>
  <c r="N2391" i="1"/>
  <c r="M2391" i="1"/>
  <c r="N2392" i="1"/>
  <c r="M2392" i="1"/>
  <c r="N2393" i="1"/>
  <c r="M2393" i="1"/>
  <c r="N2394" i="1"/>
  <c r="M2394" i="1"/>
  <c r="N2395" i="1"/>
  <c r="M2395" i="1"/>
  <c r="N2396" i="1"/>
  <c r="M2396" i="1"/>
  <c r="N2397" i="1"/>
  <c r="M2397" i="1"/>
  <c r="N2398" i="1"/>
  <c r="M2398" i="1"/>
  <c r="N2399" i="1"/>
  <c r="M2399" i="1"/>
  <c r="N2400" i="1"/>
  <c r="M2400" i="1"/>
  <c r="N2401" i="1"/>
  <c r="M2401" i="1"/>
  <c r="N2402" i="1"/>
  <c r="M2402" i="1"/>
  <c r="N2403" i="1"/>
  <c r="M2403" i="1"/>
  <c r="N2404" i="1"/>
  <c r="M2404" i="1"/>
  <c r="N2405" i="1"/>
  <c r="M2405" i="1"/>
  <c r="N2406" i="1"/>
  <c r="M2406" i="1"/>
  <c r="N2407" i="1"/>
  <c r="M2407" i="1"/>
  <c r="N2408" i="1"/>
  <c r="M2408" i="1"/>
  <c r="N2409" i="1"/>
  <c r="M2409" i="1"/>
  <c r="N2410" i="1"/>
  <c r="M2410" i="1"/>
  <c r="N2411" i="1"/>
  <c r="M2411" i="1"/>
  <c r="N2412" i="1"/>
  <c r="M2412" i="1"/>
  <c r="N2413" i="1"/>
  <c r="M2413" i="1"/>
  <c r="N2414" i="1"/>
  <c r="M2414" i="1"/>
  <c r="N2415" i="1"/>
  <c r="M2415" i="1"/>
  <c r="N2416" i="1"/>
  <c r="M2416" i="1"/>
  <c r="N2417" i="1"/>
  <c r="M2417" i="1"/>
  <c r="N2418" i="1"/>
  <c r="M2418" i="1"/>
  <c r="N2419" i="1"/>
  <c r="M2419" i="1"/>
  <c r="N2420" i="1"/>
  <c r="M2420" i="1"/>
  <c r="N2421" i="1"/>
  <c r="M2421" i="1"/>
  <c r="N2422" i="1"/>
  <c r="M2422" i="1"/>
  <c r="N2423" i="1"/>
  <c r="M2423" i="1"/>
  <c r="N2424" i="1"/>
  <c r="M2424" i="1"/>
  <c r="N2425" i="1"/>
  <c r="M2425" i="1"/>
  <c r="N2426" i="1"/>
  <c r="M2426" i="1"/>
  <c r="N2427" i="1"/>
  <c r="M2427" i="1"/>
  <c r="N2428" i="1"/>
  <c r="M2428" i="1"/>
  <c r="N2429" i="1"/>
  <c r="M2429" i="1"/>
  <c r="N2430" i="1"/>
  <c r="M2430" i="1"/>
  <c r="N2431" i="1"/>
  <c r="M2431" i="1"/>
  <c r="N2432" i="1"/>
  <c r="M2432" i="1"/>
  <c r="N2433" i="1"/>
  <c r="M2433" i="1"/>
  <c r="N2434" i="1"/>
  <c r="M2434" i="1"/>
  <c r="N2435" i="1"/>
  <c r="M2435" i="1"/>
  <c r="N2436" i="1"/>
  <c r="M2436" i="1"/>
  <c r="N2437" i="1"/>
  <c r="M2437" i="1"/>
  <c r="N2438" i="1"/>
  <c r="M2438" i="1"/>
  <c r="N2439" i="1"/>
  <c r="M2439" i="1"/>
  <c r="N2440" i="1"/>
  <c r="M2440" i="1"/>
  <c r="N2441" i="1"/>
  <c r="M2441" i="1"/>
  <c r="N2442" i="1"/>
  <c r="M2442" i="1"/>
  <c r="N2443" i="1"/>
  <c r="M2443" i="1"/>
  <c r="N2444" i="1"/>
  <c r="M2444" i="1"/>
  <c r="N2445" i="1"/>
  <c r="M2445" i="1"/>
  <c r="N2446" i="1"/>
  <c r="M2446" i="1"/>
  <c r="N2447" i="1"/>
  <c r="M2447" i="1"/>
  <c r="N2448" i="1"/>
  <c r="M2448" i="1"/>
  <c r="N2449" i="1"/>
  <c r="M2449" i="1"/>
  <c r="N2450" i="1"/>
  <c r="M2450" i="1"/>
  <c r="N2451" i="1"/>
  <c r="M2451" i="1"/>
  <c r="N2452" i="1"/>
  <c r="M2452" i="1"/>
  <c r="N2453" i="1"/>
  <c r="M2453" i="1"/>
  <c r="N2454" i="1"/>
  <c r="M2454" i="1"/>
  <c r="N2455" i="1"/>
  <c r="M2455" i="1"/>
  <c r="N2456" i="1"/>
  <c r="M2456" i="1"/>
  <c r="N2457" i="1"/>
  <c r="M2457" i="1"/>
  <c r="N2458" i="1"/>
  <c r="M2458" i="1"/>
  <c r="N2459" i="1"/>
  <c r="M2459" i="1"/>
  <c r="N2460" i="1"/>
  <c r="M2460" i="1"/>
  <c r="N2461" i="1"/>
  <c r="M2461" i="1"/>
  <c r="N2462" i="1"/>
  <c r="M2462" i="1"/>
  <c r="N2463" i="1"/>
  <c r="M2463" i="1"/>
  <c r="N2464" i="1"/>
  <c r="M2464" i="1"/>
  <c r="N2465" i="1"/>
  <c r="M2465" i="1"/>
  <c r="N2466" i="1"/>
  <c r="M2466" i="1"/>
  <c r="N2467" i="1"/>
  <c r="M2467" i="1"/>
  <c r="N2468" i="1"/>
  <c r="M2468" i="1"/>
  <c r="N2469" i="1"/>
  <c r="M2469" i="1"/>
  <c r="N2470" i="1"/>
  <c r="M2470" i="1"/>
  <c r="N2471" i="1"/>
  <c r="M2471" i="1"/>
  <c r="N2472" i="1"/>
  <c r="M2472" i="1"/>
  <c r="N2473" i="1"/>
  <c r="M2473" i="1"/>
  <c r="N2474" i="1"/>
  <c r="M2474" i="1"/>
  <c r="N2475" i="1"/>
  <c r="M2475" i="1"/>
  <c r="N2476" i="1"/>
  <c r="M2476" i="1"/>
  <c r="N2477" i="1"/>
  <c r="M2477" i="1"/>
  <c r="N2478" i="1"/>
  <c r="M2478" i="1"/>
  <c r="N2479" i="1"/>
  <c r="M2479" i="1"/>
  <c r="N2480" i="1"/>
  <c r="M2480" i="1"/>
  <c r="N2481" i="1"/>
  <c r="M2481" i="1"/>
  <c r="N2482" i="1"/>
  <c r="M2482" i="1"/>
  <c r="N2483" i="1"/>
  <c r="M2483" i="1"/>
  <c r="N2484" i="1"/>
  <c r="M2484" i="1"/>
  <c r="N2485" i="1"/>
  <c r="M2485" i="1"/>
  <c r="N2486" i="1"/>
  <c r="M2486" i="1"/>
  <c r="N2487" i="1"/>
  <c r="M2487" i="1"/>
  <c r="N2488" i="1"/>
  <c r="M2488" i="1"/>
  <c r="N2489" i="1"/>
  <c r="M2489" i="1"/>
  <c r="N2490" i="1"/>
  <c r="M2490" i="1"/>
  <c r="N2491" i="1"/>
  <c r="M2491" i="1"/>
  <c r="N2492" i="1"/>
  <c r="M2492" i="1"/>
  <c r="N2493" i="1"/>
  <c r="M2493" i="1"/>
  <c r="N2494" i="1"/>
  <c r="M2494" i="1"/>
  <c r="N2495" i="1"/>
  <c r="M2495" i="1"/>
  <c r="N2496" i="1"/>
  <c r="M2496" i="1"/>
  <c r="N2497" i="1"/>
  <c r="M2497" i="1"/>
  <c r="N2498" i="1"/>
  <c r="M2498" i="1"/>
  <c r="N2499" i="1"/>
  <c r="M2499" i="1"/>
  <c r="N2500" i="1"/>
  <c r="M2500" i="1"/>
  <c r="N2501" i="1"/>
  <c r="M2501" i="1"/>
  <c r="N2502" i="1"/>
  <c r="M2502" i="1"/>
  <c r="N2503" i="1"/>
  <c r="M2503" i="1"/>
  <c r="N2504" i="1"/>
  <c r="M2504" i="1"/>
  <c r="N2505" i="1"/>
  <c r="M2505" i="1"/>
  <c r="N2506" i="1"/>
  <c r="M2506" i="1"/>
  <c r="N2507" i="1"/>
  <c r="M2507" i="1"/>
  <c r="N2508" i="1"/>
  <c r="M2508" i="1"/>
  <c r="N2509" i="1"/>
  <c r="M2509" i="1"/>
  <c r="N2510" i="1"/>
  <c r="M2510" i="1"/>
  <c r="N2511" i="1"/>
  <c r="M2511" i="1"/>
  <c r="N2512" i="1"/>
  <c r="M2512" i="1"/>
  <c r="N2513" i="1"/>
  <c r="M2513" i="1"/>
  <c r="N2514" i="1"/>
  <c r="M2514" i="1"/>
  <c r="N2515" i="1"/>
  <c r="M2515" i="1"/>
  <c r="N2516" i="1"/>
  <c r="M2516" i="1"/>
  <c r="N2517" i="1"/>
  <c r="M2517" i="1"/>
  <c r="N2518" i="1"/>
  <c r="M2518" i="1"/>
  <c r="N2519" i="1"/>
  <c r="M2519" i="1"/>
  <c r="N2520" i="1"/>
  <c r="M2520" i="1"/>
  <c r="N2521" i="1"/>
  <c r="M2521" i="1"/>
  <c r="N2522" i="1"/>
  <c r="M2522" i="1"/>
  <c r="N2523" i="1"/>
  <c r="M2523" i="1"/>
  <c r="N2524" i="1"/>
  <c r="M2524" i="1"/>
  <c r="N2525" i="1"/>
  <c r="M2525" i="1"/>
  <c r="N2526" i="1"/>
  <c r="M2526" i="1"/>
  <c r="N2527" i="1"/>
  <c r="M2527" i="1"/>
  <c r="N2528" i="1"/>
  <c r="M2528" i="1"/>
  <c r="N2529" i="1"/>
  <c r="M2529" i="1"/>
  <c r="N2530" i="1"/>
  <c r="M2530" i="1"/>
  <c r="N2531" i="1"/>
  <c r="M2531" i="1"/>
  <c r="N2532" i="1"/>
  <c r="M2532" i="1"/>
  <c r="N2533" i="1"/>
  <c r="M2533" i="1"/>
  <c r="N2534" i="1"/>
  <c r="M2534" i="1"/>
  <c r="N2535" i="1"/>
  <c r="M2535" i="1"/>
  <c r="N2536" i="1"/>
  <c r="M2536" i="1"/>
  <c r="N2537" i="1"/>
  <c r="M2537" i="1"/>
  <c r="N2538" i="1"/>
  <c r="M2538" i="1"/>
  <c r="N2539" i="1"/>
  <c r="M2539" i="1"/>
  <c r="N2540" i="1"/>
  <c r="M2540" i="1"/>
  <c r="N2541" i="1"/>
  <c r="M2541" i="1"/>
  <c r="N2542" i="1"/>
  <c r="M2542" i="1"/>
  <c r="N2543" i="1"/>
  <c r="M2543" i="1"/>
  <c r="N2544" i="1"/>
  <c r="M2544" i="1"/>
  <c r="N2545" i="1"/>
  <c r="M2545" i="1"/>
  <c r="N2546" i="1"/>
  <c r="M2546" i="1"/>
  <c r="N2547" i="1"/>
  <c r="M2547" i="1"/>
  <c r="N2548" i="1"/>
  <c r="M2548" i="1"/>
  <c r="N2549" i="1"/>
  <c r="M2549" i="1"/>
  <c r="N2550" i="1"/>
  <c r="M2550" i="1"/>
  <c r="N2551" i="1"/>
  <c r="M2551" i="1"/>
  <c r="N2552" i="1"/>
  <c r="M2552" i="1"/>
  <c r="N2553" i="1"/>
  <c r="M2553" i="1"/>
  <c r="N2554" i="1"/>
  <c r="M2554" i="1"/>
  <c r="N2555" i="1"/>
  <c r="M2555" i="1"/>
  <c r="N2556" i="1"/>
  <c r="M2556" i="1"/>
  <c r="N2557" i="1"/>
  <c r="M2557" i="1"/>
  <c r="N2558" i="1"/>
  <c r="M2558" i="1"/>
  <c r="N2559" i="1"/>
  <c r="M2559" i="1"/>
  <c r="N2560" i="1"/>
  <c r="M2560" i="1"/>
  <c r="N2561" i="1"/>
  <c r="M2561" i="1"/>
  <c r="N2562" i="1"/>
  <c r="M2562" i="1"/>
  <c r="N2563" i="1"/>
  <c r="M2563" i="1"/>
  <c r="N2564" i="1"/>
  <c r="M2564" i="1"/>
  <c r="N2565" i="1"/>
  <c r="M2565" i="1"/>
  <c r="N2566" i="1"/>
  <c r="M2566" i="1"/>
  <c r="N2567" i="1"/>
  <c r="M2567" i="1"/>
  <c r="N2568" i="1"/>
  <c r="M2568" i="1"/>
  <c r="N2569" i="1"/>
  <c r="M2569" i="1"/>
  <c r="N2570" i="1"/>
  <c r="M2570" i="1"/>
  <c r="N2571" i="1"/>
  <c r="M2571" i="1"/>
  <c r="N2572" i="1"/>
  <c r="M2572" i="1"/>
  <c r="N2573" i="1"/>
  <c r="M2573" i="1"/>
  <c r="N2574" i="1"/>
  <c r="M2574" i="1"/>
  <c r="N2575" i="1"/>
  <c r="M2575" i="1"/>
  <c r="N2576" i="1"/>
  <c r="M2576" i="1"/>
  <c r="N2577" i="1"/>
  <c r="M2577" i="1"/>
  <c r="N2578" i="1"/>
  <c r="M2578" i="1"/>
  <c r="N2579" i="1"/>
  <c r="M2579" i="1"/>
  <c r="N2580" i="1"/>
  <c r="M2580" i="1"/>
  <c r="N2581" i="1"/>
  <c r="M2581" i="1"/>
  <c r="N2582" i="1"/>
  <c r="M2582" i="1"/>
  <c r="N2583" i="1"/>
  <c r="M2583" i="1"/>
  <c r="N2584" i="1"/>
  <c r="M2584" i="1"/>
  <c r="N2585" i="1"/>
  <c r="M2585" i="1"/>
  <c r="N2586" i="1"/>
  <c r="M2586" i="1"/>
  <c r="N2587" i="1"/>
  <c r="M2587" i="1"/>
  <c r="N2588" i="1"/>
  <c r="M2588" i="1"/>
  <c r="N2589" i="1"/>
  <c r="M2589" i="1"/>
  <c r="N2590" i="1"/>
  <c r="M2590" i="1"/>
  <c r="N2591" i="1"/>
  <c r="M2591" i="1"/>
  <c r="N2592" i="1"/>
  <c r="M2592" i="1"/>
  <c r="N2593" i="1"/>
  <c r="M2593" i="1"/>
  <c r="N2594" i="1"/>
  <c r="M2594" i="1"/>
  <c r="N2595" i="1"/>
  <c r="M2595" i="1"/>
  <c r="N2596" i="1"/>
  <c r="M2596" i="1"/>
  <c r="N2597" i="1"/>
  <c r="M2597" i="1"/>
  <c r="N2598" i="1"/>
  <c r="M2598" i="1"/>
  <c r="N2599" i="1"/>
  <c r="M2599" i="1"/>
  <c r="N2600" i="1"/>
  <c r="M2600" i="1"/>
  <c r="N2601" i="1"/>
  <c r="M2601" i="1"/>
  <c r="N2602" i="1"/>
  <c r="M2602" i="1"/>
  <c r="N2603" i="1"/>
  <c r="M2603" i="1"/>
  <c r="N2604" i="1"/>
  <c r="M2604" i="1"/>
  <c r="N2605" i="1"/>
  <c r="M2605" i="1"/>
  <c r="N2606" i="1"/>
  <c r="M2606" i="1"/>
  <c r="N2607" i="1"/>
  <c r="M2607" i="1"/>
  <c r="N2608" i="1"/>
  <c r="M2608" i="1"/>
  <c r="N2609" i="1"/>
  <c r="M2609" i="1"/>
  <c r="N2610" i="1"/>
  <c r="M2610" i="1"/>
  <c r="N2611" i="1"/>
  <c r="M2611" i="1"/>
  <c r="N2612" i="1"/>
  <c r="M2612" i="1"/>
  <c r="N2613" i="1"/>
  <c r="M2613" i="1"/>
  <c r="N2614" i="1"/>
  <c r="M2614" i="1"/>
  <c r="N2615" i="1"/>
  <c r="M2615" i="1"/>
  <c r="N2616" i="1"/>
  <c r="M2616" i="1"/>
  <c r="N2617" i="1"/>
  <c r="M2617" i="1"/>
  <c r="N2618" i="1"/>
  <c r="M2618" i="1"/>
  <c r="N2619" i="1"/>
  <c r="M2619" i="1"/>
  <c r="N2620" i="1"/>
  <c r="M2620" i="1"/>
  <c r="N2621" i="1"/>
  <c r="M2621" i="1"/>
  <c r="N2622" i="1"/>
  <c r="M2622" i="1"/>
  <c r="N2623" i="1"/>
  <c r="M2623" i="1"/>
  <c r="N2624" i="1"/>
  <c r="M2624" i="1"/>
  <c r="N2625" i="1"/>
  <c r="M2625" i="1"/>
  <c r="N2626" i="1"/>
  <c r="M2626" i="1"/>
  <c r="N2967" i="1"/>
  <c r="M2967" i="1"/>
  <c r="N2968" i="1"/>
  <c r="M2968" i="1"/>
  <c r="N2969" i="1"/>
  <c r="M2969" i="1"/>
  <c r="N2970" i="1"/>
  <c r="M2970" i="1"/>
  <c r="N2971" i="1"/>
  <c r="M2971" i="1"/>
  <c r="N2972" i="1"/>
  <c r="M2972" i="1"/>
  <c r="N2973" i="1"/>
  <c r="M2973" i="1"/>
  <c r="N2974" i="1"/>
  <c r="M2974" i="1"/>
  <c r="N2975" i="1"/>
  <c r="M2975" i="1"/>
  <c r="N2976" i="1"/>
  <c r="M2976" i="1"/>
  <c r="N2977" i="1"/>
  <c r="M2977" i="1"/>
  <c r="N2978" i="1"/>
  <c r="M2978" i="1"/>
  <c r="N2979" i="1"/>
  <c r="M2979" i="1"/>
  <c r="N2980" i="1"/>
  <c r="M2980" i="1"/>
  <c r="N2981" i="1"/>
  <c r="M2981" i="1"/>
  <c r="N2982" i="1"/>
  <c r="M2982" i="1"/>
  <c r="N2983" i="1"/>
  <c r="M2983" i="1"/>
  <c r="N2984" i="1"/>
  <c r="M2984" i="1"/>
  <c r="N2985" i="1"/>
  <c r="M2985" i="1"/>
  <c r="N2986" i="1"/>
  <c r="M2986" i="1"/>
  <c r="N2987" i="1"/>
  <c r="M2987" i="1"/>
  <c r="N2988" i="1"/>
  <c r="M2988" i="1"/>
  <c r="N2989" i="1"/>
  <c r="M2989" i="1"/>
  <c r="N2990" i="1"/>
  <c r="M2990" i="1"/>
  <c r="N2991" i="1"/>
  <c r="M2991" i="1"/>
  <c r="N2992" i="1"/>
  <c r="M2992" i="1"/>
  <c r="N2993" i="1"/>
  <c r="M2993" i="1"/>
  <c r="N2994" i="1"/>
  <c r="M2994" i="1"/>
  <c r="N2995" i="1"/>
  <c r="M2995" i="1"/>
  <c r="N2996" i="1"/>
  <c r="M2996" i="1"/>
  <c r="N2997" i="1"/>
  <c r="M2997" i="1"/>
  <c r="N2998" i="1"/>
  <c r="M2998" i="1"/>
  <c r="N2999" i="1"/>
  <c r="M2999" i="1"/>
  <c r="N3000" i="1"/>
  <c r="M3000" i="1"/>
  <c r="N3001" i="1"/>
  <c r="M3001" i="1"/>
  <c r="N3002" i="1"/>
  <c r="M3002" i="1"/>
  <c r="N3003" i="1"/>
  <c r="M3003" i="1"/>
  <c r="N3004" i="1"/>
  <c r="M3004" i="1"/>
  <c r="N3005" i="1"/>
  <c r="M3005" i="1"/>
  <c r="N3006" i="1"/>
  <c r="M3006" i="1"/>
  <c r="N3007" i="1"/>
  <c r="M3007" i="1"/>
  <c r="N3008" i="1"/>
  <c r="M3008" i="1"/>
  <c r="N3009" i="1"/>
  <c r="M3009" i="1"/>
  <c r="N3010" i="1"/>
  <c r="M3010" i="1"/>
  <c r="N3011" i="1"/>
  <c r="M3011" i="1"/>
  <c r="N3012" i="1"/>
  <c r="M3012" i="1"/>
  <c r="N3013" i="1"/>
  <c r="M3013" i="1"/>
  <c r="N3014" i="1"/>
  <c r="M3014" i="1"/>
  <c r="N3015" i="1"/>
  <c r="M3015" i="1"/>
  <c r="N3016" i="1"/>
  <c r="M3016" i="1"/>
  <c r="N3017" i="1"/>
  <c r="M3017" i="1"/>
  <c r="N3018" i="1"/>
  <c r="M3018" i="1"/>
  <c r="N3019" i="1"/>
  <c r="M3019" i="1"/>
  <c r="N3020" i="1"/>
  <c r="M3020" i="1"/>
  <c r="N3021" i="1"/>
  <c r="M3021" i="1"/>
  <c r="N3022" i="1"/>
  <c r="M3022" i="1"/>
  <c r="N3023" i="1"/>
  <c r="M3023" i="1"/>
  <c r="N3024" i="1"/>
  <c r="M3024" i="1"/>
  <c r="N3025" i="1"/>
  <c r="M3025" i="1"/>
  <c r="N3026" i="1"/>
  <c r="M3026" i="1"/>
  <c r="N3027" i="1"/>
  <c r="M3027" i="1"/>
  <c r="N3028" i="1"/>
  <c r="M3028" i="1"/>
  <c r="N3029" i="1"/>
  <c r="M3029" i="1"/>
  <c r="N3030" i="1"/>
  <c r="M3030" i="1"/>
  <c r="N3031" i="1"/>
  <c r="M3031" i="1"/>
  <c r="N3032" i="1"/>
  <c r="M3032" i="1"/>
  <c r="N3033" i="1"/>
  <c r="M3033" i="1"/>
  <c r="N3034" i="1"/>
  <c r="M3034" i="1"/>
  <c r="N3035" i="1"/>
  <c r="M3035" i="1"/>
  <c r="N3036" i="1"/>
  <c r="M3036" i="1"/>
  <c r="N3037" i="1"/>
  <c r="M3037" i="1"/>
  <c r="N3038" i="1"/>
  <c r="M3038" i="1"/>
  <c r="N3039" i="1"/>
  <c r="M3039" i="1"/>
  <c r="N3040" i="1"/>
  <c r="M3040" i="1"/>
  <c r="N3041" i="1"/>
  <c r="M3041" i="1"/>
  <c r="N3042" i="1"/>
  <c r="M3042" i="1"/>
  <c r="N3043" i="1"/>
  <c r="M3043" i="1"/>
  <c r="N3044" i="1"/>
  <c r="M3044" i="1"/>
  <c r="N3045" i="1"/>
  <c r="M3045" i="1"/>
  <c r="N3046" i="1"/>
  <c r="M3046" i="1"/>
  <c r="N3047" i="1"/>
  <c r="M3047" i="1"/>
  <c r="N3048" i="1"/>
  <c r="M3048" i="1"/>
  <c r="N3049" i="1"/>
  <c r="M3049" i="1"/>
  <c r="N3050" i="1"/>
  <c r="M3050" i="1"/>
  <c r="N3051" i="1"/>
  <c r="M3051" i="1"/>
  <c r="N3052" i="1"/>
  <c r="M3052" i="1"/>
  <c r="N3053" i="1"/>
  <c r="M3053" i="1"/>
  <c r="N3054" i="1"/>
  <c r="M3054" i="1"/>
  <c r="N3055" i="1"/>
  <c r="M3055" i="1"/>
  <c r="N3056" i="1"/>
  <c r="M3056" i="1"/>
  <c r="N3057" i="1"/>
  <c r="M3057" i="1"/>
  <c r="N3058" i="1"/>
  <c r="M3058" i="1"/>
  <c r="N3059" i="1"/>
  <c r="M3059" i="1"/>
  <c r="N3060" i="1"/>
  <c r="M3060" i="1"/>
  <c r="N3061" i="1"/>
  <c r="M3061" i="1"/>
  <c r="N3062" i="1"/>
  <c r="M3062" i="1"/>
  <c r="N3063" i="1"/>
  <c r="M3063" i="1"/>
  <c r="N3064" i="1"/>
  <c r="M3064" i="1"/>
  <c r="N3065" i="1"/>
  <c r="M3065" i="1"/>
  <c r="N3066" i="1"/>
  <c r="M3066" i="1"/>
  <c r="N3067" i="1"/>
  <c r="M3067" i="1"/>
  <c r="N3068" i="1"/>
  <c r="M3068" i="1"/>
  <c r="N3069" i="1"/>
  <c r="M3069" i="1"/>
  <c r="N3070" i="1"/>
  <c r="M3070" i="1"/>
  <c r="N3071" i="1"/>
  <c r="M3071" i="1"/>
  <c r="N3072" i="1"/>
  <c r="M3072" i="1"/>
  <c r="N3073" i="1"/>
  <c r="M3073" i="1"/>
  <c r="N3074" i="1"/>
  <c r="M3074" i="1"/>
  <c r="N3075" i="1"/>
  <c r="M3075" i="1"/>
  <c r="N3076" i="1"/>
  <c r="M3076" i="1"/>
  <c r="N3077" i="1"/>
  <c r="M3077" i="1"/>
  <c r="N3078" i="1"/>
  <c r="M3078" i="1"/>
  <c r="N3079" i="1"/>
  <c r="M3079" i="1"/>
  <c r="N3080" i="1"/>
  <c r="M3080" i="1"/>
  <c r="N3081" i="1"/>
  <c r="M3081" i="1"/>
  <c r="N3082" i="1"/>
  <c r="M3082" i="1"/>
  <c r="N3083" i="1"/>
  <c r="M3083" i="1"/>
  <c r="N3084" i="1"/>
  <c r="M3084" i="1"/>
  <c r="N3085" i="1"/>
  <c r="M3085" i="1"/>
  <c r="N3086" i="1"/>
  <c r="M3086" i="1"/>
  <c r="N3087" i="1"/>
  <c r="M3087" i="1"/>
  <c r="N3088" i="1"/>
  <c r="M3088" i="1"/>
  <c r="N3089" i="1"/>
  <c r="M3089" i="1"/>
  <c r="N3090" i="1"/>
  <c r="M3090" i="1"/>
  <c r="N3091" i="1"/>
  <c r="M3091" i="1"/>
  <c r="N3092" i="1"/>
  <c r="M3092" i="1"/>
  <c r="N3093" i="1"/>
  <c r="M3093" i="1"/>
  <c r="N3094" i="1"/>
  <c r="M3094" i="1"/>
  <c r="N3095" i="1"/>
  <c r="M3095" i="1"/>
  <c r="N3096" i="1"/>
  <c r="M3096" i="1"/>
  <c r="N3097" i="1"/>
  <c r="M3097" i="1"/>
  <c r="N3098" i="1"/>
  <c r="M3098" i="1"/>
  <c r="N3099" i="1"/>
  <c r="M3099" i="1"/>
  <c r="N3100" i="1"/>
  <c r="M3100" i="1"/>
  <c r="N3101" i="1"/>
  <c r="M3101" i="1"/>
  <c r="N3102" i="1"/>
  <c r="M3102" i="1"/>
  <c r="N3103" i="1"/>
  <c r="M3103" i="1"/>
  <c r="N3104" i="1"/>
  <c r="M3104" i="1"/>
  <c r="N3105" i="1"/>
  <c r="M3105" i="1"/>
  <c r="N3106" i="1"/>
  <c r="M3106" i="1"/>
  <c r="N3107" i="1"/>
  <c r="M3107" i="1"/>
  <c r="N3108" i="1"/>
  <c r="M3108" i="1"/>
  <c r="N3109" i="1"/>
  <c r="M3109" i="1"/>
  <c r="N3110" i="1"/>
  <c r="M3110" i="1"/>
  <c r="N3111" i="1"/>
  <c r="M3111" i="1"/>
  <c r="N3112" i="1"/>
  <c r="M3112" i="1"/>
  <c r="N3113" i="1"/>
  <c r="M3113" i="1"/>
  <c r="N3114" i="1"/>
  <c r="M3114" i="1"/>
  <c r="N3115" i="1"/>
  <c r="M3115" i="1"/>
  <c r="N3116" i="1"/>
  <c r="M3116" i="1"/>
  <c r="N3117" i="1"/>
  <c r="M3117" i="1"/>
  <c r="N3118" i="1"/>
  <c r="M3118" i="1"/>
  <c r="N3119" i="1"/>
  <c r="M3119" i="1"/>
  <c r="N3120" i="1"/>
  <c r="M3120" i="1"/>
  <c r="N3121" i="1"/>
  <c r="M3121" i="1"/>
  <c r="N3122" i="1"/>
  <c r="M3122" i="1"/>
  <c r="N3123" i="1"/>
  <c r="M3123" i="1"/>
  <c r="N3124" i="1"/>
  <c r="M3124" i="1"/>
  <c r="N3125" i="1"/>
  <c r="M3125" i="1"/>
  <c r="N3126" i="1"/>
  <c r="M3126" i="1"/>
  <c r="N3127" i="1"/>
  <c r="M3127" i="1"/>
  <c r="N3128" i="1"/>
  <c r="M3128" i="1"/>
  <c r="N3129" i="1"/>
  <c r="M3129" i="1"/>
  <c r="N3130" i="1"/>
  <c r="M3130" i="1"/>
  <c r="N3131" i="1"/>
  <c r="M3131" i="1"/>
  <c r="N3132" i="1"/>
  <c r="M3132" i="1"/>
  <c r="N3133" i="1"/>
  <c r="M3133" i="1"/>
  <c r="N3134" i="1"/>
  <c r="M3134" i="1"/>
  <c r="N3135" i="1"/>
  <c r="M3135" i="1"/>
  <c r="N3136" i="1"/>
  <c r="M3136" i="1"/>
  <c r="N3137" i="1"/>
  <c r="M3137" i="1"/>
  <c r="N3138" i="1"/>
  <c r="M3138" i="1"/>
  <c r="N3139" i="1"/>
  <c r="M3139" i="1"/>
  <c r="N3140" i="1"/>
  <c r="M3140" i="1"/>
  <c r="N3141" i="1"/>
  <c r="M3141" i="1"/>
  <c r="N3142" i="1"/>
  <c r="M3142" i="1"/>
  <c r="N3143" i="1"/>
  <c r="M3143" i="1"/>
  <c r="N3144" i="1"/>
  <c r="M3144" i="1"/>
  <c r="N3145" i="1"/>
  <c r="M3145" i="1"/>
  <c r="N3146" i="1"/>
  <c r="M3146" i="1"/>
  <c r="N3147" i="1"/>
  <c r="M3147" i="1"/>
  <c r="N3148" i="1"/>
  <c r="M3148" i="1"/>
  <c r="N3149" i="1"/>
  <c r="M3149" i="1"/>
  <c r="N3150" i="1"/>
  <c r="M3150" i="1"/>
  <c r="N3151" i="1"/>
  <c r="M3151" i="1"/>
  <c r="N3152" i="1"/>
  <c r="M3152" i="1"/>
  <c r="N3153" i="1"/>
  <c r="M3153" i="1"/>
  <c r="N3154" i="1"/>
  <c r="M3154" i="1"/>
  <c r="N3155" i="1"/>
  <c r="M3155" i="1"/>
  <c r="N3156" i="1"/>
  <c r="M3156" i="1"/>
  <c r="N3157" i="1"/>
  <c r="M3157" i="1"/>
  <c r="N3158" i="1"/>
  <c r="M3158" i="1"/>
  <c r="N3159" i="1"/>
  <c r="M3159" i="1"/>
  <c r="N3160" i="1"/>
  <c r="M3160" i="1"/>
  <c r="N3161" i="1"/>
  <c r="M3161" i="1"/>
  <c r="N3162" i="1"/>
  <c r="M3162" i="1"/>
  <c r="N3163" i="1"/>
  <c r="M3163" i="1"/>
  <c r="N3164" i="1"/>
  <c r="M3164" i="1"/>
  <c r="N3165" i="1"/>
  <c r="M3165" i="1"/>
  <c r="N3166" i="1"/>
  <c r="M3166" i="1"/>
  <c r="N3167" i="1"/>
  <c r="M3167" i="1"/>
  <c r="N3168" i="1"/>
  <c r="M3168" i="1"/>
  <c r="N3169" i="1"/>
  <c r="M3169" i="1"/>
  <c r="N3170" i="1"/>
  <c r="M3170" i="1"/>
  <c r="N3171" i="1"/>
  <c r="M3171" i="1"/>
  <c r="N3172" i="1"/>
  <c r="M3172" i="1"/>
  <c r="N3173" i="1"/>
  <c r="M3173" i="1"/>
  <c r="N3174" i="1"/>
  <c r="M3174" i="1"/>
  <c r="N3175" i="1"/>
  <c r="M3175" i="1"/>
  <c r="N3176" i="1"/>
  <c r="M3176" i="1"/>
  <c r="N3177" i="1"/>
  <c r="M3177" i="1"/>
  <c r="N3178" i="1"/>
  <c r="M3178" i="1"/>
  <c r="N3179" i="1"/>
  <c r="M3179" i="1"/>
  <c r="N3180" i="1"/>
  <c r="M3180" i="1"/>
  <c r="N3181" i="1"/>
  <c r="M3181" i="1"/>
  <c r="N3182" i="1"/>
  <c r="M3182" i="1"/>
  <c r="N3183" i="1"/>
  <c r="M3183" i="1"/>
  <c r="N3184" i="1"/>
  <c r="M3184" i="1"/>
  <c r="N3185" i="1"/>
  <c r="M3185" i="1"/>
  <c r="N3186" i="1"/>
  <c r="M3186" i="1"/>
  <c r="N3187" i="1"/>
  <c r="M3187" i="1"/>
  <c r="N3188" i="1"/>
  <c r="M3188" i="1"/>
  <c r="N3189" i="1"/>
  <c r="M3189" i="1"/>
  <c r="N3190" i="1"/>
  <c r="M3190" i="1"/>
  <c r="N3191" i="1"/>
  <c r="M3191" i="1"/>
  <c r="N3192" i="1"/>
  <c r="M3192" i="1"/>
  <c r="N3193" i="1"/>
  <c r="M3193" i="1"/>
  <c r="N3194" i="1"/>
  <c r="M3194" i="1"/>
  <c r="N3195" i="1"/>
  <c r="M3195" i="1"/>
  <c r="N3196" i="1"/>
  <c r="M3196" i="1"/>
  <c r="N3197" i="1"/>
  <c r="M3197" i="1"/>
  <c r="N3198" i="1"/>
  <c r="M3198" i="1"/>
  <c r="N3199" i="1"/>
  <c r="M3199" i="1"/>
  <c r="N3200" i="1"/>
  <c r="M3200" i="1"/>
  <c r="N3201" i="1"/>
  <c r="M3201" i="1"/>
  <c r="N3202" i="1"/>
  <c r="M3202" i="1"/>
  <c r="N3203" i="1"/>
  <c r="M3203" i="1"/>
  <c r="N3204" i="1"/>
  <c r="M3204" i="1"/>
  <c r="N3205" i="1"/>
  <c r="M3205" i="1"/>
  <c r="N3206" i="1"/>
  <c r="M3206" i="1"/>
  <c r="N3207" i="1"/>
  <c r="M3207" i="1"/>
  <c r="N3208" i="1"/>
  <c r="M3208" i="1"/>
  <c r="N3209" i="1"/>
  <c r="M3209" i="1"/>
  <c r="N3210" i="1"/>
  <c r="M3210" i="1"/>
  <c r="N3211" i="1"/>
  <c r="M3211" i="1"/>
  <c r="N3212" i="1"/>
  <c r="M3212" i="1"/>
  <c r="N3213" i="1"/>
  <c r="M3213" i="1"/>
  <c r="N3214" i="1"/>
  <c r="M3214" i="1"/>
  <c r="N3215" i="1"/>
  <c r="M3215" i="1"/>
  <c r="N3216" i="1"/>
  <c r="M3216" i="1"/>
  <c r="N3217" i="1"/>
  <c r="M3217" i="1"/>
  <c r="N3218" i="1"/>
  <c r="M3218" i="1"/>
  <c r="N3219" i="1"/>
  <c r="M3219" i="1"/>
  <c r="N3220" i="1"/>
  <c r="M3220" i="1"/>
  <c r="N3221" i="1"/>
  <c r="M3221" i="1"/>
  <c r="N3222" i="1"/>
  <c r="M3222" i="1"/>
  <c r="N3223" i="1"/>
  <c r="M3223" i="1"/>
  <c r="N3224" i="1"/>
  <c r="M3224" i="1"/>
  <c r="N3225" i="1"/>
  <c r="M3225" i="1"/>
  <c r="N3226" i="1"/>
  <c r="M3226" i="1"/>
  <c r="N3227" i="1"/>
  <c r="M3227" i="1"/>
  <c r="N3228" i="1"/>
  <c r="M3228" i="1"/>
  <c r="N3229" i="1"/>
  <c r="M3229" i="1"/>
  <c r="N3230" i="1"/>
  <c r="M3230" i="1"/>
  <c r="N3231" i="1"/>
  <c r="M3231" i="1"/>
  <c r="N3232" i="1"/>
  <c r="M3232" i="1"/>
  <c r="N3233" i="1"/>
  <c r="M3233" i="1"/>
  <c r="N3234" i="1"/>
  <c r="M3234" i="1"/>
  <c r="N3235" i="1"/>
  <c r="M3235" i="1"/>
  <c r="N3236" i="1"/>
  <c r="M3236" i="1"/>
  <c r="N3237" i="1"/>
  <c r="M3237" i="1"/>
  <c r="N3238" i="1"/>
  <c r="M3238" i="1"/>
  <c r="N3239" i="1"/>
  <c r="M3239" i="1"/>
  <c r="N3240" i="1"/>
  <c r="M3240" i="1"/>
  <c r="N3241" i="1"/>
  <c r="M3241" i="1"/>
  <c r="N3242" i="1"/>
  <c r="M3242" i="1"/>
  <c r="N3243" i="1"/>
  <c r="M3243" i="1"/>
  <c r="N3244" i="1"/>
  <c r="M3244" i="1"/>
  <c r="N3245" i="1"/>
  <c r="M3245" i="1"/>
  <c r="N3246" i="1"/>
  <c r="M3246" i="1"/>
  <c r="N3247" i="1"/>
  <c r="M3247" i="1"/>
  <c r="N3248" i="1"/>
  <c r="M3248" i="1"/>
  <c r="N3249" i="1"/>
  <c r="M3249" i="1"/>
  <c r="N3250" i="1"/>
  <c r="M3250" i="1"/>
  <c r="N3251" i="1"/>
  <c r="M3251" i="1"/>
  <c r="N3252" i="1"/>
  <c r="M3252" i="1"/>
  <c r="N3253" i="1"/>
  <c r="M3253" i="1"/>
  <c r="N3254" i="1"/>
  <c r="M3254" i="1"/>
  <c r="N3255" i="1"/>
  <c r="M3255" i="1"/>
  <c r="N3256" i="1"/>
  <c r="M3256" i="1"/>
  <c r="N3257" i="1"/>
  <c r="M3257" i="1"/>
  <c r="N3258" i="1"/>
  <c r="M3258" i="1"/>
  <c r="N3259" i="1"/>
  <c r="M3259" i="1"/>
  <c r="N3260" i="1"/>
  <c r="M3260" i="1"/>
  <c r="N3261" i="1"/>
  <c r="M3261" i="1"/>
  <c r="N3262" i="1"/>
  <c r="M3262" i="1"/>
  <c r="N3263" i="1"/>
  <c r="M3263" i="1"/>
  <c r="N3264" i="1"/>
  <c r="M3264" i="1"/>
  <c r="N3265" i="1"/>
  <c r="M3265" i="1"/>
  <c r="N3266" i="1"/>
  <c r="M3266" i="1"/>
  <c r="N3267" i="1"/>
  <c r="M3267" i="1"/>
  <c r="N3268" i="1"/>
  <c r="M3268" i="1"/>
  <c r="N3269" i="1"/>
  <c r="M3269" i="1"/>
  <c r="N3270" i="1"/>
  <c r="M3270" i="1"/>
  <c r="N3271" i="1"/>
  <c r="M3271" i="1"/>
  <c r="N3272" i="1"/>
  <c r="M3272" i="1"/>
  <c r="N3273" i="1"/>
  <c r="M3273" i="1"/>
  <c r="N3274" i="1"/>
  <c r="M3274" i="1"/>
  <c r="N3275" i="1"/>
  <c r="M3275" i="1"/>
  <c r="N3276" i="1"/>
  <c r="M3276" i="1"/>
  <c r="N3277" i="1"/>
  <c r="M3277" i="1"/>
  <c r="N3278" i="1"/>
  <c r="M3278" i="1"/>
  <c r="N3279" i="1"/>
  <c r="M3279" i="1"/>
  <c r="N3280" i="1"/>
  <c r="M3280" i="1"/>
  <c r="N3281" i="1"/>
  <c r="M3281" i="1"/>
  <c r="N3282" i="1"/>
  <c r="M3282" i="1"/>
  <c r="N3283" i="1"/>
  <c r="M3283" i="1"/>
  <c r="N3284" i="1"/>
  <c r="M3284" i="1"/>
  <c r="N3285" i="1"/>
  <c r="M3285" i="1"/>
  <c r="N3286" i="1"/>
  <c r="M3286" i="1"/>
  <c r="N3287" i="1"/>
  <c r="M3287" i="1"/>
  <c r="N3288" i="1"/>
  <c r="M3288" i="1"/>
  <c r="N3289" i="1"/>
  <c r="M3289" i="1"/>
  <c r="N3290" i="1"/>
  <c r="M3290" i="1"/>
  <c r="N3291" i="1"/>
  <c r="M3291" i="1"/>
  <c r="N3292" i="1"/>
  <c r="M3292" i="1"/>
  <c r="N3293" i="1"/>
  <c r="M3293" i="1"/>
  <c r="N3294" i="1"/>
  <c r="M3294" i="1"/>
  <c r="N3295" i="1"/>
  <c r="M3295" i="1"/>
  <c r="N3296" i="1"/>
  <c r="M3296" i="1"/>
  <c r="N3297" i="1"/>
  <c r="M3297" i="1"/>
  <c r="N3298" i="1"/>
  <c r="M3298" i="1"/>
  <c r="N3299" i="1"/>
  <c r="M3299" i="1"/>
  <c r="N3300" i="1"/>
  <c r="M3300" i="1"/>
  <c r="N3301" i="1"/>
  <c r="M3301" i="1"/>
  <c r="N3302" i="1"/>
  <c r="M3302" i="1"/>
  <c r="N3303" i="1"/>
  <c r="M3303" i="1"/>
  <c r="N3304" i="1"/>
  <c r="M3304" i="1"/>
  <c r="N3305" i="1"/>
  <c r="M3305" i="1"/>
  <c r="N3306" i="1"/>
  <c r="M3306" i="1"/>
  <c r="N3307" i="1"/>
  <c r="M3307" i="1"/>
  <c r="N3308" i="1"/>
  <c r="M3308" i="1"/>
  <c r="N3309" i="1"/>
  <c r="M3309" i="1"/>
  <c r="N3310" i="1"/>
  <c r="M3310" i="1"/>
  <c r="N3311" i="1"/>
  <c r="M3311" i="1"/>
  <c r="N3312" i="1"/>
  <c r="M3312" i="1"/>
  <c r="N3313" i="1"/>
  <c r="M3313" i="1"/>
  <c r="N3314" i="1"/>
  <c r="M3314" i="1"/>
  <c r="N3315" i="1"/>
  <c r="M3315" i="1"/>
  <c r="N3316" i="1"/>
  <c r="M3316" i="1"/>
  <c r="N3317" i="1"/>
  <c r="M3317" i="1"/>
  <c r="N3318" i="1"/>
  <c r="M3318" i="1"/>
  <c r="N3319" i="1"/>
  <c r="M3319" i="1"/>
  <c r="N3320" i="1"/>
  <c r="M3320" i="1"/>
  <c r="N3321" i="1"/>
  <c r="M3321" i="1"/>
  <c r="N3322" i="1"/>
  <c r="M3322" i="1"/>
  <c r="N3323" i="1"/>
  <c r="M3323" i="1"/>
  <c r="N3324" i="1"/>
  <c r="M3324" i="1"/>
  <c r="N3325" i="1"/>
  <c r="M3325" i="1"/>
  <c r="N3326" i="1"/>
  <c r="M3326" i="1"/>
  <c r="N3327" i="1"/>
  <c r="M3327" i="1"/>
  <c r="N3328" i="1"/>
  <c r="M3328" i="1"/>
  <c r="N3329" i="1"/>
  <c r="M3329" i="1"/>
  <c r="N3330" i="1"/>
  <c r="M3330" i="1"/>
  <c r="N3331" i="1"/>
  <c r="M3331" i="1"/>
  <c r="N3332" i="1"/>
  <c r="M3332" i="1"/>
  <c r="N3333" i="1"/>
  <c r="M3333" i="1"/>
  <c r="N3334" i="1"/>
  <c r="M3334" i="1"/>
  <c r="N3335" i="1"/>
  <c r="M3335" i="1"/>
  <c r="N3336" i="1"/>
  <c r="M3336" i="1"/>
  <c r="N3337" i="1"/>
  <c r="M3337" i="1"/>
  <c r="N3338" i="1"/>
  <c r="M3338" i="1"/>
  <c r="N3339" i="1"/>
  <c r="M3339" i="1"/>
  <c r="N3340" i="1"/>
  <c r="M3340" i="1"/>
  <c r="N3341" i="1"/>
  <c r="M3341" i="1"/>
  <c r="N3342" i="1"/>
  <c r="M3342" i="1"/>
  <c r="N3343" i="1"/>
  <c r="M3343" i="1"/>
  <c r="N3344" i="1"/>
  <c r="M3344" i="1"/>
  <c r="N3345" i="1"/>
  <c r="M3345" i="1"/>
  <c r="N3346" i="1"/>
  <c r="M3346" i="1"/>
  <c r="N3347" i="1"/>
  <c r="M3347" i="1"/>
  <c r="N3348" i="1"/>
  <c r="M3348" i="1"/>
  <c r="N3349" i="1"/>
  <c r="M3349" i="1"/>
  <c r="N3350" i="1"/>
  <c r="M3350" i="1"/>
  <c r="N3351" i="1"/>
  <c r="M3351" i="1"/>
  <c r="N3352" i="1"/>
  <c r="M3352" i="1"/>
  <c r="N3353" i="1"/>
  <c r="M3353" i="1"/>
  <c r="N3354" i="1"/>
  <c r="M3354" i="1"/>
  <c r="N3355" i="1"/>
  <c r="M3355" i="1"/>
  <c r="N3356" i="1"/>
  <c r="M3356" i="1"/>
  <c r="N3357" i="1"/>
  <c r="M3357" i="1"/>
  <c r="N3358" i="1"/>
  <c r="M3358" i="1"/>
  <c r="N3359" i="1"/>
  <c r="M3359" i="1"/>
  <c r="N3360" i="1"/>
  <c r="M3360" i="1"/>
  <c r="N3361" i="1"/>
  <c r="M3361" i="1"/>
  <c r="N3362" i="1"/>
  <c r="M3362" i="1"/>
  <c r="N3363" i="1"/>
  <c r="M3363" i="1"/>
  <c r="N3364" i="1"/>
  <c r="M3364" i="1"/>
  <c r="N3365" i="1"/>
  <c r="M3365" i="1"/>
  <c r="N3366" i="1"/>
  <c r="M3366" i="1"/>
  <c r="N3367" i="1"/>
  <c r="M3367" i="1"/>
  <c r="N3368" i="1"/>
  <c r="M3368" i="1"/>
  <c r="N3369" i="1"/>
  <c r="M3369" i="1"/>
  <c r="N3370" i="1"/>
  <c r="M3370" i="1"/>
  <c r="N3371" i="1"/>
  <c r="M3371" i="1"/>
  <c r="N3372" i="1"/>
  <c r="M3372" i="1"/>
  <c r="N3373" i="1"/>
  <c r="M3373" i="1"/>
  <c r="N3374" i="1"/>
  <c r="M3374" i="1"/>
  <c r="N3375" i="1"/>
  <c r="M3375" i="1"/>
  <c r="N3376" i="1"/>
  <c r="M3376" i="1"/>
  <c r="N3377" i="1"/>
  <c r="M3377" i="1"/>
  <c r="N3378" i="1"/>
  <c r="M3378" i="1"/>
  <c r="N3379" i="1"/>
  <c r="M3379" i="1"/>
  <c r="N3380" i="1"/>
  <c r="M3380" i="1"/>
  <c r="N3381" i="1"/>
  <c r="M3381" i="1"/>
  <c r="N3382" i="1"/>
  <c r="M3382" i="1"/>
  <c r="N3383" i="1"/>
  <c r="M3383" i="1"/>
  <c r="N3384" i="1"/>
  <c r="M3384" i="1"/>
  <c r="N3385" i="1"/>
  <c r="M3385" i="1"/>
  <c r="N3386" i="1"/>
  <c r="M3386" i="1"/>
  <c r="N3387" i="1"/>
  <c r="M3387" i="1"/>
  <c r="N3388" i="1"/>
  <c r="M3388" i="1"/>
  <c r="N3389" i="1"/>
  <c r="M3389" i="1"/>
  <c r="N3390" i="1"/>
  <c r="M3390" i="1"/>
  <c r="N3391" i="1"/>
  <c r="M3391" i="1"/>
  <c r="N3392" i="1"/>
  <c r="M3392" i="1"/>
  <c r="N3393" i="1"/>
  <c r="M3393" i="1"/>
  <c r="N3394" i="1"/>
  <c r="M3394" i="1"/>
  <c r="N3395" i="1"/>
  <c r="M3395" i="1"/>
  <c r="N3396" i="1"/>
  <c r="M3396" i="1"/>
  <c r="N3397" i="1"/>
  <c r="M3397" i="1"/>
  <c r="N3398" i="1"/>
  <c r="M3398" i="1"/>
  <c r="N3399" i="1"/>
  <c r="M3399" i="1"/>
  <c r="N3400" i="1"/>
  <c r="M3400" i="1"/>
  <c r="N3401" i="1"/>
  <c r="M3401" i="1"/>
  <c r="N3402" i="1"/>
  <c r="M3402" i="1"/>
  <c r="N3403" i="1"/>
  <c r="M3403" i="1"/>
  <c r="N3404" i="1"/>
  <c r="M3404" i="1"/>
  <c r="N3405" i="1"/>
  <c r="M3405" i="1"/>
  <c r="N3406" i="1"/>
  <c r="M3406" i="1"/>
  <c r="N3407" i="1"/>
  <c r="M3407" i="1"/>
  <c r="N3408" i="1"/>
  <c r="M3408" i="1"/>
  <c r="N3409" i="1"/>
  <c r="M3409" i="1"/>
  <c r="N3410" i="1"/>
  <c r="M3410" i="1"/>
  <c r="N3411" i="1"/>
  <c r="M3411" i="1"/>
  <c r="N3412" i="1"/>
  <c r="M3412" i="1"/>
  <c r="N3413" i="1"/>
  <c r="M3413" i="1"/>
  <c r="N3414" i="1"/>
  <c r="M3414" i="1"/>
  <c r="N3415" i="1"/>
  <c r="M3415" i="1"/>
  <c r="N3416" i="1"/>
  <c r="M3416" i="1"/>
  <c r="N3417" i="1"/>
  <c r="M3417" i="1"/>
  <c r="N3418" i="1"/>
  <c r="M3418" i="1"/>
  <c r="N3419" i="1"/>
  <c r="M3419" i="1"/>
  <c r="N3420" i="1"/>
  <c r="M3420" i="1"/>
  <c r="N3421" i="1"/>
  <c r="M3421" i="1"/>
  <c r="N3422" i="1"/>
  <c r="M3422" i="1"/>
  <c r="N3423" i="1"/>
  <c r="M3423" i="1"/>
  <c r="N3424" i="1"/>
  <c r="M3424" i="1"/>
  <c r="N3425" i="1"/>
  <c r="M3425" i="1"/>
  <c r="N3426" i="1"/>
  <c r="M3426" i="1"/>
  <c r="N3427" i="1"/>
  <c r="M3427" i="1"/>
  <c r="N3428" i="1"/>
  <c r="M3428" i="1"/>
  <c r="N3429" i="1"/>
  <c r="M3429" i="1"/>
  <c r="N3430" i="1"/>
  <c r="M3430" i="1"/>
  <c r="N3431" i="1"/>
  <c r="M3431" i="1"/>
  <c r="N3432" i="1"/>
  <c r="M3432" i="1"/>
  <c r="N3433" i="1"/>
  <c r="M3433" i="1"/>
  <c r="N3434" i="1"/>
  <c r="M3434" i="1"/>
  <c r="N3435" i="1"/>
  <c r="M3435" i="1"/>
  <c r="N3436" i="1"/>
  <c r="M3436" i="1"/>
  <c r="N3437" i="1"/>
  <c r="M3437" i="1"/>
  <c r="N3438" i="1"/>
  <c r="M3438" i="1"/>
  <c r="N3439" i="1"/>
  <c r="M3439" i="1"/>
  <c r="N3440" i="1"/>
  <c r="M3440" i="1"/>
  <c r="N3441" i="1"/>
  <c r="M3441" i="1"/>
  <c r="N3442" i="1"/>
  <c r="M3442" i="1"/>
  <c r="N3443" i="1"/>
  <c r="M3443" i="1"/>
  <c r="N3444" i="1"/>
  <c r="M3444" i="1"/>
  <c r="N3445" i="1"/>
  <c r="M3445" i="1"/>
  <c r="N3446" i="1"/>
  <c r="M3446" i="1"/>
  <c r="N3447" i="1"/>
  <c r="M3447" i="1"/>
  <c r="N3448" i="1"/>
  <c r="M3448" i="1"/>
  <c r="N3449" i="1"/>
  <c r="M3449" i="1"/>
  <c r="N3450" i="1"/>
  <c r="M3450" i="1"/>
  <c r="N3451" i="1"/>
  <c r="M3451" i="1"/>
  <c r="N3452" i="1"/>
  <c r="M3452" i="1"/>
  <c r="N3453" i="1"/>
  <c r="M3453" i="1"/>
  <c r="N3454" i="1"/>
  <c r="M3454" i="1"/>
  <c r="N3455" i="1"/>
  <c r="M3455" i="1"/>
  <c r="N3456" i="1"/>
  <c r="M3456" i="1"/>
  <c r="N3457" i="1"/>
  <c r="M3457" i="1"/>
  <c r="N3458" i="1"/>
  <c r="M3458" i="1"/>
  <c r="N3459" i="1"/>
  <c r="M3459" i="1"/>
  <c r="N3460" i="1"/>
  <c r="M3460" i="1"/>
  <c r="N3461" i="1"/>
  <c r="M3461" i="1"/>
  <c r="N3462" i="1"/>
  <c r="M3462" i="1"/>
  <c r="N3463" i="1"/>
  <c r="M3463" i="1"/>
  <c r="N3464" i="1"/>
  <c r="M3464" i="1"/>
  <c r="N3465" i="1"/>
  <c r="M3465" i="1"/>
  <c r="N3466" i="1"/>
  <c r="M3466" i="1"/>
  <c r="N3467" i="1"/>
  <c r="M3467" i="1"/>
  <c r="N3468" i="1"/>
  <c r="M3468" i="1"/>
  <c r="N3469" i="1"/>
  <c r="M3469" i="1"/>
  <c r="N3470" i="1"/>
  <c r="M3470" i="1"/>
  <c r="N3471" i="1"/>
  <c r="M3471" i="1"/>
  <c r="N3472" i="1"/>
  <c r="M3472" i="1"/>
  <c r="N3473" i="1"/>
  <c r="M3473" i="1"/>
  <c r="N3474" i="1"/>
  <c r="M3474" i="1"/>
  <c r="N3475" i="1"/>
  <c r="M3475" i="1"/>
  <c r="N3476" i="1"/>
  <c r="M3476" i="1"/>
  <c r="N3477" i="1"/>
  <c r="M3477" i="1"/>
  <c r="N3478" i="1"/>
  <c r="M3478" i="1"/>
  <c r="N3479" i="1"/>
  <c r="M3479" i="1"/>
  <c r="N3480" i="1"/>
  <c r="M3480" i="1"/>
  <c r="N3481" i="1"/>
  <c r="M3481" i="1"/>
  <c r="N3482" i="1"/>
  <c r="M3482" i="1"/>
  <c r="N3483" i="1"/>
  <c r="M3483" i="1"/>
  <c r="N3484" i="1"/>
  <c r="M3484" i="1"/>
  <c r="N3485" i="1"/>
  <c r="M3485" i="1"/>
  <c r="N3486" i="1"/>
  <c r="M3486" i="1"/>
  <c r="N3487" i="1"/>
  <c r="M3487" i="1"/>
  <c r="N3488" i="1"/>
  <c r="M3488" i="1"/>
  <c r="N3489" i="1"/>
  <c r="M3489" i="1"/>
  <c r="N3490" i="1"/>
  <c r="M3490" i="1"/>
  <c r="N3491" i="1"/>
  <c r="M3491" i="1"/>
  <c r="N3492" i="1"/>
  <c r="M3492" i="1"/>
  <c r="N3493" i="1"/>
  <c r="M3493" i="1"/>
  <c r="N3494" i="1"/>
  <c r="M3494" i="1"/>
  <c r="N3495" i="1"/>
  <c r="M3495" i="1"/>
  <c r="N3496" i="1"/>
  <c r="M3496" i="1"/>
  <c r="N3497" i="1"/>
  <c r="M3497" i="1"/>
  <c r="N3498" i="1"/>
  <c r="M3498" i="1"/>
  <c r="N3499" i="1"/>
  <c r="M3499" i="1"/>
  <c r="N3500" i="1"/>
  <c r="M3500" i="1"/>
  <c r="N3501" i="1"/>
  <c r="M3501" i="1"/>
  <c r="M2" i="1"/>
  <c r="N2" i="1"/>
  <c r="M3" i="1"/>
  <c r="N3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N12" i="1"/>
  <c r="M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N33" i="1"/>
  <c r="M33" i="1"/>
  <c r="M34" i="1"/>
  <c r="N34" i="1"/>
  <c r="M35" i="1"/>
  <c r="N35" i="1"/>
  <c r="M36" i="1"/>
  <c r="N36" i="1"/>
  <c r="N37" i="1"/>
  <c r="M37" i="1"/>
  <c r="M38" i="1"/>
  <c r="N38" i="1"/>
  <c r="M39" i="1"/>
  <c r="N39" i="1"/>
  <c r="M40" i="1"/>
  <c r="N40" i="1"/>
  <c r="M41" i="1"/>
  <c r="N41" i="1"/>
  <c r="N42" i="1"/>
  <c r="M42" i="1"/>
  <c r="N43" i="1"/>
  <c r="M43" i="1"/>
  <c r="N44" i="1"/>
  <c r="M44" i="1"/>
  <c r="N45" i="1"/>
  <c r="M45" i="1"/>
  <c r="N46" i="1"/>
  <c r="M46" i="1"/>
  <c r="N47" i="1"/>
  <c r="M47" i="1"/>
  <c r="N48" i="1"/>
  <c r="M48" i="1"/>
  <c r="M49" i="1"/>
  <c r="N49" i="1"/>
  <c r="N50" i="1"/>
  <c r="M50" i="1"/>
  <c r="N51" i="1"/>
  <c r="M51" i="1"/>
  <c r="N52" i="1"/>
  <c r="M52" i="1"/>
  <c r="M53" i="1"/>
  <c r="N53" i="1"/>
  <c r="M54" i="1"/>
  <c r="N54" i="1"/>
  <c r="M55" i="1"/>
  <c r="N55" i="1"/>
  <c r="M56" i="1"/>
  <c r="N56" i="1"/>
  <c r="M57" i="1"/>
  <c r="N57" i="1"/>
  <c r="N58" i="1"/>
  <c r="M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N128" i="1"/>
  <c r="M128" i="1"/>
  <c r="N129" i="1"/>
  <c r="M129" i="1"/>
  <c r="N130" i="1"/>
  <c r="M130" i="1"/>
  <c r="N131" i="1"/>
  <c r="M131" i="1"/>
  <c r="N132" i="1"/>
  <c r="M132" i="1"/>
  <c r="N133" i="1"/>
  <c r="M133" i="1"/>
  <c r="N134" i="1"/>
  <c r="M134" i="1"/>
  <c r="N135" i="1"/>
  <c r="M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N149" i="1"/>
  <c r="M149" i="1"/>
  <c r="N150" i="1"/>
  <c r="M150" i="1"/>
  <c r="N151" i="1"/>
  <c r="M151" i="1"/>
  <c r="N152" i="1"/>
  <c r="M152" i="1"/>
  <c r="N153" i="1"/>
  <c r="M153" i="1"/>
  <c r="N154" i="1"/>
  <c r="M154" i="1"/>
  <c r="N155" i="1"/>
  <c r="M155" i="1"/>
  <c r="N156" i="1"/>
  <c r="M156" i="1"/>
  <c r="N157" i="1"/>
  <c r="M157" i="1"/>
  <c r="N158" i="1"/>
  <c r="M158" i="1"/>
  <c r="N159" i="1"/>
  <c r="M159" i="1"/>
  <c r="M160" i="1"/>
  <c r="N160" i="1"/>
  <c r="N161" i="1"/>
  <c r="M161" i="1"/>
  <c r="N162" i="1"/>
  <c r="M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N169" i="1"/>
  <c r="M169" i="1"/>
  <c r="M170" i="1"/>
  <c r="N170" i="1"/>
  <c r="M171" i="1"/>
  <c r="N171" i="1"/>
  <c r="N172" i="1"/>
  <c r="M172" i="1"/>
  <c r="N173" i="1"/>
  <c r="M173" i="1"/>
  <c r="N174" i="1"/>
  <c r="M174" i="1"/>
  <c r="N175" i="1"/>
  <c r="M175" i="1"/>
  <c r="N176" i="1"/>
  <c r="M176" i="1"/>
  <c r="N177" i="1"/>
  <c r="M177" i="1"/>
  <c r="N178" i="1"/>
  <c r="M178" i="1"/>
  <c r="N179" i="1"/>
  <c r="M179" i="1"/>
  <c r="N180" i="1"/>
  <c r="M180" i="1"/>
  <c r="N181" i="1"/>
  <c r="M181" i="1"/>
  <c r="N182" i="1"/>
  <c r="M182" i="1"/>
  <c r="N183" i="1"/>
  <c r="M183" i="1"/>
  <c r="N184" i="1"/>
  <c r="M184" i="1"/>
  <c r="M185" i="1"/>
  <c r="N185" i="1"/>
  <c r="N186" i="1"/>
  <c r="M186" i="1"/>
  <c r="N187" i="1"/>
  <c r="M187" i="1"/>
  <c r="N188" i="1"/>
  <c r="M188" i="1"/>
  <c r="N189" i="1"/>
  <c r="M189" i="1"/>
  <c r="N190" i="1"/>
  <c r="M190" i="1"/>
  <c r="N191" i="1"/>
  <c r="M191" i="1"/>
  <c r="N192" i="1"/>
  <c r="M192" i="1"/>
  <c r="N193" i="1"/>
  <c r="M193" i="1"/>
  <c r="N194" i="1"/>
  <c r="M194" i="1"/>
  <c r="N195" i="1"/>
  <c r="M195" i="1"/>
  <c r="N196" i="1"/>
  <c r="M196" i="1"/>
  <c r="N197" i="1"/>
  <c r="M197" i="1"/>
  <c r="N198" i="1"/>
  <c r="M198" i="1"/>
  <c r="N199" i="1"/>
  <c r="M199" i="1"/>
  <c r="N200" i="1"/>
  <c r="M200" i="1"/>
  <c r="N201" i="1"/>
  <c r="M201" i="1"/>
  <c r="N202" i="1"/>
  <c r="M202" i="1"/>
  <c r="M203" i="1"/>
  <c r="N203" i="1"/>
  <c r="N204" i="1"/>
  <c r="M204" i="1"/>
  <c r="M205" i="1"/>
  <c r="N205" i="1"/>
  <c r="N206" i="1"/>
  <c r="M206" i="1"/>
  <c r="M207" i="1"/>
  <c r="N207" i="1"/>
  <c r="M208" i="1"/>
  <c r="N208" i="1"/>
  <c r="M209" i="1"/>
  <c r="N209" i="1"/>
  <c r="M210" i="1"/>
  <c r="N210" i="1"/>
  <c r="N211" i="1"/>
  <c r="M211" i="1"/>
  <c r="M212" i="1"/>
  <c r="N212" i="1"/>
  <c r="N213" i="1"/>
  <c r="M213" i="1"/>
  <c r="N214" i="1"/>
  <c r="M214" i="1"/>
  <c r="N215" i="1"/>
  <c r="M215" i="1"/>
  <c r="N216" i="1"/>
  <c r="M216" i="1"/>
  <c r="N217" i="1"/>
  <c r="M217" i="1"/>
  <c r="N218" i="1"/>
  <c r="M218" i="1"/>
  <c r="N219" i="1"/>
  <c r="M219" i="1"/>
  <c r="M220" i="1"/>
  <c r="N220" i="1"/>
  <c r="M221" i="1"/>
  <c r="N221" i="1"/>
  <c r="M222" i="1"/>
  <c r="N222" i="1"/>
  <c r="M223" i="1"/>
  <c r="N223" i="1"/>
  <c r="M224" i="1"/>
  <c r="N224" i="1"/>
  <c r="M225" i="1"/>
  <c r="N225" i="1"/>
  <c r="M226" i="1"/>
  <c r="N226" i="1"/>
  <c r="M227" i="1"/>
  <c r="N227" i="1"/>
  <c r="M228" i="1"/>
  <c r="N228" i="1"/>
  <c r="M229" i="1"/>
  <c r="N229" i="1"/>
  <c r="M230" i="1"/>
  <c r="N230" i="1"/>
  <c r="M231" i="1"/>
  <c r="N231" i="1"/>
  <c r="M232" i="1"/>
  <c r="N232" i="1"/>
  <c r="M233" i="1"/>
  <c r="N233" i="1"/>
  <c r="M234" i="1"/>
  <c r="N234" i="1"/>
  <c r="M235" i="1"/>
  <c r="N235" i="1"/>
  <c r="M236" i="1"/>
  <c r="N236" i="1"/>
  <c r="M237" i="1"/>
  <c r="N237" i="1"/>
  <c r="M238" i="1"/>
  <c r="N238" i="1"/>
  <c r="M239" i="1"/>
  <c r="N239" i="1"/>
  <c r="M240" i="1"/>
  <c r="N240" i="1"/>
  <c r="M241" i="1"/>
  <c r="N241" i="1"/>
  <c r="M242" i="1"/>
  <c r="N242" i="1"/>
  <c r="M243" i="1"/>
  <c r="N243" i="1"/>
  <c r="M244" i="1"/>
  <c r="N244" i="1"/>
  <c r="M245" i="1"/>
  <c r="N245" i="1"/>
  <c r="M246" i="1"/>
  <c r="N246" i="1"/>
  <c r="M247" i="1"/>
  <c r="N247" i="1"/>
  <c r="N248" i="1"/>
  <c r="M248" i="1"/>
  <c r="N249" i="1"/>
  <c r="M249" i="1"/>
  <c r="N250" i="1"/>
  <c r="M250" i="1"/>
  <c r="N251" i="1"/>
  <c r="M251" i="1"/>
  <c r="M252" i="1"/>
  <c r="N252" i="1"/>
  <c r="M253" i="1"/>
  <c r="N253" i="1"/>
  <c r="N254" i="1"/>
  <c r="M254" i="1"/>
  <c r="M255" i="1"/>
  <c r="N255" i="1"/>
  <c r="M256" i="1"/>
  <c r="N256" i="1"/>
  <c r="M257" i="1"/>
  <c r="N257" i="1"/>
  <c r="M258" i="1"/>
  <c r="N258" i="1"/>
  <c r="M259" i="1"/>
  <c r="N259" i="1"/>
  <c r="M260" i="1"/>
  <c r="N260" i="1"/>
  <c r="M261" i="1"/>
  <c r="N261" i="1"/>
  <c r="M262" i="1"/>
  <c r="N262" i="1"/>
  <c r="M263" i="1"/>
  <c r="N263" i="1"/>
  <c r="M264" i="1"/>
  <c r="N264" i="1"/>
  <c r="M265" i="1"/>
  <c r="N265" i="1"/>
  <c r="M266" i="1"/>
  <c r="N266" i="1"/>
  <c r="M267" i="1"/>
  <c r="N267" i="1"/>
  <c r="M268" i="1"/>
  <c r="N268" i="1"/>
  <c r="M269" i="1"/>
  <c r="N269" i="1"/>
  <c r="M270" i="1"/>
  <c r="N270" i="1"/>
  <c r="M271" i="1"/>
  <c r="N271" i="1"/>
  <c r="M272" i="1"/>
  <c r="N272" i="1"/>
  <c r="M273" i="1"/>
  <c r="N273" i="1"/>
  <c r="M274" i="1"/>
  <c r="N274" i="1"/>
  <c r="M275" i="1"/>
  <c r="N275" i="1"/>
  <c r="M276" i="1"/>
  <c r="N276" i="1"/>
  <c r="M277" i="1"/>
  <c r="N277" i="1"/>
  <c r="M278" i="1"/>
  <c r="N278" i="1"/>
  <c r="M279" i="1"/>
  <c r="N279" i="1"/>
  <c r="M280" i="1"/>
  <c r="N280" i="1"/>
  <c r="M281" i="1"/>
  <c r="N281" i="1"/>
  <c r="M282" i="1"/>
  <c r="N282" i="1"/>
  <c r="M283" i="1"/>
  <c r="N283" i="1"/>
  <c r="M284" i="1"/>
  <c r="N284" i="1"/>
  <c r="M285" i="1"/>
  <c r="N285" i="1"/>
  <c r="M286" i="1"/>
  <c r="N286" i="1"/>
  <c r="M287" i="1"/>
  <c r="N287" i="1"/>
  <c r="M288" i="1"/>
  <c r="N288" i="1"/>
  <c r="M289" i="1"/>
  <c r="N289" i="1"/>
  <c r="M290" i="1"/>
  <c r="N290" i="1"/>
  <c r="M291" i="1"/>
  <c r="N291" i="1"/>
  <c r="N292" i="1"/>
  <c r="M292" i="1"/>
  <c r="M293" i="1"/>
  <c r="N293" i="1"/>
  <c r="M294" i="1"/>
  <c r="N294" i="1"/>
  <c r="M295" i="1"/>
  <c r="N295" i="1"/>
  <c r="M296" i="1"/>
  <c r="N296" i="1"/>
  <c r="M297" i="1"/>
  <c r="N297" i="1"/>
  <c r="M298" i="1"/>
  <c r="N298" i="1"/>
  <c r="M299" i="1"/>
  <c r="N299" i="1"/>
  <c r="M300" i="1"/>
  <c r="N300" i="1"/>
  <c r="M301" i="1"/>
  <c r="N301" i="1"/>
  <c r="M302" i="1"/>
  <c r="N302" i="1"/>
  <c r="N303" i="1"/>
  <c r="M303" i="1"/>
  <c r="M304" i="1"/>
  <c r="N304" i="1"/>
  <c r="M305" i="1"/>
  <c r="N305" i="1"/>
  <c r="M306" i="1"/>
  <c r="N306" i="1"/>
  <c r="M307" i="1"/>
  <c r="N307" i="1"/>
  <c r="M308" i="1"/>
  <c r="N308" i="1"/>
  <c r="M309" i="1"/>
  <c r="N309" i="1"/>
  <c r="M310" i="1"/>
  <c r="N310" i="1"/>
  <c r="M311" i="1"/>
  <c r="N311" i="1"/>
  <c r="M312" i="1"/>
  <c r="N312" i="1"/>
  <c r="M313" i="1"/>
  <c r="N313" i="1"/>
  <c r="M314" i="1"/>
  <c r="N314" i="1"/>
  <c r="M315" i="1"/>
  <c r="N315" i="1"/>
  <c r="M316" i="1"/>
  <c r="N316" i="1"/>
  <c r="M317" i="1"/>
  <c r="N317" i="1"/>
  <c r="M318" i="1"/>
  <c r="N318" i="1"/>
  <c r="M319" i="1"/>
  <c r="N319" i="1"/>
  <c r="M320" i="1"/>
  <c r="N320" i="1"/>
  <c r="M321" i="1"/>
  <c r="N321" i="1"/>
  <c r="M322" i="1"/>
  <c r="N322" i="1"/>
  <c r="M323" i="1"/>
  <c r="N323" i="1"/>
  <c r="M324" i="1"/>
  <c r="N324" i="1"/>
  <c r="M325" i="1"/>
  <c r="N325" i="1"/>
  <c r="M326" i="1"/>
  <c r="N326" i="1"/>
  <c r="M327" i="1"/>
  <c r="N327" i="1"/>
  <c r="N328" i="1"/>
  <c r="M328" i="1"/>
  <c r="N329" i="1"/>
  <c r="M329" i="1"/>
  <c r="N330" i="1"/>
  <c r="M330" i="1"/>
  <c r="N331" i="1"/>
  <c r="M331" i="1"/>
  <c r="N332" i="1"/>
  <c r="M332" i="1"/>
  <c r="N333" i="1"/>
  <c r="M333" i="1"/>
  <c r="N334" i="1"/>
  <c r="M334" i="1"/>
  <c r="M335" i="1"/>
  <c r="N335" i="1"/>
  <c r="M336" i="1"/>
  <c r="N336" i="1"/>
  <c r="M337" i="1"/>
  <c r="N337" i="1"/>
  <c r="M338" i="1"/>
  <c r="N338" i="1"/>
  <c r="M339" i="1"/>
  <c r="N339" i="1"/>
  <c r="M340" i="1"/>
  <c r="N340" i="1"/>
  <c r="N341" i="1"/>
  <c r="M341" i="1"/>
  <c r="N342" i="1"/>
  <c r="M342" i="1"/>
  <c r="M343" i="1"/>
  <c r="N343" i="1"/>
  <c r="M344" i="1"/>
  <c r="N344" i="1"/>
  <c r="N345" i="1"/>
  <c r="M345" i="1"/>
  <c r="N346" i="1"/>
  <c r="M346" i="1"/>
  <c r="N347" i="1"/>
  <c r="M347" i="1"/>
  <c r="N348" i="1"/>
  <c r="M348" i="1"/>
  <c r="N349" i="1"/>
  <c r="M349" i="1"/>
  <c r="N350" i="1"/>
  <c r="M350" i="1"/>
  <c r="N351" i="1"/>
  <c r="M351" i="1"/>
  <c r="N352" i="1"/>
  <c r="M352" i="1"/>
  <c r="N353" i="1"/>
  <c r="M353" i="1"/>
  <c r="N354" i="1"/>
  <c r="M354" i="1"/>
  <c r="N355" i="1"/>
  <c r="M355" i="1"/>
  <c r="N356" i="1"/>
  <c r="M356" i="1"/>
  <c r="N357" i="1"/>
  <c r="M357" i="1"/>
  <c r="N358" i="1"/>
  <c r="M358" i="1"/>
  <c r="N359" i="1"/>
  <c r="M359" i="1"/>
  <c r="N360" i="1"/>
  <c r="M360" i="1"/>
  <c r="N361" i="1"/>
  <c r="M361" i="1"/>
  <c r="N362" i="1"/>
  <c r="M362" i="1"/>
  <c r="N363" i="1"/>
  <c r="M363" i="1"/>
  <c r="N364" i="1"/>
  <c r="M364" i="1"/>
  <c r="N365" i="1"/>
  <c r="M365" i="1"/>
  <c r="N366" i="1"/>
  <c r="M366" i="1"/>
  <c r="M367" i="1"/>
  <c r="N367" i="1"/>
  <c r="N368" i="1"/>
  <c r="M368" i="1"/>
  <c r="N369" i="1"/>
  <c r="M369" i="1"/>
  <c r="M370" i="1"/>
  <c r="N370" i="1"/>
  <c r="N371" i="1"/>
  <c r="M371" i="1"/>
  <c r="M372" i="1"/>
  <c r="N372" i="1"/>
  <c r="N373" i="1"/>
  <c r="M373" i="1"/>
  <c r="M374" i="1"/>
  <c r="N374" i="1"/>
  <c r="M375" i="1"/>
  <c r="N375" i="1"/>
  <c r="M376" i="1"/>
  <c r="N376" i="1"/>
  <c r="M377" i="1"/>
  <c r="N377" i="1"/>
  <c r="M378" i="1"/>
  <c r="N378" i="1"/>
  <c r="M379" i="1"/>
  <c r="N379" i="1"/>
  <c r="M380" i="1"/>
  <c r="N380" i="1"/>
  <c r="M381" i="1"/>
  <c r="N381" i="1"/>
  <c r="N382" i="1"/>
  <c r="M382" i="1"/>
  <c r="N383" i="1"/>
  <c r="M383" i="1"/>
  <c r="M384" i="1"/>
  <c r="N384" i="1"/>
  <c r="M385" i="1"/>
  <c r="N385" i="1"/>
  <c r="M386" i="1"/>
  <c r="N386" i="1"/>
  <c r="M387" i="1"/>
  <c r="N387" i="1"/>
  <c r="M388" i="1"/>
  <c r="N388" i="1"/>
  <c r="M389" i="1"/>
  <c r="N389" i="1"/>
  <c r="M390" i="1"/>
  <c r="N390" i="1"/>
  <c r="M391" i="1"/>
  <c r="N391" i="1"/>
  <c r="M392" i="1"/>
  <c r="N392" i="1"/>
  <c r="M393" i="1"/>
  <c r="N393" i="1"/>
  <c r="M394" i="1"/>
  <c r="N394" i="1"/>
  <c r="M395" i="1"/>
  <c r="N395" i="1"/>
  <c r="M396" i="1"/>
  <c r="N396" i="1"/>
  <c r="M397" i="1"/>
  <c r="N397" i="1"/>
  <c r="M398" i="1"/>
  <c r="N398" i="1"/>
  <c r="M399" i="1"/>
  <c r="N399" i="1"/>
  <c r="M400" i="1"/>
  <c r="N400" i="1"/>
  <c r="M401" i="1"/>
  <c r="N401" i="1"/>
  <c r="M402" i="1"/>
  <c r="N402" i="1"/>
  <c r="M403" i="1"/>
  <c r="N403" i="1"/>
  <c r="M404" i="1"/>
  <c r="N404" i="1"/>
  <c r="M405" i="1"/>
  <c r="N405" i="1"/>
  <c r="M406" i="1"/>
  <c r="N406" i="1"/>
  <c r="M407" i="1"/>
  <c r="N407" i="1"/>
  <c r="M408" i="1"/>
  <c r="N408" i="1"/>
  <c r="M409" i="1"/>
  <c r="N409" i="1"/>
  <c r="M410" i="1"/>
  <c r="N410" i="1"/>
  <c r="M411" i="1"/>
  <c r="N411" i="1"/>
  <c r="M412" i="1"/>
  <c r="N412" i="1"/>
  <c r="N413" i="1"/>
  <c r="M413" i="1"/>
  <c r="N414" i="1"/>
  <c r="M414" i="1"/>
  <c r="N415" i="1"/>
  <c r="M415" i="1"/>
  <c r="N416" i="1"/>
  <c r="M416" i="1"/>
  <c r="N417" i="1"/>
  <c r="M417" i="1"/>
  <c r="N418" i="1"/>
  <c r="M418" i="1"/>
  <c r="N419" i="1"/>
  <c r="M419" i="1"/>
  <c r="M420" i="1"/>
  <c r="N420" i="1"/>
  <c r="M421" i="1"/>
  <c r="N421" i="1"/>
  <c r="M422" i="1"/>
  <c r="N422" i="1"/>
  <c r="M423" i="1"/>
  <c r="N423" i="1"/>
  <c r="M424" i="1"/>
  <c r="N424" i="1"/>
  <c r="M425" i="1"/>
  <c r="N425" i="1"/>
  <c r="M426" i="1"/>
  <c r="N426" i="1"/>
  <c r="M427" i="1"/>
  <c r="N427" i="1"/>
  <c r="M428" i="1"/>
  <c r="N428" i="1"/>
  <c r="M429" i="1"/>
  <c r="N429" i="1"/>
  <c r="M430" i="1"/>
  <c r="N430" i="1"/>
  <c r="M431" i="1"/>
  <c r="N431" i="1"/>
  <c r="M432" i="1"/>
  <c r="N432" i="1"/>
  <c r="M433" i="1"/>
  <c r="N433" i="1"/>
  <c r="M434" i="1"/>
  <c r="N434" i="1"/>
  <c r="M435" i="1"/>
  <c r="N435" i="1"/>
  <c r="M436" i="1"/>
  <c r="N436" i="1"/>
  <c r="M437" i="1"/>
  <c r="N437" i="1"/>
  <c r="M438" i="1"/>
  <c r="N438" i="1"/>
  <c r="M439" i="1"/>
  <c r="N439" i="1"/>
  <c r="M440" i="1"/>
  <c r="N440" i="1"/>
  <c r="M441" i="1"/>
  <c r="N441" i="1"/>
  <c r="M442" i="1"/>
  <c r="N442" i="1"/>
  <c r="M443" i="1"/>
  <c r="N443" i="1"/>
  <c r="M444" i="1"/>
  <c r="N444" i="1"/>
  <c r="M445" i="1"/>
  <c r="N445" i="1"/>
  <c r="M446" i="1"/>
  <c r="N446" i="1"/>
  <c r="M447" i="1"/>
  <c r="N447" i="1"/>
  <c r="M448" i="1"/>
  <c r="N448" i="1"/>
  <c r="M449" i="1"/>
  <c r="N449" i="1"/>
  <c r="M450" i="1"/>
  <c r="N450" i="1"/>
  <c r="M451" i="1"/>
  <c r="N451" i="1"/>
  <c r="M452" i="1"/>
  <c r="N452" i="1"/>
  <c r="M453" i="1"/>
  <c r="N453" i="1"/>
  <c r="M454" i="1"/>
  <c r="N454" i="1"/>
  <c r="M455" i="1"/>
  <c r="N455" i="1"/>
  <c r="M456" i="1"/>
  <c r="N456" i="1"/>
  <c r="M457" i="1"/>
  <c r="N457" i="1"/>
  <c r="M458" i="1"/>
  <c r="N458" i="1"/>
  <c r="M459" i="1"/>
  <c r="N459" i="1"/>
  <c r="M460" i="1"/>
  <c r="N460" i="1"/>
  <c r="M461" i="1"/>
  <c r="N461" i="1"/>
  <c r="M462" i="1"/>
  <c r="N462" i="1"/>
  <c r="M463" i="1"/>
  <c r="N463" i="1"/>
  <c r="M464" i="1"/>
  <c r="N464" i="1"/>
  <c r="M465" i="1"/>
  <c r="N465" i="1"/>
  <c r="M466" i="1"/>
  <c r="N466" i="1"/>
  <c r="M467" i="1"/>
  <c r="N467" i="1"/>
  <c r="M468" i="1"/>
  <c r="N468" i="1"/>
  <c r="M469" i="1"/>
  <c r="N469" i="1"/>
  <c r="M470" i="1"/>
  <c r="N470" i="1"/>
  <c r="N471" i="1"/>
  <c r="M471" i="1"/>
  <c r="N472" i="1"/>
  <c r="M472" i="1"/>
  <c r="N473" i="1"/>
  <c r="M473" i="1"/>
  <c r="N474" i="1"/>
  <c r="M474" i="1"/>
  <c r="N475" i="1"/>
  <c r="M475" i="1"/>
  <c r="N476" i="1"/>
  <c r="M476" i="1"/>
  <c r="M477" i="1"/>
  <c r="N477" i="1"/>
  <c r="M478" i="1"/>
  <c r="N478" i="1"/>
  <c r="M479" i="1"/>
  <c r="N479" i="1"/>
  <c r="M480" i="1"/>
  <c r="N480" i="1"/>
  <c r="M481" i="1"/>
  <c r="N481" i="1"/>
  <c r="N482" i="1"/>
  <c r="M482" i="1"/>
  <c r="N483" i="1"/>
  <c r="M483" i="1"/>
  <c r="N484" i="1"/>
  <c r="M484" i="1"/>
  <c r="N485" i="1"/>
  <c r="M485" i="1"/>
  <c r="N486" i="1"/>
  <c r="M486" i="1"/>
  <c r="N487" i="1"/>
  <c r="M487" i="1"/>
  <c r="N488" i="1"/>
  <c r="M488" i="1"/>
  <c r="M489" i="1"/>
  <c r="N489" i="1"/>
  <c r="N490" i="1"/>
  <c r="M490" i="1"/>
  <c r="N491" i="1"/>
  <c r="M491" i="1"/>
  <c r="N492" i="1"/>
  <c r="M492" i="1"/>
  <c r="N493" i="1"/>
  <c r="M493" i="1"/>
  <c r="N494" i="1"/>
  <c r="M494" i="1"/>
  <c r="N495" i="1"/>
  <c r="M495" i="1"/>
  <c r="N496" i="1"/>
  <c r="M496" i="1"/>
  <c r="M497" i="1"/>
  <c r="N497" i="1"/>
  <c r="N498" i="1"/>
  <c r="M498" i="1"/>
  <c r="N499" i="1"/>
  <c r="M499" i="1"/>
  <c r="N500" i="1"/>
  <c r="M500" i="1"/>
  <c r="M501" i="1"/>
  <c r="N501" i="1"/>
  <c r="N502" i="1"/>
  <c r="M502" i="1"/>
  <c r="M503" i="1"/>
  <c r="N503" i="1"/>
  <c r="M504" i="1"/>
  <c r="N504" i="1"/>
  <c r="N505" i="1"/>
  <c r="M505" i="1"/>
  <c r="N506" i="1"/>
  <c r="M506" i="1"/>
  <c r="N507" i="1"/>
  <c r="M507" i="1"/>
  <c r="M508" i="1"/>
  <c r="N508" i="1"/>
  <c r="M509" i="1"/>
  <c r="N509" i="1"/>
  <c r="M510" i="1"/>
  <c r="N510" i="1"/>
  <c r="M511" i="1"/>
  <c r="N511" i="1"/>
  <c r="M512" i="1"/>
  <c r="N512" i="1"/>
  <c r="M513" i="1"/>
  <c r="N513" i="1"/>
  <c r="M514" i="1"/>
  <c r="N514" i="1"/>
  <c r="M515" i="1"/>
  <c r="N515" i="1"/>
  <c r="M516" i="1"/>
  <c r="N516" i="1"/>
  <c r="M517" i="1"/>
  <c r="N517" i="1"/>
  <c r="M518" i="1"/>
  <c r="N518" i="1"/>
  <c r="M519" i="1"/>
  <c r="N519" i="1"/>
  <c r="M520" i="1"/>
  <c r="N520" i="1"/>
  <c r="M521" i="1"/>
  <c r="N521" i="1"/>
  <c r="N522" i="1"/>
  <c r="M522" i="1"/>
  <c r="N523" i="1"/>
  <c r="M523" i="1"/>
  <c r="N524" i="1"/>
  <c r="M524" i="1"/>
  <c r="N525" i="1"/>
  <c r="M525" i="1"/>
  <c r="M526" i="1"/>
  <c r="N526" i="1"/>
  <c r="M527" i="1"/>
  <c r="N527" i="1"/>
  <c r="M528" i="1"/>
  <c r="N528" i="1"/>
  <c r="M529" i="1"/>
  <c r="N529" i="1"/>
  <c r="M530" i="1"/>
  <c r="N530" i="1"/>
  <c r="M531" i="1"/>
  <c r="N531" i="1"/>
  <c r="M532" i="1"/>
  <c r="N532" i="1"/>
  <c r="M533" i="1"/>
  <c r="N533" i="1"/>
  <c r="M534" i="1"/>
  <c r="N534" i="1"/>
  <c r="M535" i="1"/>
  <c r="N535" i="1"/>
  <c r="M536" i="1"/>
  <c r="N536" i="1"/>
  <c r="M537" i="1"/>
  <c r="N537" i="1"/>
  <c r="M538" i="1"/>
  <c r="N538" i="1"/>
  <c r="M539" i="1"/>
  <c r="N539" i="1"/>
  <c r="M540" i="1"/>
  <c r="N540" i="1"/>
  <c r="M541" i="1"/>
  <c r="N541" i="1"/>
  <c r="M542" i="1"/>
  <c r="N542" i="1"/>
  <c r="M543" i="1"/>
  <c r="N543" i="1"/>
  <c r="M544" i="1"/>
  <c r="N544" i="1"/>
  <c r="M545" i="1"/>
  <c r="N545" i="1"/>
  <c r="M546" i="1"/>
  <c r="N546" i="1"/>
  <c r="M547" i="1"/>
  <c r="N547" i="1"/>
  <c r="M548" i="1"/>
  <c r="N548" i="1"/>
  <c r="N549" i="1"/>
  <c r="M549" i="1"/>
  <c r="M550" i="1"/>
  <c r="N550" i="1"/>
  <c r="M551" i="1"/>
  <c r="N551" i="1"/>
  <c r="M552" i="1"/>
  <c r="N552" i="1"/>
  <c r="M553" i="1"/>
  <c r="N553" i="1"/>
  <c r="M554" i="1"/>
  <c r="N554" i="1"/>
  <c r="N555" i="1"/>
  <c r="M555" i="1"/>
  <c r="M556" i="1"/>
  <c r="N556" i="1"/>
  <c r="M557" i="1"/>
  <c r="N557" i="1"/>
  <c r="M558" i="1"/>
  <c r="N558" i="1"/>
  <c r="M559" i="1"/>
  <c r="N559" i="1"/>
  <c r="M560" i="1"/>
  <c r="N560" i="1"/>
  <c r="M561" i="1"/>
  <c r="N561" i="1"/>
  <c r="M562" i="1"/>
  <c r="N562" i="1"/>
  <c r="M563" i="1"/>
  <c r="N563" i="1"/>
  <c r="M564" i="1"/>
  <c r="N564" i="1"/>
  <c r="M565" i="1"/>
  <c r="N565" i="1"/>
  <c r="M566" i="1"/>
  <c r="N566" i="1"/>
  <c r="M567" i="1"/>
  <c r="N567" i="1"/>
  <c r="M568" i="1"/>
  <c r="N568" i="1"/>
  <c r="M569" i="1"/>
  <c r="N569" i="1"/>
  <c r="M570" i="1"/>
  <c r="N570" i="1"/>
  <c r="M571" i="1"/>
  <c r="N571" i="1"/>
  <c r="N572" i="1"/>
  <c r="M572" i="1"/>
  <c r="N573" i="1"/>
  <c r="M573" i="1"/>
  <c r="N574" i="1"/>
  <c r="M574" i="1"/>
  <c r="N575" i="1"/>
  <c r="M575" i="1"/>
  <c r="N576" i="1"/>
  <c r="M576" i="1"/>
  <c r="M577" i="1"/>
  <c r="N577" i="1"/>
  <c r="M578" i="1"/>
  <c r="N578" i="1"/>
  <c r="N579" i="1"/>
  <c r="M579" i="1"/>
  <c r="M580" i="1"/>
  <c r="N580" i="1"/>
  <c r="N581" i="1"/>
  <c r="M581" i="1"/>
  <c r="N582" i="1"/>
  <c r="M582" i="1"/>
  <c r="N583" i="1"/>
  <c r="M583" i="1"/>
  <c r="N584" i="1"/>
  <c r="M584" i="1"/>
  <c r="N585" i="1"/>
  <c r="M585" i="1"/>
  <c r="N586" i="1"/>
  <c r="M586" i="1"/>
  <c r="N587" i="1"/>
  <c r="M587" i="1"/>
  <c r="N588" i="1"/>
  <c r="M588" i="1"/>
  <c r="N589" i="1"/>
  <c r="M589" i="1"/>
  <c r="N590" i="1"/>
  <c r="M590" i="1"/>
  <c r="N591" i="1"/>
  <c r="M591" i="1"/>
  <c r="N592" i="1"/>
  <c r="M592" i="1"/>
  <c r="N593" i="1"/>
  <c r="M593" i="1"/>
  <c r="M594" i="1"/>
  <c r="N594" i="1"/>
  <c r="M595" i="1"/>
  <c r="N595" i="1"/>
  <c r="M596" i="1"/>
  <c r="N596" i="1"/>
  <c r="M597" i="1"/>
  <c r="N597" i="1"/>
  <c r="M598" i="1"/>
  <c r="N598" i="1"/>
  <c r="N599" i="1"/>
  <c r="M599" i="1"/>
  <c r="M600" i="1"/>
  <c r="N600" i="1"/>
  <c r="M601" i="1"/>
  <c r="N601" i="1"/>
  <c r="M602" i="1"/>
  <c r="N602" i="1"/>
  <c r="M603" i="1"/>
  <c r="N603" i="1"/>
  <c r="M604" i="1"/>
  <c r="N604" i="1"/>
  <c r="M605" i="1"/>
  <c r="N605" i="1"/>
  <c r="M606" i="1"/>
  <c r="N606" i="1"/>
  <c r="M607" i="1"/>
  <c r="N607" i="1"/>
  <c r="M608" i="1"/>
  <c r="N608" i="1"/>
  <c r="M609" i="1"/>
  <c r="N609" i="1"/>
  <c r="M610" i="1"/>
  <c r="N610" i="1"/>
  <c r="M611" i="1"/>
  <c r="N611" i="1"/>
  <c r="M612" i="1"/>
  <c r="N612" i="1"/>
  <c r="M613" i="1"/>
  <c r="N613" i="1"/>
  <c r="M614" i="1"/>
  <c r="N614" i="1"/>
  <c r="M615" i="1"/>
  <c r="N615" i="1"/>
  <c r="M616" i="1"/>
  <c r="N616" i="1"/>
  <c r="M617" i="1"/>
  <c r="N617" i="1"/>
  <c r="M618" i="1"/>
  <c r="N618" i="1"/>
  <c r="M619" i="1"/>
  <c r="N619" i="1"/>
  <c r="M620" i="1"/>
  <c r="N620" i="1"/>
  <c r="M621" i="1"/>
  <c r="N621" i="1"/>
  <c r="M622" i="1"/>
  <c r="N622" i="1"/>
  <c r="M623" i="1"/>
  <c r="N623" i="1"/>
  <c r="M624" i="1"/>
  <c r="N624" i="1"/>
  <c r="M625" i="1"/>
  <c r="N625" i="1"/>
  <c r="N626" i="1"/>
  <c r="M626" i="1"/>
  <c r="M627" i="1"/>
  <c r="N627" i="1"/>
  <c r="M628" i="1"/>
  <c r="N628" i="1"/>
  <c r="M629" i="1"/>
  <c r="N629" i="1"/>
  <c r="M630" i="1"/>
  <c r="N630" i="1"/>
  <c r="M631" i="1"/>
  <c r="N631" i="1"/>
  <c r="M632" i="1"/>
  <c r="N632" i="1"/>
  <c r="M633" i="1"/>
  <c r="N633" i="1"/>
  <c r="M634" i="1"/>
  <c r="N634" i="1"/>
  <c r="M635" i="1"/>
  <c r="N635" i="1"/>
  <c r="M636" i="1"/>
  <c r="N636" i="1"/>
  <c r="M637" i="1"/>
  <c r="N637" i="1"/>
  <c r="M638" i="1"/>
  <c r="N638" i="1"/>
  <c r="M639" i="1"/>
  <c r="N639" i="1"/>
  <c r="M640" i="1"/>
  <c r="N640" i="1"/>
  <c r="M641" i="1"/>
  <c r="N641" i="1"/>
  <c r="M642" i="1"/>
  <c r="N642" i="1"/>
  <c r="M643" i="1"/>
  <c r="N643" i="1"/>
  <c r="M644" i="1"/>
  <c r="N644" i="1"/>
  <c r="M645" i="1"/>
  <c r="N645" i="1"/>
  <c r="M646" i="1"/>
  <c r="N646" i="1"/>
  <c r="M647" i="1"/>
  <c r="N647" i="1"/>
  <c r="M648" i="1"/>
  <c r="N648" i="1"/>
  <c r="M649" i="1"/>
  <c r="N649" i="1"/>
  <c r="M650" i="1"/>
  <c r="N650" i="1"/>
  <c r="M651" i="1"/>
  <c r="N651" i="1"/>
  <c r="M652" i="1"/>
  <c r="N652" i="1"/>
  <c r="M653" i="1"/>
  <c r="N653" i="1"/>
  <c r="N654" i="1"/>
  <c r="M654" i="1"/>
  <c r="M655" i="1"/>
  <c r="N655" i="1"/>
  <c r="N656" i="1"/>
  <c r="M656" i="1"/>
  <c r="N657" i="1"/>
  <c r="M657" i="1"/>
  <c r="M658" i="1"/>
  <c r="N658" i="1"/>
  <c r="M659" i="1"/>
  <c r="N659" i="1"/>
  <c r="M660" i="1"/>
  <c r="N660" i="1"/>
  <c r="M661" i="1"/>
  <c r="N661" i="1"/>
  <c r="M662" i="1"/>
  <c r="N662" i="1"/>
  <c r="M663" i="1"/>
  <c r="N663" i="1"/>
  <c r="M664" i="1"/>
  <c r="N664" i="1"/>
  <c r="M665" i="1"/>
  <c r="N665" i="1"/>
  <c r="N666" i="1"/>
  <c r="M666" i="1"/>
  <c r="N667" i="1"/>
  <c r="M667" i="1"/>
  <c r="N668" i="1"/>
  <c r="M668" i="1"/>
  <c r="M669" i="1"/>
  <c r="N669" i="1"/>
  <c r="M670" i="1"/>
  <c r="N670" i="1"/>
  <c r="N671" i="1"/>
  <c r="M671" i="1"/>
  <c r="N672" i="1"/>
  <c r="M672" i="1"/>
  <c r="M673" i="1"/>
  <c r="N673" i="1"/>
  <c r="M674" i="1"/>
  <c r="N674" i="1"/>
  <c r="M675" i="1"/>
  <c r="N675" i="1"/>
  <c r="N676" i="1"/>
  <c r="M676" i="1"/>
  <c r="N677" i="1"/>
  <c r="M677" i="1"/>
  <c r="N678" i="1"/>
  <c r="M678" i="1"/>
  <c r="N679" i="1"/>
  <c r="M679" i="1"/>
  <c r="N680" i="1"/>
  <c r="M680" i="1"/>
  <c r="N681" i="1"/>
  <c r="M681" i="1"/>
  <c r="N682" i="1"/>
  <c r="M682" i="1"/>
  <c r="N683" i="1"/>
  <c r="M683" i="1"/>
  <c r="N684" i="1"/>
  <c r="M684" i="1"/>
  <c r="M685" i="1"/>
  <c r="N685" i="1"/>
  <c r="M686" i="1"/>
  <c r="N686" i="1"/>
  <c r="N687" i="1"/>
  <c r="M687" i="1"/>
  <c r="N688" i="1"/>
  <c r="M688" i="1"/>
  <c r="N689" i="1"/>
  <c r="M689" i="1"/>
  <c r="N690" i="1"/>
  <c r="M690" i="1"/>
  <c r="N691" i="1"/>
  <c r="M691" i="1"/>
  <c r="M692" i="1"/>
  <c r="N692" i="1"/>
  <c r="N693" i="1"/>
  <c r="M693" i="1"/>
  <c r="M694" i="1"/>
  <c r="N694" i="1"/>
  <c r="N695" i="1"/>
  <c r="M695" i="1"/>
  <c r="N696" i="1"/>
  <c r="M696" i="1"/>
  <c r="N697" i="1"/>
  <c r="M697" i="1"/>
  <c r="N698" i="1"/>
  <c r="M698" i="1"/>
  <c r="N699" i="1"/>
  <c r="M699" i="1"/>
  <c r="M700" i="1"/>
  <c r="N700" i="1"/>
  <c r="M701" i="1"/>
  <c r="N701" i="1"/>
  <c r="M702" i="1"/>
  <c r="N702" i="1"/>
  <c r="M703" i="1"/>
  <c r="N703" i="1"/>
  <c r="N704" i="1"/>
  <c r="M704" i="1"/>
  <c r="N705" i="1"/>
  <c r="M705" i="1"/>
  <c r="N706" i="1"/>
  <c r="M706" i="1"/>
  <c r="N707" i="1"/>
  <c r="M707" i="1"/>
  <c r="N708" i="1"/>
  <c r="M708" i="1"/>
  <c r="N709" i="1"/>
  <c r="M709" i="1"/>
  <c r="M710" i="1"/>
  <c r="N710" i="1"/>
  <c r="N711" i="1"/>
  <c r="M711" i="1"/>
  <c r="M712" i="1"/>
  <c r="N712" i="1"/>
  <c r="N713" i="1"/>
  <c r="M713" i="1"/>
  <c r="N714" i="1"/>
  <c r="M714" i="1"/>
  <c r="N715" i="1"/>
  <c r="M715" i="1"/>
  <c r="N716" i="1"/>
  <c r="M716" i="1"/>
  <c r="N717" i="1"/>
  <c r="M717" i="1"/>
  <c r="M718" i="1"/>
  <c r="N718" i="1"/>
  <c r="N719" i="1"/>
  <c r="M719" i="1"/>
  <c r="M720" i="1"/>
  <c r="N720" i="1"/>
  <c r="N721" i="1"/>
  <c r="M721" i="1"/>
  <c r="N722" i="1"/>
  <c r="M722" i="1"/>
  <c r="N723" i="1"/>
  <c r="M723" i="1"/>
  <c r="M724" i="1"/>
  <c r="N724" i="1"/>
  <c r="N725" i="1"/>
  <c r="M725" i="1"/>
  <c r="M726" i="1"/>
  <c r="N726" i="1"/>
  <c r="M727" i="1"/>
  <c r="N727" i="1"/>
  <c r="M728" i="1"/>
  <c r="N728" i="1"/>
  <c r="M729" i="1"/>
  <c r="N729" i="1"/>
  <c r="M730" i="1"/>
  <c r="N730" i="1"/>
  <c r="M731" i="1"/>
  <c r="N731" i="1"/>
  <c r="N732" i="1"/>
  <c r="M732" i="1"/>
  <c r="M733" i="1"/>
  <c r="N733" i="1"/>
  <c r="M734" i="1"/>
  <c r="N734" i="1"/>
  <c r="M735" i="1"/>
  <c r="N735" i="1"/>
  <c r="M736" i="1"/>
  <c r="N736" i="1"/>
  <c r="M737" i="1"/>
  <c r="N737" i="1"/>
  <c r="M738" i="1"/>
  <c r="N738" i="1"/>
  <c r="M739" i="1"/>
  <c r="N739" i="1"/>
  <c r="M740" i="1"/>
  <c r="N740" i="1"/>
  <c r="M741" i="1"/>
  <c r="N741" i="1"/>
  <c r="N742" i="1"/>
  <c r="M742" i="1"/>
  <c r="M743" i="1"/>
  <c r="N743" i="1"/>
  <c r="M744" i="1"/>
  <c r="N744" i="1"/>
  <c r="M745" i="1"/>
  <c r="N745" i="1"/>
  <c r="N746" i="1"/>
  <c r="M746" i="1"/>
  <c r="N747" i="1"/>
  <c r="M747" i="1"/>
  <c r="N748" i="1"/>
  <c r="M748" i="1"/>
  <c r="N749" i="1"/>
  <c r="M749" i="1"/>
  <c r="M750" i="1"/>
  <c r="N750" i="1"/>
  <c r="M751" i="1"/>
  <c r="N751" i="1"/>
  <c r="M752" i="1"/>
  <c r="N752" i="1"/>
  <c r="N753" i="1"/>
  <c r="M753" i="1"/>
  <c r="M754" i="1"/>
  <c r="N754" i="1"/>
  <c r="M755" i="1"/>
  <c r="N755" i="1"/>
  <c r="M756" i="1"/>
  <c r="N756" i="1"/>
  <c r="M757" i="1"/>
  <c r="N757" i="1"/>
  <c r="M758" i="1"/>
  <c r="N758" i="1"/>
  <c r="M759" i="1"/>
  <c r="N759" i="1"/>
  <c r="M760" i="1"/>
  <c r="N760" i="1"/>
  <c r="M761" i="1"/>
  <c r="N761" i="1"/>
  <c r="M762" i="1"/>
  <c r="N762" i="1"/>
  <c r="M763" i="1"/>
  <c r="N763" i="1"/>
  <c r="M764" i="1"/>
  <c r="N764" i="1"/>
  <c r="M765" i="1"/>
  <c r="N765" i="1"/>
  <c r="M766" i="1"/>
  <c r="N766" i="1"/>
  <c r="M767" i="1"/>
  <c r="N767" i="1"/>
  <c r="M768" i="1"/>
  <c r="N768" i="1"/>
  <c r="M769" i="1"/>
  <c r="N769" i="1"/>
  <c r="M770" i="1"/>
  <c r="N770" i="1"/>
  <c r="M771" i="1"/>
  <c r="N771" i="1"/>
  <c r="M772" i="1"/>
  <c r="N772" i="1"/>
  <c r="M773" i="1"/>
  <c r="N773" i="1"/>
  <c r="M774" i="1"/>
  <c r="N774" i="1"/>
  <c r="M775" i="1"/>
  <c r="N775" i="1"/>
  <c r="M776" i="1"/>
  <c r="N776" i="1"/>
  <c r="M777" i="1"/>
  <c r="N777" i="1"/>
  <c r="M778" i="1"/>
  <c r="N778" i="1"/>
  <c r="M779" i="1"/>
  <c r="N779" i="1"/>
  <c r="M780" i="1"/>
  <c r="N780" i="1"/>
  <c r="M781" i="1"/>
  <c r="N781" i="1"/>
  <c r="M782" i="1"/>
  <c r="N782" i="1"/>
  <c r="M783" i="1"/>
  <c r="N783" i="1"/>
  <c r="M784" i="1"/>
  <c r="N784" i="1"/>
  <c r="M785" i="1"/>
  <c r="N785" i="1"/>
  <c r="M786" i="1"/>
  <c r="N786" i="1"/>
  <c r="M787" i="1"/>
  <c r="N787" i="1"/>
  <c r="M788" i="1"/>
  <c r="N788" i="1"/>
  <c r="M789" i="1"/>
  <c r="N789" i="1"/>
  <c r="M790" i="1"/>
  <c r="N790" i="1"/>
  <c r="N791" i="1"/>
  <c r="M791" i="1"/>
  <c r="M792" i="1"/>
  <c r="N792" i="1"/>
  <c r="N793" i="1"/>
  <c r="M793" i="1"/>
  <c r="N794" i="1"/>
  <c r="M794" i="1"/>
  <c r="M795" i="1"/>
  <c r="N795" i="1"/>
  <c r="M796" i="1"/>
  <c r="N796" i="1"/>
  <c r="M797" i="1"/>
  <c r="N797" i="1"/>
  <c r="M798" i="1"/>
  <c r="N798" i="1"/>
  <c r="M799" i="1"/>
  <c r="N799" i="1"/>
  <c r="M800" i="1"/>
  <c r="N800" i="1"/>
  <c r="M801" i="1"/>
  <c r="N801" i="1"/>
  <c r="M802" i="1"/>
  <c r="N802" i="1"/>
  <c r="M803" i="1"/>
  <c r="N803" i="1"/>
  <c r="M804" i="1"/>
  <c r="N804" i="1"/>
  <c r="M805" i="1"/>
  <c r="N805" i="1"/>
  <c r="N806" i="1"/>
  <c r="M806" i="1"/>
  <c r="M807" i="1"/>
  <c r="N807" i="1"/>
  <c r="M808" i="1"/>
  <c r="N808" i="1"/>
  <c r="M809" i="1"/>
  <c r="N809" i="1"/>
  <c r="M810" i="1"/>
  <c r="N810" i="1"/>
  <c r="M811" i="1"/>
  <c r="N811" i="1"/>
  <c r="M812" i="1"/>
  <c r="N812" i="1"/>
  <c r="M813" i="1"/>
  <c r="N813" i="1"/>
  <c r="M814" i="1"/>
  <c r="N814" i="1"/>
  <c r="M815" i="1"/>
  <c r="N815" i="1"/>
  <c r="M816" i="1"/>
  <c r="N816" i="1"/>
  <c r="M817" i="1"/>
  <c r="N817" i="1"/>
  <c r="M818" i="1"/>
  <c r="N818" i="1"/>
  <c r="M819" i="1"/>
  <c r="N819" i="1"/>
  <c r="M820" i="1"/>
  <c r="N820" i="1"/>
  <c r="M821" i="1"/>
  <c r="N821" i="1"/>
  <c r="M822" i="1"/>
  <c r="N822" i="1"/>
  <c r="M823" i="1"/>
  <c r="N823" i="1"/>
  <c r="M824" i="1"/>
  <c r="N824" i="1"/>
  <c r="M825" i="1"/>
  <c r="N825" i="1"/>
  <c r="M826" i="1"/>
  <c r="N826" i="1"/>
  <c r="M827" i="1"/>
  <c r="N827" i="1"/>
  <c r="N828" i="1"/>
  <c r="M828" i="1"/>
  <c r="M829" i="1"/>
  <c r="N829" i="1"/>
  <c r="M830" i="1"/>
  <c r="N830" i="1"/>
  <c r="M831" i="1"/>
  <c r="N831" i="1"/>
  <c r="M832" i="1"/>
  <c r="N832" i="1"/>
  <c r="M833" i="1"/>
  <c r="N833" i="1"/>
  <c r="N834" i="1"/>
  <c r="M834" i="1"/>
  <c r="N835" i="1"/>
  <c r="M835" i="1"/>
  <c r="N836" i="1"/>
  <c r="M836" i="1"/>
  <c r="M837" i="1"/>
  <c r="N837" i="1"/>
  <c r="N838" i="1"/>
  <c r="M838" i="1"/>
  <c r="N839" i="1"/>
  <c r="M839" i="1"/>
  <c r="N840" i="1"/>
  <c r="M840" i="1"/>
  <c r="N841" i="1"/>
  <c r="M841" i="1"/>
  <c r="N842" i="1"/>
  <c r="M842" i="1"/>
  <c r="M843" i="1"/>
  <c r="N843" i="1"/>
  <c r="M844" i="1"/>
  <c r="N844" i="1"/>
  <c r="N845" i="1"/>
  <c r="M845" i="1"/>
  <c r="M846" i="1"/>
  <c r="N846" i="1"/>
  <c r="N847" i="1"/>
  <c r="M847" i="1"/>
  <c r="N848" i="1"/>
  <c r="M848" i="1"/>
  <c r="N849" i="1"/>
  <c r="M849" i="1"/>
  <c r="N850" i="1"/>
  <c r="M850" i="1"/>
  <c r="N851" i="1"/>
  <c r="M851" i="1"/>
  <c r="N852" i="1"/>
  <c r="M852" i="1"/>
  <c r="M853" i="1"/>
  <c r="N853" i="1"/>
  <c r="M854" i="1"/>
  <c r="N854" i="1"/>
  <c r="M855" i="1"/>
  <c r="N855" i="1"/>
  <c r="N856" i="1"/>
  <c r="M856" i="1"/>
  <c r="N857" i="1"/>
  <c r="M857" i="1"/>
  <c r="N858" i="1"/>
  <c r="M858" i="1"/>
  <c r="N859" i="1"/>
  <c r="M859" i="1"/>
  <c r="M860" i="1"/>
  <c r="N860" i="1"/>
  <c r="M861" i="1"/>
  <c r="N861" i="1"/>
  <c r="M862" i="1"/>
  <c r="N862" i="1"/>
  <c r="M863" i="1"/>
  <c r="N863" i="1"/>
  <c r="M864" i="1"/>
  <c r="N864" i="1"/>
  <c r="M865" i="1"/>
  <c r="N865" i="1"/>
  <c r="M866" i="1"/>
  <c r="N866" i="1"/>
  <c r="M867" i="1"/>
  <c r="N867" i="1"/>
  <c r="M868" i="1"/>
  <c r="N868" i="1"/>
  <c r="M869" i="1"/>
  <c r="N869" i="1"/>
  <c r="M870" i="1"/>
  <c r="N870" i="1"/>
  <c r="M871" i="1"/>
  <c r="N871" i="1"/>
  <c r="M872" i="1"/>
  <c r="N872" i="1"/>
  <c r="M873" i="1"/>
  <c r="N873" i="1"/>
  <c r="M874" i="1"/>
  <c r="N874" i="1"/>
  <c r="M875" i="1"/>
  <c r="N875" i="1"/>
  <c r="M876" i="1"/>
  <c r="N876" i="1"/>
  <c r="M877" i="1"/>
  <c r="N877" i="1"/>
  <c r="M878" i="1"/>
  <c r="N878" i="1"/>
  <c r="M879" i="1"/>
  <c r="N879" i="1"/>
  <c r="M880" i="1"/>
  <c r="N880" i="1"/>
  <c r="M881" i="1"/>
  <c r="N881" i="1"/>
  <c r="M882" i="1"/>
  <c r="N882" i="1"/>
  <c r="M883" i="1"/>
  <c r="N883" i="1"/>
  <c r="M884" i="1"/>
  <c r="N884" i="1"/>
  <c r="M885" i="1"/>
  <c r="N885" i="1"/>
  <c r="M886" i="1"/>
  <c r="N886" i="1"/>
  <c r="M887" i="1"/>
  <c r="N887" i="1"/>
  <c r="M888" i="1"/>
  <c r="N888" i="1"/>
  <c r="M889" i="1"/>
  <c r="N889" i="1"/>
  <c r="M890" i="1"/>
  <c r="N890" i="1"/>
  <c r="M891" i="1"/>
  <c r="N891" i="1"/>
  <c r="M892" i="1"/>
  <c r="N892" i="1"/>
  <c r="M893" i="1"/>
  <c r="N893" i="1"/>
  <c r="M894" i="1"/>
  <c r="N894" i="1"/>
  <c r="N895" i="1"/>
  <c r="M895" i="1"/>
  <c r="M896" i="1"/>
  <c r="N896" i="1"/>
  <c r="M897" i="1"/>
  <c r="N897" i="1"/>
  <c r="M898" i="1"/>
  <c r="N898" i="1"/>
  <c r="M899" i="1"/>
  <c r="N899" i="1"/>
  <c r="M900" i="1"/>
  <c r="N900" i="1"/>
  <c r="M901" i="1"/>
  <c r="N901" i="1"/>
  <c r="M902" i="1"/>
  <c r="N902" i="1"/>
  <c r="M903" i="1"/>
  <c r="N903" i="1"/>
  <c r="M904" i="1"/>
  <c r="N904" i="1"/>
  <c r="M905" i="1"/>
  <c r="N905" i="1"/>
  <c r="M906" i="1"/>
  <c r="N906" i="1"/>
  <c r="M907" i="1"/>
  <c r="N907" i="1"/>
  <c r="M908" i="1"/>
  <c r="N908" i="1"/>
  <c r="M909" i="1"/>
  <c r="N909" i="1"/>
  <c r="M910" i="1"/>
  <c r="N910" i="1"/>
  <c r="M911" i="1"/>
  <c r="N911" i="1"/>
  <c r="M912" i="1"/>
  <c r="N912" i="1"/>
  <c r="M913" i="1"/>
  <c r="N913" i="1"/>
  <c r="M914" i="1"/>
  <c r="N914" i="1"/>
  <c r="M915" i="1"/>
  <c r="N915" i="1"/>
  <c r="M916" i="1"/>
  <c r="N916" i="1"/>
  <c r="M917" i="1"/>
  <c r="N917" i="1"/>
  <c r="M918" i="1"/>
  <c r="N918" i="1"/>
  <c r="M919" i="1"/>
  <c r="N919" i="1"/>
  <c r="M920" i="1"/>
  <c r="N920" i="1"/>
  <c r="M921" i="1"/>
  <c r="N921" i="1"/>
  <c r="M922" i="1"/>
  <c r="N922" i="1"/>
  <c r="M923" i="1"/>
  <c r="N923" i="1"/>
  <c r="M924" i="1"/>
  <c r="N924" i="1"/>
  <c r="M925" i="1"/>
  <c r="N925" i="1"/>
  <c r="M926" i="1"/>
  <c r="N926" i="1"/>
  <c r="N927" i="1"/>
  <c r="M927" i="1"/>
  <c r="N928" i="1"/>
  <c r="M928" i="1"/>
  <c r="N929" i="1"/>
  <c r="M929" i="1"/>
  <c r="N930" i="1"/>
  <c r="M930" i="1"/>
  <c r="N931" i="1"/>
  <c r="M931" i="1"/>
  <c r="N932" i="1"/>
  <c r="M932" i="1"/>
  <c r="N933" i="1"/>
  <c r="M933" i="1"/>
  <c r="N934" i="1"/>
  <c r="M934" i="1"/>
  <c r="N935" i="1"/>
  <c r="M935" i="1"/>
  <c r="N936" i="1"/>
  <c r="M936" i="1"/>
  <c r="N937" i="1"/>
  <c r="M937" i="1"/>
  <c r="N938" i="1"/>
  <c r="M938" i="1"/>
  <c r="N939" i="1"/>
  <c r="M939" i="1"/>
  <c r="M940" i="1"/>
  <c r="N940" i="1"/>
  <c r="M941" i="1"/>
  <c r="N941" i="1"/>
  <c r="M942" i="1"/>
  <c r="N942" i="1"/>
  <c r="M943" i="1"/>
  <c r="N943" i="1"/>
  <c r="M944" i="1"/>
  <c r="N944" i="1"/>
  <c r="M945" i="1"/>
  <c r="N945" i="1"/>
  <c r="M946" i="1"/>
  <c r="N946" i="1"/>
  <c r="M947" i="1"/>
  <c r="N947" i="1"/>
  <c r="M948" i="1"/>
  <c r="N948" i="1"/>
  <c r="M949" i="1"/>
  <c r="N949" i="1"/>
  <c r="M950" i="1"/>
  <c r="N950" i="1"/>
  <c r="M951" i="1"/>
  <c r="N951" i="1"/>
  <c r="M952" i="1"/>
  <c r="N952" i="1"/>
  <c r="M953" i="1"/>
  <c r="N953" i="1"/>
  <c r="N954" i="1"/>
  <c r="M954" i="1"/>
  <c r="M955" i="1"/>
  <c r="N955" i="1"/>
  <c r="M956" i="1"/>
  <c r="N956" i="1"/>
  <c r="M957" i="1"/>
  <c r="N957" i="1"/>
  <c r="M958" i="1"/>
  <c r="N958" i="1"/>
  <c r="N959" i="1"/>
  <c r="M959" i="1"/>
  <c r="N960" i="1"/>
  <c r="M960" i="1"/>
  <c r="N961" i="1"/>
  <c r="M961" i="1"/>
  <c r="M962" i="1"/>
  <c r="N962" i="1"/>
  <c r="N963" i="1"/>
  <c r="M963" i="1"/>
  <c r="M964" i="1"/>
  <c r="N964" i="1"/>
  <c r="M965" i="1"/>
  <c r="N965" i="1"/>
  <c r="M966" i="1"/>
  <c r="N966" i="1"/>
  <c r="M967" i="1"/>
  <c r="N967" i="1"/>
  <c r="M968" i="1"/>
  <c r="N968" i="1"/>
  <c r="N969" i="1"/>
  <c r="M969" i="1"/>
  <c r="N970" i="1"/>
  <c r="M970" i="1"/>
  <c r="M971" i="1"/>
  <c r="N971" i="1"/>
  <c r="N972" i="1"/>
  <c r="M972" i="1"/>
  <c r="N973" i="1"/>
  <c r="M973" i="1"/>
  <c r="N974" i="1"/>
  <c r="M974" i="1"/>
  <c r="N975" i="1"/>
  <c r="M975" i="1"/>
  <c r="M976" i="1"/>
  <c r="N976" i="1"/>
  <c r="M977" i="1"/>
  <c r="N977" i="1"/>
  <c r="M978" i="1"/>
  <c r="N978" i="1"/>
  <c r="M979" i="1"/>
  <c r="N979" i="1"/>
  <c r="M980" i="1"/>
  <c r="N980" i="1"/>
  <c r="M981" i="1"/>
  <c r="N981" i="1"/>
  <c r="M982" i="1"/>
  <c r="N982" i="1"/>
  <c r="M983" i="1"/>
  <c r="N983" i="1"/>
  <c r="N984" i="1"/>
  <c r="M984" i="1"/>
  <c r="N985" i="1"/>
  <c r="M985" i="1"/>
  <c r="N986" i="1"/>
  <c r="M986" i="1"/>
  <c r="M987" i="1"/>
  <c r="N987" i="1"/>
  <c r="M988" i="1"/>
  <c r="N988" i="1"/>
  <c r="M989" i="1"/>
  <c r="N989" i="1"/>
  <c r="M990" i="1"/>
  <c r="N990" i="1"/>
  <c r="M991" i="1"/>
  <c r="N991" i="1"/>
  <c r="M992" i="1"/>
  <c r="N992" i="1"/>
  <c r="M993" i="1"/>
  <c r="N993" i="1"/>
  <c r="M994" i="1"/>
  <c r="N994" i="1"/>
  <c r="M995" i="1"/>
  <c r="N995" i="1"/>
  <c r="M996" i="1"/>
  <c r="N996" i="1"/>
  <c r="M997" i="1"/>
  <c r="N997" i="1"/>
  <c r="M998" i="1"/>
  <c r="N998" i="1"/>
  <c r="N999" i="1"/>
  <c r="M999" i="1"/>
  <c r="M1000" i="1"/>
  <c r="N1000" i="1"/>
  <c r="M1001" i="1"/>
  <c r="N1001" i="1"/>
  <c r="M1002" i="1"/>
  <c r="N1002" i="1"/>
  <c r="N1003" i="1"/>
  <c r="M1003" i="1"/>
  <c r="N1004" i="1"/>
  <c r="M1004" i="1"/>
  <c r="N1005" i="1"/>
  <c r="M1005" i="1"/>
  <c r="N1006" i="1"/>
  <c r="M1006" i="1"/>
  <c r="N1007" i="1"/>
  <c r="M1007" i="1"/>
  <c r="N1008" i="1"/>
  <c r="M1008" i="1"/>
  <c r="N1009" i="1"/>
  <c r="M1009" i="1"/>
  <c r="N1010" i="1"/>
  <c r="M1010" i="1"/>
  <c r="N1011" i="1"/>
  <c r="M1011" i="1"/>
  <c r="N1012" i="1"/>
  <c r="M1012" i="1"/>
  <c r="N1013" i="1"/>
  <c r="M1013" i="1"/>
  <c r="M1014" i="1"/>
  <c r="N1014" i="1"/>
  <c r="N1015" i="1"/>
  <c r="M1015" i="1"/>
  <c r="M1016" i="1"/>
  <c r="N1016" i="1"/>
  <c r="M1017" i="1"/>
  <c r="N1017" i="1"/>
  <c r="M1018" i="1"/>
  <c r="N1018" i="1"/>
  <c r="M1019" i="1"/>
  <c r="N1019" i="1"/>
  <c r="M1020" i="1"/>
  <c r="N1020" i="1"/>
  <c r="N1021" i="1"/>
  <c r="M1021" i="1"/>
  <c r="N1022" i="1"/>
  <c r="M1022" i="1"/>
  <c r="N1023" i="1"/>
  <c r="M1023" i="1"/>
  <c r="N1024" i="1"/>
  <c r="M1024" i="1"/>
  <c r="N1025" i="1"/>
  <c r="M1025" i="1"/>
  <c r="M1026" i="1"/>
  <c r="N1026" i="1"/>
  <c r="N1027" i="1"/>
  <c r="M1027" i="1"/>
  <c r="M1028" i="1"/>
  <c r="N1028" i="1"/>
  <c r="N1029" i="1"/>
  <c r="M1029" i="1"/>
  <c r="M1030" i="1"/>
  <c r="N1030" i="1"/>
  <c r="N1031" i="1"/>
  <c r="M1031" i="1"/>
  <c r="N1032" i="1"/>
  <c r="M1032" i="1"/>
  <c r="N1033" i="1"/>
  <c r="M1033" i="1"/>
  <c r="N1034" i="1"/>
  <c r="M1034" i="1"/>
  <c r="N1035" i="1"/>
  <c r="M1035" i="1"/>
  <c r="N1036" i="1"/>
  <c r="M1036" i="1"/>
  <c r="N1037" i="1"/>
  <c r="M1037" i="1"/>
  <c r="N1038" i="1"/>
  <c r="M1038" i="1"/>
  <c r="N1039" i="1"/>
  <c r="M1039" i="1"/>
  <c r="M1040" i="1"/>
  <c r="N1040" i="1"/>
  <c r="N1041" i="1"/>
  <c r="M1041" i="1"/>
  <c r="N1042" i="1"/>
  <c r="M1042" i="1"/>
  <c r="N1043" i="1"/>
  <c r="M1043" i="1"/>
  <c r="N1044" i="1"/>
  <c r="M1044" i="1"/>
  <c r="M1045" i="1"/>
  <c r="N1045" i="1"/>
  <c r="M1046" i="1"/>
  <c r="N1046" i="1"/>
  <c r="M1047" i="1"/>
  <c r="N1047" i="1"/>
  <c r="M1048" i="1"/>
  <c r="N1048" i="1"/>
  <c r="M1049" i="1"/>
  <c r="N1049" i="1"/>
  <c r="M1050" i="1"/>
  <c r="N1050" i="1"/>
  <c r="M1051" i="1"/>
  <c r="N1051" i="1"/>
  <c r="M1052" i="1"/>
  <c r="N1052" i="1"/>
  <c r="N1053" i="1"/>
  <c r="M1053" i="1"/>
  <c r="M1054" i="1"/>
  <c r="N1054" i="1"/>
  <c r="M1055" i="1"/>
  <c r="N1055" i="1"/>
  <c r="M1056" i="1"/>
  <c r="N1056" i="1"/>
  <c r="M1057" i="1"/>
  <c r="N1057" i="1"/>
  <c r="N1058" i="1"/>
  <c r="M1058" i="1"/>
  <c r="M1059" i="1"/>
  <c r="N1059" i="1"/>
  <c r="M1060" i="1"/>
  <c r="N1060" i="1"/>
  <c r="N1061" i="1"/>
  <c r="M1061" i="1"/>
  <c r="N1062" i="1"/>
  <c r="M1062" i="1"/>
  <c r="M1063" i="1"/>
  <c r="N1063" i="1"/>
  <c r="N1064" i="1"/>
  <c r="M1064" i="1"/>
  <c r="N1065" i="1"/>
  <c r="M1065" i="1"/>
  <c r="N1066" i="1"/>
  <c r="M1066" i="1"/>
  <c r="N1067" i="1"/>
  <c r="M1067" i="1"/>
  <c r="N1068" i="1"/>
  <c r="M1068" i="1"/>
  <c r="M1069" i="1"/>
  <c r="N1069" i="1"/>
  <c r="M1070" i="1"/>
  <c r="N1070" i="1"/>
  <c r="N1071" i="1"/>
  <c r="M1071" i="1"/>
  <c r="N1072" i="1"/>
  <c r="M1072" i="1"/>
  <c r="M1073" i="1"/>
  <c r="N1073" i="1"/>
  <c r="M1074" i="1"/>
  <c r="N1074" i="1"/>
  <c r="M1075" i="1"/>
  <c r="N1075" i="1"/>
  <c r="M1076" i="1"/>
  <c r="N1076" i="1"/>
  <c r="M1077" i="1"/>
  <c r="N1077" i="1"/>
  <c r="M1078" i="1"/>
  <c r="N1078" i="1"/>
  <c r="M1079" i="1"/>
  <c r="N1079" i="1"/>
  <c r="N1080" i="1"/>
  <c r="M1080" i="1"/>
  <c r="N1081" i="1"/>
  <c r="M1081" i="1"/>
  <c r="N1082" i="1"/>
  <c r="M1082" i="1"/>
  <c r="N1083" i="1"/>
  <c r="M1083" i="1"/>
  <c r="N1084" i="1"/>
  <c r="M1084" i="1"/>
  <c r="N1085" i="1"/>
  <c r="M1085" i="1"/>
  <c r="N1086" i="1"/>
  <c r="M1086" i="1"/>
  <c r="M1087" i="1"/>
  <c r="N1087" i="1"/>
  <c r="M1088" i="1"/>
  <c r="N1088" i="1"/>
  <c r="N1089" i="1"/>
  <c r="M1089" i="1"/>
  <c r="N1090" i="1"/>
  <c r="M1090" i="1"/>
  <c r="N1091" i="1"/>
  <c r="M1091" i="1"/>
  <c r="N1092" i="1"/>
  <c r="M1092" i="1"/>
  <c r="N1093" i="1"/>
  <c r="M1093" i="1"/>
  <c r="N1094" i="1"/>
  <c r="M1094" i="1"/>
  <c r="N1095" i="1"/>
  <c r="M1095" i="1"/>
  <c r="M1096" i="1"/>
  <c r="N1096" i="1"/>
  <c r="M1097" i="1"/>
  <c r="N1097" i="1"/>
  <c r="N1098" i="1"/>
  <c r="M1098" i="1"/>
  <c r="N1099" i="1"/>
  <c r="M1099" i="1"/>
  <c r="N1100" i="1"/>
  <c r="M1100" i="1"/>
  <c r="N1101" i="1"/>
  <c r="M1101" i="1"/>
  <c r="N1102" i="1"/>
  <c r="M1102" i="1"/>
  <c r="M1103" i="1"/>
  <c r="N1103" i="1"/>
  <c r="M1104" i="1"/>
  <c r="N1104" i="1"/>
  <c r="N1105" i="1"/>
  <c r="M1105" i="1"/>
  <c r="M1106" i="1"/>
  <c r="N1106" i="1"/>
  <c r="M1107" i="1"/>
  <c r="N1107" i="1"/>
  <c r="M1108" i="1"/>
  <c r="N1108" i="1"/>
  <c r="M1109" i="1"/>
  <c r="N1109" i="1"/>
  <c r="M1110" i="1"/>
  <c r="N1110" i="1"/>
  <c r="M1111" i="1"/>
  <c r="N1111" i="1"/>
  <c r="M1112" i="1"/>
  <c r="N1112" i="1"/>
  <c r="M1113" i="1"/>
  <c r="N1113" i="1"/>
  <c r="M1114" i="1"/>
  <c r="N1114" i="1"/>
  <c r="M1115" i="1"/>
  <c r="N1115" i="1"/>
  <c r="N1116" i="1"/>
  <c r="M1116" i="1"/>
  <c r="M1117" i="1"/>
  <c r="N1117" i="1"/>
  <c r="M1118" i="1"/>
  <c r="N1118" i="1"/>
  <c r="M1119" i="1"/>
  <c r="N1119" i="1"/>
  <c r="M1120" i="1"/>
  <c r="N1120" i="1"/>
  <c r="M1121" i="1"/>
  <c r="N1121" i="1"/>
  <c r="N1122" i="1"/>
  <c r="M1122" i="1"/>
  <c r="M1123" i="1"/>
  <c r="N1123" i="1"/>
  <c r="M1124" i="1"/>
  <c r="N1124" i="1"/>
  <c r="M1125" i="1"/>
  <c r="N1125" i="1"/>
  <c r="N1126" i="1"/>
  <c r="M1126" i="1"/>
  <c r="M1127" i="1"/>
  <c r="N1127" i="1"/>
  <c r="N1128" i="1"/>
  <c r="M1128" i="1"/>
  <c r="N1129" i="1"/>
  <c r="M1129" i="1"/>
  <c r="N1130" i="1"/>
  <c r="M1130" i="1"/>
  <c r="N1131" i="1"/>
  <c r="M1131" i="1"/>
  <c r="N1132" i="1"/>
  <c r="M1132" i="1"/>
  <c r="N1133" i="1"/>
  <c r="M1133" i="1"/>
  <c r="N1134" i="1"/>
  <c r="M1134" i="1"/>
  <c r="M1135" i="1"/>
  <c r="N1135" i="1"/>
  <c r="M1136" i="1"/>
  <c r="N1136" i="1"/>
  <c r="M1137" i="1"/>
  <c r="N1137" i="1"/>
  <c r="M1138" i="1"/>
  <c r="N1138" i="1"/>
  <c r="M1139" i="1"/>
  <c r="N1139" i="1"/>
  <c r="M1140" i="1"/>
  <c r="N1140" i="1"/>
  <c r="M1141" i="1"/>
  <c r="N1141" i="1"/>
  <c r="M1142" i="1"/>
  <c r="N1142" i="1"/>
  <c r="M1143" i="1"/>
  <c r="N1143" i="1"/>
  <c r="M1144" i="1"/>
  <c r="N1144" i="1"/>
  <c r="M1145" i="1"/>
  <c r="N1145" i="1"/>
  <c r="M1146" i="1"/>
  <c r="N1146" i="1"/>
  <c r="M1147" i="1"/>
  <c r="N1147" i="1"/>
  <c r="M1148" i="1"/>
  <c r="N1148" i="1"/>
  <c r="M1149" i="1"/>
  <c r="N1149" i="1"/>
  <c r="M1150" i="1"/>
  <c r="N1150" i="1"/>
  <c r="M1151" i="1"/>
  <c r="N1151" i="1"/>
  <c r="M1152" i="1"/>
  <c r="N1152" i="1"/>
  <c r="M1153" i="1"/>
  <c r="N1153" i="1"/>
  <c r="M1154" i="1"/>
  <c r="N1154" i="1"/>
  <c r="M1155" i="1"/>
  <c r="N1155" i="1"/>
  <c r="M1156" i="1"/>
  <c r="N1156" i="1"/>
  <c r="M1157" i="1"/>
  <c r="N1157" i="1"/>
  <c r="M1158" i="1"/>
  <c r="N1158" i="1"/>
  <c r="M1159" i="1"/>
  <c r="N1159" i="1"/>
  <c r="M1160" i="1"/>
  <c r="N1160" i="1"/>
  <c r="N1161" i="1"/>
  <c r="M1161" i="1"/>
  <c r="M1162" i="1"/>
  <c r="N1162" i="1"/>
  <c r="M1163" i="1"/>
  <c r="N1163" i="1"/>
  <c r="M1164" i="1"/>
  <c r="N1164" i="1"/>
  <c r="N1165" i="1"/>
  <c r="M1165" i="1"/>
  <c r="N1166" i="1"/>
  <c r="M1166" i="1"/>
  <c r="N1167" i="1"/>
  <c r="M1167" i="1"/>
  <c r="M1168" i="1"/>
  <c r="N1168" i="1"/>
  <c r="M1169" i="1"/>
  <c r="N1169" i="1"/>
  <c r="M1170" i="1"/>
  <c r="N1170" i="1"/>
  <c r="M1171" i="1"/>
  <c r="N1171" i="1"/>
  <c r="M1172" i="1"/>
  <c r="N1172" i="1"/>
  <c r="M1173" i="1"/>
  <c r="N1173" i="1"/>
  <c r="N1174" i="1"/>
  <c r="M1174" i="1"/>
  <c r="M1175" i="1"/>
  <c r="N1175" i="1"/>
  <c r="M1176" i="1"/>
  <c r="N1176" i="1"/>
  <c r="M1177" i="1"/>
  <c r="N1177" i="1"/>
  <c r="N1178" i="1"/>
  <c r="M1178" i="1"/>
  <c r="M1179" i="1"/>
  <c r="N1179" i="1"/>
  <c r="N1180" i="1"/>
  <c r="M1180" i="1"/>
  <c r="M1181" i="1"/>
  <c r="N1181" i="1"/>
  <c r="M1182" i="1"/>
  <c r="N1182" i="1"/>
  <c r="M1183" i="1"/>
  <c r="N1183" i="1"/>
  <c r="N1184" i="1"/>
  <c r="M1184" i="1"/>
  <c r="N1185" i="1"/>
  <c r="M1185" i="1"/>
  <c r="N1186" i="1"/>
  <c r="M1186" i="1"/>
  <c r="M1187" i="1"/>
  <c r="N1187" i="1"/>
  <c r="N1188" i="1"/>
  <c r="M1188" i="1"/>
  <c r="M1189" i="1"/>
  <c r="N1189" i="1"/>
  <c r="M1190" i="1"/>
  <c r="N1190" i="1"/>
  <c r="M1191" i="1"/>
  <c r="N1191" i="1"/>
  <c r="N1192" i="1"/>
  <c r="M1192" i="1"/>
  <c r="N1193" i="1"/>
  <c r="M1193" i="1"/>
  <c r="N1194" i="1"/>
  <c r="M1194" i="1"/>
  <c r="N1195" i="1"/>
  <c r="M1195" i="1"/>
  <c r="N1196" i="1"/>
  <c r="M1196" i="1"/>
  <c r="N1197" i="1"/>
  <c r="M1197" i="1"/>
  <c r="N1198" i="1"/>
  <c r="M1198" i="1"/>
  <c r="N1199" i="1"/>
  <c r="M1199" i="1"/>
  <c r="N1200" i="1"/>
  <c r="M1200" i="1"/>
  <c r="M1201" i="1"/>
  <c r="N1201" i="1"/>
  <c r="M1202" i="1"/>
  <c r="N1202" i="1"/>
  <c r="N1203" i="1"/>
  <c r="M1203" i="1"/>
  <c r="N1204" i="1"/>
  <c r="M1204" i="1"/>
  <c r="M1205" i="1"/>
  <c r="N1205" i="1"/>
  <c r="M1206" i="1"/>
  <c r="N1206" i="1"/>
  <c r="M1207" i="1"/>
  <c r="N1207" i="1"/>
  <c r="M1208" i="1"/>
  <c r="N1208" i="1"/>
  <c r="M1209" i="1"/>
  <c r="N1209" i="1"/>
  <c r="M1210" i="1"/>
  <c r="N1210" i="1"/>
  <c r="M1211" i="1"/>
  <c r="N1211" i="1"/>
  <c r="M1212" i="1"/>
  <c r="N1212" i="1"/>
  <c r="M1213" i="1"/>
  <c r="N1213" i="1"/>
  <c r="M1214" i="1"/>
  <c r="N1214" i="1"/>
  <c r="M1215" i="1"/>
  <c r="N1215" i="1"/>
  <c r="M1216" i="1"/>
  <c r="N1216" i="1"/>
  <c r="M1217" i="1"/>
  <c r="N1217" i="1"/>
  <c r="M1218" i="1"/>
  <c r="N1218" i="1"/>
  <c r="M1219" i="1"/>
  <c r="N1219" i="1"/>
  <c r="M1220" i="1"/>
  <c r="N1220" i="1"/>
  <c r="M1221" i="1"/>
  <c r="N1221" i="1"/>
  <c r="M1222" i="1"/>
  <c r="N1222" i="1"/>
  <c r="M1223" i="1"/>
  <c r="N1223" i="1"/>
  <c r="M1224" i="1"/>
  <c r="N1224" i="1"/>
  <c r="M1225" i="1"/>
  <c r="N1225" i="1"/>
  <c r="M1226" i="1"/>
  <c r="N1226" i="1"/>
  <c r="M1227" i="1"/>
  <c r="N1227" i="1"/>
  <c r="M1228" i="1"/>
  <c r="N1228" i="1"/>
  <c r="N1229" i="1"/>
  <c r="M1229" i="1"/>
  <c r="M1230" i="1"/>
  <c r="N1230" i="1"/>
  <c r="M1231" i="1"/>
  <c r="N1231" i="1"/>
  <c r="M1232" i="1"/>
  <c r="N1232" i="1"/>
  <c r="M1233" i="1"/>
  <c r="N1233" i="1"/>
  <c r="M1234" i="1"/>
  <c r="N1234" i="1"/>
  <c r="M1235" i="1"/>
  <c r="N1235" i="1"/>
  <c r="M1236" i="1"/>
  <c r="N1236" i="1"/>
  <c r="M1237" i="1"/>
  <c r="N1237" i="1"/>
  <c r="M1238" i="1"/>
  <c r="N1238" i="1"/>
  <c r="M1239" i="1"/>
  <c r="N1239" i="1"/>
  <c r="M1240" i="1"/>
  <c r="N1240" i="1"/>
  <c r="M1241" i="1"/>
  <c r="N1241" i="1"/>
  <c r="N1242" i="1"/>
  <c r="M1242" i="1"/>
  <c r="M1243" i="1"/>
  <c r="N1243" i="1"/>
  <c r="M1244" i="1"/>
  <c r="N1244" i="1"/>
  <c r="M1245" i="1"/>
  <c r="N1245" i="1"/>
  <c r="M1246" i="1"/>
  <c r="N1246" i="1"/>
  <c r="M1247" i="1"/>
  <c r="N1247" i="1"/>
  <c r="M1248" i="1"/>
  <c r="N1248" i="1"/>
  <c r="M1249" i="1"/>
  <c r="N1249" i="1"/>
  <c r="M1250" i="1"/>
  <c r="N1250" i="1"/>
  <c r="M1251" i="1"/>
  <c r="N1251" i="1"/>
  <c r="M1252" i="1"/>
  <c r="N1252" i="1"/>
  <c r="M1253" i="1"/>
  <c r="N1253" i="1"/>
  <c r="N1254" i="1"/>
  <c r="M1254" i="1"/>
  <c r="M1255" i="1"/>
  <c r="N1255" i="1"/>
  <c r="N1256" i="1"/>
  <c r="M1256" i="1"/>
  <c r="N1257" i="1"/>
  <c r="M1257" i="1"/>
  <c r="N1258" i="1"/>
  <c r="M1258" i="1"/>
  <c r="N1259" i="1"/>
  <c r="M1259" i="1"/>
  <c r="N1260" i="1"/>
  <c r="M1260" i="1"/>
  <c r="N1261" i="1"/>
  <c r="M1261" i="1"/>
  <c r="N1262" i="1"/>
  <c r="M1262" i="1"/>
  <c r="N1263" i="1"/>
  <c r="M1263" i="1"/>
  <c r="N1264" i="1"/>
  <c r="M1264" i="1"/>
  <c r="N1265" i="1"/>
  <c r="M1265" i="1"/>
  <c r="N1266" i="1"/>
  <c r="M1266" i="1"/>
  <c r="N1267" i="1"/>
  <c r="M1267" i="1"/>
  <c r="N1268" i="1"/>
  <c r="M1268" i="1"/>
  <c r="N1269" i="1"/>
  <c r="M1269" i="1"/>
  <c r="M1270" i="1"/>
  <c r="N1270" i="1"/>
  <c r="N1271" i="1"/>
  <c r="M1271" i="1"/>
  <c r="N1272" i="1"/>
  <c r="M1272" i="1"/>
  <c r="N1273" i="1"/>
  <c r="M1273" i="1"/>
  <c r="N1274" i="1"/>
  <c r="M1274" i="1"/>
  <c r="N1275" i="1"/>
  <c r="M1275" i="1"/>
  <c r="N1276" i="1"/>
  <c r="M1276" i="1"/>
  <c r="N1277" i="1"/>
  <c r="M1277" i="1"/>
  <c r="M1278" i="1"/>
  <c r="N1278" i="1"/>
  <c r="M1279" i="1"/>
  <c r="N1279" i="1"/>
  <c r="N1280" i="1"/>
  <c r="M1280" i="1"/>
  <c r="N1281" i="1"/>
  <c r="M1281" i="1"/>
  <c r="N1282" i="1"/>
  <c r="M1282" i="1"/>
  <c r="M1283" i="1"/>
  <c r="N1283" i="1"/>
  <c r="N1284" i="1"/>
  <c r="M1284" i="1"/>
  <c r="N1285" i="1"/>
  <c r="M1285" i="1"/>
  <c r="N1286" i="1"/>
  <c r="M1286" i="1"/>
  <c r="M1287" i="1"/>
  <c r="N1287" i="1"/>
  <c r="M1288" i="1"/>
  <c r="N1288" i="1"/>
  <c r="M1289" i="1"/>
  <c r="N1289" i="1"/>
  <c r="M1290" i="1"/>
  <c r="N1290" i="1"/>
  <c r="M1291" i="1"/>
  <c r="N1291" i="1"/>
  <c r="M1292" i="1"/>
  <c r="N1292" i="1"/>
  <c r="N1293" i="1"/>
  <c r="M1293" i="1"/>
  <c r="N1294" i="1"/>
  <c r="M1294" i="1"/>
  <c r="N1295" i="1"/>
  <c r="M1295" i="1"/>
  <c r="N1296" i="1"/>
  <c r="M1296" i="1"/>
  <c r="M1297" i="1"/>
  <c r="N1297" i="1"/>
  <c r="N1298" i="1"/>
  <c r="M1298" i="1"/>
  <c r="N1299" i="1"/>
  <c r="M1299" i="1"/>
  <c r="N1300" i="1"/>
  <c r="M1300" i="1"/>
  <c r="N1301" i="1"/>
  <c r="M1301" i="1"/>
  <c r="N1302" i="1"/>
  <c r="M1302" i="1"/>
  <c r="N1303" i="1"/>
  <c r="M1303" i="1"/>
  <c r="N1304" i="1"/>
  <c r="M1304" i="1"/>
  <c r="N1305" i="1"/>
  <c r="M1305" i="1"/>
  <c r="N1306" i="1"/>
  <c r="M1306" i="1"/>
  <c r="M1307" i="1"/>
  <c r="N1307" i="1"/>
  <c r="M1308" i="1"/>
  <c r="N1308" i="1"/>
  <c r="M1309" i="1"/>
  <c r="N1309" i="1"/>
  <c r="N1310" i="1"/>
  <c r="M1310" i="1"/>
  <c r="N1311" i="1"/>
  <c r="M1311" i="1"/>
  <c r="N1312" i="1"/>
  <c r="M1312" i="1"/>
  <c r="N1313" i="1"/>
  <c r="M1313" i="1"/>
  <c r="N1314" i="1"/>
  <c r="M1314" i="1"/>
  <c r="N1315" i="1"/>
  <c r="M1315" i="1"/>
  <c r="N1316" i="1"/>
  <c r="M1316" i="1"/>
  <c r="N1317" i="1"/>
  <c r="M1317" i="1"/>
  <c r="N1318" i="1"/>
  <c r="M1318" i="1"/>
  <c r="N1319" i="1"/>
  <c r="M1319" i="1"/>
  <c r="N1320" i="1"/>
  <c r="M1320" i="1"/>
  <c r="N1321" i="1"/>
  <c r="M1321" i="1"/>
  <c r="N1322" i="1"/>
  <c r="M1322" i="1"/>
  <c r="M1323" i="1"/>
  <c r="N1323" i="1"/>
  <c r="N1324" i="1"/>
  <c r="M1324" i="1"/>
  <c r="N1325" i="1"/>
  <c r="M1325" i="1"/>
  <c r="M1326" i="1"/>
  <c r="N1326" i="1"/>
  <c r="N1327" i="1"/>
  <c r="M1327" i="1"/>
  <c r="M1328" i="1"/>
  <c r="N1328" i="1"/>
  <c r="M1329" i="1"/>
  <c r="N1329" i="1"/>
  <c r="M1330" i="1"/>
  <c r="N1330" i="1"/>
  <c r="M1331" i="1"/>
  <c r="N1331" i="1"/>
  <c r="M1332" i="1"/>
  <c r="N1332" i="1"/>
  <c r="M1333" i="1"/>
  <c r="N1333" i="1"/>
  <c r="M1334" i="1"/>
  <c r="N1334" i="1"/>
  <c r="M1335" i="1"/>
  <c r="N1335" i="1"/>
  <c r="M1336" i="1"/>
  <c r="N1336" i="1"/>
  <c r="M1337" i="1"/>
  <c r="N1337" i="1"/>
  <c r="M1338" i="1"/>
  <c r="N1338" i="1"/>
  <c r="M1339" i="1"/>
  <c r="N1339" i="1"/>
  <c r="M1340" i="1"/>
  <c r="N1340" i="1"/>
  <c r="M1341" i="1"/>
  <c r="N1341" i="1"/>
  <c r="M1342" i="1"/>
  <c r="N1342" i="1"/>
  <c r="M1343" i="1"/>
  <c r="N1343" i="1"/>
  <c r="M1344" i="1"/>
  <c r="N1344" i="1"/>
  <c r="M1345" i="1"/>
  <c r="N1345" i="1"/>
  <c r="M1346" i="1"/>
  <c r="N1346" i="1"/>
  <c r="M1347" i="1"/>
  <c r="N1347" i="1"/>
  <c r="M1348" i="1"/>
  <c r="N1348" i="1"/>
  <c r="M1349" i="1"/>
  <c r="N1349" i="1"/>
  <c r="M1350" i="1"/>
  <c r="N1350" i="1"/>
  <c r="M1351" i="1"/>
  <c r="N1351" i="1"/>
  <c r="M1352" i="1"/>
  <c r="N1352" i="1"/>
  <c r="M1353" i="1"/>
  <c r="N1353" i="1"/>
  <c r="M1354" i="1"/>
  <c r="N1354" i="1"/>
  <c r="M1355" i="1"/>
  <c r="N1355" i="1"/>
  <c r="M1356" i="1"/>
  <c r="N1356" i="1"/>
  <c r="M1357" i="1"/>
  <c r="N1357" i="1"/>
  <c r="M1358" i="1"/>
  <c r="N1358" i="1"/>
  <c r="M1359" i="1"/>
  <c r="N1359" i="1"/>
  <c r="N1360" i="1"/>
  <c r="M1360" i="1"/>
  <c r="M1361" i="1"/>
  <c r="N1361" i="1"/>
  <c r="M1362" i="1"/>
  <c r="N1362" i="1"/>
  <c r="M1363" i="1"/>
  <c r="N1363" i="1"/>
  <c r="N1364" i="1"/>
  <c r="M1364" i="1"/>
  <c r="N1365" i="1"/>
  <c r="M1365" i="1"/>
  <c r="M1366" i="1"/>
  <c r="N1366" i="1"/>
  <c r="M1367" i="1"/>
  <c r="N1367" i="1"/>
  <c r="M1368" i="1"/>
  <c r="N1368" i="1"/>
  <c r="M1369" i="1"/>
  <c r="N1369" i="1"/>
  <c r="M1370" i="1"/>
  <c r="N1370" i="1"/>
  <c r="M1371" i="1"/>
  <c r="N1371" i="1"/>
  <c r="M1372" i="1"/>
  <c r="N1372" i="1"/>
  <c r="M1373" i="1"/>
  <c r="N1373" i="1"/>
  <c r="M1374" i="1"/>
  <c r="N1374" i="1"/>
  <c r="M1375" i="1"/>
  <c r="N1375" i="1"/>
  <c r="M1376" i="1"/>
  <c r="N1376" i="1"/>
  <c r="M1377" i="1"/>
  <c r="N1377" i="1"/>
  <c r="M1378" i="1"/>
  <c r="N1378" i="1"/>
  <c r="M1379" i="1"/>
  <c r="N1379" i="1"/>
  <c r="M1380" i="1"/>
  <c r="N1380" i="1"/>
  <c r="M1381" i="1"/>
  <c r="N1381" i="1"/>
  <c r="M1382" i="1"/>
  <c r="N1382" i="1"/>
  <c r="M1383" i="1"/>
  <c r="N1383" i="1"/>
  <c r="M1384" i="1"/>
  <c r="N1384" i="1"/>
  <c r="N1385" i="1"/>
  <c r="M1385" i="1"/>
  <c r="N1386" i="1"/>
  <c r="M1386" i="1"/>
  <c r="N1387" i="1"/>
  <c r="M1387" i="1"/>
  <c r="M1388" i="1"/>
  <c r="N1388" i="1"/>
  <c r="M1389" i="1"/>
  <c r="N1389" i="1"/>
  <c r="M1390" i="1"/>
  <c r="N1390" i="1"/>
  <c r="M1391" i="1"/>
  <c r="N1391" i="1"/>
  <c r="M1392" i="1"/>
  <c r="N1392" i="1"/>
  <c r="M1393" i="1"/>
  <c r="N1393" i="1"/>
  <c r="M1394" i="1"/>
  <c r="N1394" i="1"/>
  <c r="M1395" i="1"/>
  <c r="N1395" i="1"/>
  <c r="M1396" i="1"/>
  <c r="N1396" i="1"/>
  <c r="M1397" i="1"/>
  <c r="N1397" i="1"/>
  <c r="M1398" i="1"/>
  <c r="N1398" i="1"/>
  <c r="M1399" i="1"/>
  <c r="N1399" i="1"/>
  <c r="M1400" i="1"/>
  <c r="N1400" i="1"/>
  <c r="M1401" i="1"/>
  <c r="N1401" i="1"/>
  <c r="M1402" i="1"/>
  <c r="N1402" i="1"/>
  <c r="M1403" i="1"/>
  <c r="N1403" i="1"/>
  <c r="M1404" i="1"/>
  <c r="N1404" i="1"/>
  <c r="M1405" i="1"/>
  <c r="N1405" i="1"/>
  <c r="M1406" i="1"/>
  <c r="N1406" i="1"/>
  <c r="M1407" i="1"/>
  <c r="N1407" i="1"/>
  <c r="M1408" i="1"/>
  <c r="N1408" i="1"/>
  <c r="M1409" i="1"/>
  <c r="N1409" i="1"/>
  <c r="M1410" i="1"/>
  <c r="N1410" i="1"/>
  <c r="M1411" i="1"/>
  <c r="N1411" i="1"/>
  <c r="N1412" i="1"/>
  <c r="M1412" i="1"/>
  <c r="N1413" i="1"/>
  <c r="M1413" i="1"/>
  <c r="M1414" i="1"/>
  <c r="N1414" i="1"/>
  <c r="M1415" i="1"/>
  <c r="N1415" i="1"/>
  <c r="M1416" i="1"/>
  <c r="N1416" i="1"/>
  <c r="N1417" i="1"/>
  <c r="M1417" i="1"/>
  <c r="N1418" i="1"/>
  <c r="M1418" i="1"/>
  <c r="N1419" i="1"/>
  <c r="M1419" i="1"/>
  <c r="N1420" i="1"/>
  <c r="M1420" i="1"/>
  <c r="N1421" i="1"/>
  <c r="M1421" i="1"/>
  <c r="N1422" i="1"/>
  <c r="M1422" i="1"/>
  <c r="N1423" i="1"/>
  <c r="M1423" i="1"/>
  <c r="N1424" i="1"/>
  <c r="M1424" i="1"/>
  <c r="N1425" i="1"/>
  <c r="M1425" i="1"/>
  <c r="M1426" i="1"/>
  <c r="N1426" i="1"/>
  <c r="M1427" i="1"/>
  <c r="N1427" i="1"/>
  <c r="M1428" i="1"/>
  <c r="N1428" i="1"/>
  <c r="M1429" i="1"/>
  <c r="N1429" i="1"/>
  <c r="M1430" i="1"/>
  <c r="N1430" i="1"/>
  <c r="M1431" i="1"/>
  <c r="N1431" i="1"/>
  <c r="M1432" i="1"/>
  <c r="N1432" i="1"/>
  <c r="M1433" i="1"/>
  <c r="N1433" i="1"/>
  <c r="N1434" i="1"/>
  <c r="M1434" i="1"/>
  <c r="N1435" i="1"/>
  <c r="M1435" i="1"/>
  <c r="N1436" i="1"/>
  <c r="M1436" i="1"/>
  <c r="N1437" i="1"/>
  <c r="M1437" i="1"/>
  <c r="N1438" i="1"/>
  <c r="M1438" i="1"/>
  <c r="M1439" i="1"/>
  <c r="N1439" i="1"/>
  <c r="M1440" i="1"/>
  <c r="N1440" i="1"/>
  <c r="M1441" i="1"/>
  <c r="N1441" i="1"/>
  <c r="N1442" i="1"/>
  <c r="M1442" i="1"/>
  <c r="N1443" i="1"/>
  <c r="M1443" i="1"/>
  <c r="N1444" i="1"/>
  <c r="M1444" i="1"/>
  <c r="M1445" i="1"/>
  <c r="N1445" i="1"/>
  <c r="N1446" i="1"/>
  <c r="M1446" i="1"/>
  <c r="N1447" i="1"/>
  <c r="M1447" i="1"/>
  <c r="N1448" i="1"/>
  <c r="M1448" i="1"/>
  <c r="M1449" i="1"/>
  <c r="N1449" i="1"/>
  <c r="N1450" i="1"/>
  <c r="M1450" i="1"/>
  <c r="N1451" i="1"/>
  <c r="M1451" i="1"/>
  <c r="M1452" i="1"/>
  <c r="N1452" i="1"/>
  <c r="M1453" i="1"/>
  <c r="N1453" i="1"/>
  <c r="M1454" i="1"/>
  <c r="N1454" i="1"/>
  <c r="M1455" i="1"/>
  <c r="N1455" i="1"/>
  <c r="M1456" i="1"/>
  <c r="N1456" i="1"/>
  <c r="M1457" i="1"/>
  <c r="N1457" i="1"/>
  <c r="M1458" i="1"/>
  <c r="N1458" i="1"/>
  <c r="N1459" i="1"/>
  <c r="M1459" i="1"/>
  <c r="N1460" i="1"/>
  <c r="M1460" i="1"/>
  <c r="M1461" i="1"/>
  <c r="N1461" i="1"/>
  <c r="N1462" i="1"/>
  <c r="M1462" i="1"/>
  <c r="M1463" i="1"/>
  <c r="N1463" i="1"/>
  <c r="M1464" i="1"/>
  <c r="N1464" i="1"/>
  <c r="M1465" i="1"/>
  <c r="N1465" i="1"/>
  <c r="M1466" i="1"/>
  <c r="N1466" i="1"/>
  <c r="M1467" i="1"/>
  <c r="N1467" i="1"/>
  <c r="M1468" i="1"/>
  <c r="N1468" i="1"/>
  <c r="M1469" i="1"/>
  <c r="N1469" i="1"/>
  <c r="M1470" i="1"/>
  <c r="N1470" i="1"/>
  <c r="M1471" i="1"/>
  <c r="N1471" i="1"/>
  <c r="M1472" i="1"/>
  <c r="N1472" i="1"/>
  <c r="M1473" i="1"/>
  <c r="N1473" i="1"/>
  <c r="M1474" i="1"/>
  <c r="N1474" i="1"/>
  <c r="M1475" i="1"/>
  <c r="N1475" i="1"/>
  <c r="M1476" i="1"/>
  <c r="N1476" i="1"/>
  <c r="M1477" i="1"/>
  <c r="N1477" i="1"/>
  <c r="M1478" i="1"/>
  <c r="N1478" i="1"/>
  <c r="M1479" i="1"/>
  <c r="N1479" i="1"/>
  <c r="M1480" i="1"/>
  <c r="N1480" i="1"/>
  <c r="M1481" i="1"/>
  <c r="N1481" i="1"/>
  <c r="M1482" i="1"/>
  <c r="N1482" i="1"/>
  <c r="M1483" i="1"/>
  <c r="N1483" i="1"/>
  <c r="M1484" i="1"/>
  <c r="N1484" i="1"/>
  <c r="M1485" i="1"/>
  <c r="N1485" i="1"/>
  <c r="M1486" i="1"/>
  <c r="N1486" i="1"/>
  <c r="M1487" i="1"/>
  <c r="N1487" i="1"/>
  <c r="M1488" i="1"/>
  <c r="N1488" i="1"/>
  <c r="M1489" i="1"/>
  <c r="N1489" i="1"/>
  <c r="M1490" i="1"/>
  <c r="N1490" i="1"/>
  <c r="M1491" i="1"/>
  <c r="N1491" i="1"/>
  <c r="M1492" i="1"/>
  <c r="N1492" i="1"/>
  <c r="M1493" i="1"/>
  <c r="N1493" i="1"/>
  <c r="N1494" i="1"/>
  <c r="M1494" i="1"/>
  <c r="M1495" i="1"/>
  <c r="N1495" i="1"/>
  <c r="N1496" i="1"/>
  <c r="M1496" i="1"/>
  <c r="N1497" i="1"/>
  <c r="M1497" i="1"/>
  <c r="N1498" i="1"/>
  <c r="M1498" i="1"/>
  <c r="N1499" i="1"/>
  <c r="M1499" i="1"/>
  <c r="M1500" i="1"/>
  <c r="N1500" i="1"/>
  <c r="N1501" i="1"/>
  <c r="M1501" i="1"/>
  <c r="M1502" i="1"/>
  <c r="N1502" i="1"/>
  <c r="M1503" i="1"/>
  <c r="N1503" i="1"/>
  <c r="M1504" i="1"/>
  <c r="N1504" i="1"/>
  <c r="M1505" i="1"/>
  <c r="N1505" i="1"/>
  <c r="M1506" i="1"/>
  <c r="N1506" i="1"/>
  <c r="M1507" i="1"/>
  <c r="N1507" i="1"/>
  <c r="M1508" i="1"/>
  <c r="N1508" i="1"/>
  <c r="M1509" i="1"/>
  <c r="N1509" i="1"/>
  <c r="M1510" i="1"/>
  <c r="N1510" i="1"/>
  <c r="M1511" i="1"/>
  <c r="N1511" i="1"/>
  <c r="M1512" i="1"/>
  <c r="N1512" i="1"/>
  <c r="M1513" i="1"/>
  <c r="N1513" i="1"/>
  <c r="M1514" i="1"/>
  <c r="N1514" i="1"/>
  <c r="N1515" i="1"/>
  <c r="M1515" i="1"/>
  <c r="M1516" i="1"/>
  <c r="N1516" i="1"/>
  <c r="M1517" i="1"/>
  <c r="N1517" i="1"/>
  <c r="M1518" i="1"/>
  <c r="N1518" i="1"/>
  <c r="M1519" i="1"/>
  <c r="N1519" i="1"/>
  <c r="N1520" i="1"/>
  <c r="M1520" i="1"/>
  <c r="M1521" i="1"/>
  <c r="N1521" i="1"/>
  <c r="M1522" i="1"/>
  <c r="N1522" i="1"/>
  <c r="N1523" i="1"/>
  <c r="M1523" i="1"/>
  <c r="N1524" i="1"/>
  <c r="M1524" i="1"/>
  <c r="N1525" i="1"/>
  <c r="M1525" i="1"/>
  <c r="M1526" i="1"/>
  <c r="N1526" i="1"/>
  <c r="N1527" i="1"/>
  <c r="M1527" i="1"/>
  <c r="N1528" i="1"/>
  <c r="M1528" i="1"/>
  <c r="N1529" i="1"/>
  <c r="M1529" i="1"/>
  <c r="N1530" i="1"/>
  <c r="M1530" i="1"/>
  <c r="M1531" i="1"/>
  <c r="N1531" i="1"/>
  <c r="N1532" i="1"/>
  <c r="M1532" i="1"/>
  <c r="M1533" i="1"/>
  <c r="N1533" i="1"/>
  <c r="M1534" i="1"/>
  <c r="N1534" i="1"/>
  <c r="M1535" i="1"/>
  <c r="N1535" i="1"/>
  <c r="M1536" i="1"/>
  <c r="N1536" i="1"/>
  <c r="M1537" i="1"/>
  <c r="N1537" i="1"/>
  <c r="M1538" i="1"/>
  <c r="N1538" i="1"/>
  <c r="M1539" i="1"/>
  <c r="N1539" i="1"/>
  <c r="M1540" i="1"/>
  <c r="N1540" i="1"/>
  <c r="M1541" i="1"/>
  <c r="N1541" i="1"/>
  <c r="M1542" i="1"/>
  <c r="N1542" i="1"/>
  <c r="N1543" i="1"/>
  <c r="M1543" i="1"/>
  <c r="M1544" i="1"/>
  <c r="N1544" i="1"/>
  <c r="M1545" i="1"/>
  <c r="N1545" i="1"/>
  <c r="M1546" i="1"/>
  <c r="N1546" i="1"/>
  <c r="M1547" i="1"/>
  <c r="N1547" i="1"/>
  <c r="M1548" i="1"/>
  <c r="N1548" i="1"/>
  <c r="M1549" i="1"/>
  <c r="N1549" i="1"/>
  <c r="M1550" i="1"/>
  <c r="N1550" i="1"/>
  <c r="M1551" i="1"/>
  <c r="N1551" i="1"/>
  <c r="M1552" i="1"/>
  <c r="N1552" i="1"/>
  <c r="M1553" i="1"/>
  <c r="N1553" i="1"/>
  <c r="M1554" i="1"/>
  <c r="N1554" i="1"/>
  <c r="M1555" i="1"/>
  <c r="N1555" i="1"/>
  <c r="M1556" i="1"/>
  <c r="N1556" i="1"/>
  <c r="N1557" i="1"/>
  <c r="M1557" i="1"/>
  <c r="M1558" i="1"/>
  <c r="N1558" i="1"/>
  <c r="M1559" i="1"/>
  <c r="N1559" i="1"/>
  <c r="M1560" i="1"/>
  <c r="N1560" i="1"/>
  <c r="N1561" i="1"/>
  <c r="M1561" i="1"/>
  <c r="M1562" i="1"/>
  <c r="N1562" i="1"/>
  <c r="M1563" i="1"/>
  <c r="N1563" i="1"/>
  <c r="N1564" i="1"/>
  <c r="M1564" i="1"/>
  <c r="M1565" i="1"/>
  <c r="N1565" i="1"/>
  <c r="M1566" i="1"/>
  <c r="N1566" i="1"/>
  <c r="N1567" i="1"/>
  <c r="M1567" i="1"/>
  <c r="N1568" i="1"/>
  <c r="M1568" i="1"/>
  <c r="M1569" i="1"/>
  <c r="N1569" i="1"/>
  <c r="M1570" i="1"/>
  <c r="N1570" i="1"/>
  <c r="N1571" i="1"/>
  <c r="M1571" i="1"/>
  <c r="N1572" i="1"/>
  <c r="M1572" i="1"/>
  <c r="N1573" i="1"/>
  <c r="M1573" i="1"/>
  <c r="N1574" i="1"/>
  <c r="M1574" i="1"/>
  <c r="M1575" i="1"/>
  <c r="N1575" i="1"/>
  <c r="M1576" i="1"/>
  <c r="N1576" i="1"/>
  <c r="N1577" i="1"/>
  <c r="M1577" i="1"/>
  <c r="M1578" i="1"/>
  <c r="N1578" i="1"/>
  <c r="M1579" i="1"/>
  <c r="N1579" i="1"/>
  <c r="M1580" i="1"/>
  <c r="N1580" i="1"/>
  <c r="N1581" i="1"/>
  <c r="M1581" i="1"/>
  <c r="M1582" i="1"/>
  <c r="N1582" i="1"/>
  <c r="M1583" i="1"/>
  <c r="N1583" i="1"/>
  <c r="M1584" i="1"/>
  <c r="N1584" i="1"/>
  <c r="M1585" i="1"/>
  <c r="N1585" i="1"/>
  <c r="M1586" i="1"/>
  <c r="N1586" i="1"/>
  <c r="M1587" i="1"/>
  <c r="N1587" i="1"/>
  <c r="M1588" i="1"/>
  <c r="N1588" i="1"/>
  <c r="M1589" i="1"/>
  <c r="N1589" i="1"/>
  <c r="M1590" i="1"/>
  <c r="N1590" i="1"/>
  <c r="M1591" i="1"/>
  <c r="N1591" i="1"/>
  <c r="M1592" i="1"/>
  <c r="N1592" i="1"/>
  <c r="M1593" i="1"/>
  <c r="N1593" i="1"/>
  <c r="M1594" i="1"/>
  <c r="N1594" i="1"/>
  <c r="M1595" i="1"/>
  <c r="N1595" i="1"/>
  <c r="M1596" i="1"/>
  <c r="N1596" i="1"/>
  <c r="N1597" i="1"/>
  <c r="M1597" i="1"/>
  <c r="N1598" i="1"/>
  <c r="M1598" i="1"/>
  <c r="M1599" i="1"/>
  <c r="N1599" i="1"/>
  <c r="M1600" i="1"/>
  <c r="N1600" i="1"/>
  <c r="M1601" i="1"/>
  <c r="N1601" i="1"/>
  <c r="M1602" i="1"/>
  <c r="N1602" i="1"/>
  <c r="M1603" i="1"/>
  <c r="N1603" i="1"/>
  <c r="M1604" i="1"/>
  <c r="N1604" i="1"/>
  <c r="M1605" i="1"/>
  <c r="N1605" i="1"/>
  <c r="N1606" i="1"/>
  <c r="M1606" i="1"/>
  <c r="N1607" i="1"/>
  <c r="M1607" i="1"/>
  <c r="N1608" i="1"/>
  <c r="M1608" i="1"/>
  <c r="N1609" i="1"/>
  <c r="M1609" i="1"/>
  <c r="N1610" i="1"/>
  <c r="M1610" i="1"/>
  <c r="N1611" i="1"/>
  <c r="M1611" i="1"/>
  <c r="N1612" i="1"/>
  <c r="M1612" i="1"/>
  <c r="N1613" i="1"/>
  <c r="M1613" i="1"/>
  <c r="N1614" i="1"/>
  <c r="M1614" i="1"/>
  <c r="N1615" i="1"/>
  <c r="M1615" i="1"/>
  <c r="N1616" i="1"/>
  <c r="M1616" i="1"/>
  <c r="N1617" i="1"/>
  <c r="M1617" i="1"/>
  <c r="N1618" i="1"/>
  <c r="M1618" i="1"/>
  <c r="N1619" i="1"/>
  <c r="M1619" i="1"/>
  <c r="M1620" i="1"/>
  <c r="N1620" i="1"/>
  <c r="N1621" i="1"/>
  <c r="M1621" i="1"/>
  <c r="N1622" i="1"/>
  <c r="M1622" i="1"/>
  <c r="N1623" i="1"/>
  <c r="M1623" i="1"/>
  <c r="M1624" i="1"/>
  <c r="N1624" i="1"/>
  <c r="M1625" i="1"/>
  <c r="N1625" i="1"/>
  <c r="M1626" i="1"/>
  <c r="N1626" i="1"/>
  <c r="M1627" i="1"/>
  <c r="N1627" i="1"/>
  <c r="M1628" i="1"/>
  <c r="N1628" i="1"/>
  <c r="M1629" i="1"/>
  <c r="N1629" i="1"/>
  <c r="M1630" i="1"/>
  <c r="N1630" i="1"/>
  <c r="M1631" i="1"/>
  <c r="N1631" i="1"/>
  <c r="M1632" i="1"/>
  <c r="N1632" i="1"/>
  <c r="M1633" i="1"/>
  <c r="N1633" i="1"/>
  <c r="M1634" i="1"/>
  <c r="N1634" i="1"/>
  <c r="M1635" i="1"/>
  <c r="N1635" i="1"/>
  <c r="M1636" i="1"/>
  <c r="N1636" i="1"/>
  <c r="M1637" i="1"/>
  <c r="N1637" i="1"/>
  <c r="N1638" i="1"/>
  <c r="M1638" i="1"/>
  <c r="M1639" i="1"/>
  <c r="N1639" i="1"/>
  <c r="M1640" i="1"/>
  <c r="N1640" i="1"/>
  <c r="M1641" i="1"/>
  <c r="N1641" i="1"/>
  <c r="M1642" i="1"/>
  <c r="N1642" i="1"/>
  <c r="M1643" i="1"/>
  <c r="N1643" i="1"/>
  <c r="N1644" i="1"/>
  <c r="M1644" i="1"/>
  <c r="N1645" i="1"/>
  <c r="M1645" i="1"/>
  <c r="M1646" i="1"/>
  <c r="N1646" i="1"/>
  <c r="M1647" i="1"/>
  <c r="N1647" i="1"/>
  <c r="N1648" i="1"/>
  <c r="M1648" i="1"/>
  <c r="M1649" i="1"/>
  <c r="N1649" i="1"/>
  <c r="M1650" i="1"/>
  <c r="N1650" i="1"/>
  <c r="M1651" i="1"/>
  <c r="N1651" i="1"/>
  <c r="N1652" i="1"/>
  <c r="M1652" i="1"/>
  <c r="N1653" i="1"/>
  <c r="M1653" i="1"/>
  <c r="N1654" i="1"/>
  <c r="M1654" i="1"/>
  <c r="M1655" i="1"/>
  <c r="N1655" i="1"/>
  <c r="M1656" i="1"/>
  <c r="N1656" i="1"/>
  <c r="M1657" i="1"/>
  <c r="N1657" i="1"/>
  <c r="M1658" i="1"/>
  <c r="N1658" i="1"/>
  <c r="N1659" i="1"/>
  <c r="M1659" i="1"/>
  <c r="M1660" i="1"/>
  <c r="N1660" i="1"/>
  <c r="N1661" i="1"/>
  <c r="M1661" i="1"/>
  <c r="N1662" i="1"/>
  <c r="M1662" i="1"/>
  <c r="N1663" i="1"/>
  <c r="M1663" i="1"/>
  <c r="N1664" i="1"/>
  <c r="M1664" i="1"/>
  <c r="N1665" i="1"/>
  <c r="M1665" i="1"/>
  <c r="N1666" i="1"/>
  <c r="M1666" i="1"/>
  <c r="N1667" i="1"/>
  <c r="M1667" i="1"/>
  <c r="M1668" i="1"/>
  <c r="N1668" i="1"/>
  <c r="M1669" i="1"/>
  <c r="N1669" i="1"/>
  <c r="M1670" i="1"/>
  <c r="N1670" i="1"/>
  <c r="M1671" i="1"/>
  <c r="N1671" i="1"/>
  <c r="N1672" i="1"/>
  <c r="M1672" i="1"/>
  <c r="M1673" i="1"/>
  <c r="N1673" i="1"/>
  <c r="M1674" i="1"/>
  <c r="N1674" i="1"/>
  <c r="M1675" i="1"/>
  <c r="N1675" i="1"/>
  <c r="M1676" i="1"/>
  <c r="N1676" i="1"/>
  <c r="N1677" i="1"/>
  <c r="M1677" i="1"/>
  <c r="N1678" i="1"/>
  <c r="M1678" i="1"/>
  <c r="N1679" i="1"/>
  <c r="M1679" i="1"/>
  <c r="N1680" i="1"/>
  <c r="M1680" i="1"/>
  <c r="M1681" i="1"/>
  <c r="N1681" i="1"/>
  <c r="N1682" i="1"/>
  <c r="M1682" i="1"/>
  <c r="N1683" i="1"/>
  <c r="M1683" i="1"/>
  <c r="N1684" i="1"/>
  <c r="M1684" i="1"/>
  <c r="M1685" i="1"/>
  <c r="N1685" i="1"/>
  <c r="M1686" i="1"/>
  <c r="N1686" i="1"/>
  <c r="M1687" i="1"/>
  <c r="N1687" i="1"/>
  <c r="M1688" i="1"/>
  <c r="N1688" i="1"/>
  <c r="M1689" i="1"/>
  <c r="N1689" i="1"/>
  <c r="M1690" i="1"/>
  <c r="N1690" i="1"/>
  <c r="M1691" i="1"/>
  <c r="N1691" i="1"/>
  <c r="M1692" i="1"/>
  <c r="N1692" i="1"/>
  <c r="M1693" i="1"/>
  <c r="N1693" i="1"/>
  <c r="M1694" i="1"/>
  <c r="N1694" i="1"/>
  <c r="M1695" i="1"/>
  <c r="N1695" i="1"/>
  <c r="M1696" i="1"/>
  <c r="N1696" i="1"/>
  <c r="M1697" i="1"/>
  <c r="N1697" i="1"/>
  <c r="M1698" i="1"/>
  <c r="N1698" i="1"/>
  <c r="M1699" i="1"/>
  <c r="N1699" i="1"/>
  <c r="M1700" i="1"/>
  <c r="N1700" i="1"/>
  <c r="N1701" i="1"/>
  <c r="M1701" i="1"/>
  <c r="N1702" i="1"/>
  <c r="M1702" i="1"/>
  <c r="M1703" i="1"/>
  <c r="N1703" i="1"/>
  <c r="N1704" i="1"/>
  <c r="M1704" i="1"/>
  <c r="N1705" i="1"/>
  <c r="M1705" i="1"/>
  <c r="N1706" i="1"/>
  <c r="M1706" i="1"/>
  <c r="N1707" i="1"/>
  <c r="M1707" i="1"/>
  <c r="N1708" i="1"/>
  <c r="M1708" i="1"/>
  <c r="M1709" i="1"/>
  <c r="N1709" i="1"/>
  <c r="M1710" i="1"/>
  <c r="N1710" i="1"/>
  <c r="M1711" i="1"/>
  <c r="N1711" i="1"/>
  <c r="N1712" i="1"/>
  <c r="M1712" i="1"/>
  <c r="N1713" i="1"/>
  <c r="M1713" i="1"/>
  <c r="N1714" i="1"/>
  <c r="M1714" i="1"/>
  <c r="N1715" i="1"/>
  <c r="M1715" i="1"/>
  <c r="N1716" i="1"/>
  <c r="M1716" i="1"/>
  <c r="N1717" i="1"/>
  <c r="M1717" i="1"/>
  <c r="M1718" i="1"/>
  <c r="N1718" i="1"/>
  <c r="N1719" i="1"/>
  <c r="M1719" i="1"/>
  <c r="M1720" i="1"/>
  <c r="N1720" i="1"/>
  <c r="M1721" i="1"/>
  <c r="N1721" i="1"/>
  <c r="M1722" i="1"/>
  <c r="N1722" i="1"/>
  <c r="M1723" i="1"/>
  <c r="N1723" i="1"/>
  <c r="M1724" i="1"/>
  <c r="N1724" i="1"/>
  <c r="M1725" i="1"/>
  <c r="N1725" i="1"/>
  <c r="M1726" i="1"/>
  <c r="N1726" i="1"/>
  <c r="M1727" i="1"/>
  <c r="N1727" i="1"/>
  <c r="N1728" i="1"/>
  <c r="M1728" i="1"/>
  <c r="M1729" i="1"/>
  <c r="N1729" i="1"/>
  <c r="N1730" i="1"/>
  <c r="M1730" i="1"/>
  <c r="N1731" i="1"/>
  <c r="M1731" i="1"/>
  <c r="N1732" i="1"/>
  <c r="M1732" i="1"/>
  <c r="M1733" i="1"/>
  <c r="N1733" i="1"/>
  <c r="N1734" i="1"/>
  <c r="M1734" i="1"/>
  <c r="N1735" i="1"/>
  <c r="M1735" i="1"/>
  <c r="M1736" i="1"/>
  <c r="N1736" i="1"/>
  <c r="M1737" i="1"/>
  <c r="N1737" i="1"/>
  <c r="M1738" i="1"/>
  <c r="N1738" i="1"/>
  <c r="M1739" i="1"/>
  <c r="N1739" i="1"/>
  <c r="M1740" i="1"/>
  <c r="N1740" i="1"/>
  <c r="M1741" i="1"/>
  <c r="N1741" i="1"/>
  <c r="M1742" i="1"/>
  <c r="N1742" i="1"/>
  <c r="M1743" i="1"/>
  <c r="N1743" i="1"/>
  <c r="M1744" i="1"/>
  <c r="N1744" i="1"/>
  <c r="M1745" i="1"/>
  <c r="N1745" i="1"/>
  <c r="M1746" i="1"/>
  <c r="N1746" i="1"/>
  <c r="M1747" i="1"/>
  <c r="N1747" i="1"/>
  <c r="M1748" i="1"/>
  <c r="N1748" i="1"/>
  <c r="M1749" i="1"/>
  <c r="N1749" i="1"/>
  <c r="M1750" i="1"/>
  <c r="N1750" i="1"/>
  <c r="M1751" i="1"/>
  <c r="N1751" i="1"/>
  <c r="I2094" i="1"/>
  <c r="I2919" i="1"/>
  <c r="I2917" i="1"/>
  <c r="I2918" i="1"/>
  <c r="I2915" i="1"/>
  <c r="I2914" i="1"/>
  <c r="I2924" i="1"/>
  <c r="I2916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8" i="1"/>
  <c r="I832" i="1"/>
  <c r="I839" i="1"/>
  <c r="I848" i="1"/>
  <c r="I854" i="1"/>
  <c r="I859" i="1"/>
  <c r="I864" i="1"/>
  <c r="I869" i="1"/>
  <c r="I873" i="1"/>
  <c r="I877" i="1"/>
  <c r="I882" i="1"/>
  <c r="I886" i="1"/>
  <c r="I890" i="1"/>
  <c r="I895" i="1"/>
  <c r="I899" i="1"/>
  <c r="I904" i="1"/>
  <c r="I915" i="1"/>
  <c r="I919" i="1"/>
  <c r="I925" i="1"/>
  <c r="I929" i="1"/>
  <c r="I934" i="1"/>
  <c r="I939" i="1"/>
  <c r="I944" i="1"/>
  <c r="I948" i="1"/>
  <c r="I952" i="1"/>
  <c r="I958" i="1"/>
  <c r="I963" i="1"/>
  <c r="I969" i="1"/>
  <c r="I974" i="1"/>
  <c r="I979" i="1"/>
  <c r="I983" i="1"/>
  <c r="I989" i="1"/>
  <c r="I993" i="1"/>
  <c r="I997" i="1"/>
  <c r="I1001" i="1"/>
  <c r="I1005" i="1"/>
  <c r="I1012" i="1"/>
  <c r="I1018" i="1"/>
  <c r="I1022" i="1"/>
  <c r="I1031" i="1"/>
  <c r="I1038" i="1"/>
  <c r="I1042" i="1"/>
  <c r="I1045" i="1"/>
  <c r="I1051" i="1"/>
  <c r="I1055" i="1"/>
  <c r="I1059" i="1"/>
  <c r="I1065" i="1"/>
  <c r="I1070" i="1"/>
  <c r="I1075" i="1"/>
  <c r="I1080" i="1"/>
  <c r="I1085" i="1"/>
  <c r="I1090" i="1"/>
  <c r="I1094" i="1"/>
  <c r="I1099" i="1"/>
  <c r="I1103" i="1"/>
  <c r="I1108" i="1"/>
  <c r="I1116" i="1"/>
  <c r="I1122" i="1"/>
  <c r="I1129" i="1"/>
  <c r="I1135" i="1"/>
  <c r="I1138" i="1"/>
  <c r="I1145" i="1"/>
  <c r="I1151" i="1"/>
  <c r="I1157" i="1"/>
  <c r="I1162" i="1"/>
  <c r="I1166" i="1"/>
  <c r="I1516" i="1"/>
  <c r="I1521" i="1"/>
  <c r="I1531" i="1"/>
  <c r="I1538" i="1"/>
  <c r="I1543" i="1"/>
  <c r="I1548" i="1"/>
  <c r="I1553" i="1"/>
  <c r="I1559" i="1"/>
  <c r="I1565" i="1"/>
  <c r="I1569" i="1"/>
  <c r="I1572" i="1"/>
  <c r="I1576" i="1"/>
  <c r="I1588" i="1"/>
  <c r="I1591" i="1"/>
  <c r="I1596" i="1"/>
  <c r="I1600" i="1"/>
  <c r="I1604" i="1"/>
  <c r="I1610" i="1"/>
  <c r="I1619" i="1"/>
  <c r="I1623" i="1"/>
  <c r="I1627" i="1"/>
  <c r="I1632" i="1"/>
  <c r="I1636" i="1"/>
  <c r="I1645" i="1"/>
  <c r="I1649" i="1"/>
  <c r="I1655" i="1"/>
  <c r="I1659" i="1"/>
  <c r="I1664" i="1"/>
  <c r="I1669" i="1"/>
  <c r="I1675" i="1"/>
  <c r="I1679" i="1"/>
  <c r="I1693" i="1"/>
  <c r="I1697" i="1"/>
  <c r="I1706" i="1"/>
  <c r="I1712" i="1"/>
  <c r="I1719" i="1"/>
  <c r="I1724" i="1"/>
  <c r="I2199" i="1"/>
  <c r="I2206" i="1"/>
  <c r="I2218" i="1"/>
  <c r="I2230" i="1"/>
  <c r="I2242" i="1"/>
  <c r="I2247" i="1"/>
  <c r="I2252" i="1"/>
  <c r="I2257" i="1"/>
  <c r="I2262" i="1"/>
  <c r="I2267" i="1"/>
  <c r="I2278" i="1"/>
  <c r="I2283" i="1"/>
  <c r="I2288" i="1"/>
  <c r="I2293" i="1"/>
  <c r="I2302" i="1"/>
  <c r="I2306" i="1"/>
  <c r="I2312" i="1"/>
  <c r="I2315" i="1"/>
  <c r="I2326" i="1"/>
  <c r="I2331" i="1"/>
  <c r="I2881" i="1"/>
  <c r="I2885" i="1"/>
  <c r="I2894" i="1"/>
  <c r="I2898" i="1"/>
  <c r="I2902" i="1"/>
  <c r="I2906" i="1"/>
  <c r="I2909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690" i="1"/>
  <c r="I1710" i="1"/>
  <c r="I1721" i="1"/>
  <c r="I1725" i="1"/>
  <c r="I1729" i="1"/>
  <c r="I1733" i="1"/>
  <c r="I1737" i="1"/>
  <c r="I1741" i="1"/>
  <c r="I1745" i="1"/>
  <c r="I1748" i="1"/>
  <c r="I1752" i="1"/>
  <c r="I2096" i="1"/>
  <c r="I2100" i="1"/>
  <c r="I2110" i="1"/>
  <c r="I2116" i="1"/>
  <c r="I2152" i="1"/>
  <c r="I2158" i="1"/>
  <c r="I2164" i="1"/>
  <c r="I2169" i="1"/>
  <c r="I2172" i="1"/>
  <c r="I2179" i="1"/>
  <c r="I2188" i="1"/>
  <c r="I2191" i="1"/>
  <c r="I2197" i="1"/>
  <c r="I2200" i="1"/>
  <c r="I2204" i="1"/>
  <c r="I2209" i="1"/>
  <c r="I2217" i="1"/>
  <c r="I2220" i="1"/>
  <c r="I2224" i="1"/>
  <c r="I2229" i="1"/>
  <c r="I2233" i="1"/>
  <c r="I2245" i="1"/>
  <c r="I2259" i="1"/>
  <c r="I2266" i="1"/>
  <c r="I2272" i="1"/>
  <c r="I2276" i="1"/>
  <c r="I2285" i="1"/>
  <c r="I2289" i="1"/>
  <c r="I2294" i="1"/>
  <c r="I2298" i="1"/>
  <c r="I2301" i="1"/>
  <c r="I2308" i="1"/>
  <c r="I2311" i="1"/>
  <c r="I2314" i="1"/>
  <c r="I2317" i="1"/>
  <c r="I2329" i="1"/>
  <c r="I2332" i="1"/>
  <c r="I2876" i="1"/>
  <c r="I2887" i="1"/>
  <c r="I2891" i="1"/>
  <c r="I2896" i="1"/>
  <c r="I2907" i="1"/>
  <c r="I291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9" i="1"/>
  <c r="I2883" i="1"/>
  <c r="I2893" i="1"/>
  <c r="I2897" i="1"/>
  <c r="I2903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2" i="1"/>
  <c r="I7" i="1"/>
  <c r="I16" i="1"/>
  <c r="I18" i="1"/>
  <c r="I20" i="1"/>
  <c r="I22" i="1"/>
  <c r="I25" i="1"/>
  <c r="I26" i="1"/>
  <c r="I28" i="1"/>
  <c r="I30" i="1"/>
  <c r="I33" i="1"/>
  <c r="I36" i="1"/>
  <c r="I38" i="1"/>
  <c r="I41" i="1"/>
  <c r="I43" i="1"/>
  <c r="I46" i="1"/>
  <c r="I49" i="1"/>
  <c r="I51" i="1"/>
  <c r="I55" i="1"/>
  <c r="I58" i="1"/>
  <c r="I61" i="1"/>
  <c r="I63" i="1"/>
  <c r="I67" i="1"/>
  <c r="I69" i="1"/>
  <c r="I72" i="1"/>
  <c r="I74" i="1"/>
  <c r="I78" i="1"/>
  <c r="I81" i="1"/>
  <c r="I84" i="1"/>
  <c r="I88" i="1"/>
  <c r="I90" i="1"/>
  <c r="I93" i="1"/>
  <c r="I96" i="1"/>
  <c r="I99" i="1"/>
  <c r="I102" i="1"/>
  <c r="I105" i="1"/>
  <c r="I108" i="1"/>
  <c r="I110" i="1"/>
  <c r="I114" i="1"/>
  <c r="I116" i="1"/>
  <c r="I121" i="1"/>
  <c r="I124" i="1"/>
  <c r="I127" i="1"/>
  <c r="I131" i="1"/>
  <c r="I134" i="1"/>
  <c r="I137" i="1"/>
  <c r="I139" i="1"/>
  <c r="I142" i="1"/>
  <c r="I145" i="1"/>
  <c r="I147" i="1"/>
  <c r="I151" i="1"/>
  <c r="I153" i="1"/>
  <c r="I157" i="1"/>
  <c r="I160" i="1"/>
  <c r="I163" i="1"/>
  <c r="I167" i="1"/>
  <c r="I169" i="1"/>
  <c r="I174" i="1"/>
  <c r="I177" i="1"/>
  <c r="I181" i="1"/>
  <c r="I184" i="1"/>
  <c r="I188" i="1"/>
  <c r="I192" i="1"/>
  <c r="I195" i="1"/>
  <c r="I198" i="1"/>
  <c r="I202" i="1"/>
  <c r="I207" i="1"/>
  <c r="I212" i="1"/>
  <c r="I215" i="1"/>
  <c r="I220" i="1"/>
  <c r="I223" i="1"/>
  <c r="I228" i="1"/>
  <c r="I232" i="1"/>
  <c r="I236" i="1"/>
  <c r="I240" i="1"/>
  <c r="I243" i="1"/>
  <c r="I246" i="1"/>
  <c r="I249" i="1"/>
  <c r="I254" i="1"/>
  <c r="I260" i="1"/>
  <c r="I263" i="1"/>
  <c r="I266" i="1"/>
  <c r="I269" i="1"/>
  <c r="I272" i="1"/>
  <c r="I275" i="1"/>
  <c r="I278" i="1"/>
  <c r="I281" i="1"/>
  <c r="I301" i="1"/>
  <c r="I304" i="1"/>
  <c r="I309" i="1"/>
  <c r="I312" i="1"/>
  <c r="I315" i="1"/>
  <c r="I319" i="1"/>
  <c r="I321" i="1"/>
  <c r="I324" i="1"/>
  <c r="I326" i="1"/>
  <c r="I329" i="1"/>
  <c r="I331" i="1"/>
  <c r="I333" i="1"/>
  <c r="I335" i="1"/>
  <c r="I337" i="1"/>
  <c r="I339" i="1"/>
  <c r="I343" i="1"/>
  <c r="I348" i="1"/>
  <c r="I350" i="1"/>
  <c r="I353" i="1"/>
  <c r="I356" i="1"/>
  <c r="I359" i="1"/>
  <c r="I364" i="1"/>
  <c r="I366" i="1"/>
  <c r="I368" i="1"/>
  <c r="I371" i="1"/>
  <c r="I375" i="1"/>
  <c r="I378" i="1"/>
  <c r="I381" i="1"/>
  <c r="I384" i="1"/>
  <c r="I387" i="1"/>
  <c r="I389" i="1"/>
  <c r="I392" i="1"/>
  <c r="I394" i="1"/>
  <c r="I397" i="1"/>
  <c r="I399" i="1"/>
  <c r="I402" i="1"/>
  <c r="I405" i="1"/>
  <c r="I408" i="1"/>
  <c r="I412" i="1"/>
  <c r="I415" i="1"/>
  <c r="I418" i="1"/>
  <c r="I421" i="1"/>
  <c r="I423" i="1"/>
  <c r="I426" i="1"/>
  <c r="I430" i="1"/>
  <c r="I432" i="1"/>
  <c r="I434" i="1"/>
  <c r="I438" i="1"/>
  <c r="I443" i="1"/>
  <c r="I447" i="1"/>
  <c r="I452" i="1"/>
  <c r="I455" i="1"/>
  <c r="I458" i="1"/>
  <c r="I462" i="1"/>
  <c r="I464" i="1"/>
  <c r="I467" i="1"/>
  <c r="I471" i="1"/>
  <c r="I475" i="1"/>
  <c r="I479" i="1"/>
  <c r="I483" i="1"/>
  <c r="I489" i="1"/>
  <c r="I493" i="1"/>
  <c r="I496" i="1"/>
  <c r="I499" i="1"/>
  <c r="I503" i="1"/>
  <c r="I506" i="1"/>
  <c r="I509" i="1"/>
  <c r="I514" i="1"/>
  <c r="I517" i="1"/>
  <c r="I520" i="1"/>
  <c r="I525" i="1"/>
  <c r="I527" i="1"/>
  <c r="I532" i="1"/>
  <c r="I535" i="1"/>
  <c r="I538" i="1"/>
  <c r="I541" i="1"/>
  <c r="I544" i="1"/>
  <c r="I547" i="1"/>
  <c r="I550" i="1"/>
  <c r="I553" i="1"/>
  <c r="I556" i="1"/>
  <c r="I560" i="1"/>
  <c r="I564" i="1"/>
  <c r="I568" i="1"/>
  <c r="I571" i="1"/>
  <c r="I833" i="1"/>
  <c r="I836" i="1"/>
  <c r="I841" i="1"/>
  <c r="I844" i="1"/>
  <c r="I847" i="1"/>
  <c r="I851" i="1"/>
  <c r="I857" i="1"/>
  <c r="I863" i="1"/>
  <c r="I867" i="1"/>
  <c r="I874" i="1"/>
  <c r="I880" i="1"/>
  <c r="I885" i="1"/>
  <c r="I891" i="1"/>
  <c r="I897" i="1"/>
  <c r="I902" i="1"/>
  <c r="I907" i="1"/>
  <c r="I911" i="1"/>
  <c r="I917" i="1"/>
  <c r="I921" i="1"/>
  <c r="I926" i="1"/>
  <c r="I930" i="1"/>
  <c r="I937" i="1"/>
  <c r="I942" i="1"/>
  <c r="I945" i="1"/>
  <c r="I949" i="1"/>
  <c r="I953" i="1"/>
  <c r="I956" i="1"/>
  <c r="I959" i="1"/>
  <c r="I962" i="1"/>
  <c r="I966" i="1"/>
  <c r="I971" i="1"/>
  <c r="I978" i="1"/>
  <c r="I981" i="1"/>
  <c r="I984" i="1"/>
  <c r="I987" i="1"/>
  <c r="I990" i="1"/>
  <c r="I998" i="1"/>
  <c r="I1004" i="1"/>
  <c r="I1008" i="1"/>
  <c r="I1011" i="1"/>
  <c r="I1017" i="1"/>
  <c r="I1023" i="1"/>
  <c r="I1027" i="1"/>
  <c r="I1033" i="1"/>
  <c r="I1036" i="1"/>
  <c r="I1040" i="1"/>
  <c r="I1047" i="1"/>
  <c r="I1050" i="1"/>
  <c r="I1053" i="1"/>
  <c r="I1057" i="1"/>
  <c r="I1061" i="1"/>
  <c r="I1064" i="1"/>
  <c r="I1071" i="1"/>
  <c r="I1076" i="1"/>
  <c r="I1079" i="1"/>
  <c r="I1083" i="1"/>
  <c r="I1086" i="1"/>
  <c r="I1091" i="1"/>
  <c r="I1098" i="1"/>
  <c r="I1102" i="1"/>
  <c r="I1105" i="1"/>
  <c r="I1110" i="1"/>
  <c r="I1113" i="1"/>
  <c r="I1117" i="1"/>
  <c r="I1121" i="1"/>
  <c r="I1124" i="1"/>
  <c r="I1127" i="1"/>
  <c r="I1134" i="1"/>
  <c r="I1139" i="1"/>
  <c r="I1146" i="1"/>
  <c r="I1149" i="1"/>
  <c r="I1153" i="1"/>
  <c r="I1160" i="1"/>
  <c r="I1163" i="1"/>
  <c r="I1517" i="1"/>
  <c r="I1523" i="1"/>
  <c r="I1526" i="1"/>
  <c r="I1529" i="1"/>
  <c r="I1533" i="1"/>
  <c r="I1537" i="1"/>
  <c r="I1542" i="1"/>
  <c r="I1547" i="1"/>
  <c r="I1552" i="1"/>
  <c r="I1555" i="1"/>
  <c r="I1558" i="1"/>
  <c r="I1561" i="1"/>
  <c r="I1564" i="1"/>
  <c r="I1570" i="1"/>
  <c r="I1574" i="1"/>
  <c r="I1579" i="1"/>
  <c r="I1583" i="1"/>
  <c r="I1587" i="1"/>
  <c r="I1592" i="1"/>
  <c r="I1598" i="1"/>
  <c r="I1605" i="1"/>
  <c r="I1609" i="1"/>
  <c r="I1613" i="1"/>
  <c r="I1616" i="1"/>
  <c r="I1620" i="1"/>
  <c r="I1624" i="1"/>
  <c r="I1630" i="1"/>
  <c r="I1635" i="1"/>
  <c r="I1639" i="1"/>
  <c r="I1643" i="1"/>
  <c r="I1650" i="1"/>
  <c r="I1654" i="1"/>
  <c r="I1662" i="1"/>
  <c r="I1667" i="1"/>
  <c r="I1672" i="1"/>
  <c r="I1677" i="1"/>
  <c r="I1680" i="1"/>
  <c r="I1683" i="1"/>
  <c r="I1688" i="1"/>
  <c r="I1696" i="1"/>
  <c r="I1701" i="1"/>
  <c r="I1715" i="1"/>
  <c r="I1718" i="1"/>
  <c r="I1726" i="1"/>
  <c r="I1730" i="1"/>
  <c r="I1736" i="1"/>
  <c r="I1744" i="1"/>
  <c r="I1750" i="1"/>
  <c r="I2104" i="1"/>
  <c r="I2111" i="1"/>
  <c r="I2114" i="1"/>
  <c r="I2126" i="1"/>
  <c r="I2131" i="1"/>
  <c r="I2137" i="1"/>
  <c r="I2140" i="1"/>
  <c r="I2144" i="1"/>
  <c r="I2147" i="1"/>
  <c r="I2149" i="1"/>
  <c r="I2153" i="1"/>
  <c r="I2157" i="1"/>
  <c r="I2161" i="1"/>
  <c r="I2170" i="1"/>
  <c r="I2175" i="1"/>
  <c r="I2181" i="1"/>
  <c r="I2186" i="1"/>
  <c r="I2193" i="1"/>
  <c r="I2196" i="1"/>
  <c r="I2202" i="1"/>
  <c r="I2210" i="1"/>
  <c r="I2221" i="1"/>
  <c r="I2231" i="1"/>
  <c r="I2237" i="1"/>
  <c r="I2240" i="1"/>
  <c r="I2249" i="1"/>
  <c r="I2255" i="1"/>
  <c r="I2258" i="1"/>
  <c r="I2261" i="1"/>
  <c r="I2277" i="1"/>
  <c r="I2280" i="1"/>
  <c r="I2291" i="1"/>
  <c r="I2295" i="1"/>
  <c r="I2299" i="1"/>
  <c r="I2316" i="1"/>
  <c r="I2319" i="1"/>
  <c r="I2323" i="1"/>
  <c r="I2327" i="1"/>
  <c r="I2872" i="1"/>
  <c r="I2875" i="1"/>
  <c r="I2884" i="1"/>
  <c r="I2892" i="1"/>
  <c r="I2900" i="1"/>
  <c r="I2904" i="1"/>
  <c r="I2910" i="1"/>
  <c r="I119" i="1"/>
  <c r="I156" i="1"/>
  <c r="I164" i="1"/>
  <c r="I168" i="1"/>
  <c r="I172" i="1"/>
  <c r="I176" i="1"/>
  <c r="I179" i="1"/>
  <c r="I182" i="1"/>
  <c r="I186" i="1"/>
  <c r="I189" i="1"/>
  <c r="I193" i="1"/>
  <c r="I196" i="1"/>
  <c r="I201" i="1"/>
  <c r="I206" i="1"/>
  <c r="I208" i="1"/>
  <c r="I211" i="1"/>
  <c r="I214" i="1"/>
  <c r="I218" i="1"/>
  <c r="I222" i="1"/>
  <c r="I226" i="1"/>
  <c r="I231" i="1"/>
  <c r="I234" i="1"/>
  <c r="I237" i="1"/>
  <c r="I241" i="1"/>
  <c r="I244" i="1"/>
  <c r="I247" i="1"/>
  <c r="I251" i="1"/>
  <c r="I257" i="1"/>
  <c r="I261" i="1"/>
  <c r="I267" i="1"/>
  <c r="I271" i="1"/>
  <c r="I273" i="1"/>
  <c r="I276" i="1"/>
  <c r="I279" i="1"/>
  <c r="I283" i="1"/>
  <c r="I285" i="1"/>
  <c r="I287" i="1"/>
  <c r="I289" i="1"/>
  <c r="I291" i="1"/>
  <c r="I293" i="1"/>
  <c r="I295" i="1"/>
  <c r="I297" i="1"/>
  <c r="I300" i="1"/>
  <c r="I303" i="1"/>
  <c r="I305" i="1"/>
  <c r="I307" i="1"/>
  <c r="I310" i="1"/>
  <c r="I313" i="1"/>
  <c r="I316" i="1"/>
  <c r="I318" i="1"/>
  <c r="I320" i="1"/>
  <c r="I322" i="1"/>
  <c r="I323" i="1"/>
  <c r="I325" i="1"/>
  <c r="I327" i="1"/>
  <c r="I328" i="1"/>
  <c r="I330" i="1"/>
  <c r="I332" i="1"/>
  <c r="I334" i="1"/>
  <c r="I336" i="1"/>
  <c r="I338" i="1"/>
  <c r="I340" i="1"/>
  <c r="I342" i="1"/>
  <c r="I345" i="1"/>
  <c r="I347" i="1"/>
  <c r="I351" i="1"/>
  <c r="I355" i="1"/>
  <c r="I358" i="1"/>
  <c r="I361" i="1"/>
  <c r="I362" i="1"/>
  <c r="I365" i="1"/>
  <c r="I367" i="1"/>
  <c r="I369" i="1"/>
  <c r="I372" i="1"/>
  <c r="I374" i="1"/>
  <c r="I377" i="1"/>
  <c r="I380" i="1"/>
  <c r="I383" i="1"/>
  <c r="I386" i="1"/>
  <c r="I390" i="1"/>
  <c r="I393" i="1"/>
  <c r="I395" i="1"/>
  <c r="I398" i="1"/>
  <c r="I400" i="1"/>
  <c r="I404" i="1"/>
  <c r="I409" i="1"/>
  <c r="I437" i="1"/>
  <c r="I440" i="1"/>
  <c r="I445" i="1"/>
  <c r="I449" i="1"/>
  <c r="I456" i="1"/>
  <c r="I460" i="1"/>
  <c r="I463" i="1"/>
  <c r="I468" i="1"/>
  <c r="I472" i="1"/>
  <c r="I478" i="1"/>
  <c r="I481" i="1"/>
  <c r="I485" i="1"/>
  <c r="I488" i="1"/>
  <c r="I491" i="1"/>
  <c r="I494" i="1"/>
  <c r="I497" i="1"/>
  <c r="I501" i="1"/>
  <c r="I504" i="1"/>
  <c r="I508" i="1"/>
  <c r="I512" i="1"/>
  <c r="I515" i="1"/>
  <c r="I518" i="1"/>
  <c r="I521" i="1"/>
  <c r="I524" i="1"/>
  <c r="I529" i="1"/>
  <c r="I533" i="1"/>
  <c r="I536" i="1"/>
  <c r="I540" i="1"/>
  <c r="I546" i="1"/>
  <c r="I549" i="1"/>
  <c r="I554" i="1"/>
  <c r="I559" i="1"/>
  <c r="I562" i="1"/>
  <c r="I567" i="1"/>
  <c r="I570" i="1"/>
  <c r="I574" i="1"/>
  <c r="I577" i="1"/>
  <c r="I580" i="1"/>
  <c r="I583" i="1"/>
  <c r="I586" i="1"/>
  <c r="I830" i="1"/>
  <c r="I834" i="1"/>
  <c r="I840" i="1"/>
  <c r="I843" i="1"/>
  <c r="I846" i="1"/>
  <c r="I852" i="1"/>
  <c r="I855" i="1"/>
  <c r="I860" i="1"/>
  <c r="I871" i="1"/>
  <c r="I875" i="1"/>
  <c r="I879" i="1"/>
  <c r="I884" i="1"/>
  <c r="I888" i="1"/>
  <c r="I894" i="1"/>
  <c r="I900" i="1"/>
  <c r="I905" i="1"/>
  <c r="I909" i="1"/>
  <c r="I913" i="1"/>
  <c r="I920" i="1"/>
  <c r="I924" i="1"/>
  <c r="I932" i="1"/>
  <c r="I935" i="1"/>
  <c r="I940" i="1"/>
  <c r="I943" i="1"/>
  <c r="I947" i="1"/>
  <c r="I951" i="1"/>
  <c r="I955" i="1"/>
  <c r="I960" i="1"/>
  <c r="I965" i="1"/>
  <c r="I968" i="1"/>
  <c r="I972" i="1"/>
  <c r="I977" i="1"/>
  <c r="I980" i="1"/>
  <c r="I985" i="1"/>
  <c r="I988" i="1"/>
  <c r="I992" i="1"/>
  <c r="I996" i="1"/>
  <c r="I1000" i="1"/>
  <c r="I1009" i="1"/>
  <c r="I1014" i="1"/>
  <c r="I1021" i="1"/>
  <c r="I1025" i="1"/>
  <c r="I1028" i="1"/>
  <c r="I1034" i="1"/>
  <c r="I1037" i="1"/>
  <c r="I1063" i="1"/>
  <c r="I1067" i="1"/>
  <c r="I1072" i="1"/>
  <c r="I1078" i="1"/>
  <c r="I1082" i="1"/>
  <c r="I1089" i="1"/>
  <c r="I1095" i="1"/>
  <c r="I1101" i="1"/>
  <c r="I1106" i="1"/>
  <c r="I1111" i="1"/>
  <c r="I1115" i="1"/>
  <c r="I1119" i="1"/>
  <c r="I1125" i="1"/>
  <c r="I1132" i="1"/>
  <c r="I1140" i="1"/>
  <c r="I1143" i="1"/>
  <c r="I1147" i="1"/>
  <c r="I1155" i="1"/>
  <c r="I1158" i="1"/>
  <c r="I1164" i="1"/>
  <c r="I1167" i="1"/>
  <c r="I1513" i="1"/>
  <c r="I1519" i="1"/>
  <c r="I1524" i="1"/>
  <c r="I1527" i="1"/>
  <c r="I1532" i="1"/>
  <c r="I1536" i="1"/>
  <c r="I1541" i="1"/>
  <c r="I1546" i="1"/>
  <c r="I1551" i="1"/>
  <c r="I1554" i="1"/>
  <c r="I1563" i="1"/>
  <c r="I1568" i="1"/>
  <c r="I1573" i="1"/>
  <c r="I1578" i="1"/>
  <c r="I1582" i="1"/>
  <c r="I1585" i="1"/>
  <c r="I1595" i="1"/>
  <c r="I1599" i="1"/>
  <c r="I1602" i="1"/>
  <c r="I1608" i="1"/>
  <c r="I1614" i="1"/>
  <c r="I1618" i="1"/>
  <c r="I1631" i="1"/>
  <c r="I1638" i="1"/>
  <c r="I1641" i="1"/>
  <c r="I1644" i="1"/>
  <c r="I1647" i="1"/>
  <c r="I1651" i="1"/>
  <c r="I1656" i="1"/>
  <c r="I1660" i="1"/>
  <c r="I1663" i="1"/>
  <c r="I1668" i="1"/>
  <c r="I1671" i="1"/>
  <c r="I1674" i="1"/>
  <c r="I1678" i="1"/>
  <c r="I1687" i="1"/>
  <c r="I1692" i="1"/>
  <c r="I1695" i="1"/>
  <c r="I1698" i="1"/>
  <c r="I1705" i="1"/>
  <c r="I1709" i="1"/>
  <c r="I1716" i="1"/>
  <c r="I1727" i="1"/>
  <c r="I1732" i="1"/>
  <c r="I1740" i="1"/>
  <c r="I1746" i="1"/>
  <c r="I2095" i="1"/>
  <c r="I2101" i="1"/>
  <c r="I2105" i="1"/>
  <c r="I2108" i="1"/>
  <c r="I2115" i="1"/>
  <c r="I2119" i="1"/>
  <c r="I2123" i="1"/>
  <c r="I2128" i="1"/>
  <c r="I2132" i="1"/>
  <c r="I2135" i="1"/>
  <c r="I2138" i="1"/>
  <c r="I2142" i="1"/>
  <c r="I2146" i="1"/>
  <c r="I2154" i="1"/>
  <c r="I2159" i="1"/>
  <c r="I2166" i="1"/>
  <c r="I2177" i="1"/>
  <c r="I2182" i="1"/>
  <c r="I2184" i="1"/>
  <c r="I2190" i="1"/>
  <c r="I2195" i="1"/>
  <c r="I2205" i="1"/>
  <c r="I2208" i="1"/>
  <c r="I2215" i="1"/>
  <c r="I2222" i="1"/>
  <c r="I2226" i="1"/>
  <c r="I2246" i="1"/>
  <c r="I2254" i="1"/>
  <c r="I2273" i="1"/>
  <c r="I2284" i="1"/>
  <c r="I2297" i="1"/>
  <c r="I2313" i="1"/>
  <c r="I2320" i="1"/>
  <c r="I2324" i="1"/>
  <c r="I2335" i="1"/>
  <c r="I2877" i="1"/>
  <c r="I2886" i="1"/>
  <c r="I2890" i="1"/>
  <c r="I8" i="1"/>
  <c r="I34" i="1"/>
  <c r="I39" i="1"/>
  <c r="I45" i="1"/>
  <c r="I48" i="1"/>
  <c r="I53" i="1"/>
  <c r="I56" i="1"/>
  <c r="I60" i="1"/>
  <c r="I62" i="1"/>
  <c r="I65" i="1"/>
  <c r="I68" i="1"/>
  <c r="I71" i="1"/>
  <c r="I73" i="1"/>
  <c r="I76" i="1"/>
  <c r="I79" i="1"/>
  <c r="I82" i="1"/>
  <c r="I85" i="1"/>
  <c r="I87" i="1"/>
  <c r="I91" i="1"/>
  <c r="I94" i="1"/>
  <c r="I97" i="1"/>
  <c r="I100" i="1"/>
  <c r="I103" i="1"/>
  <c r="I106" i="1"/>
  <c r="I109" i="1"/>
  <c r="I112" i="1"/>
  <c r="I115" i="1"/>
  <c r="I118" i="1"/>
  <c r="I120" i="1"/>
  <c r="I123" i="1"/>
  <c r="I126" i="1"/>
  <c r="I130" i="1"/>
  <c r="I133" i="1"/>
  <c r="I136" i="1"/>
  <c r="I141" i="1"/>
  <c r="I143" i="1"/>
  <c r="I146" i="1"/>
  <c r="I149" i="1"/>
  <c r="I152" i="1"/>
  <c r="I155" i="1"/>
  <c r="I159" i="1"/>
  <c r="I162" i="1"/>
  <c r="I165" i="1"/>
  <c r="I170" i="1"/>
  <c r="I173" i="1"/>
  <c r="I178" i="1"/>
  <c r="I185" i="1"/>
  <c r="I190" i="1"/>
  <c r="I197" i="1"/>
  <c r="I200" i="1"/>
  <c r="I204" i="1"/>
  <c r="I209" i="1"/>
  <c r="I217" i="1"/>
  <c r="I221" i="1"/>
  <c r="I225" i="1"/>
  <c r="I229" i="1"/>
  <c r="I233" i="1"/>
  <c r="I238" i="1"/>
  <c r="I242" i="1"/>
  <c r="I248" i="1"/>
  <c r="I252" i="1"/>
  <c r="I255" i="1"/>
  <c r="I258" i="1"/>
  <c r="I262" i="1"/>
  <c r="I265" i="1"/>
  <c r="I268" i="1"/>
  <c r="I270" i="1"/>
  <c r="I274" i="1"/>
  <c r="I277" i="1"/>
  <c r="I280" i="1"/>
  <c r="I282" i="1"/>
  <c r="I284" i="1"/>
  <c r="I286" i="1"/>
  <c r="I288" i="1"/>
  <c r="I290" i="1"/>
  <c r="I292" i="1"/>
  <c r="I294" i="1"/>
  <c r="I296" i="1"/>
  <c r="I298" i="1"/>
  <c r="I299" i="1"/>
  <c r="I302" i="1"/>
  <c r="I306" i="1"/>
  <c r="I308" i="1"/>
  <c r="I311" i="1"/>
  <c r="I314" i="1"/>
  <c r="I317" i="1"/>
  <c r="I341" i="1"/>
  <c r="I344" i="1"/>
  <c r="I346" i="1"/>
  <c r="I349" i="1"/>
  <c r="I352" i="1"/>
  <c r="I354" i="1"/>
  <c r="I357" i="1"/>
  <c r="I360" i="1"/>
  <c r="I363" i="1"/>
  <c r="I370" i="1"/>
  <c r="I373" i="1"/>
  <c r="I376" i="1"/>
  <c r="I379" i="1"/>
  <c r="I382" i="1"/>
  <c r="I385" i="1"/>
  <c r="I388" i="1"/>
  <c r="I391" i="1"/>
  <c r="I396" i="1"/>
  <c r="I401" i="1"/>
  <c r="I403" i="1"/>
  <c r="I407" i="1"/>
  <c r="I410" i="1"/>
  <c r="I413" i="1"/>
  <c r="I416" i="1"/>
  <c r="I419" i="1"/>
  <c r="I425" i="1"/>
  <c r="I428" i="1"/>
  <c r="I431" i="1"/>
  <c r="I435" i="1"/>
  <c r="I441" i="1"/>
  <c r="I444" i="1"/>
  <c r="I446" i="1"/>
  <c r="I450" i="1"/>
  <c r="I453" i="1"/>
  <c r="I457" i="1"/>
  <c r="I461" i="1"/>
  <c r="I466" i="1"/>
  <c r="I470" i="1"/>
  <c r="I474" i="1"/>
  <c r="I477" i="1"/>
  <c r="I480" i="1"/>
  <c r="I484" i="1"/>
  <c r="I487" i="1"/>
  <c r="I500" i="1"/>
  <c r="I505" i="1"/>
  <c r="I510" i="1"/>
  <c r="I523" i="1"/>
  <c r="I526" i="1"/>
  <c r="I530" i="1"/>
  <c r="I539" i="1"/>
  <c r="I543" i="1"/>
  <c r="I548" i="1"/>
  <c r="I552" i="1"/>
  <c r="I557" i="1"/>
  <c r="I561" i="1"/>
  <c r="I565" i="1"/>
  <c r="I569" i="1"/>
  <c r="I573" i="1"/>
  <c r="I575" i="1"/>
  <c r="I578" i="1"/>
  <c r="I581" i="1"/>
  <c r="I584" i="1"/>
  <c r="I587" i="1"/>
  <c r="I829" i="1"/>
  <c r="I837" i="1"/>
  <c r="I845" i="1"/>
  <c r="I850" i="1"/>
  <c r="I858" i="1"/>
  <c r="I861" i="1"/>
  <c r="I865" i="1"/>
  <c r="I868" i="1"/>
  <c r="I872" i="1"/>
  <c r="I881" i="1"/>
  <c r="I889" i="1"/>
  <c r="I893" i="1"/>
  <c r="I898" i="1"/>
  <c r="I903" i="1"/>
  <c r="I906" i="1"/>
  <c r="I910" i="1"/>
  <c r="I914" i="1"/>
  <c r="I918" i="1"/>
  <c r="I922" i="1"/>
  <c r="I928" i="1"/>
  <c r="I933" i="1"/>
  <c r="I936" i="1"/>
  <c r="I967" i="1"/>
  <c r="I975" i="1"/>
  <c r="I982" i="1"/>
  <c r="I986" i="1"/>
  <c r="I991" i="1"/>
  <c r="I995" i="1"/>
  <c r="I1002" i="1"/>
  <c r="I1006" i="1"/>
  <c r="I1010" i="1"/>
  <c r="I1015" i="1"/>
  <c r="I1020" i="1"/>
  <c r="I1026" i="1"/>
  <c r="I1030" i="1"/>
  <c r="I1041" i="1"/>
  <c r="I1044" i="1"/>
  <c r="I1048" i="1"/>
  <c r="I1054" i="1"/>
  <c r="I1058" i="1"/>
  <c r="I1062" i="1"/>
  <c r="I1066" i="1"/>
  <c r="I1069" i="1"/>
  <c r="I1074" i="1"/>
  <c r="I1081" i="1"/>
  <c r="I1088" i="1"/>
  <c r="I1093" i="1"/>
  <c r="I1096" i="1"/>
  <c r="I1109" i="1"/>
  <c r="I1114" i="1"/>
  <c r="I1120" i="1"/>
  <c r="I1126" i="1"/>
  <c r="I1130" i="1"/>
  <c r="I1133" i="1"/>
  <c r="I1137" i="1"/>
  <c r="I1141" i="1"/>
  <c r="I1144" i="1"/>
  <c r="I1148" i="1"/>
  <c r="I1152" i="1"/>
  <c r="I1156" i="1"/>
  <c r="I1161" i="1"/>
  <c r="I1165" i="1"/>
  <c r="I1169" i="1"/>
  <c r="I1514" i="1"/>
  <c r="I1520" i="1"/>
  <c r="I1525" i="1"/>
  <c r="I1530" i="1"/>
  <c r="I1535" i="1"/>
  <c r="I1540" i="1"/>
  <c r="I1545" i="1"/>
  <c r="I1550" i="1"/>
  <c r="I1557" i="1"/>
  <c r="I1562" i="1"/>
  <c r="I1567" i="1"/>
  <c r="I1575" i="1"/>
  <c r="I1580" i="1"/>
  <c r="I1586" i="1"/>
  <c r="I1590" i="1"/>
  <c r="I1594" i="1"/>
  <c r="I1603" i="1"/>
  <c r="I1607" i="1"/>
  <c r="I1611" i="1"/>
  <c r="I1615" i="1"/>
  <c r="I1622" i="1"/>
  <c r="I1626" i="1"/>
  <c r="I1629" i="1"/>
  <c r="I1634" i="1"/>
  <c r="I1642" i="1"/>
  <c r="I1646" i="1"/>
  <c r="I1652" i="1"/>
  <c r="I1657" i="1"/>
  <c r="I1665" i="1"/>
  <c r="I1670" i="1"/>
  <c r="I1682" i="1"/>
  <c r="I1686" i="1"/>
  <c r="I1694" i="1"/>
  <c r="I1700" i="1"/>
  <c r="I1703" i="1"/>
  <c r="I1708" i="1"/>
  <c r="I1713" i="1"/>
  <c r="I1720" i="1"/>
  <c r="I1728" i="1"/>
  <c r="I1735" i="1"/>
  <c r="I2098" i="1"/>
  <c r="I2107" i="1"/>
  <c r="I2113" i="1"/>
  <c r="I2118" i="1"/>
  <c r="I2122" i="1"/>
  <c r="I2127" i="1"/>
  <c r="I2134" i="1"/>
  <c r="I2141" i="1"/>
  <c r="I2145" i="1"/>
  <c r="I2163" i="1"/>
  <c r="I2167" i="1"/>
  <c r="I2176" i="1"/>
  <c r="I2180" i="1"/>
  <c r="I2183" i="1"/>
  <c r="I2194" i="1"/>
  <c r="I2213" i="1"/>
  <c r="I2223" i="1"/>
  <c r="I2227" i="1"/>
  <c r="I2234" i="1"/>
  <c r="I2236" i="1"/>
  <c r="I2243" i="1"/>
  <c r="I2251" i="1"/>
  <c r="I2264" i="1"/>
  <c r="I2270" i="1"/>
  <c r="I2279" i="1"/>
  <c r="I2282" i="1"/>
  <c r="I2287" i="1"/>
  <c r="I2292" i="1"/>
  <c r="I2305" i="1"/>
  <c r="I2309" i="1"/>
  <c r="I2328" i="1"/>
  <c r="I2333" i="1"/>
  <c r="I2873" i="1"/>
  <c r="I2882" i="1"/>
  <c r="I2905" i="1"/>
  <c r="I2911" i="1"/>
  <c r="I1658" i="1"/>
  <c r="I1684" i="1"/>
  <c r="I1691" i="1"/>
  <c r="I1699" i="1"/>
  <c r="I1704" i="1"/>
  <c r="I1707" i="1"/>
  <c r="I1711" i="1"/>
  <c r="I1722" i="1"/>
  <c r="I1734" i="1"/>
  <c r="I1738" i="1"/>
  <c r="I1742" i="1"/>
  <c r="I1747" i="1"/>
  <c r="I1751" i="1"/>
  <c r="I2097" i="1"/>
  <c r="I2102" i="1"/>
  <c r="I2106" i="1"/>
  <c r="I2117" i="1"/>
  <c r="I2120" i="1"/>
  <c r="I2125" i="1"/>
  <c r="I2129" i="1"/>
  <c r="I2133" i="1"/>
  <c r="I2136" i="1"/>
  <c r="I2151" i="1"/>
  <c r="I2156" i="1"/>
  <c r="I2160" i="1"/>
  <c r="I2165" i="1"/>
  <c r="I2168" i="1"/>
  <c r="I2173" i="1"/>
  <c r="I2178" i="1"/>
  <c r="I2185" i="1"/>
  <c r="I2189" i="1"/>
  <c r="I2192" i="1"/>
  <c r="I2201" i="1"/>
  <c r="I2207" i="1"/>
  <c r="I2212" i="1"/>
  <c r="I2216" i="1"/>
  <c r="I2219" i="1"/>
  <c r="I2225" i="1"/>
  <c r="I2228" i="1"/>
  <c r="I2235" i="1"/>
  <c r="I2239" i="1"/>
  <c r="I2244" i="1"/>
  <c r="I2250" i="1"/>
  <c r="I2253" i="1"/>
  <c r="I2260" i="1"/>
  <c r="I2263" i="1"/>
  <c r="I2268" i="1"/>
  <c r="I2271" i="1"/>
  <c r="I2274" i="1"/>
  <c r="I2286" i="1"/>
  <c r="I2300" i="1"/>
  <c r="I2304" i="1"/>
  <c r="I2310" i="1"/>
  <c r="I2318" i="1"/>
  <c r="I2321" i="1"/>
  <c r="I2330" i="1"/>
  <c r="I2878" i="1"/>
  <c r="I2888" i="1"/>
  <c r="I2895" i="1"/>
  <c r="I2901" i="1"/>
  <c r="I2913" i="1"/>
  <c r="I6" i="1"/>
  <c r="I9" i="1"/>
  <c r="I10" i="1"/>
  <c r="I11" i="1"/>
  <c r="I12" i="1"/>
  <c r="I13" i="1"/>
  <c r="I14" i="1"/>
  <c r="I15" i="1"/>
  <c r="A5" i="3" s="1" a="1"/>
  <c r="I17" i="1"/>
  <c r="I19" i="1"/>
  <c r="I21" i="1"/>
  <c r="I23" i="1"/>
  <c r="I24" i="1"/>
  <c r="I27" i="1"/>
  <c r="I29" i="1"/>
  <c r="I31" i="1"/>
  <c r="I32" i="1"/>
  <c r="I35" i="1"/>
  <c r="I37" i="1"/>
  <c r="I40" i="1"/>
  <c r="I42" i="1"/>
  <c r="I44" i="1"/>
  <c r="I47" i="1"/>
  <c r="I50" i="1"/>
  <c r="I52" i="1"/>
  <c r="I54" i="1"/>
  <c r="I57" i="1"/>
  <c r="I59" i="1"/>
  <c r="I64" i="1"/>
  <c r="I66" i="1"/>
  <c r="I70" i="1"/>
  <c r="I75" i="1"/>
  <c r="I77" i="1"/>
  <c r="I80" i="1"/>
  <c r="I83" i="1"/>
  <c r="I86" i="1"/>
  <c r="I89" i="1"/>
  <c r="I92" i="1"/>
  <c r="I95" i="1"/>
  <c r="I98" i="1"/>
  <c r="I101" i="1"/>
  <c r="I104" i="1"/>
  <c r="I107" i="1"/>
  <c r="I111" i="1"/>
  <c r="I113" i="1"/>
  <c r="I117" i="1"/>
  <c r="I122" i="1"/>
  <c r="I125" i="1"/>
  <c r="I128" i="1"/>
  <c r="I129" i="1"/>
  <c r="I132" i="1"/>
  <c r="I135" i="1"/>
  <c r="I138" i="1"/>
  <c r="I140" i="1"/>
  <c r="I144" i="1"/>
  <c r="I148" i="1"/>
  <c r="I150" i="1"/>
  <c r="I154" i="1"/>
  <c r="I158" i="1"/>
  <c r="I161" i="1"/>
  <c r="I166" i="1"/>
  <c r="I171" i="1"/>
  <c r="I175" i="1"/>
  <c r="I180" i="1"/>
  <c r="I183" i="1"/>
  <c r="I187" i="1"/>
  <c r="I191" i="1"/>
  <c r="I194" i="1"/>
  <c r="I199" i="1"/>
  <c r="I203" i="1"/>
  <c r="I205" i="1"/>
  <c r="I210" i="1"/>
  <c r="I213" i="1"/>
  <c r="I216" i="1"/>
  <c r="I219" i="1"/>
  <c r="I224" i="1"/>
  <c r="I227" i="1"/>
  <c r="I230" i="1"/>
  <c r="I235" i="1"/>
  <c r="I239" i="1"/>
  <c r="I245" i="1"/>
  <c r="I250" i="1"/>
  <c r="I253" i="1"/>
  <c r="I256" i="1"/>
  <c r="I259" i="1"/>
  <c r="I264" i="1"/>
  <c r="I406" i="1"/>
  <c r="I411" i="1"/>
  <c r="I414" i="1"/>
  <c r="I417" i="1"/>
  <c r="I420" i="1"/>
  <c r="I422" i="1"/>
  <c r="I424" i="1"/>
  <c r="I427" i="1"/>
  <c r="I429" i="1"/>
  <c r="I433" i="1"/>
  <c r="I436" i="1"/>
  <c r="I439" i="1"/>
  <c r="I442" i="1"/>
  <c r="I448" i="1"/>
  <c r="I451" i="1"/>
  <c r="I454" i="1"/>
  <c r="I459" i="1"/>
  <c r="I465" i="1"/>
  <c r="I469" i="1"/>
  <c r="I473" i="1"/>
  <c r="I476" i="1"/>
  <c r="I482" i="1"/>
  <c r="I486" i="1"/>
  <c r="I490" i="1"/>
  <c r="I492" i="1"/>
  <c r="I495" i="1"/>
  <c r="I498" i="1"/>
  <c r="I502" i="1"/>
  <c r="I507" i="1"/>
  <c r="I511" i="1"/>
  <c r="I513" i="1"/>
  <c r="I516" i="1"/>
  <c r="I519" i="1"/>
  <c r="I522" i="1"/>
  <c r="I528" i="1"/>
  <c r="I531" i="1"/>
  <c r="I534" i="1"/>
  <c r="I537" i="1"/>
  <c r="I542" i="1"/>
  <c r="I545" i="1"/>
  <c r="I551" i="1"/>
  <c r="I555" i="1"/>
  <c r="I558" i="1"/>
  <c r="I563" i="1"/>
  <c r="I566" i="1"/>
  <c r="I572" i="1"/>
  <c r="I576" i="1"/>
  <c r="I579" i="1"/>
  <c r="I582" i="1"/>
  <c r="I585" i="1"/>
  <c r="I827" i="1"/>
  <c r="I831" i="1"/>
  <c r="I835" i="1"/>
  <c r="I838" i="1"/>
  <c r="I842" i="1"/>
  <c r="I849" i="1"/>
  <c r="I853" i="1"/>
  <c r="I856" i="1"/>
  <c r="I862" i="1"/>
  <c r="I866" i="1"/>
  <c r="I870" i="1"/>
  <c r="I876" i="1"/>
  <c r="I878" i="1"/>
  <c r="I883" i="1"/>
  <c r="I887" i="1"/>
  <c r="I892" i="1"/>
  <c r="I896" i="1"/>
  <c r="I901" i="1"/>
  <c r="I908" i="1"/>
  <c r="I912" i="1"/>
  <c r="I916" i="1"/>
  <c r="I923" i="1"/>
  <c r="I927" i="1"/>
  <c r="I931" i="1"/>
  <c r="I938" i="1"/>
  <c r="I941" i="1"/>
  <c r="I946" i="1"/>
  <c r="I950" i="1"/>
  <c r="I954" i="1"/>
  <c r="I957" i="1"/>
  <c r="I961" i="1"/>
  <c r="I964" i="1"/>
  <c r="I970" i="1"/>
  <c r="I973" i="1"/>
  <c r="I976" i="1"/>
  <c r="I994" i="1"/>
  <c r="I999" i="1"/>
  <c r="I1003" i="1"/>
  <c r="I1007" i="1"/>
  <c r="I1013" i="1"/>
  <c r="I1016" i="1"/>
  <c r="I1019" i="1"/>
  <c r="I1024" i="1"/>
  <c r="I1029" i="1"/>
  <c r="I1032" i="1"/>
  <c r="I1035" i="1"/>
  <c r="I1039" i="1"/>
  <c r="I1043" i="1"/>
  <c r="I1046" i="1"/>
  <c r="I1049" i="1"/>
  <c r="I1052" i="1"/>
  <c r="I1056" i="1"/>
  <c r="I1060" i="1"/>
  <c r="I1068" i="1"/>
  <c r="I1073" i="1"/>
  <c r="I1077" i="1"/>
  <c r="I1084" i="1"/>
  <c r="I1087" i="1"/>
  <c r="I1092" i="1"/>
  <c r="I1097" i="1"/>
  <c r="I1100" i="1"/>
  <c r="I1104" i="1"/>
  <c r="I1107" i="1"/>
  <c r="I1112" i="1"/>
  <c r="I1118" i="1"/>
  <c r="I1123" i="1"/>
  <c r="I1128" i="1"/>
  <c r="I1131" i="1"/>
  <c r="I1136" i="1"/>
  <c r="I1142" i="1"/>
  <c r="I1150" i="1"/>
  <c r="I1154" i="1"/>
  <c r="I1159" i="1"/>
  <c r="I1168" i="1"/>
  <c r="I1170" i="1"/>
  <c r="I1515" i="1"/>
  <c r="I1518" i="1"/>
  <c r="I1522" i="1"/>
  <c r="I1528" i="1"/>
  <c r="I1534" i="1"/>
  <c r="I1539" i="1"/>
  <c r="I1544" i="1"/>
  <c r="I1549" i="1"/>
  <c r="I1556" i="1"/>
  <c r="I1560" i="1"/>
  <c r="I1566" i="1"/>
  <c r="I1571" i="1"/>
  <c r="I1577" i="1"/>
  <c r="I1581" i="1"/>
  <c r="I1584" i="1"/>
  <c r="I1589" i="1"/>
  <c r="I1593" i="1"/>
  <c r="I1597" i="1"/>
  <c r="I1601" i="1"/>
  <c r="I1606" i="1"/>
  <c r="I1612" i="1"/>
  <c r="I1617" i="1"/>
  <c r="I1621" i="1"/>
  <c r="I1625" i="1"/>
  <c r="I1628" i="1"/>
  <c r="I1633" i="1"/>
  <c r="I1637" i="1"/>
  <c r="I1640" i="1"/>
  <c r="I1648" i="1"/>
  <c r="I1653" i="1"/>
  <c r="I1661" i="1"/>
  <c r="I1666" i="1"/>
  <c r="I1673" i="1"/>
  <c r="I1676" i="1"/>
  <c r="I1681" i="1"/>
  <c r="I1685" i="1"/>
  <c r="I1689" i="1"/>
  <c r="I1702" i="1"/>
  <c r="I1714" i="1"/>
  <c r="I1717" i="1"/>
  <c r="I1723" i="1"/>
  <c r="I1731" i="1"/>
  <c r="I1739" i="1"/>
  <c r="I1743" i="1"/>
  <c r="I1749" i="1"/>
  <c r="I2099" i="1"/>
  <c r="I2103" i="1"/>
  <c r="I2109" i="1"/>
  <c r="I2112" i="1"/>
  <c r="I2121" i="1"/>
  <c r="I2124" i="1"/>
  <c r="I2130" i="1"/>
  <c r="I2139" i="1"/>
  <c r="I2143" i="1"/>
  <c r="I2148" i="1"/>
  <c r="I2150" i="1"/>
  <c r="I2155" i="1"/>
  <c r="I2162" i="1"/>
  <c r="I2171" i="1"/>
  <c r="I2174" i="1"/>
  <c r="I2187" i="1"/>
  <c r="I2198" i="1"/>
  <c r="I2203" i="1"/>
  <c r="I2211" i="1"/>
  <c r="I2214" i="1"/>
  <c r="I2232" i="1"/>
  <c r="I2238" i="1"/>
  <c r="I2241" i="1"/>
  <c r="I2248" i="1"/>
  <c r="I2256" i="1"/>
  <c r="I2265" i="1"/>
  <c r="I2269" i="1"/>
  <c r="I2275" i="1"/>
  <c r="I2281" i="1"/>
  <c r="I2290" i="1"/>
  <c r="I2296" i="1"/>
  <c r="I2303" i="1"/>
  <c r="I2307" i="1"/>
  <c r="I2322" i="1"/>
  <c r="I2325" i="1"/>
  <c r="I2334" i="1"/>
  <c r="I2874" i="1"/>
  <c r="I2880" i="1"/>
  <c r="I2889" i="1"/>
  <c r="I2899" i="1"/>
  <c r="I2908" i="1"/>
  <c r="I3" i="1"/>
  <c r="I4" i="1"/>
  <c r="I5" i="1"/>
  <c r="I2336" i="1"/>
  <c r="I2337" i="1"/>
  <c r="I2338" i="1"/>
  <c r="I2920" i="1"/>
  <c r="I2921" i="1"/>
  <c r="I2922" i="1"/>
  <c r="I29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<sst xmlns="http://schemas.openxmlformats.org/spreadsheetml/2006/main" count="10527" uniqueCount="39">
  <si>
    <t>Order Date</t>
  </si>
  <si>
    <t>Product Name</t>
  </si>
  <si>
    <t>Category</t>
  </si>
  <si>
    <t>Region</t>
  </si>
  <si>
    <t>Quantity</t>
  </si>
  <si>
    <t>Sales</t>
  </si>
  <si>
    <t>Profit</t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</si>
  <si>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</si>
  <si>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</si>
  <si>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</si>
  <si>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</si>
  <si>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</si>
  <si>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</si>
  <si>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</si>
  <si>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</si>
  <si>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</si>
  <si>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</si>
  <si>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</si>
  <si>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</si>
  <si>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</si>
  <si>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</si>
  <si>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</si>
  <si>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</si>
  <si>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</si>
  <si>
    <t>Margen_Neto</t>
  </si>
  <si>
    <t>Días_transcurridos_orden</t>
  </si>
  <si>
    <t>ProdUpper</t>
  </si>
  <si>
    <t>CatUpper</t>
  </si>
  <si>
    <t>Ext-Year</t>
  </si>
  <si>
    <t>Key_id</t>
  </si>
  <si>
    <t>Mid3Lett</t>
  </si>
  <si>
    <t>Analisis de Margen</t>
  </si>
  <si>
    <t>Invoice Number</t>
  </si>
  <si>
    <t>Buscador de ordenes</t>
  </si>
  <si>
    <t>Numero de factura (entrada)</t>
  </si>
  <si>
    <t>Order_date</t>
  </si>
  <si>
    <t>Product_Name</t>
  </si>
  <si>
    <t>1. XLOOKUP - Buscar una factura por su número</t>
  </si>
  <si>
    <t>2. VLOOKUP - Buscar la primera orden de una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</si>
</sst>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_(&quot;$&quot;* #,##0_);_(&quot;$&quot;* \(#,##0\);_(&quot;$&quot;* &quot;-&quot;??_);_(@_)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i/>
      <u/>
      <sz val="15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6" fillId="0" borderId="0" xfId="0" applyFont="1"/>
    <xf numFmtId="0" fontId="0" fillId="33" borderId="0" xfId="0" applyFill="1"/>
    <xf numFmtId="0" fontId="0" fillId="34" borderId="0" xfId="0" applyFill="1"/>
    <xf numFmtId="44" fontId="0" fillId="0" borderId="0" xfId="42" applyFont="1"/>
    <xf numFmtId="166" fontId="0" fillId="0" borderId="0" xfId="42" applyNumberFormat="1" applyFont="1"/>
    <xf numFmtId="0" fontId="17" fillId="34" borderId="0" xfId="0" applyFont="1" applyFill="1"/>
    <xf numFmtId="0" fontId="19" fillId="35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64" formatCode="&quot;$&quot;#,##0.00"/>
    </dxf>
    <dxf>
      <numFmt numFmtId="165" formatCode="&quot;$&quot;#,##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495300</xdr:colOff>
      <xdr:row>20</xdr:row>
      <xdr:rowOff>91439</xdr:rowOff>
    </xdr:from>
    <xdr:to>
      <xdr:col>13</xdr:col>
      <xdr:colOff>563880</xdr:colOff>
      <xdr:row>20</xdr:row>
      <xdr:rowOff>137158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C8FC2CE-D6F3-B95C-A180-9F8F23B19D11}"/>
            </a:ext>
          </a:extLst>
        </xdr:cNvPr>
        <xdr:cNvSpPr txBox="1"/>
      </xdr:nvSpPr>
      <xdr:spPr>
        <a:xfrm flipH="1" flipV="1">
          <a:off x="12733020" y="4053839"/>
          <a:ext cx="68580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0</xdr:row>
      <xdr:rowOff>121920</xdr:rowOff>
    </xdr:from>
    <xdr:to>
      <xdr:col>11</xdr:col>
      <xdr:colOff>609600</xdr:colOff>
      <xdr:row>3</xdr:row>
      <xdr:rowOff>45720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579EDDD-52A0-A2FF-14E0-816955F127CE}"/>
            </a:ext>
          </a:extLst>
        </xdr:cNvPr>
        <xdr:cNvSpPr txBox="1"/>
      </xdr:nvSpPr>
      <xdr:spPr>
        <a:xfrm>
          <a:off x="160020" y="121920"/>
          <a:ext cx="7825740" cy="518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>
              <a:solidFill>
                <a:srgbClr val="002060"/>
              </a:solidFill>
            </a:rPr>
            <a:t>=FILTER(Table1,(Category="Electronics")*(Profit&gt;500),"Sin</a:t>
          </a:r>
          <a:r>
            <a:rPr lang="en-US" sz="2000" baseline="0">
              <a:solidFill>
                <a:srgbClr val="002060"/>
              </a:solidFill>
            </a:rPr>
            <a:t> Resultados")</a:t>
          </a:r>
          <a:endParaRPr lang="en-US" sz="2000">
            <a:solidFill>
              <a:srgbClr val="00206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189841-D231-49C1-9801-9EE7A70D5CFD}" name="Master_ventas" displayName="Master_ventas" ref="A1:P3501" totalsRowShown="0">
  <autoFilter ref="A1:P3501" xr:uid="{E8189841-D231-49C1-9801-9EE7A70D5CFD}"/>
  <tableColumns count="16">
    <tableColumn id="1" xr3:uid="{00D9FD27-9815-47F2-B011-3158A060A78D}" name="Order Date" dataDxfId="11"/>
    <tableColumn id="2" xr3:uid="{BB62A227-B47A-44A9-86D0-2BC2FDC436CA}" name="Product Name"/>
    <tableColumn id="3" xr3:uid="{77336453-395A-4C82-85D3-82FF7FE7EC6D}" name="Category"/>
    <tableColumn id="4" xr3:uid="{50ABC20D-85D1-4F50-8CB2-884B650381F0}" name="Region"/>
    <tableColumn id="5" xr3:uid="{4D8FDFC9-2AF3-4734-940C-A3E71696DC39}" name="Quantity"/>
    <tableColumn id="6" xr3:uid="{84E702F4-45AF-4F0B-939F-71A6FD6C0684}" name="Sales" dataDxfId="10"/>
    <tableColumn id="7" xr3:uid="{F1915EAD-13B6-4700-80F1-D1CC81F6D54E}" name="Profit" dataDxfId="9"/>
    <tableColumn id="8" xr3:uid="{5EC67050-4AD2-451E-8A18-801FA4D073BB}" name="Margen_Neto" dataDxfId="8">
      <calculatedColumnFormula>Master_ventas[[#This Row],[Profit]]/Master_ventas[[#This Row],[Sales]]</calculatedColumnFormula>
    </tableColumn>
    <tableColumn id="9" xr3:uid="{5307FE73-C6AE-4AA3-A5A0-DA35811CD078}" name="Días_transcurridos_orden" dataDxfId="7">
      <calculatedColumnFormula>Referencia_Hoy-Master_ventas[[#This Row],[Order Date]]</calculatedColumnFormula>
    </tableColumn>
    <tableColumn id="10" xr3:uid="{5210D573-A3AD-4821-BEE7-E3497950D4DB}" name="ProdUpper" dataDxfId="6">
      <calculatedColumnFormula>UPPER(Master_ventas[[#This Row],[Product Name]])</calculatedColumnFormula>
    </tableColumn>
    <tableColumn id="11" xr3:uid="{79F2D061-4862-49F0-9825-C92E34B5E7CC}" name="CatUpper" dataDxfId="5">
      <calculatedColumnFormula>UPPER(Master_ventas[[#This Row],[Category]])</calculatedColumnFormula>
    </tableColumn>
    <tableColumn id="12" xr3:uid="{E01D8765-61B9-442F-9E1C-299D4BB902FA}" name="Ext-Year" dataDxfId="4">
      <calculatedColumnFormula>YEAR(Master_ventas[[#This Row],[Order Date]])</calculatedColumnFormula>
    </tableColumn>
    <tableColumn id="14" xr3:uid="{AB7A88A1-7BF4-427C-AA57-9C4CA5A5A633}" name="Key_id" dataDxfId="3">
      <calculatedColumnFormula>CONCATENATE(LEFT(Master_ventas[[#This Row],[ProdUpper]],3),RIGHT(Master_ventas[[#This Row],[Ext-Year]],2),"-",MID(Master_ventas[[#This Row],[Category]],1,1))</calculatedColumnFormula>
    </tableColumn>
    <tableColumn id="15" xr3:uid="{094A19A7-49B2-47FA-AE70-14B16CCEC532}" name="Mid3Lett" dataDxfId="2">
      <calculatedColumnFormula>MID(Master_ventas[[#This Row],[ProdUpper]],1,3)</calculatedColumnFormula>
    </tableColumn>
    <tableColumn id="16" xr3:uid="{D82DB881-44A9-410E-A5FB-5DBF65EB4316}" name="Analisis de Margen" dataDxfId="1">
      <calculatedColumnFormula>UPPER(IF(Master_ventas[[#This Row],[Profit]]&gt;500,"High","Std"))</calculatedColumnFormula>
    </tableColumn>
    <tableColumn id="17" xr3:uid="{F69D0A45-71EA-4238-9771-101300B5A1FA}" name="Invoice Number" dataDxfId="0"/>
  </tableColumns>
  <tableStyleInfo name="TableStyleDark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72F0C-E1EA-E045-9BCE-997F8EC0C42B}">
  <dimension ref="A1:P3509"/>
  <sheetViews>
    <sheetView topLeftCell="A2" workbookViewId="0">
      <selection activeCell="R8" sqref="R8"/>
    </sheetView>
  </sheetViews>
  <sheetFormatPr defaultColWidth="11.19921875" defaultRowHeight="15.6" x14ac:dyDescent="0.3"/>
  <cols>
    <col min="1" max="1" width="11.69921875" customWidth="1"/>
    <col min="2" max="2" width="14.5" customWidth="1"/>
    <col min="10" max="11" width="12.59765625" customWidth="1"/>
    <col min="15" max="15" width="19.398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</v>
      </c>
      <c r="I1" s="4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</row>
    <row r="2" spans="1:16" x14ac:dyDescent="0.3">
      <c r="A2" s="1">
        <v>45657</v>
      </c>
      <c r="B2" t="s">
        <v>7</v>
      </c>
      <c r="C2" t="s">
        <v>8</v>
      </c>
      <c r="D2" t="s">
        <v>9</v>
      </c>
      <c r="E2">
        <v>4</v>
      </c>
      <c r="F2" s="3">
        <v>3640</v>
      </c>
      <c r="G2" s="2">
        <v>348.93</v>
      </c>
      <c r="H2">
        <f>Master_ventas[[#This Row],[Profit]]/Master_ventas[[#This Row],[Sales]]</f>
        <v>9.5859890109890114E-2</v>
      </c>
      <c r="I2">
        <f ca="1">Referencia_Hoy-Master_ventas[[#This Row],[Order Date]]</f>
        <v>666</v>
      </c>
      <c r="J2" t="str">
        <f>UPPER(Master_ventas[[#This Row],[Product Name]])</f>
        <v>PRINTER</v>
      </c>
      <c r="K2" t="str">
        <f>UPPER(Master_ventas[[#This Row],[Category]])</f>
        <v>OFFICE</v>
      </c>
      <c r="L2">
        <f>YEAR(Master_ventas[[#This Row],[Order Date]])</f>
        <v>2024</v>
      </c>
      <c r="M2" t="str">
        <f>CONCATENATE(LEFT(Master_ventas[[#This Row],[ProdUpper]],3),RIGHT(Master_ventas[[#This Row],[Ext-Year]],2),"-",MID(Master_ventas[[#This Row],[Category]],1,1))</f>
        <v>PRI24-O</v>
      </c>
      <c r="N2" t="str">
        <f>MID(Master_ventas[[#This Row],[ProdUpper]],1,3)</f>
        <v>PRI</v>
      </c>
      <c r="O2" t="str">
        <f>UPPER(IF(Master_ventas[[#This Row],[Profit]]&gt;500,"High","Std"))</f>
        <v>STD</v>
      </c>
      <c r="P2">
        <v>1</v>
      </c>
    </row>
    <row r="3" spans="1:16" x14ac:dyDescent="0.3">
      <c r="A3" s="1">
        <v>44892</v>
      </c>
      <c r="B3" t="s">
        <v>10</v>
      </c>
      <c r="C3" t="s">
        <v>11</v>
      </c>
      <c r="D3" t="s">
        <v>12</v>
      </c>
      <c r="E3">
        <v>7</v>
      </c>
      <c r="F3" s="3">
        <v>1197</v>
      </c>
      <c r="G3" s="2">
        <v>106.53</v>
      </c>
      <c r="H3">
        <f>Master_ventas[[#This Row],[Profit]]/Master_ventas[[#This Row],[Sales]]</f>
        <v>8.8997493734335839E-2</v>
      </c>
      <c r="I3">
        <f ca="1">Referencia_Hoy-Master_ventas[[#This Row],[Order Date]]</f>
        <v>1431</v>
      </c>
      <c r="J3" t="str">
        <f>UPPER(Master_ventas[[#This Row],[Product Name]])</f>
        <v>MOUSE</v>
      </c>
      <c r="K3" t="str">
        <f>UPPER(Master_ventas[[#This Row],[Category]])</f>
        <v>ACCESSORIES</v>
      </c>
      <c r="L3">
        <f>YEAR(Master_ventas[[#This Row],[Order Date]])</f>
        <v>2022</v>
      </c>
      <c r="M3" t="str">
        <f>CONCATENATE(LEFT(Master_ventas[[#This Row],[ProdUpper]],3),RIGHT(Master_ventas[[#This Row],[Ext-Year]],2),"-",MID(Master_ventas[[#This Row],[Category]],1,1))</f>
        <v>MOU22-A</v>
      </c>
      <c r="N3" t="str">
        <f>MID(Master_ventas[[#This Row],[ProdUpper]],1,3)</f>
        <v>MOU</v>
      </c>
      <c r="O3" t="str">
        <f>UPPER(IF(Master_ventas[[#This Row],[Profit]]&gt;500,"High","Std"))</f>
        <v>STD</v>
      </c>
      <c r="P3">
        <v>2</v>
      </c>
    </row>
    <row r="4" spans="1:16" x14ac:dyDescent="0.3">
      <c r="A4" s="1">
        <v>44692</v>
      </c>
      <c r="B4" t="s">
        <v>13</v>
      </c>
      <c r="C4" t="s">
        <v>14</v>
      </c>
      <c r="D4" t="s">
        <v>15</v>
      </c>
      <c r="E4">
        <v>5</v>
      </c>
      <c r="F4" s="3">
        <v>5865</v>
      </c>
      <c r="G4" s="2">
        <v>502.73</v>
      </c>
      <c r="H4">
        <f>Master_ventas[[#This Row],[Profit]]/Master_ventas[[#This Row],[Sales]]</f>
        <v>8.5716965046888319E-2</v>
      </c>
      <c r="I4">
        <f ca="1">Referencia_Hoy-Master_ventas[[#This Row],[Order Date]]</f>
        <v>1631</v>
      </c>
      <c r="J4" t="str">
        <f>UPPER(Master_ventas[[#This Row],[Product Name]])</f>
        <v>TABLET</v>
      </c>
      <c r="K4" t="str">
        <f>UPPER(Master_ventas[[#This Row],[Category]])</f>
        <v>ELECTRONICS</v>
      </c>
      <c r="L4">
        <f>YEAR(Master_ventas[[#This Row],[Order Date]])</f>
        <v>2022</v>
      </c>
      <c r="M4" t="str">
        <f>CONCATENATE(LEFT(Master_ventas[[#This Row],[ProdUpper]],3),RIGHT(Master_ventas[[#This Row],[Ext-Year]],2),"-",MID(Master_ventas[[#This Row],[Category]],1,1))</f>
        <v>TAB22-E</v>
      </c>
      <c r="N4" t="str">
        <f>MID(Master_ventas[[#This Row],[ProdUpper]],1,3)</f>
        <v>TAB</v>
      </c>
      <c r="O4" t="str">
        <f>UPPER(IF(Master_ventas[[#This Row],[Profit]]&gt;500,"High","Std"))</f>
        <v>HIGH</v>
      </c>
      <c r="P4">
        <v>3</v>
      </c>
    </row>
    <row r="5" spans="1:16" x14ac:dyDescent="0.3">
      <c r="A5" s="1">
        <v>45367</v>
      </c>
      <c r="B5" t="s">
        <v>10</v>
      </c>
      <c r="C5" t="s">
        <v>11</v>
      </c>
      <c r="D5" t="s">
        <v>15</v>
      </c>
      <c r="E5">
        <v>2</v>
      </c>
      <c r="F5" s="3">
        <v>786</v>
      </c>
      <c r="G5" s="2">
        <v>202.87</v>
      </c>
      <c r="H5">
        <f>Master_ventas[[#This Row],[Profit]]/Master_ventas[[#This Row],[Sales]]</f>
        <v>0.25810432569974556</v>
      </c>
      <c r="I5">
        <f ca="1">Referencia_Hoy-Master_ventas[[#This Row],[Order Date]]</f>
        <v>956</v>
      </c>
      <c r="J5" t="str">
        <f>UPPER(Master_ventas[[#This Row],[Product Name]])</f>
        <v>MOUSE</v>
      </c>
      <c r="K5" t="str">
        <f>UPPER(Master_ventas[[#This Row],[Category]])</f>
        <v>ACCESSORIES</v>
      </c>
      <c r="L5">
        <f>YEAR(Master_ventas[[#This Row],[Order Date]])</f>
        <v>2024</v>
      </c>
      <c r="M5" t="str">
        <f>CONCATENATE(LEFT(Master_ventas[[#This Row],[ProdUpper]],3),RIGHT(Master_ventas[[#This Row],[Ext-Year]],2),"-",MID(Master_ventas[[#This Row],[Category]],1,1))</f>
        <v>MOU24-A</v>
      </c>
      <c r="N5" t="str">
        <f>MID(Master_ventas[[#This Row],[ProdUpper]],1,3)</f>
        <v>MOU</v>
      </c>
      <c r="O5" t="str">
        <f>UPPER(IF(Master_ventas[[#This Row],[Profit]]&gt;500,"High","Std"))</f>
        <v>STD</v>
      </c>
      <c r="P5">
        <v>4</v>
      </c>
    </row>
    <row r="6" spans="1:16" x14ac:dyDescent="0.3">
      <c r="A6" s="1">
        <v>44814</v>
      </c>
      <c r="B6" t="s">
        <v>10</v>
      </c>
      <c r="C6" t="s">
        <v>11</v>
      </c>
      <c r="D6" t="s">
        <v>16</v>
      </c>
      <c r="E6">
        <v>1</v>
      </c>
      <c r="F6" s="3">
        <v>509</v>
      </c>
      <c r="G6" s="2">
        <v>103.28</v>
      </c>
      <c r="H6">
        <f>Master_ventas[[#This Row],[Profit]]/Master_ventas[[#This Row],[Sales]]</f>
        <v>0.20290766208251473</v>
      </c>
      <c r="I6">
        <f ca="1">Referencia_Hoy-Master_ventas[[#This Row],[Order Date]]</f>
        <v>1509</v>
      </c>
      <c r="J6" t="str">
        <f>UPPER(Master_ventas[[#This Row],[Product Name]])</f>
        <v>MOUSE</v>
      </c>
      <c r="K6" t="str">
        <f>UPPER(Master_ventas[[#This Row],[Category]])</f>
        <v>ACCESSORIES</v>
      </c>
      <c r="L6">
        <f>YEAR(Master_ventas[[#This Row],[Order Date]])</f>
        <v>2022</v>
      </c>
      <c r="M6" t="str">
        <f>CONCATENATE(LEFT(Master_ventas[[#This Row],[ProdUpper]],3),RIGHT(Master_ventas[[#This Row],[Ext-Year]],2),"-",MID(Master_ventas[[#This Row],[Category]],1,1))</f>
        <v>MOU22-A</v>
      </c>
      <c r="N6" t="str">
        <f>MID(Master_ventas[[#This Row],[ProdUpper]],1,3)</f>
        <v>MOU</v>
      </c>
      <c r="O6" t="str">
        <f>UPPER(IF(Master_ventas[[#This Row],[Profit]]&gt;500,"High","Std"))</f>
        <v>STD</v>
      </c>
      <c r="P6">
        <v>5</v>
      </c>
    </row>
    <row r="7" spans="1:16" x14ac:dyDescent="0.3">
      <c r="A7" s="1">
        <v>45261</v>
      </c>
      <c r="B7" t="s">
        <v>17</v>
      </c>
      <c r="C7" t="s">
        <v>14</v>
      </c>
      <c r="D7" t="s">
        <v>16</v>
      </c>
      <c r="E7">
        <v>1</v>
      </c>
      <c r="F7" s="3">
        <v>524</v>
      </c>
      <c r="G7" s="2">
        <v>106.35</v>
      </c>
      <c r="H7">
        <f>Master_ventas[[#This Row],[Profit]]/Master_ventas[[#This Row],[Sales]]</f>
        <v>0.20295801526717555</v>
      </c>
      <c r="I7">
        <f ca="1">Referencia_Hoy-Master_ventas[[#This Row],[Order Date]]</f>
        <v>1062</v>
      </c>
      <c r="J7" t="str">
        <f>UPPER(Master_ventas[[#This Row],[Product Name]])</f>
        <v>CAMERA</v>
      </c>
      <c r="K7" t="str">
        <f>UPPER(Master_ventas[[#This Row],[Category]])</f>
        <v>ELECTRONICS</v>
      </c>
      <c r="L7">
        <f>YEAR(Master_ventas[[#This Row],[Order Date]])</f>
        <v>2023</v>
      </c>
      <c r="M7" t="str">
        <f>CONCATENATE(LEFT(Master_ventas[[#This Row],[ProdUpper]],3),RIGHT(Master_ventas[[#This Row],[Ext-Year]],2),"-",MID(Master_ventas[[#This Row],[Category]],1,1))</f>
        <v>CAM23-E</v>
      </c>
      <c r="N7" t="str">
        <f>MID(Master_ventas[[#This Row],[ProdUpper]],1,3)</f>
        <v>CAM</v>
      </c>
      <c r="O7" t="str">
        <f>UPPER(IF(Master_ventas[[#This Row],[Profit]]&gt;500,"High","Std"))</f>
        <v>STD</v>
      </c>
      <c r="P7">
        <v>6</v>
      </c>
    </row>
    <row r="8" spans="1:16" x14ac:dyDescent="0.3">
      <c r="A8" s="1">
        <v>45208</v>
      </c>
      <c r="B8" t="s">
        <v>18</v>
      </c>
      <c r="C8" t="s">
        <v>11</v>
      </c>
      <c r="D8" t="s">
        <v>9</v>
      </c>
      <c r="E8">
        <v>7</v>
      </c>
      <c r="F8" s="3">
        <v>6167</v>
      </c>
      <c r="G8" s="2">
        <v>1027.98</v>
      </c>
      <c r="H8">
        <f>Master_ventas[[#This Row],[Profit]]/Master_ventas[[#This Row],[Sales]]</f>
        <v>0.16669044916491002</v>
      </c>
      <c r="I8">
        <f ca="1">Referencia_Hoy-Master_ventas[[#This Row],[Order Date]]</f>
        <v>1115</v>
      </c>
      <c r="J8" t="str">
        <f>UPPER(Master_ventas[[#This Row],[Product Name]])</f>
        <v>HEADPHONES</v>
      </c>
      <c r="K8" t="str">
        <f>UPPER(Master_ventas[[#This Row],[Category]])</f>
        <v>ACCESSORIES</v>
      </c>
      <c r="L8">
        <f>YEAR(Master_ventas[[#This Row],[Order Date]])</f>
        <v>2023</v>
      </c>
      <c r="M8" t="str">
        <f>CONCATENATE(LEFT(Master_ventas[[#This Row],[ProdUpper]],3),RIGHT(Master_ventas[[#This Row],[Ext-Year]],2),"-",MID(Master_ventas[[#This Row],[Category]],1,1))</f>
        <v>HEA23-A</v>
      </c>
      <c r="N8" t="str">
        <f>MID(Master_ventas[[#This Row],[ProdUpper]],1,3)</f>
        <v>HEA</v>
      </c>
      <c r="O8" t="str">
        <f>UPPER(IF(Master_ventas[[#This Row],[Profit]]&gt;500,"High","Std"))</f>
        <v>HIGH</v>
      </c>
      <c r="P8">
        <v>7</v>
      </c>
    </row>
    <row r="9" spans="1:16" x14ac:dyDescent="0.3">
      <c r="A9" s="1">
        <v>44575</v>
      </c>
      <c r="B9" t="s">
        <v>17</v>
      </c>
      <c r="C9" t="s">
        <v>14</v>
      </c>
      <c r="D9" t="s">
        <v>15</v>
      </c>
      <c r="E9">
        <v>7</v>
      </c>
      <c r="F9" s="3">
        <v>3059</v>
      </c>
      <c r="G9" s="2">
        <v>873.5</v>
      </c>
      <c r="H9">
        <f>Master_ventas[[#This Row],[Profit]]/Master_ventas[[#This Row],[Sales]]</f>
        <v>0.28555083360575351</v>
      </c>
      <c r="I9">
        <f ca="1">Referencia_Hoy-Master_ventas[[#This Row],[Order Date]]</f>
        <v>1748</v>
      </c>
      <c r="J9" t="str">
        <f>UPPER(Master_ventas[[#This Row],[Product Name]])</f>
        <v>CAMERA</v>
      </c>
      <c r="K9" t="str">
        <f>UPPER(Master_ventas[[#This Row],[Category]])</f>
        <v>ELECTRONICS</v>
      </c>
      <c r="L9">
        <f>YEAR(Master_ventas[[#This Row],[Order Date]])</f>
        <v>2022</v>
      </c>
      <c r="M9" t="str">
        <f>CONCATENATE(LEFT(Master_ventas[[#This Row],[ProdUpper]],3),RIGHT(Master_ventas[[#This Row],[Ext-Year]],2),"-",MID(Master_ventas[[#This Row],[Category]],1,1))</f>
        <v>CAM22-E</v>
      </c>
      <c r="N9" t="str">
        <f>MID(Master_ventas[[#This Row],[ProdUpper]],1,3)</f>
        <v>CAM</v>
      </c>
      <c r="O9" t="str">
        <f>UPPER(IF(Master_ventas[[#This Row],[Profit]]&gt;500,"High","Std"))</f>
        <v>HIGH</v>
      </c>
      <c r="P9">
        <v>8</v>
      </c>
    </row>
    <row r="10" spans="1:16" x14ac:dyDescent="0.3">
      <c r="A10" s="1">
        <v>44653</v>
      </c>
      <c r="B10" t="s">
        <v>19</v>
      </c>
      <c r="C10" t="s">
        <v>14</v>
      </c>
      <c r="D10" t="s">
        <v>12</v>
      </c>
      <c r="E10">
        <v>9</v>
      </c>
      <c r="F10" s="3">
        <v>5526</v>
      </c>
      <c r="G10" s="2">
        <v>595.28</v>
      </c>
      <c r="H10">
        <f>Master_ventas[[#This Row],[Profit]]/Master_ventas[[#This Row],[Sales]]</f>
        <v>0.10772348896127397</v>
      </c>
      <c r="I10">
        <f ca="1">Referencia_Hoy-Master_ventas[[#This Row],[Order Date]]</f>
        <v>1670</v>
      </c>
      <c r="J10" t="str">
        <f>UPPER(Master_ventas[[#This Row],[Product Name]])</f>
        <v>SMARTWATCH</v>
      </c>
      <c r="K10" t="str">
        <f>UPPER(Master_ventas[[#This Row],[Category]])</f>
        <v>ELECTRONICS</v>
      </c>
      <c r="L10">
        <f>YEAR(Master_ventas[[#This Row],[Order Date]])</f>
        <v>2022</v>
      </c>
      <c r="M10" t="str">
        <f>CONCATENATE(LEFT(Master_ventas[[#This Row],[ProdUpper]],3),RIGHT(Master_ventas[[#This Row],[Ext-Year]],2),"-",MID(Master_ventas[[#This Row],[Category]],1,1))</f>
        <v>SMA22-E</v>
      </c>
      <c r="N10" t="str">
        <f>MID(Master_ventas[[#This Row],[ProdUpper]],1,3)</f>
        <v>SMA</v>
      </c>
      <c r="O10" t="str">
        <f>UPPER(IF(Master_ventas[[#This Row],[Profit]]&gt;500,"High","Std"))</f>
        <v>HIGH</v>
      </c>
      <c r="P10">
        <v>9</v>
      </c>
    </row>
    <row r="11" spans="1:16" x14ac:dyDescent="0.3">
      <c r="A11" s="1">
        <v>45587</v>
      </c>
      <c r="B11" t="s">
        <v>7</v>
      </c>
      <c r="C11" t="s">
        <v>8</v>
      </c>
      <c r="D11" t="s">
        <v>15</v>
      </c>
      <c r="E11">
        <v>8</v>
      </c>
      <c r="F11" s="3">
        <v>672</v>
      </c>
      <c r="G11" s="2">
        <v>186.37</v>
      </c>
      <c r="H11">
        <f>Master_ventas[[#This Row],[Profit]]/Master_ventas[[#This Row],[Sales]]</f>
        <v>0.27733630952380955</v>
      </c>
      <c r="I11">
        <f ca="1">Referencia_Hoy-Master_ventas[[#This Row],[Order Date]]</f>
        <v>736</v>
      </c>
      <c r="J11" t="str">
        <f>UPPER(Master_ventas[[#This Row],[Product Name]])</f>
        <v>PRINTER</v>
      </c>
      <c r="K11" t="str">
        <f>UPPER(Master_ventas[[#This Row],[Category]])</f>
        <v>OFFICE</v>
      </c>
      <c r="L11">
        <f>YEAR(Master_ventas[[#This Row],[Order Date]])</f>
        <v>2024</v>
      </c>
      <c r="M11" t="str">
        <f>CONCATENATE(LEFT(Master_ventas[[#This Row],[ProdUpper]],3),RIGHT(Master_ventas[[#This Row],[Ext-Year]],2),"-",MID(Master_ventas[[#This Row],[Category]],1,1))</f>
        <v>PRI24-O</v>
      </c>
      <c r="N11" t="str">
        <f>MID(Master_ventas[[#This Row],[ProdUpper]],1,3)</f>
        <v>PRI</v>
      </c>
      <c r="O11" t="str">
        <f>UPPER(IF(Master_ventas[[#This Row],[Profit]]&gt;500,"High","Std"))</f>
        <v>STD</v>
      </c>
      <c r="P11">
        <v>10</v>
      </c>
    </row>
    <row r="12" spans="1:16" x14ac:dyDescent="0.3">
      <c r="A12" s="1">
        <v>45264</v>
      </c>
      <c r="B12" t="s">
        <v>20</v>
      </c>
      <c r="C12" t="s">
        <v>11</v>
      </c>
      <c r="D12" t="s">
        <v>15</v>
      </c>
      <c r="E12">
        <v>6</v>
      </c>
      <c r="F12" s="3">
        <v>7074</v>
      </c>
      <c r="G12" s="2">
        <v>1357.68</v>
      </c>
      <c r="H12">
        <f>Master_ventas[[#This Row],[Profit]]/Master_ventas[[#This Row],[Sales]]</f>
        <v>0.1919253604749788</v>
      </c>
      <c r="I12">
        <f ca="1">Referencia_Hoy-Master_ventas[[#This Row],[Order Date]]</f>
        <v>1059</v>
      </c>
      <c r="J12" t="str">
        <f>UPPER(Master_ventas[[#This Row],[Product Name]])</f>
        <v>MONITOR</v>
      </c>
      <c r="K12" t="str">
        <f>UPPER(Master_ventas[[#This Row],[Category]])</f>
        <v>ACCESSORIES</v>
      </c>
      <c r="L12">
        <f>YEAR(Master_ventas[[#This Row],[Order Date]])</f>
        <v>2023</v>
      </c>
      <c r="M12" t="str">
        <f>CONCATENATE(LEFT(Master_ventas[[#This Row],[ProdUpper]],3),RIGHT(Master_ventas[[#This Row],[Ext-Year]],2),"-",MID(Master_ventas[[#This Row],[Category]],1,1))</f>
        <v>MON23-A</v>
      </c>
      <c r="N12" t="str">
        <f>MID(Master_ventas[[#This Row],[ProdUpper]],1,3)</f>
        <v>MON</v>
      </c>
      <c r="O12" t="str">
        <f>UPPER(IF(Master_ventas[[#This Row],[Profit]]&gt;500,"High","Std"))</f>
        <v>HIGH</v>
      </c>
      <c r="P12">
        <v>11</v>
      </c>
    </row>
    <row r="13" spans="1:16" x14ac:dyDescent="0.3">
      <c r="A13" s="1">
        <v>44831</v>
      </c>
      <c r="B13" t="s">
        <v>19</v>
      </c>
      <c r="C13" t="s">
        <v>14</v>
      </c>
      <c r="D13" t="s">
        <v>12</v>
      </c>
      <c r="E13">
        <v>2</v>
      </c>
      <c r="F13" s="3">
        <v>502</v>
      </c>
      <c r="G13" s="2">
        <v>137.4</v>
      </c>
      <c r="H13">
        <f>Master_ventas[[#This Row],[Profit]]/Master_ventas[[#This Row],[Sales]]</f>
        <v>0.27370517928286853</v>
      </c>
      <c r="I13">
        <f ca="1">Referencia_Hoy-Master_ventas[[#This Row],[Order Date]]</f>
        <v>1492</v>
      </c>
      <c r="J13" t="str">
        <f>UPPER(Master_ventas[[#This Row],[Product Name]])</f>
        <v>SMARTWATCH</v>
      </c>
      <c r="K13" t="str">
        <f>UPPER(Master_ventas[[#This Row],[Category]])</f>
        <v>ELECTRONICS</v>
      </c>
      <c r="L13">
        <f>YEAR(Master_ventas[[#This Row],[Order Date]])</f>
        <v>2022</v>
      </c>
      <c r="M13" t="str">
        <f>CONCATENATE(LEFT(Master_ventas[[#This Row],[ProdUpper]],3),RIGHT(Master_ventas[[#This Row],[Ext-Year]],2),"-",MID(Master_ventas[[#This Row],[Category]],1,1))</f>
        <v>SMA22-E</v>
      </c>
      <c r="N13" t="str">
        <f>MID(Master_ventas[[#This Row],[ProdUpper]],1,3)</f>
        <v>SMA</v>
      </c>
      <c r="O13" t="str">
        <f>UPPER(IF(Master_ventas[[#This Row],[Profit]]&gt;500,"High","Std"))</f>
        <v>STD</v>
      </c>
      <c r="P13">
        <v>12</v>
      </c>
    </row>
    <row r="14" spans="1:16" x14ac:dyDescent="0.3">
      <c r="A14" s="1">
        <v>45281</v>
      </c>
      <c r="B14" t="s">
        <v>13</v>
      </c>
      <c r="C14" t="s">
        <v>14</v>
      </c>
      <c r="D14" t="s">
        <v>9</v>
      </c>
      <c r="E14">
        <v>7</v>
      </c>
      <c r="F14" s="3">
        <v>7462</v>
      </c>
      <c r="G14" s="2">
        <v>2166.17</v>
      </c>
      <c r="H14">
        <f>Master_ventas[[#This Row],[Profit]]/Master_ventas[[#This Row],[Sales]]</f>
        <v>0.2902934870008041</v>
      </c>
      <c r="I14">
        <f ca="1">Referencia_Hoy-Master_ventas[[#This Row],[Order Date]]</f>
        <v>1042</v>
      </c>
      <c r="J14" t="str">
        <f>UPPER(Master_ventas[[#This Row],[Product Name]])</f>
        <v>TABLET</v>
      </c>
      <c r="K14" t="str">
        <f>UPPER(Master_ventas[[#This Row],[Category]])</f>
        <v>ELECTRONICS</v>
      </c>
      <c r="L14">
        <f>YEAR(Master_ventas[[#This Row],[Order Date]])</f>
        <v>2023</v>
      </c>
      <c r="M14" t="str">
        <f>CONCATENATE(LEFT(Master_ventas[[#This Row],[ProdUpper]],3),RIGHT(Master_ventas[[#This Row],[Ext-Year]],2),"-",MID(Master_ventas[[#This Row],[Category]],1,1))</f>
        <v>TAB23-E</v>
      </c>
      <c r="N14" t="str">
        <f>MID(Master_ventas[[#This Row],[ProdUpper]],1,3)</f>
        <v>TAB</v>
      </c>
      <c r="O14" t="str">
        <f>UPPER(IF(Master_ventas[[#This Row],[Profit]]&gt;500,"High","Std"))</f>
        <v>HIGH</v>
      </c>
      <c r="P14">
        <v>13</v>
      </c>
    </row>
    <row r="15" spans="1:16" x14ac:dyDescent="0.3">
      <c r="A15" s="1">
        <v>45325</v>
      </c>
      <c r="B15" t="s">
        <v>21</v>
      </c>
      <c r="C15" t="s">
        <v>14</v>
      </c>
      <c r="D15" t="s">
        <v>16</v>
      </c>
      <c r="E15">
        <v>5</v>
      </c>
      <c r="F15" s="3">
        <v>4205</v>
      </c>
      <c r="G15" s="2">
        <v>585.29</v>
      </c>
      <c r="H15">
        <f>Master_ventas[[#This Row],[Profit]]/Master_ventas[[#This Row],[Sales]]</f>
        <v>0.13918906064209274</v>
      </c>
      <c r="I15">
        <f ca="1">Referencia_Hoy-Master_ventas[[#This Row],[Order Date]]</f>
        <v>998</v>
      </c>
      <c r="J15" t="str">
        <f>UPPER(Master_ventas[[#This Row],[Product Name]])</f>
        <v>SMARTPHONE</v>
      </c>
      <c r="K15" t="str">
        <f>UPPER(Master_ventas[[#This Row],[Category]])</f>
        <v>ELECTRONICS</v>
      </c>
      <c r="L15">
        <f>YEAR(Master_ventas[[#This Row],[Order Date]])</f>
        <v>2024</v>
      </c>
      <c r="M15" t="str">
        <f>CONCATENATE(LEFT(Master_ventas[[#This Row],[ProdUpper]],3),RIGHT(Master_ventas[[#This Row],[Ext-Year]],2),"-",MID(Master_ventas[[#This Row],[Category]],1,1))</f>
        <v>SMA24-E</v>
      </c>
      <c r="N15" t="str">
        <f>MID(Master_ventas[[#This Row],[ProdUpper]],1,3)</f>
        <v>SMA</v>
      </c>
      <c r="O15" t="str">
        <f>UPPER(IF(Master_ventas[[#This Row],[Profit]]&gt;500,"High","Std"))</f>
        <v>HIGH</v>
      </c>
      <c r="P15">
        <v>14</v>
      </c>
    </row>
    <row r="16" spans="1:16" x14ac:dyDescent="0.3">
      <c r="A16" s="1">
        <v>45209</v>
      </c>
      <c r="B16" t="s">
        <v>17</v>
      </c>
      <c r="C16" t="s">
        <v>14</v>
      </c>
      <c r="D16" t="s">
        <v>16</v>
      </c>
      <c r="E16">
        <v>1</v>
      </c>
      <c r="F16" s="3">
        <v>570</v>
      </c>
      <c r="G16" s="2">
        <v>138.54</v>
      </c>
      <c r="H16">
        <f>Master_ventas[[#This Row],[Profit]]/Master_ventas[[#This Row],[Sales]]</f>
        <v>0.24305263157894735</v>
      </c>
      <c r="I16">
        <f ca="1">Referencia_Hoy-Master_ventas[[#This Row],[Order Date]]</f>
        <v>1114</v>
      </c>
      <c r="J16" t="str">
        <f>UPPER(Master_ventas[[#This Row],[Product Name]])</f>
        <v>CAMERA</v>
      </c>
      <c r="K16" t="str">
        <f>UPPER(Master_ventas[[#This Row],[Category]])</f>
        <v>ELECTRONICS</v>
      </c>
      <c r="L16">
        <f>YEAR(Master_ventas[[#This Row],[Order Date]])</f>
        <v>2023</v>
      </c>
      <c r="M16" t="str">
        <f>CONCATENATE(LEFT(Master_ventas[[#This Row],[ProdUpper]],3),RIGHT(Master_ventas[[#This Row],[Ext-Year]],2),"-",MID(Master_ventas[[#This Row],[Category]],1,1))</f>
        <v>CAM23-E</v>
      </c>
      <c r="N16" t="str">
        <f>MID(Master_ventas[[#This Row],[ProdUpper]],1,3)</f>
        <v>CAM</v>
      </c>
      <c r="O16" t="str">
        <f>UPPER(IF(Master_ventas[[#This Row],[Profit]]&gt;500,"High","Std"))</f>
        <v>STD</v>
      </c>
      <c r="P16">
        <v>15</v>
      </c>
    </row>
    <row r="17" spans="1:16" x14ac:dyDescent="0.3">
      <c r="A17" s="1">
        <v>44850</v>
      </c>
      <c r="B17" t="s">
        <v>18</v>
      </c>
      <c r="C17" t="s">
        <v>11</v>
      </c>
      <c r="D17" t="s">
        <v>12</v>
      </c>
      <c r="E17">
        <v>1</v>
      </c>
      <c r="F17" s="3">
        <v>441</v>
      </c>
      <c r="G17" s="2">
        <v>102.42</v>
      </c>
      <c r="H17">
        <f>Master_ventas[[#This Row],[Profit]]/Master_ventas[[#This Row],[Sales]]</f>
        <v>0.23224489795918368</v>
      </c>
      <c r="I17">
        <f ca="1">Referencia_Hoy-Master_ventas[[#This Row],[Order Date]]</f>
        <v>1473</v>
      </c>
      <c r="J17" t="str">
        <f>UPPER(Master_ventas[[#This Row],[Product Name]])</f>
        <v>HEADPHONES</v>
      </c>
      <c r="K17" t="str">
        <f>UPPER(Master_ventas[[#This Row],[Category]])</f>
        <v>ACCESSORIES</v>
      </c>
      <c r="L17">
        <f>YEAR(Master_ventas[[#This Row],[Order Date]])</f>
        <v>2022</v>
      </c>
      <c r="M17" t="str">
        <f>CONCATENATE(LEFT(Master_ventas[[#This Row],[ProdUpper]],3),RIGHT(Master_ventas[[#This Row],[Ext-Year]],2),"-",MID(Master_ventas[[#This Row],[Category]],1,1))</f>
        <v>HEA22-A</v>
      </c>
      <c r="N17" t="str">
        <f>MID(Master_ventas[[#This Row],[ProdUpper]],1,3)</f>
        <v>HEA</v>
      </c>
      <c r="O17" t="str">
        <f>UPPER(IF(Master_ventas[[#This Row],[Profit]]&gt;500,"High","Std"))</f>
        <v>STD</v>
      </c>
      <c r="P17">
        <v>16</v>
      </c>
    </row>
    <row r="18" spans="1:16" x14ac:dyDescent="0.3">
      <c r="A18" s="1">
        <v>44696</v>
      </c>
      <c r="B18" t="s">
        <v>10</v>
      </c>
      <c r="C18" t="s">
        <v>11</v>
      </c>
      <c r="D18" t="s">
        <v>9</v>
      </c>
      <c r="E18">
        <v>7</v>
      </c>
      <c r="F18" s="3">
        <v>7469</v>
      </c>
      <c r="G18" s="2">
        <v>589.80999999999995</v>
      </c>
      <c r="H18">
        <f>Master_ventas[[#This Row],[Profit]]/Master_ventas[[#This Row],[Sales]]</f>
        <v>7.8967733297630197E-2</v>
      </c>
      <c r="I18">
        <f ca="1">Referencia_Hoy-Master_ventas[[#This Row],[Order Date]]</f>
        <v>1627</v>
      </c>
      <c r="J18" t="str">
        <f>UPPER(Master_ventas[[#This Row],[Product Name]])</f>
        <v>MOUSE</v>
      </c>
      <c r="K18" t="str">
        <f>UPPER(Master_ventas[[#This Row],[Category]])</f>
        <v>ACCESSORIES</v>
      </c>
      <c r="L18">
        <f>YEAR(Master_ventas[[#This Row],[Order Date]])</f>
        <v>2022</v>
      </c>
      <c r="M18" t="str">
        <f>CONCATENATE(LEFT(Master_ventas[[#This Row],[ProdUpper]],3),RIGHT(Master_ventas[[#This Row],[Ext-Year]],2),"-",MID(Master_ventas[[#This Row],[Category]],1,1))</f>
        <v>MOU22-A</v>
      </c>
      <c r="N18" t="str">
        <f>MID(Master_ventas[[#This Row],[ProdUpper]],1,3)</f>
        <v>MOU</v>
      </c>
      <c r="O18" t="str">
        <f>UPPER(IF(Master_ventas[[#This Row],[Profit]]&gt;500,"High","Std"))</f>
        <v>HIGH</v>
      </c>
      <c r="P18">
        <v>17</v>
      </c>
    </row>
    <row r="19" spans="1:16" x14ac:dyDescent="0.3">
      <c r="A19" s="1">
        <v>44968</v>
      </c>
      <c r="B19" t="s">
        <v>13</v>
      </c>
      <c r="C19" t="s">
        <v>14</v>
      </c>
      <c r="D19" t="s">
        <v>15</v>
      </c>
      <c r="E19">
        <v>2</v>
      </c>
      <c r="F19" s="3">
        <v>2212</v>
      </c>
      <c r="G19" s="2">
        <v>145.75</v>
      </c>
      <c r="H19">
        <f>Master_ventas[[#This Row],[Profit]]/Master_ventas[[#This Row],[Sales]]</f>
        <v>6.5890596745027119E-2</v>
      </c>
      <c r="I19">
        <f ca="1">Referencia_Hoy-Master_ventas[[#This Row],[Order Date]]</f>
        <v>1355</v>
      </c>
      <c r="J19" t="str">
        <f>UPPER(Master_ventas[[#This Row],[Product Name]])</f>
        <v>TABLET</v>
      </c>
      <c r="K19" t="str">
        <f>UPPER(Master_ventas[[#This Row],[Category]])</f>
        <v>ELECTRONICS</v>
      </c>
      <c r="L19">
        <f>YEAR(Master_ventas[[#This Row],[Order Date]])</f>
        <v>2023</v>
      </c>
      <c r="M19" t="str">
        <f>CONCATENATE(LEFT(Master_ventas[[#This Row],[ProdUpper]],3),RIGHT(Master_ventas[[#This Row],[Ext-Year]],2),"-",MID(Master_ventas[[#This Row],[Category]],1,1))</f>
        <v>TAB23-E</v>
      </c>
      <c r="N19" t="str">
        <f>MID(Master_ventas[[#This Row],[ProdUpper]],1,3)</f>
        <v>TAB</v>
      </c>
      <c r="O19" t="str">
        <f>UPPER(IF(Master_ventas[[#This Row],[Profit]]&gt;500,"High","Std"))</f>
        <v>STD</v>
      </c>
      <c r="P19">
        <v>18</v>
      </c>
    </row>
    <row r="20" spans="1:16" x14ac:dyDescent="0.3">
      <c r="A20" s="1">
        <v>45287</v>
      </c>
      <c r="B20" t="s">
        <v>13</v>
      </c>
      <c r="C20" t="s">
        <v>14</v>
      </c>
      <c r="D20" t="s">
        <v>12</v>
      </c>
      <c r="E20">
        <v>5</v>
      </c>
      <c r="F20" s="3">
        <v>740</v>
      </c>
      <c r="G20" s="2">
        <v>146.38999999999999</v>
      </c>
      <c r="H20">
        <f>Master_ventas[[#This Row],[Profit]]/Master_ventas[[#This Row],[Sales]]</f>
        <v>0.19782432432432431</v>
      </c>
      <c r="I20">
        <f ca="1">Referencia_Hoy-Master_ventas[[#This Row],[Order Date]]</f>
        <v>1036</v>
      </c>
      <c r="J20" t="str">
        <f>UPPER(Master_ventas[[#This Row],[Product Name]])</f>
        <v>TABLET</v>
      </c>
      <c r="K20" t="str">
        <f>UPPER(Master_ventas[[#This Row],[Category]])</f>
        <v>ELECTRONICS</v>
      </c>
      <c r="L20">
        <f>YEAR(Master_ventas[[#This Row],[Order Date]])</f>
        <v>2023</v>
      </c>
      <c r="M20" t="str">
        <f>CONCATENATE(LEFT(Master_ventas[[#This Row],[ProdUpper]],3),RIGHT(Master_ventas[[#This Row],[Ext-Year]],2),"-",MID(Master_ventas[[#This Row],[Category]],1,1))</f>
        <v>TAB23-E</v>
      </c>
      <c r="N20" t="str">
        <f>MID(Master_ventas[[#This Row],[ProdUpper]],1,3)</f>
        <v>TAB</v>
      </c>
      <c r="O20" t="str">
        <f>UPPER(IF(Master_ventas[[#This Row],[Profit]]&gt;500,"High","Std"))</f>
        <v>STD</v>
      </c>
      <c r="P20">
        <v>19</v>
      </c>
    </row>
    <row r="21" spans="1:16" x14ac:dyDescent="0.3">
      <c r="A21" s="1">
        <v>45204</v>
      </c>
      <c r="B21" t="s">
        <v>18</v>
      </c>
      <c r="C21" t="s">
        <v>11</v>
      </c>
      <c r="D21" t="s">
        <v>9</v>
      </c>
      <c r="E21">
        <v>1</v>
      </c>
      <c r="F21" s="3">
        <v>662</v>
      </c>
      <c r="G21" s="2">
        <v>193.92</v>
      </c>
      <c r="H21">
        <f>Master_ventas[[#This Row],[Profit]]/Master_ventas[[#This Row],[Sales]]</f>
        <v>0.29293051359516614</v>
      </c>
      <c r="I21">
        <f ca="1">Referencia_Hoy-Master_ventas[[#This Row],[Order Date]]</f>
        <v>1119</v>
      </c>
      <c r="J21" t="str">
        <f>UPPER(Master_ventas[[#This Row],[Product Name]])</f>
        <v>HEADPHONES</v>
      </c>
      <c r="K21" t="str">
        <f>UPPER(Master_ventas[[#This Row],[Category]])</f>
        <v>ACCESSORIES</v>
      </c>
      <c r="L21">
        <f>YEAR(Master_ventas[[#This Row],[Order Date]])</f>
        <v>2023</v>
      </c>
      <c r="M21" t="str">
        <f>CONCATENATE(LEFT(Master_ventas[[#This Row],[ProdUpper]],3),RIGHT(Master_ventas[[#This Row],[Ext-Year]],2),"-",MID(Master_ventas[[#This Row],[Category]],1,1))</f>
        <v>HEA23-A</v>
      </c>
      <c r="N21" t="str">
        <f>MID(Master_ventas[[#This Row],[ProdUpper]],1,3)</f>
        <v>HEA</v>
      </c>
      <c r="O21" t="str">
        <f>UPPER(IF(Master_ventas[[#This Row],[Profit]]&gt;500,"High","Std"))</f>
        <v>STD</v>
      </c>
      <c r="P21">
        <v>20</v>
      </c>
    </row>
    <row r="22" spans="1:16" x14ac:dyDescent="0.3">
      <c r="A22" s="1">
        <v>45356</v>
      </c>
      <c r="B22" t="s">
        <v>10</v>
      </c>
      <c r="C22" t="s">
        <v>11</v>
      </c>
      <c r="D22" t="s">
        <v>9</v>
      </c>
      <c r="E22">
        <v>7</v>
      </c>
      <c r="F22" s="3">
        <v>5712</v>
      </c>
      <c r="G22" s="2">
        <v>651.27</v>
      </c>
      <c r="H22">
        <f>Master_ventas[[#This Row],[Profit]]/Master_ventas[[#This Row],[Sales]]</f>
        <v>0.11401785714285714</v>
      </c>
      <c r="I22">
        <f ca="1">Referencia_Hoy-Master_ventas[[#This Row],[Order Date]]</f>
        <v>967</v>
      </c>
      <c r="J22" t="str">
        <f>UPPER(Master_ventas[[#This Row],[Product Name]])</f>
        <v>MOUSE</v>
      </c>
      <c r="K22" t="str">
        <f>UPPER(Master_ventas[[#This Row],[Category]])</f>
        <v>ACCESSORIES</v>
      </c>
      <c r="L22">
        <f>YEAR(Master_ventas[[#This Row],[Order Date]])</f>
        <v>2024</v>
      </c>
      <c r="M22" t="str">
        <f>CONCATENATE(LEFT(Master_ventas[[#This Row],[ProdUpper]],3),RIGHT(Master_ventas[[#This Row],[Ext-Year]],2),"-",MID(Master_ventas[[#This Row],[Category]],1,1))</f>
        <v>MOU24-A</v>
      </c>
      <c r="N22" t="str">
        <f>MID(Master_ventas[[#This Row],[ProdUpper]],1,3)</f>
        <v>MOU</v>
      </c>
      <c r="O22" t="str">
        <f>UPPER(IF(Master_ventas[[#This Row],[Profit]]&gt;500,"High","Std"))</f>
        <v>HIGH</v>
      </c>
      <c r="P22">
        <v>21</v>
      </c>
    </row>
    <row r="23" spans="1:16" x14ac:dyDescent="0.3">
      <c r="A23" s="1">
        <v>45125</v>
      </c>
      <c r="B23" t="s">
        <v>19</v>
      </c>
      <c r="C23" t="s">
        <v>14</v>
      </c>
      <c r="D23" t="s">
        <v>9</v>
      </c>
      <c r="E23">
        <v>3</v>
      </c>
      <c r="F23" s="3">
        <v>2739</v>
      </c>
      <c r="G23" s="2">
        <v>572.73</v>
      </c>
      <c r="H23">
        <f>Master_ventas[[#This Row],[Profit]]/Master_ventas[[#This Row],[Sales]]</f>
        <v>0.20910186199342826</v>
      </c>
      <c r="I23">
        <f ca="1">Referencia_Hoy-Master_ventas[[#This Row],[Order Date]]</f>
        <v>1198</v>
      </c>
      <c r="J23" t="str">
        <f>UPPER(Master_ventas[[#This Row],[Product Name]])</f>
        <v>SMARTWATCH</v>
      </c>
      <c r="K23" t="str">
        <f>UPPER(Master_ventas[[#This Row],[Category]])</f>
        <v>ELECTRONICS</v>
      </c>
      <c r="L23">
        <f>YEAR(Master_ventas[[#This Row],[Order Date]])</f>
        <v>2023</v>
      </c>
      <c r="M23" t="str">
        <f>CONCATENATE(LEFT(Master_ventas[[#This Row],[ProdUpper]],3),RIGHT(Master_ventas[[#This Row],[Ext-Year]],2),"-",MID(Master_ventas[[#This Row],[Category]],1,1))</f>
        <v>SMA23-E</v>
      </c>
      <c r="N23" t="str">
        <f>MID(Master_ventas[[#This Row],[ProdUpper]],1,3)</f>
        <v>SMA</v>
      </c>
      <c r="O23" t="str">
        <f>UPPER(IF(Master_ventas[[#This Row],[Profit]]&gt;500,"High","Std"))</f>
        <v>HIGH</v>
      </c>
      <c r="P23">
        <v>22</v>
      </c>
    </row>
    <row r="24" spans="1:16" x14ac:dyDescent="0.3">
      <c r="A24" s="1">
        <v>45102</v>
      </c>
      <c r="B24" t="s">
        <v>22</v>
      </c>
      <c r="C24" t="s">
        <v>11</v>
      </c>
      <c r="D24" t="s">
        <v>16</v>
      </c>
      <c r="E24">
        <v>5</v>
      </c>
      <c r="F24" s="3">
        <v>1400</v>
      </c>
      <c r="G24" s="2">
        <v>213.63</v>
      </c>
      <c r="H24">
        <f>Master_ventas[[#This Row],[Profit]]/Master_ventas[[#This Row],[Sales]]</f>
        <v>0.15259285714285714</v>
      </c>
      <c r="I24">
        <f ca="1">Referencia_Hoy-Master_ventas[[#This Row],[Order Date]]</f>
        <v>1221</v>
      </c>
      <c r="J24" t="str">
        <f>UPPER(Master_ventas[[#This Row],[Product Name]])</f>
        <v>KEYBOARD</v>
      </c>
      <c r="K24" t="str">
        <f>UPPER(Master_ventas[[#This Row],[Category]])</f>
        <v>ACCESSORIES</v>
      </c>
      <c r="L24">
        <f>YEAR(Master_ventas[[#This Row],[Order Date]])</f>
        <v>2023</v>
      </c>
      <c r="M24" t="str">
        <f>CONCATENATE(LEFT(Master_ventas[[#This Row],[ProdUpper]],3),RIGHT(Master_ventas[[#This Row],[Ext-Year]],2),"-",MID(Master_ventas[[#This Row],[Category]],1,1))</f>
        <v>KEY23-A</v>
      </c>
      <c r="N24" t="str">
        <f>MID(Master_ventas[[#This Row],[ProdUpper]],1,3)</f>
        <v>KEY</v>
      </c>
      <c r="O24" t="str">
        <f>UPPER(IF(Master_ventas[[#This Row],[Profit]]&gt;500,"High","Std"))</f>
        <v>STD</v>
      </c>
      <c r="P24">
        <v>23</v>
      </c>
    </row>
    <row r="25" spans="1:16" x14ac:dyDescent="0.3">
      <c r="A25" s="1">
        <v>45243</v>
      </c>
      <c r="B25" t="s">
        <v>7</v>
      </c>
      <c r="C25" t="s">
        <v>8</v>
      </c>
      <c r="D25" t="s">
        <v>9</v>
      </c>
      <c r="E25">
        <v>3</v>
      </c>
      <c r="F25" s="3">
        <v>3477</v>
      </c>
      <c r="G25" s="2">
        <v>939.2</v>
      </c>
      <c r="H25">
        <f>Master_ventas[[#This Row],[Profit]]/Master_ventas[[#This Row],[Sales]]</f>
        <v>0.27011791774518262</v>
      </c>
      <c r="I25">
        <f ca="1">Referencia_Hoy-Master_ventas[[#This Row],[Order Date]]</f>
        <v>1080</v>
      </c>
      <c r="J25" t="str">
        <f>UPPER(Master_ventas[[#This Row],[Product Name]])</f>
        <v>PRINTER</v>
      </c>
      <c r="K25" t="str">
        <f>UPPER(Master_ventas[[#This Row],[Category]])</f>
        <v>OFFICE</v>
      </c>
      <c r="L25">
        <f>YEAR(Master_ventas[[#This Row],[Order Date]])</f>
        <v>2023</v>
      </c>
      <c r="M25" t="str">
        <f>CONCATENATE(LEFT(Master_ventas[[#This Row],[ProdUpper]],3),RIGHT(Master_ventas[[#This Row],[Ext-Year]],2),"-",MID(Master_ventas[[#This Row],[Category]],1,1))</f>
        <v>PRI23-O</v>
      </c>
      <c r="N25" t="str">
        <f>MID(Master_ventas[[#This Row],[ProdUpper]],1,3)</f>
        <v>PRI</v>
      </c>
      <c r="O25" t="str">
        <f>UPPER(IF(Master_ventas[[#This Row],[Profit]]&gt;500,"High","Std"))</f>
        <v>HIGH</v>
      </c>
      <c r="P25">
        <v>24</v>
      </c>
    </row>
    <row r="26" spans="1:16" x14ac:dyDescent="0.3">
      <c r="A26" s="1">
        <v>44751</v>
      </c>
      <c r="B26" t="s">
        <v>17</v>
      </c>
      <c r="C26" t="s">
        <v>14</v>
      </c>
      <c r="D26" t="s">
        <v>9</v>
      </c>
      <c r="E26">
        <v>5</v>
      </c>
      <c r="F26" s="3">
        <v>3475</v>
      </c>
      <c r="G26" s="2">
        <v>570.36</v>
      </c>
      <c r="H26">
        <f>Master_ventas[[#This Row],[Profit]]/Master_ventas[[#This Row],[Sales]]</f>
        <v>0.16413237410071943</v>
      </c>
      <c r="I26">
        <f ca="1">Referencia_Hoy-Master_ventas[[#This Row],[Order Date]]</f>
        <v>1572</v>
      </c>
      <c r="J26" t="str">
        <f>UPPER(Master_ventas[[#This Row],[Product Name]])</f>
        <v>CAMERA</v>
      </c>
      <c r="K26" t="str">
        <f>UPPER(Master_ventas[[#This Row],[Category]])</f>
        <v>ELECTRONICS</v>
      </c>
      <c r="L26">
        <f>YEAR(Master_ventas[[#This Row],[Order Date]])</f>
        <v>2022</v>
      </c>
      <c r="M26" t="str">
        <f>CONCATENATE(LEFT(Master_ventas[[#This Row],[ProdUpper]],3),RIGHT(Master_ventas[[#This Row],[Ext-Year]],2),"-",MID(Master_ventas[[#This Row],[Category]],1,1))</f>
        <v>CAM22-E</v>
      </c>
      <c r="N26" t="str">
        <f>MID(Master_ventas[[#This Row],[ProdUpper]],1,3)</f>
        <v>CAM</v>
      </c>
      <c r="O26" t="str">
        <f>UPPER(IF(Master_ventas[[#This Row],[Profit]]&gt;500,"High","Std"))</f>
        <v>HIGH</v>
      </c>
      <c r="P26">
        <v>25</v>
      </c>
    </row>
    <row r="27" spans="1:16" x14ac:dyDescent="0.3">
      <c r="A27" s="1">
        <v>45271</v>
      </c>
      <c r="B27" t="s">
        <v>23</v>
      </c>
      <c r="C27" t="s">
        <v>14</v>
      </c>
      <c r="D27" t="s">
        <v>16</v>
      </c>
      <c r="E27">
        <v>9</v>
      </c>
      <c r="F27" s="3">
        <v>6138</v>
      </c>
      <c r="G27" s="2">
        <v>1562.14</v>
      </c>
      <c r="H27">
        <f>Master_ventas[[#This Row],[Profit]]/Master_ventas[[#This Row],[Sales]]</f>
        <v>0.25450309547083744</v>
      </c>
      <c r="I27">
        <f ca="1">Referencia_Hoy-Master_ventas[[#This Row],[Order Date]]</f>
        <v>1052</v>
      </c>
      <c r="J27" t="str">
        <f>UPPER(Master_ventas[[#This Row],[Product Name]])</f>
        <v>LAPTOP</v>
      </c>
      <c r="K27" t="str">
        <f>UPPER(Master_ventas[[#This Row],[Category]])</f>
        <v>ELECTRONICS</v>
      </c>
      <c r="L27">
        <f>YEAR(Master_ventas[[#This Row],[Order Date]])</f>
        <v>2023</v>
      </c>
      <c r="M27" t="str">
        <f>CONCATENATE(LEFT(Master_ventas[[#This Row],[ProdUpper]],3),RIGHT(Master_ventas[[#This Row],[Ext-Year]],2),"-",MID(Master_ventas[[#This Row],[Category]],1,1))</f>
        <v>LAP23-E</v>
      </c>
      <c r="N27" t="str">
        <f>MID(Master_ventas[[#This Row],[ProdUpper]],1,3)</f>
        <v>LAP</v>
      </c>
      <c r="O27" t="str">
        <f>UPPER(IF(Master_ventas[[#This Row],[Profit]]&gt;500,"High","Std"))</f>
        <v>HIGH</v>
      </c>
      <c r="P27">
        <v>26</v>
      </c>
    </row>
    <row r="28" spans="1:16" x14ac:dyDescent="0.3">
      <c r="A28" s="1">
        <v>45003</v>
      </c>
      <c r="B28" t="s">
        <v>17</v>
      </c>
      <c r="C28" t="s">
        <v>14</v>
      </c>
      <c r="D28" t="s">
        <v>16</v>
      </c>
      <c r="E28">
        <v>5</v>
      </c>
      <c r="F28" s="3">
        <v>3665</v>
      </c>
      <c r="G28" s="2">
        <v>406.93</v>
      </c>
      <c r="H28">
        <f>Master_ventas[[#This Row],[Profit]]/Master_ventas[[#This Row],[Sales]]</f>
        <v>0.11103137789904502</v>
      </c>
      <c r="I28">
        <f ca="1">Referencia_Hoy-Master_ventas[[#This Row],[Order Date]]</f>
        <v>1320</v>
      </c>
      <c r="J28" t="str">
        <f>UPPER(Master_ventas[[#This Row],[Product Name]])</f>
        <v>CAMERA</v>
      </c>
      <c r="K28" t="str">
        <f>UPPER(Master_ventas[[#This Row],[Category]])</f>
        <v>ELECTRONICS</v>
      </c>
      <c r="L28">
        <f>YEAR(Master_ventas[[#This Row],[Order Date]])</f>
        <v>2023</v>
      </c>
      <c r="M28" t="str">
        <f>CONCATENATE(LEFT(Master_ventas[[#This Row],[ProdUpper]],3),RIGHT(Master_ventas[[#This Row],[Ext-Year]],2),"-",MID(Master_ventas[[#This Row],[Category]],1,1))</f>
        <v>CAM23-E</v>
      </c>
      <c r="N28" t="str">
        <f>MID(Master_ventas[[#This Row],[ProdUpper]],1,3)</f>
        <v>CAM</v>
      </c>
      <c r="O28" t="str">
        <f>UPPER(IF(Master_ventas[[#This Row],[Profit]]&gt;500,"High","Std"))</f>
        <v>STD</v>
      </c>
      <c r="P28">
        <v>27</v>
      </c>
    </row>
    <row r="29" spans="1:16" x14ac:dyDescent="0.3">
      <c r="A29" s="1">
        <v>45513</v>
      </c>
      <c r="B29" t="s">
        <v>7</v>
      </c>
      <c r="C29" t="s">
        <v>8</v>
      </c>
      <c r="D29" t="s">
        <v>9</v>
      </c>
      <c r="E29">
        <v>2</v>
      </c>
      <c r="F29" s="3">
        <v>2372</v>
      </c>
      <c r="G29" s="2">
        <v>206.42</v>
      </c>
      <c r="H29">
        <f>Master_ventas[[#This Row],[Profit]]/Master_ventas[[#This Row],[Sales]]</f>
        <v>8.7023608768971333E-2</v>
      </c>
      <c r="I29">
        <f ca="1">Referencia_Hoy-Master_ventas[[#This Row],[Order Date]]</f>
        <v>810</v>
      </c>
      <c r="J29" t="str">
        <f>UPPER(Master_ventas[[#This Row],[Product Name]])</f>
        <v>PRINTER</v>
      </c>
      <c r="K29" t="str">
        <f>UPPER(Master_ventas[[#This Row],[Category]])</f>
        <v>OFFICE</v>
      </c>
      <c r="L29">
        <f>YEAR(Master_ventas[[#This Row],[Order Date]])</f>
        <v>2024</v>
      </c>
      <c r="M29" t="str">
        <f>CONCATENATE(LEFT(Master_ventas[[#This Row],[ProdUpper]],3),RIGHT(Master_ventas[[#This Row],[Ext-Year]],2),"-",MID(Master_ventas[[#This Row],[Category]],1,1))</f>
        <v>PRI24-O</v>
      </c>
      <c r="N29" t="str">
        <f>MID(Master_ventas[[#This Row],[ProdUpper]],1,3)</f>
        <v>PRI</v>
      </c>
      <c r="O29" t="str">
        <f>UPPER(IF(Master_ventas[[#This Row],[Profit]]&gt;500,"High","Std"))</f>
        <v>STD</v>
      </c>
      <c r="P29">
        <v>28</v>
      </c>
    </row>
    <row r="30" spans="1:16" x14ac:dyDescent="0.3">
      <c r="A30" s="1">
        <v>45416</v>
      </c>
      <c r="B30" t="s">
        <v>23</v>
      </c>
      <c r="C30" t="s">
        <v>14</v>
      </c>
      <c r="D30" t="s">
        <v>9</v>
      </c>
      <c r="E30">
        <v>2</v>
      </c>
      <c r="F30" s="3">
        <v>1382</v>
      </c>
      <c r="G30" s="2">
        <v>211.11</v>
      </c>
      <c r="H30">
        <f>Master_ventas[[#This Row],[Profit]]/Master_ventas[[#This Row],[Sales]]</f>
        <v>0.15275687409551375</v>
      </c>
      <c r="I30">
        <f ca="1">Referencia_Hoy-Master_ventas[[#This Row],[Order Date]]</f>
        <v>907</v>
      </c>
      <c r="J30" t="str">
        <f>UPPER(Master_ventas[[#This Row],[Product Name]])</f>
        <v>LAPTOP</v>
      </c>
      <c r="K30" t="str">
        <f>UPPER(Master_ventas[[#This Row],[Category]])</f>
        <v>ELECTRONICS</v>
      </c>
      <c r="L30">
        <f>YEAR(Master_ventas[[#This Row],[Order Date]])</f>
        <v>2024</v>
      </c>
      <c r="M30" t="str">
        <f>CONCATENATE(LEFT(Master_ventas[[#This Row],[ProdUpper]],3),RIGHT(Master_ventas[[#This Row],[Ext-Year]],2),"-",MID(Master_ventas[[#This Row],[Category]],1,1))</f>
        <v>LAP24-E</v>
      </c>
      <c r="N30" t="str">
        <f>MID(Master_ventas[[#This Row],[ProdUpper]],1,3)</f>
        <v>LAP</v>
      </c>
      <c r="O30" t="str">
        <f>UPPER(IF(Master_ventas[[#This Row],[Profit]]&gt;500,"High","Std"))</f>
        <v>STD</v>
      </c>
      <c r="P30">
        <v>29</v>
      </c>
    </row>
    <row r="31" spans="1:16" x14ac:dyDescent="0.3">
      <c r="A31" s="1">
        <v>44808</v>
      </c>
      <c r="B31" t="s">
        <v>23</v>
      </c>
      <c r="C31" t="s">
        <v>14</v>
      </c>
      <c r="D31" t="s">
        <v>16</v>
      </c>
      <c r="E31">
        <v>1</v>
      </c>
      <c r="F31" s="3">
        <v>1126</v>
      </c>
      <c r="G31" s="2">
        <v>194.08</v>
      </c>
      <c r="H31">
        <f>Master_ventas[[#This Row],[Profit]]/Master_ventas[[#This Row],[Sales]]</f>
        <v>0.17236234458259325</v>
      </c>
      <c r="I31">
        <f ca="1">Referencia_Hoy-Master_ventas[[#This Row],[Order Date]]</f>
        <v>1515</v>
      </c>
      <c r="J31" t="str">
        <f>UPPER(Master_ventas[[#This Row],[Product Name]])</f>
        <v>LAPTOP</v>
      </c>
      <c r="K31" t="str">
        <f>UPPER(Master_ventas[[#This Row],[Category]])</f>
        <v>ELECTRONICS</v>
      </c>
      <c r="L31">
        <f>YEAR(Master_ventas[[#This Row],[Order Date]])</f>
        <v>2022</v>
      </c>
      <c r="M31" t="str">
        <f>CONCATENATE(LEFT(Master_ventas[[#This Row],[ProdUpper]],3),RIGHT(Master_ventas[[#This Row],[Ext-Year]],2),"-",MID(Master_ventas[[#This Row],[Category]],1,1))</f>
        <v>LAP22-E</v>
      </c>
      <c r="N31" t="str">
        <f>MID(Master_ventas[[#This Row],[ProdUpper]],1,3)</f>
        <v>LAP</v>
      </c>
      <c r="O31" t="str">
        <f>UPPER(IF(Master_ventas[[#This Row],[Profit]]&gt;500,"High","Std"))</f>
        <v>STD</v>
      </c>
      <c r="P31">
        <v>30</v>
      </c>
    </row>
    <row r="32" spans="1:16" x14ac:dyDescent="0.3">
      <c r="A32" s="1">
        <v>44855</v>
      </c>
      <c r="B32" t="s">
        <v>7</v>
      </c>
      <c r="C32" t="s">
        <v>8</v>
      </c>
      <c r="D32" t="s">
        <v>16</v>
      </c>
      <c r="E32">
        <v>8</v>
      </c>
      <c r="F32" s="3">
        <v>1376</v>
      </c>
      <c r="G32" s="2">
        <v>152.1</v>
      </c>
      <c r="H32">
        <f>Master_ventas[[#This Row],[Profit]]/Master_ventas[[#This Row],[Sales]]</f>
        <v>0.11053779069767442</v>
      </c>
      <c r="I32">
        <f ca="1">Referencia_Hoy-Master_ventas[[#This Row],[Order Date]]</f>
        <v>1468</v>
      </c>
      <c r="J32" t="str">
        <f>UPPER(Master_ventas[[#This Row],[Product Name]])</f>
        <v>PRINTER</v>
      </c>
      <c r="K32" t="str">
        <f>UPPER(Master_ventas[[#This Row],[Category]])</f>
        <v>OFFICE</v>
      </c>
      <c r="L32">
        <f>YEAR(Master_ventas[[#This Row],[Order Date]])</f>
        <v>2022</v>
      </c>
      <c r="M32" t="str">
        <f>CONCATENATE(LEFT(Master_ventas[[#This Row],[ProdUpper]],3),RIGHT(Master_ventas[[#This Row],[Ext-Year]],2),"-",MID(Master_ventas[[#This Row],[Category]],1,1))</f>
        <v>PRI22-O</v>
      </c>
      <c r="N32" t="str">
        <f>MID(Master_ventas[[#This Row],[ProdUpper]],1,3)</f>
        <v>PRI</v>
      </c>
      <c r="O32" t="str">
        <f>UPPER(IF(Master_ventas[[#This Row],[Profit]]&gt;500,"High","Std"))</f>
        <v>STD</v>
      </c>
      <c r="P32">
        <v>31</v>
      </c>
    </row>
    <row r="33" spans="1:16" x14ac:dyDescent="0.3">
      <c r="A33" s="1">
        <v>45313</v>
      </c>
      <c r="B33" t="s">
        <v>10</v>
      </c>
      <c r="C33" t="s">
        <v>11</v>
      </c>
      <c r="D33" t="s">
        <v>16</v>
      </c>
      <c r="E33">
        <v>4</v>
      </c>
      <c r="F33" s="3">
        <v>988</v>
      </c>
      <c r="G33" s="2">
        <v>147.91</v>
      </c>
      <c r="H33">
        <f>Master_ventas[[#This Row],[Profit]]/Master_ventas[[#This Row],[Sales]]</f>
        <v>0.14970647773279352</v>
      </c>
      <c r="I33">
        <f ca="1">Referencia_Hoy-Master_ventas[[#This Row],[Order Date]]</f>
        <v>1010</v>
      </c>
      <c r="J33" t="str">
        <f>UPPER(Master_ventas[[#This Row],[Product Name]])</f>
        <v>MOUSE</v>
      </c>
      <c r="K33" t="str">
        <f>UPPER(Master_ventas[[#This Row],[Category]])</f>
        <v>ACCESSORIES</v>
      </c>
      <c r="L33">
        <f>YEAR(Master_ventas[[#This Row],[Order Date]])</f>
        <v>2024</v>
      </c>
      <c r="M33" t="str">
        <f>CONCATENATE(LEFT(Master_ventas[[#This Row],[ProdUpper]],3),RIGHT(Master_ventas[[#This Row],[Ext-Year]],2),"-",MID(Master_ventas[[#This Row],[Category]],1,1))</f>
        <v>MOU24-A</v>
      </c>
      <c r="N33" t="str">
        <f>MID(Master_ventas[[#This Row],[ProdUpper]],1,3)</f>
        <v>MOU</v>
      </c>
      <c r="O33" t="str">
        <f>UPPER(IF(Master_ventas[[#This Row],[Profit]]&gt;500,"High","Std"))</f>
        <v>STD</v>
      </c>
      <c r="P33">
        <v>32</v>
      </c>
    </row>
    <row r="34" spans="1:16" x14ac:dyDescent="0.3">
      <c r="A34" s="1">
        <v>45025</v>
      </c>
      <c r="B34" t="s">
        <v>23</v>
      </c>
      <c r="C34" t="s">
        <v>14</v>
      </c>
      <c r="D34" t="s">
        <v>9</v>
      </c>
      <c r="E34">
        <v>9</v>
      </c>
      <c r="F34" s="3">
        <v>10773</v>
      </c>
      <c r="G34" s="2">
        <v>1907.36</v>
      </c>
      <c r="H34">
        <f>Master_ventas[[#This Row],[Profit]]/Master_ventas[[#This Row],[Sales]]</f>
        <v>0.17705003248862897</v>
      </c>
      <c r="I34">
        <f ca="1">Referencia_Hoy-Master_ventas[[#This Row],[Order Date]]</f>
        <v>1298</v>
      </c>
      <c r="J34" t="str">
        <f>UPPER(Master_ventas[[#This Row],[Product Name]])</f>
        <v>LAPTOP</v>
      </c>
      <c r="K34" t="str">
        <f>UPPER(Master_ventas[[#This Row],[Category]])</f>
        <v>ELECTRONICS</v>
      </c>
      <c r="L34">
        <f>YEAR(Master_ventas[[#This Row],[Order Date]])</f>
        <v>2023</v>
      </c>
      <c r="M34" t="str">
        <f>CONCATENATE(LEFT(Master_ventas[[#This Row],[ProdUpper]],3),RIGHT(Master_ventas[[#This Row],[Ext-Year]],2),"-",MID(Master_ventas[[#This Row],[Category]],1,1))</f>
        <v>LAP23-E</v>
      </c>
      <c r="N34" t="str">
        <f>MID(Master_ventas[[#This Row],[ProdUpper]],1,3)</f>
        <v>LAP</v>
      </c>
      <c r="O34" t="str">
        <f>UPPER(IF(Master_ventas[[#This Row],[Profit]]&gt;500,"High","Std"))</f>
        <v>HIGH</v>
      </c>
      <c r="P34">
        <v>33</v>
      </c>
    </row>
    <row r="35" spans="1:16" x14ac:dyDescent="0.3">
      <c r="A35" s="1">
        <v>44964</v>
      </c>
      <c r="B35" t="s">
        <v>18</v>
      </c>
      <c r="C35" t="s">
        <v>11</v>
      </c>
      <c r="D35" t="s">
        <v>15</v>
      </c>
      <c r="E35">
        <v>4</v>
      </c>
      <c r="F35" s="3">
        <v>3252</v>
      </c>
      <c r="G35" s="2">
        <v>713.46</v>
      </c>
      <c r="H35">
        <f>Master_ventas[[#This Row],[Profit]]/Master_ventas[[#This Row],[Sales]]</f>
        <v>0.21939114391143913</v>
      </c>
      <c r="I35">
        <f ca="1">Referencia_Hoy-Master_ventas[[#This Row],[Order Date]]</f>
        <v>1359</v>
      </c>
      <c r="J35" t="str">
        <f>UPPER(Master_ventas[[#This Row],[Product Name]])</f>
        <v>HEADPHONES</v>
      </c>
      <c r="K35" t="str">
        <f>UPPER(Master_ventas[[#This Row],[Category]])</f>
        <v>ACCESSORIES</v>
      </c>
      <c r="L35">
        <f>YEAR(Master_ventas[[#This Row],[Order Date]])</f>
        <v>2023</v>
      </c>
      <c r="M35" t="str">
        <f>CONCATENATE(LEFT(Master_ventas[[#This Row],[ProdUpper]],3),RIGHT(Master_ventas[[#This Row],[Ext-Year]],2),"-",MID(Master_ventas[[#This Row],[Category]],1,1))</f>
        <v>HEA23-A</v>
      </c>
      <c r="N35" t="str">
        <f>MID(Master_ventas[[#This Row],[ProdUpper]],1,3)</f>
        <v>HEA</v>
      </c>
      <c r="O35" t="str">
        <f>UPPER(IF(Master_ventas[[#This Row],[Profit]]&gt;500,"High","Std"))</f>
        <v>HIGH</v>
      </c>
      <c r="P35">
        <v>34</v>
      </c>
    </row>
    <row r="36" spans="1:16" x14ac:dyDescent="0.3">
      <c r="A36" s="1">
        <v>45050</v>
      </c>
      <c r="B36" t="s">
        <v>18</v>
      </c>
      <c r="C36" t="s">
        <v>11</v>
      </c>
      <c r="D36" t="s">
        <v>9</v>
      </c>
      <c r="E36">
        <v>3</v>
      </c>
      <c r="F36" s="3">
        <v>2739</v>
      </c>
      <c r="G36" s="2">
        <v>202.81</v>
      </c>
      <c r="H36">
        <f>Master_ventas[[#This Row],[Profit]]/Master_ventas[[#This Row],[Sales]]</f>
        <v>7.4045271997079221E-2</v>
      </c>
      <c r="I36">
        <f ca="1">Referencia_Hoy-Master_ventas[[#This Row],[Order Date]]</f>
        <v>1273</v>
      </c>
      <c r="J36" t="str">
        <f>UPPER(Master_ventas[[#This Row],[Product Name]])</f>
        <v>HEADPHONES</v>
      </c>
      <c r="K36" t="str">
        <f>UPPER(Master_ventas[[#This Row],[Category]])</f>
        <v>ACCESSORIES</v>
      </c>
      <c r="L36">
        <f>YEAR(Master_ventas[[#This Row],[Order Date]])</f>
        <v>2023</v>
      </c>
      <c r="M36" t="str">
        <f>CONCATENATE(LEFT(Master_ventas[[#This Row],[ProdUpper]],3),RIGHT(Master_ventas[[#This Row],[Ext-Year]],2),"-",MID(Master_ventas[[#This Row],[Category]],1,1))</f>
        <v>HEA23-A</v>
      </c>
      <c r="N36" t="str">
        <f>MID(Master_ventas[[#This Row],[ProdUpper]],1,3)</f>
        <v>HEA</v>
      </c>
      <c r="O36" t="str">
        <f>UPPER(IF(Master_ventas[[#This Row],[Profit]]&gt;500,"High","Std"))</f>
        <v>STD</v>
      </c>
      <c r="P36">
        <v>35</v>
      </c>
    </row>
    <row r="37" spans="1:16" x14ac:dyDescent="0.3">
      <c r="A37" s="1">
        <v>45034</v>
      </c>
      <c r="B37" t="s">
        <v>13</v>
      </c>
      <c r="C37" t="s">
        <v>14</v>
      </c>
      <c r="D37" t="s">
        <v>15</v>
      </c>
      <c r="E37">
        <v>7</v>
      </c>
      <c r="F37" s="3">
        <v>2709</v>
      </c>
      <c r="G37" s="2">
        <v>702.79</v>
      </c>
      <c r="H37">
        <f>Master_ventas[[#This Row],[Profit]]/Master_ventas[[#This Row],[Sales]]</f>
        <v>0.25942783314876339</v>
      </c>
      <c r="I37">
        <f ca="1">Referencia_Hoy-Master_ventas[[#This Row],[Order Date]]</f>
        <v>1289</v>
      </c>
      <c r="J37" t="str">
        <f>UPPER(Master_ventas[[#This Row],[Product Name]])</f>
        <v>TABLET</v>
      </c>
      <c r="K37" t="str">
        <f>UPPER(Master_ventas[[#This Row],[Category]])</f>
        <v>ELECTRONICS</v>
      </c>
      <c r="L37">
        <f>YEAR(Master_ventas[[#This Row],[Order Date]])</f>
        <v>2023</v>
      </c>
      <c r="M37" t="str">
        <f>CONCATENATE(LEFT(Master_ventas[[#This Row],[ProdUpper]],3),RIGHT(Master_ventas[[#This Row],[Ext-Year]],2),"-",MID(Master_ventas[[#This Row],[Category]],1,1))</f>
        <v>TAB23-E</v>
      </c>
      <c r="N37" t="str">
        <f>MID(Master_ventas[[#This Row],[ProdUpper]],1,3)</f>
        <v>TAB</v>
      </c>
      <c r="O37" t="str">
        <f>UPPER(IF(Master_ventas[[#This Row],[Profit]]&gt;500,"High","Std"))</f>
        <v>HIGH</v>
      </c>
      <c r="P37">
        <v>36</v>
      </c>
    </row>
    <row r="38" spans="1:16" x14ac:dyDescent="0.3">
      <c r="A38" s="1">
        <v>44907</v>
      </c>
      <c r="B38" t="s">
        <v>7</v>
      </c>
      <c r="C38" t="s">
        <v>8</v>
      </c>
      <c r="D38" t="s">
        <v>16</v>
      </c>
      <c r="E38">
        <v>3</v>
      </c>
      <c r="F38" s="3">
        <v>936</v>
      </c>
      <c r="G38" s="2">
        <v>201.24</v>
      </c>
      <c r="H38">
        <f>Master_ventas[[#This Row],[Profit]]/Master_ventas[[#This Row],[Sales]]</f>
        <v>0.215</v>
      </c>
      <c r="I38">
        <f ca="1">Referencia_Hoy-Master_ventas[[#This Row],[Order Date]]</f>
        <v>1416</v>
      </c>
      <c r="J38" t="str">
        <f>UPPER(Master_ventas[[#This Row],[Product Name]])</f>
        <v>PRINTER</v>
      </c>
      <c r="K38" t="str">
        <f>UPPER(Master_ventas[[#This Row],[Category]])</f>
        <v>OFFICE</v>
      </c>
      <c r="L38">
        <f>YEAR(Master_ventas[[#This Row],[Order Date]])</f>
        <v>2022</v>
      </c>
      <c r="M38" t="str">
        <f>CONCATENATE(LEFT(Master_ventas[[#This Row],[ProdUpper]],3),RIGHT(Master_ventas[[#This Row],[Ext-Year]],2),"-",MID(Master_ventas[[#This Row],[Category]],1,1))</f>
        <v>PRI22-O</v>
      </c>
      <c r="N38" t="str">
        <f>MID(Master_ventas[[#This Row],[ProdUpper]],1,3)</f>
        <v>PRI</v>
      </c>
      <c r="O38" t="str">
        <f>UPPER(IF(Master_ventas[[#This Row],[Profit]]&gt;500,"High","Std"))</f>
        <v>STD</v>
      </c>
      <c r="P38">
        <v>37</v>
      </c>
    </row>
    <row r="39" spans="1:16" x14ac:dyDescent="0.3">
      <c r="A39" s="1">
        <v>44815</v>
      </c>
      <c r="B39" t="s">
        <v>17</v>
      </c>
      <c r="C39" t="s">
        <v>14</v>
      </c>
      <c r="D39" t="s">
        <v>16</v>
      </c>
      <c r="E39">
        <v>4</v>
      </c>
      <c r="F39" s="3">
        <v>3720</v>
      </c>
      <c r="G39" s="2">
        <v>410.92</v>
      </c>
      <c r="H39">
        <f>Master_ventas[[#This Row],[Profit]]/Master_ventas[[#This Row],[Sales]]</f>
        <v>0.11046236559139785</v>
      </c>
      <c r="I39">
        <f ca="1">Referencia_Hoy-Master_ventas[[#This Row],[Order Date]]</f>
        <v>1508</v>
      </c>
      <c r="J39" t="str">
        <f>UPPER(Master_ventas[[#This Row],[Product Name]])</f>
        <v>CAMERA</v>
      </c>
      <c r="K39" t="str">
        <f>UPPER(Master_ventas[[#This Row],[Category]])</f>
        <v>ELECTRONICS</v>
      </c>
      <c r="L39">
        <f>YEAR(Master_ventas[[#This Row],[Order Date]])</f>
        <v>2022</v>
      </c>
      <c r="M39" t="str">
        <f>CONCATENATE(LEFT(Master_ventas[[#This Row],[ProdUpper]],3),RIGHT(Master_ventas[[#This Row],[Ext-Year]],2),"-",MID(Master_ventas[[#This Row],[Category]],1,1))</f>
        <v>CAM22-E</v>
      </c>
      <c r="N39" t="str">
        <f>MID(Master_ventas[[#This Row],[ProdUpper]],1,3)</f>
        <v>CAM</v>
      </c>
      <c r="O39" t="str">
        <f>UPPER(IF(Master_ventas[[#This Row],[Profit]]&gt;500,"High","Std"))</f>
        <v>STD</v>
      </c>
      <c r="P39">
        <v>38</v>
      </c>
    </row>
    <row r="40" spans="1:16" x14ac:dyDescent="0.3">
      <c r="A40" s="1">
        <v>45377</v>
      </c>
      <c r="B40" t="s">
        <v>10</v>
      </c>
      <c r="C40" t="s">
        <v>11</v>
      </c>
      <c r="D40" t="s">
        <v>16</v>
      </c>
      <c r="E40">
        <v>5</v>
      </c>
      <c r="F40" s="3">
        <v>5320</v>
      </c>
      <c r="G40" s="2">
        <v>716.91</v>
      </c>
      <c r="H40">
        <f>Master_ventas[[#This Row],[Profit]]/Master_ventas[[#This Row],[Sales]]</f>
        <v>0.13475751879699246</v>
      </c>
      <c r="I40">
        <f ca="1">Referencia_Hoy-Master_ventas[[#This Row],[Order Date]]</f>
        <v>946</v>
      </c>
      <c r="J40" t="str">
        <f>UPPER(Master_ventas[[#This Row],[Product Name]])</f>
        <v>MOUSE</v>
      </c>
      <c r="K40" t="str">
        <f>UPPER(Master_ventas[[#This Row],[Category]])</f>
        <v>ACCESSORIES</v>
      </c>
      <c r="L40">
        <f>YEAR(Master_ventas[[#This Row],[Order Date]])</f>
        <v>2024</v>
      </c>
      <c r="M40" t="str">
        <f>CONCATENATE(LEFT(Master_ventas[[#This Row],[ProdUpper]],3),RIGHT(Master_ventas[[#This Row],[Ext-Year]],2),"-",MID(Master_ventas[[#This Row],[Category]],1,1))</f>
        <v>MOU24-A</v>
      </c>
      <c r="N40" t="str">
        <f>MID(Master_ventas[[#This Row],[ProdUpper]],1,3)</f>
        <v>MOU</v>
      </c>
      <c r="O40" t="str">
        <f>UPPER(IF(Master_ventas[[#This Row],[Profit]]&gt;500,"High","Std"))</f>
        <v>HIGH</v>
      </c>
      <c r="P40">
        <v>39</v>
      </c>
    </row>
    <row r="41" spans="1:16" x14ac:dyDescent="0.3">
      <c r="A41" s="1">
        <v>45189</v>
      </c>
      <c r="B41" t="s">
        <v>18</v>
      </c>
      <c r="C41" t="s">
        <v>11</v>
      </c>
      <c r="D41" t="s">
        <v>12</v>
      </c>
      <c r="E41">
        <v>4</v>
      </c>
      <c r="F41" s="3">
        <v>804</v>
      </c>
      <c r="G41" s="2">
        <v>121.51</v>
      </c>
      <c r="H41">
        <f>Master_ventas[[#This Row],[Profit]]/Master_ventas[[#This Row],[Sales]]</f>
        <v>0.15113184079601991</v>
      </c>
      <c r="I41">
        <f ca="1">Referencia_Hoy-Master_ventas[[#This Row],[Order Date]]</f>
        <v>1134</v>
      </c>
      <c r="J41" t="str">
        <f>UPPER(Master_ventas[[#This Row],[Product Name]])</f>
        <v>HEADPHONES</v>
      </c>
      <c r="K41" t="str">
        <f>UPPER(Master_ventas[[#This Row],[Category]])</f>
        <v>ACCESSORIES</v>
      </c>
      <c r="L41">
        <f>YEAR(Master_ventas[[#This Row],[Order Date]])</f>
        <v>2023</v>
      </c>
      <c r="M41" t="str">
        <f>CONCATENATE(LEFT(Master_ventas[[#This Row],[ProdUpper]],3),RIGHT(Master_ventas[[#This Row],[Ext-Year]],2),"-",MID(Master_ventas[[#This Row],[Category]],1,1))</f>
        <v>HEA23-A</v>
      </c>
      <c r="N41" t="str">
        <f>MID(Master_ventas[[#This Row],[ProdUpper]],1,3)</f>
        <v>HEA</v>
      </c>
      <c r="O41" t="str">
        <f>UPPER(IF(Master_ventas[[#This Row],[Profit]]&gt;500,"High","Std"))</f>
        <v>STD</v>
      </c>
      <c r="P41">
        <v>40</v>
      </c>
    </row>
    <row r="42" spans="1:16" x14ac:dyDescent="0.3">
      <c r="A42" s="1">
        <v>45071</v>
      </c>
      <c r="B42" t="s">
        <v>23</v>
      </c>
      <c r="C42" t="s">
        <v>14</v>
      </c>
      <c r="D42" t="s">
        <v>9</v>
      </c>
      <c r="E42">
        <v>8</v>
      </c>
      <c r="F42" s="3">
        <v>1224</v>
      </c>
      <c r="G42" s="2">
        <v>246.77</v>
      </c>
      <c r="H42">
        <f>Master_ventas[[#This Row],[Profit]]/Master_ventas[[#This Row],[Sales]]</f>
        <v>0.20160947712418301</v>
      </c>
      <c r="I42">
        <f ca="1">Referencia_Hoy-Master_ventas[[#This Row],[Order Date]]</f>
        <v>1252</v>
      </c>
      <c r="J42" t="str">
        <f>UPPER(Master_ventas[[#This Row],[Product Name]])</f>
        <v>LAPTOP</v>
      </c>
      <c r="K42" t="str">
        <f>UPPER(Master_ventas[[#This Row],[Category]])</f>
        <v>ELECTRONICS</v>
      </c>
      <c r="L42">
        <f>YEAR(Master_ventas[[#This Row],[Order Date]])</f>
        <v>2023</v>
      </c>
      <c r="M42" t="str">
        <f>CONCATENATE(LEFT(Master_ventas[[#This Row],[ProdUpper]],3),RIGHT(Master_ventas[[#This Row],[Ext-Year]],2),"-",MID(Master_ventas[[#This Row],[Category]],1,1))</f>
        <v>LAP23-E</v>
      </c>
      <c r="N42" t="str">
        <f>MID(Master_ventas[[#This Row],[ProdUpper]],1,3)</f>
        <v>LAP</v>
      </c>
      <c r="O42" t="str">
        <f>UPPER(IF(Master_ventas[[#This Row],[Profit]]&gt;500,"High","Std"))</f>
        <v>STD</v>
      </c>
      <c r="P42">
        <v>41</v>
      </c>
    </row>
    <row r="43" spans="1:16" x14ac:dyDescent="0.3">
      <c r="A43" s="1">
        <v>44899</v>
      </c>
      <c r="B43" t="s">
        <v>18</v>
      </c>
      <c r="C43" t="s">
        <v>11</v>
      </c>
      <c r="D43" t="s">
        <v>15</v>
      </c>
      <c r="E43">
        <v>9</v>
      </c>
      <c r="F43" s="3">
        <v>8667</v>
      </c>
      <c r="G43" s="2">
        <v>781.78</v>
      </c>
      <c r="H43">
        <f>Master_ventas[[#This Row],[Profit]]/Master_ventas[[#This Row],[Sales]]</f>
        <v>9.0201915310949579E-2</v>
      </c>
      <c r="I43">
        <f ca="1">Referencia_Hoy-Master_ventas[[#This Row],[Order Date]]</f>
        <v>1424</v>
      </c>
      <c r="J43" t="str">
        <f>UPPER(Master_ventas[[#This Row],[Product Name]])</f>
        <v>HEADPHONES</v>
      </c>
      <c r="K43" t="str">
        <f>UPPER(Master_ventas[[#This Row],[Category]])</f>
        <v>ACCESSORIES</v>
      </c>
      <c r="L43">
        <f>YEAR(Master_ventas[[#This Row],[Order Date]])</f>
        <v>2022</v>
      </c>
      <c r="M43" t="str">
        <f>CONCATENATE(LEFT(Master_ventas[[#This Row],[ProdUpper]],3),RIGHT(Master_ventas[[#This Row],[Ext-Year]],2),"-",MID(Master_ventas[[#This Row],[Category]],1,1))</f>
        <v>HEA22-A</v>
      </c>
      <c r="N43" t="str">
        <f>MID(Master_ventas[[#This Row],[ProdUpper]],1,3)</f>
        <v>HEA</v>
      </c>
      <c r="O43" t="str">
        <f>UPPER(IF(Master_ventas[[#This Row],[Profit]]&gt;500,"High","Std"))</f>
        <v>HIGH</v>
      </c>
      <c r="P43">
        <v>42</v>
      </c>
    </row>
    <row r="44" spans="1:16" x14ac:dyDescent="0.3">
      <c r="A44" s="1">
        <v>44722</v>
      </c>
      <c r="B44" t="s">
        <v>20</v>
      </c>
      <c r="C44" t="s">
        <v>11</v>
      </c>
      <c r="D44" t="s">
        <v>16</v>
      </c>
      <c r="E44">
        <v>3</v>
      </c>
      <c r="F44" s="3">
        <v>3018</v>
      </c>
      <c r="G44" s="2">
        <v>320.11</v>
      </c>
      <c r="H44">
        <f>Master_ventas[[#This Row],[Profit]]/Master_ventas[[#This Row],[Sales]]</f>
        <v>0.10606693174287608</v>
      </c>
      <c r="I44">
        <f ca="1">Referencia_Hoy-Master_ventas[[#This Row],[Order Date]]</f>
        <v>1601</v>
      </c>
      <c r="J44" t="str">
        <f>UPPER(Master_ventas[[#This Row],[Product Name]])</f>
        <v>MONITOR</v>
      </c>
      <c r="K44" t="str">
        <f>UPPER(Master_ventas[[#This Row],[Category]])</f>
        <v>ACCESSORIES</v>
      </c>
      <c r="L44">
        <f>YEAR(Master_ventas[[#This Row],[Order Date]])</f>
        <v>2022</v>
      </c>
      <c r="M44" t="str">
        <f>CONCATENATE(LEFT(Master_ventas[[#This Row],[ProdUpper]],3),RIGHT(Master_ventas[[#This Row],[Ext-Year]],2),"-",MID(Master_ventas[[#This Row],[Category]],1,1))</f>
        <v>MON22-A</v>
      </c>
      <c r="N44" t="str">
        <f>MID(Master_ventas[[#This Row],[ProdUpper]],1,3)</f>
        <v>MON</v>
      </c>
      <c r="O44" t="str">
        <f>UPPER(IF(Master_ventas[[#This Row],[Profit]]&gt;500,"High","Std"))</f>
        <v>STD</v>
      </c>
      <c r="P44">
        <v>43</v>
      </c>
    </row>
    <row r="45" spans="1:16" x14ac:dyDescent="0.3">
      <c r="A45" s="1">
        <v>44962</v>
      </c>
      <c r="B45" t="s">
        <v>23</v>
      </c>
      <c r="C45" t="s">
        <v>14</v>
      </c>
      <c r="D45" t="s">
        <v>16</v>
      </c>
      <c r="E45">
        <v>5</v>
      </c>
      <c r="F45" s="3">
        <v>4325</v>
      </c>
      <c r="G45" s="2">
        <v>1023.39</v>
      </c>
      <c r="H45">
        <f>Master_ventas[[#This Row],[Profit]]/Master_ventas[[#This Row],[Sales]]</f>
        <v>0.23662196531791907</v>
      </c>
      <c r="I45">
        <f ca="1">Referencia_Hoy-Master_ventas[[#This Row],[Order Date]]</f>
        <v>1361</v>
      </c>
      <c r="J45" t="str">
        <f>UPPER(Master_ventas[[#This Row],[Product Name]])</f>
        <v>LAPTOP</v>
      </c>
      <c r="K45" t="str">
        <f>UPPER(Master_ventas[[#This Row],[Category]])</f>
        <v>ELECTRONICS</v>
      </c>
      <c r="L45">
        <f>YEAR(Master_ventas[[#This Row],[Order Date]])</f>
        <v>2023</v>
      </c>
      <c r="M45" t="str">
        <f>CONCATENATE(LEFT(Master_ventas[[#This Row],[ProdUpper]],3),RIGHT(Master_ventas[[#This Row],[Ext-Year]],2),"-",MID(Master_ventas[[#This Row],[Category]],1,1))</f>
        <v>LAP23-E</v>
      </c>
      <c r="N45" t="str">
        <f>MID(Master_ventas[[#This Row],[ProdUpper]],1,3)</f>
        <v>LAP</v>
      </c>
      <c r="O45" t="str">
        <f>UPPER(IF(Master_ventas[[#This Row],[Profit]]&gt;500,"High","Std"))</f>
        <v>HIGH</v>
      </c>
      <c r="P45">
        <v>44</v>
      </c>
    </row>
    <row r="46" spans="1:16" x14ac:dyDescent="0.3">
      <c r="A46" s="1">
        <v>45311</v>
      </c>
      <c r="B46" t="s">
        <v>23</v>
      </c>
      <c r="C46" t="s">
        <v>14</v>
      </c>
      <c r="D46" t="s">
        <v>15</v>
      </c>
      <c r="E46">
        <v>3</v>
      </c>
      <c r="F46" s="3">
        <v>1557</v>
      </c>
      <c r="G46" s="2">
        <v>181.08</v>
      </c>
      <c r="H46">
        <f>Master_ventas[[#This Row],[Profit]]/Master_ventas[[#This Row],[Sales]]</f>
        <v>0.11630057803468209</v>
      </c>
      <c r="I46">
        <f ca="1">Referencia_Hoy-Master_ventas[[#This Row],[Order Date]]</f>
        <v>1012</v>
      </c>
      <c r="J46" t="str">
        <f>UPPER(Master_ventas[[#This Row],[Product Name]])</f>
        <v>LAPTOP</v>
      </c>
      <c r="K46" t="str">
        <f>UPPER(Master_ventas[[#This Row],[Category]])</f>
        <v>ELECTRONICS</v>
      </c>
      <c r="L46">
        <f>YEAR(Master_ventas[[#This Row],[Order Date]])</f>
        <v>2024</v>
      </c>
      <c r="M46" t="str">
        <f>CONCATENATE(LEFT(Master_ventas[[#This Row],[ProdUpper]],3),RIGHT(Master_ventas[[#This Row],[Ext-Year]],2),"-",MID(Master_ventas[[#This Row],[Category]],1,1))</f>
        <v>LAP24-E</v>
      </c>
      <c r="N46" t="str">
        <f>MID(Master_ventas[[#This Row],[ProdUpper]],1,3)</f>
        <v>LAP</v>
      </c>
      <c r="O46" t="str">
        <f>UPPER(IF(Master_ventas[[#This Row],[Profit]]&gt;500,"High","Std"))</f>
        <v>STD</v>
      </c>
      <c r="P46">
        <v>45</v>
      </c>
    </row>
    <row r="47" spans="1:16" x14ac:dyDescent="0.3">
      <c r="A47" s="1">
        <v>44588</v>
      </c>
      <c r="B47" t="s">
        <v>20</v>
      </c>
      <c r="C47" t="s">
        <v>11</v>
      </c>
      <c r="D47" t="s">
        <v>15</v>
      </c>
      <c r="E47">
        <v>6</v>
      </c>
      <c r="F47" s="3">
        <v>3672</v>
      </c>
      <c r="G47" s="2">
        <v>1002.5</v>
      </c>
      <c r="H47">
        <f>Master_ventas[[#This Row],[Profit]]/Master_ventas[[#This Row],[Sales]]</f>
        <v>0.27301198257080611</v>
      </c>
      <c r="I47">
        <f ca="1">Referencia_Hoy-Master_ventas[[#This Row],[Order Date]]</f>
        <v>1735</v>
      </c>
      <c r="J47" t="str">
        <f>UPPER(Master_ventas[[#This Row],[Product Name]])</f>
        <v>MONITOR</v>
      </c>
      <c r="K47" t="str">
        <f>UPPER(Master_ventas[[#This Row],[Category]])</f>
        <v>ACCESSORIES</v>
      </c>
      <c r="L47">
        <f>YEAR(Master_ventas[[#This Row],[Order Date]])</f>
        <v>2022</v>
      </c>
      <c r="M47" t="str">
        <f>CONCATENATE(LEFT(Master_ventas[[#This Row],[ProdUpper]],3),RIGHT(Master_ventas[[#This Row],[Ext-Year]],2),"-",MID(Master_ventas[[#This Row],[Category]],1,1))</f>
        <v>MON22-A</v>
      </c>
      <c r="N47" t="str">
        <f>MID(Master_ventas[[#This Row],[ProdUpper]],1,3)</f>
        <v>MON</v>
      </c>
      <c r="O47" t="str">
        <f>UPPER(IF(Master_ventas[[#This Row],[Profit]]&gt;500,"High","Std"))</f>
        <v>HIGH</v>
      </c>
      <c r="P47">
        <v>46</v>
      </c>
    </row>
    <row r="48" spans="1:16" x14ac:dyDescent="0.3">
      <c r="A48" s="1">
        <v>45014</v>
      </c>
      <c r="B48" t="s">
        <v>10</v>
      </c>
      <c r="C48" t="s">
        <v>11</v>
      </c>
      <c r="D48" t="s">
        <v>16</v>
      </c>
      <c r="E48">
        <v>1</v>
      </c>
      <c r="F48" s="3">
        <v>333</v>
      </c>
      <c r="G48" s="2">
        <v>72.34</v>
      </c>
      <c r="H48">
        <f>Master_ventas[[#This Row],[Profit]]/Master_ventas[[#This Row],[Sales]]</f>
        <v>0.21723723723723726</v>
      </c>
      <c r="I48">
        <f ca="1">Referencia_Hoy-Master_ventas[[#This Row],[Order Date]]</f>
        <v>1309</v>
      </c>
      <c r="J48" t="str">
        <f>UPPER(Master_ventas[[#This Row],[Product Name]])</f>
        <v>MOUSE</v>
      </c>
      <c r="K48" t="str">
        <f>UPPER(Master_ventas[[#This Row],[Category]])</f>
        <v>ACCESSORIES</v>
      </c>
      <c r="L48">
        <f>YEAR(Master_ventas[[#This Row],[Order Date]])</f>
        <v>2023</v>
      </c>
      <c r="M48" t="str">
        <f>CONCATENATE(LEFT(Master_ventas[[#This Row],[ProdUpper]],3),RIGHT(Master_ventas[[#This Row],[Ext-Year]],2),"-",MID(Master_ventas[[#This Row],[Category]],1,1))</f>
        <v>MOU23-A</v>
      </c>
      <c r="N48" t="str">
        <f>MID(Master_ventas[[#This Row],[ProdUpper]],1,3)</f>
        <v>MOU</v>
      </c>
      <c r="O48" t="str">
        <f>UPPER(IF(Master_ventas[[#This Row],[Profit]]&gt;500,"High","Std"))</f>
        <v>STD</v>
      </c>
      <c r="P48">
        <v>47</v>
      </c>
    </row>
    <row r="49" spans="1:16" x14ac:dyDescent="0.3">
      <c r="A49" s="1">
        <v>44578</v>
      </c>
      <c r="B49" t="s">
        <v>18</v>
      </c>
      <c r="C49" t="s">
        <v>11</v>
      </c>
      <c r="D49" t="s">
        <v>16</v>
      </c>
      <c r="E49">
        <v>4</v>
      </c>
      <c r="F49" s="3">
        <v>2384</v>
      </c>
      <c r="G49" s="2">
        <v>577.26</v>
      </c>
      <c r="H49">
        <f>Master_ventas[[#This Row],[Profit]]/Master_ventas[[#This Row],[Sales]]</f>
        <v>0.24213926174496644</v>
      </c>
      <c r="I49">
        <f ca="1">Referencia_Hoy-Master_ventas[[#This Row],[Order Date]]</f>
        <v>1745</v>
      </c>
      <c r="J49" t="str">
        <f>UPPER(Master_ventas[[#This Row],[Product Name]])</f>
        <v>HEADPHONES</v>
      </c>
      <c r="K49" t="str">
        <f>UPPER(Master_ventas[[#This Row],[Category]])</f>
        <v>ACCESSORIES</v>
      </c>
      <c r="L49">
        <f>YEAR(Master_ventas[[#This Row],[Order Date]])</f>
        <v>2022</v>
      </c>
      <c r="M49" t="str">
        <f>CONCATENATE(LEFT(Master_ventas[[#This Row],[ProdUpper]],3),RIGHT(Master_ventas[[#This Row],[Ext-Year]],2),"-",MID(Master_ventas[[#This Row],[Category]],1,1))</f>
        <v>HEA22-A</v>
      </c>
      <c r="N49" t="str">
        <f>MID(Master_ventas[[#This Row],[ProdUpper]],1,3)</f>
        <v>HEA</v>
      </c>
      <c r="O49" t="str">
        <f>UPPER(IF(Master_ventas[[#This Row],[Profit]]&gt;500,"High","Std"))</f>
        <v>HIGH</v>
      </c>
      <c r="P49">
        <v>48</v>
      </c>
    </row>
    <row r="50" spans="1:16" x14ac:dyDescent="0.3">
      <c r="A50" s="1">
        <v>45622</v>
      </c>
      <c r="B50" t="s">
        <v>10</v>
      </c>
      <c r="C50" t="s">
        <v>11</v>
      </c>
      <c r="D50" t="s">
        <v>16</v>
      </c>
      <c r="E50">
        <v>6</v>
      </c>
      <c r="F50" s="3">
        <v>888</v>
      </c>
      <c r="G50" s="2">
        <v>210.39</v>
      </c>
      <c r="H50">
        <f>Master_ventas[[#This Row],[Profit]]/Master_ventas[[#This Row],[Sales]]</f>
        <v>0.23692567567567566</v>
      </c>
      <c r="I50">
        <f ca="1">Referencia_Hoy-Master_ventas[[#This Row],[Order Date]]</f>
        <v>701</v>
      </c>
      <c r="J50" t="str">
        <f>UPPER(Master_ventas[[#This Row],[Product Name]])</f>
        <v>MOUSE</v>
      </c>
      <c r="K50" t="str">
        <f>UPPER(Master_ventas[[#This Row],[Category]])</f>
        <v>ACCESSORIES</v>
      </c>
      <c r="L50">
        <f>YEAR(Master_ventas[[#This Row],[Order Date]])</f>
        <v>2024</v>
      </c>
      <c r="M50" t="str">
        <f>CONCATENATE(LEFT(Master_ventas[[#This Row],[ProdUpper]],3),RIGHT(Master_ventas[[#This Row],[Ext-Year]],2),"-",MID(Master_ventas[[#This Row],[Category]],1,1))</f>
        <v>MOU24-A</v>
      </c>
      <c r="N50" t="str">
        <f>MID(Master_ventas[[#This Row],[ProdUpper]],1,3)</f>
        <v>MOU</v>
      </c>
      <c r="O50" t="str">
        <f>UPPER(IF(Master_ventas[[#This Row],[Profit]]&gt;500,"High","Std"))</f>
        <v>STD</v>
      </c>
      <c r="P50">
        <v>49</v>
      </c>
    </row>
    <row r="51" spans="1:16" x14ac:dyDescent="0.3">
      <c r="A51" s="1">
        <v>45554</v>
      </c>
      <c r="B51" t="s">
        <v>23</v>
      </c>
      <c r="C51" t="s">
        <v>14</v>
      </c>
      <c r="D51" t="s">
        <v>16</v>
      </c>
      <c r="E51">
        <v>5</v>
      </c>
      <c r="F51" s="3">
        <v>3280</v>
      </c>
      <c r="G51" s="2">
        <v>954.17</v>
      </c>
      <c r="H51">
        <f>Master_ventas[[#This Row],[Profit]]/Master_ventas[[#This Row],[Sales]]</f>
        <v>0.29090548780487802</v>
      </c>
      <c r="I51">
        <f ca="1">Referencia_Hoy-Master_ventas[[#This Row],[Order Date]]</f>
        <v>769</v>
      </c>
      <c r="J51" t="str">
        <f>UPPER(Master_ventas[[#This Row],[Product Name]])</f>
        <v>LAPTOP</v>
      </c>
      <c r="K51" t="str">
        <f>UPPER(Master_ventas[[#This Row],[Category]])</f>
        <v>ELECTRONICS</v>
      </c>
      <c r="L51">
        <f>YEAR(Master_ventas[[#This Row],[Order Date]])</f>
        <v>2024</v>
      </c>
      <c r="M51" t="str">
        <f>CONCATENATE(LEFT(Master_ventas[[#This Row],[ProdUpper]],3),RIGHT(Master_ventas[[#This Row],[Ext-Year]],2),"-",MID(Master_ventas[[#This Row],[Category]],1,1))</f>
        <v>LAP24-E</v>
      </c>
      <c r="N51" t="str">
        <f>MID(Master_ventas[[#This Row],[ProdUpper]],1,3)</f>
        <v>LAP</v>
      </c>
      <c r="O51" t="str">
        <f>UPPER(IF(Master_ventas[[#This Row],[Profit]]&gt;500,"High","Std"))</f>
        <v>HIGH</v>
      </c>
      <c r="P51">
        <v>50</v>
      </c>
    </row>
    <row r="52" spans="1:16" x14ac:dyDescent="0.3">
      <c r="A52" s="1">
        <v>45127</v>
      </c>
      <c r="B52" t="s">
        <v>10</v>
      </c>
      <c r="C52" t="s">
        <v>11</v>
      </c>
      <c r="D52" t="s">
        <v>15</v>
      </c>
      <c r="E52">
        <v>7</v>
      </c>
      <c r="F52" s="3">
        <v>1239</v>
      </c>
      <c r="G52" s="2">
        <v>177.39</v>
      </c>
      <c r="H52">
        <f>Master_ventas[[#This Row],[Profit]]/Master_ventas[[#This Row],[Sales]]</f>
        <v>0.14317191283292977</v>
      </c>
      <c r="I52">
        <f ca="1">Referencia_Hoy-Master_ventas[[#This Row],[Order Date]]</f>
        <v>1196</v>
      </c>
      <c r="J52" t="str">
        <f>UPPER(Master_ventas[[#This Row],[Product Name]])</f>
        <v>MOUSE</v>
      </c>
      <c r="K52" t="str">
        <f>UPPER(Master_ventas[[#This Row],[Category]])</f>
        <v>ACCESSORIES</v>
      </c>
      <c r="L52">
        <f>YEAR(Master_ventas[[#This Row],[Order Date]])</f>
        <v>2023</v>
      </c>
      <c r="M52" t="str">
        <f>CONCATENATE(LEFT(Master_ventas[[#This Row],[ProdUpper]],3),RIGHT(Master_ventas[[#This Row],[Ext-Year]],2),"-",MID(Master_ventas[[#This Row],[Category]],1,1))</f>
        <v>MOU23-A</v>
      </c>
      <c r="N52" t="str">
        <f>MID(Master_ventas[[#This Row],[ProdUpper]],1,3)</f>
        <v>MOU</v>
      </c>
      <c r="O52" t="str">
        <f>UPPER(IF(Master_ventas[[#This Row],[Profit]]&gt;500,"High","Std"))</f>
        <v>STD</v>
      </c>
      <c r="P52">
        <v>51</v>
      </c>
    </row>
    <row r="53" spans="1:16" x14ac:dyDescent="0.3">
      <c r="A53" s="1">
        <v>45415</v>
      </c>
      <c r="B53" t="s">
        <v>18</v>
      </c>
      <c r="C53" t="s">
        <v>11</v>
      </c>
      <c r="D53" t="s">
        <v>12</v>
      </c>
      <c r="E53">
        <v>8</v>
      </c>
      <c r="F53" s="3">
        <v>5880</v>
      </c>
      <c r="G53" s="2">
        <v>436.85</v>
      </c>
      <c r="H53">
        <f>Master_ventas[[#This Row],[Profit]]/Master_ventas[[#This Row],[Sales]]</f>
        <v>7.4294217687074837E-2</v>
      </c>
      <c r="I53">
        <f ca="1">Referencia_Hoy-Master_ventas[[#This Row],[Order Date]]</f>
        <v>908</v>
      </c>
      <c r="J53" t="str">
        <f>UPPER(Master_ventas[[#This Row],[Product Name]])</f>
        <v>HEADPHONES</v>
      </c>
      <c r="K53" t="str">
        <f>UPPER(Master_ventas[[#This Row],[Category]])</f>
        <v>ACCESSORIES</v>
      </c>
      <c r="L53">
        <f>YEAR(Master_ventas[[#This Row],[Order Date]])</f>
        <v>2024</v>
      </c>
      <c r="M53" t="str">
        <f>CONCATENATE(LEFT(Master_ventas[[#This Row],[ProdUpper]],3),RIGHT(Master_ventas[[#This Row],[Ext-Year]],2),"-",MID(Master_ventas[[#This Row],[Category]],1,1))</f>
        <v>HEA24-A</v>
      </c>
      <c r="N53" t="str">
        <f>MID(Master_ventas[[#This Row],[ProdUpper]],1,3)</f>
        <v>HEA</v>
      </c>
      <c r="O53" t="str">
        <f>UPPER(IF(Master_ventas[[#This Row],[Profit]]&gt;500,"High","Std"))</f>
        <v>STD</v>
      </c>
      <c r="P53">
        <v>52</v>
      </c>
    </row>
    <row r="54" spans="1:16" x14ac:dyDescent="0.3">
      <c r="A54" s="1">
        <v>44807</v>
      </c>
      <c r="B54" t="s">
        <v>21</v>
      </c>
      <c r="C54" t="s">
        <v>14</v>
      </c>
      <c r="D54" t="s">
        <v>16</v>
      </c>
      <c r="E54">
        <v>2</v>
      </c>
      <c r="F54" s="3">
        <v>1668</v>
      </c>
      <c r="G54" s="2">
        <v>437.3</v>
      </c>
      <c r="H54">
        <f>Master_ventas[[#This Row],[Profit]]/Master_ventas[[#This Row],[Sales]]</f>
        <v>0.26217026378896885</v>
      </c>
      <c r="I54">
        <f ca="1">Referencia_Hoy-Master_ventas[[#This Row],[Order Date]]</f>
        <v>1516</v>
      </c>
      <c r="J54" t="str">
        <f>UPPER(Master_ventas[[#This Row],[Product Name]])</f>
        <v>SMARTPHONE</v>
      </c>
      <c r="K54" t="str">
        <f>UPPER(Master_ventas[[#This Row],[Category]])</f>
        <v>ELECTRONICS</v>
      </c>
      <c r="L54">
        <f>YEAR(Master_ventas[[#This Row],[Order Date]])</f>
        <v>2022</v>
      </c>
      <c r="M54" t="str">
        <f>CONCATENATE(LEFT(Master_ventas[[#This Row],[ProdUpper]],3),RIGHT(Master_ventas[[#This Row],[Ext-Year]],2),"-",MID(Master_ventas[[#This Row],[Category]],1,1))</f>
        <v>SMA22-E</v>
      </c>
      <c r="N54" t="str">
        <f>MID(Master_ventas[[#This Row],[ProdUpper]],1,3)</f>
        <v>SMA</v>
      </c>
      <c r="O54" t="str">
        <f>UPPER(IF(Master_ventas[[#This Row],[Profit]]&gt;500,"High","Std"))</f>
        <v>STD</v>
      </c>
      <c r="P54">
        <v>53</v>
      </c>
    </row>
    <row r="55" spans="1:16" x14ac:dyDescent="0.3">
      <c r="A55" s="1">
        <v>45482</v>
      </c>
      <c r="B55" t="s">
        <v>7</v>
      </c>
      <c r="C55" t="s">
        <v>8</v>
      </c>
      <c r="D55" t="s">
        <v>16</v>
      </c>
      <c r="E55">
        <v>7</v>
      </c>
      <c r="F55" s="3">
        <v>4109</v>
      </c>
      <c r="G55" s="2">
        <v>1037.6400000000001</v>
      </c>
      <c r="H55">
        <f>Master_ventas[[#This Row],[Profit]]/Master_ventas[[#This Row],[Sales]]</f>
        <v>0.25252859576539305</v>
      </c>
      <c r="I55">
        <f ca="1">Referencia_Hoy-Master_ventas[[#This Row],[Order Date]]</f>
        <v>841</v>
      </c>
      <c r="J55" t="str">
        <f>UPPER(Master_ventas[[#This Row],[Product Name]])</f>
        <v>PRINTER</v>
      </c>
      <c r="K55" t="str">
        <f>UPPER(Master_ventas[[#This Row],[Category]])</f>
        <v>OFFICE</v>
      </c>
      <c r="L55">
        <f>YEAR(Master_ventas[[#This Row],[Order Date]])</f>
        <v>2024</v>
      </c>
      <c r="M55" t="str">
        <f>CONCATENATE(LEFT(Master_ventas[[#This Row],[ProdUpper]],3),RIGHT(Master_ventas[[#This Row],[Ext-Year]],2),"-",MID(Master_ventas[[#This Row],[Category]],1,1))</f>
        <v>PRI24-O</v>
      </c>
      <c r="N55" t="str">
        <f>MID(Master_ventas[[#This Row],[ProdUpper]],1,3)</f>
        <v>PRI</v>
      </c>
      <c r="O55" t="str">
        <f>UPPER(IF(Master_ventas[[#This Row],[Profit]]&gt;500,"High","Std"))</f>
        <v>HIGH</v>
      </c>
      <c r="P55">
        <v>54</v>
      </c>
    </row>
    <row r="56" spans="1:16" x14ac:dyDescent="0.3">
      <c r="A56" s="1">
        <v>44882</v>
      </c>
      <c r="B56" t="s">
        <v>19</v>
      </c>
      <c r="C56" t="s">
        <v>14</v>
      </c>
      <c r="D56" t="s">
        <v>16</v>
      </c>
      <c r="E56">
        <v>7</v>
      </c>
      <c r="F56" s="3">
        <v>595</v>
      </c>
      <c r="G56" s="2">
        <v>148.5</v>
      </c>
      <c r="H56">
        <f>Master_ventas[[#This Row],[Profit]]/Master_ventas[[#This Row],[Sales]]</f>
        <v>0.24957983193277311</v>
      </c>
      <c r="I56">
        <f ca="1">Referencia_Hoy-Master_ventas[[#This Row],[Order Date]]</f>
        <v>1441</v>
      </c>
      <c r="J56" t="str">
        <f>UPPER(Master_ventas[[#This Row],[Product Name]])</f>
        <v>SMARTWATCH</v>
      </c>
      <c r="K56" t="str">
        <f>UPPER(Master_ventas[[#This Row],[Category]])</f>
        <v>ELECTRONICS</v>
      </c>
      <c r="L56">
        <f>YEAR(Master_ventas[[#This Row],[Order Date]])</f>
        <v>2022</v>
      </c>
      <c r="M56" t="str">
        <f>CONCATENATE(LEFT(Master_ventas[[#This Row],[ProdUpper]],3),RIGHT(Master_ventas[[#This Row],[Ext-Year]],2),"-",MID(Master_ventas[[#This Row],[Category]],1,1))</f>
        <v>SMA22-E</v>
      </c>
      <c r="N56" t="str">
        <f>MID(Master_ventas[[#This Row],[ProdUpper]],1,3)</f>
        <v>SMA</v>
      </c>
      <c r="O56" t="str">
        <f>UPPER(IF(Master_ventas[[#This Row],[Profit]]&gt;500,"High","Std"))</f>
        <v>STD</v>
      </c>
      <c r="P56">
        <v>55</v>
      </c>
    </row>
    <row r="57" spans="1:16" x14ac:dyDescent="0.3">
      <c r="A57" s="1">
        <v>45288</v>
      </c>
      <c r="B57" t="s">
        <v>18</v>
      </c>
      <c r="C57" t="s">
        <v>11</v>
      </c>
      <c r="D57" t="s">
        <v>12</v>
      </c>
      <c r="E57">
        <v>7</v>
      </c>
      <c r="F57" s="3">
        <v>8155</v>
      </c>
      <c r="G57" s="2">
        <v>1587.91</v>
      </c>
      <c r="H57">
        <f>Master_ventas[[#This Row],[Profit]]/Master_ventas[[#This Row],[Sales]]</f>
        <v>0.1947161250766401</v>
      </c>
      <c r="I57">
        <f ca="1">Referencia_Hoy-Master_ventas[[#This Row],[Order Date]]</f>
        <v>1035</v>
      </c>
      <c r="J57" t="str">
        <f>UPPER(Master_ventas[[#This Row],[Product Name]])</f>
        <v>HEADPHONES</v>
      </c>
      <c r="K57" t="str">
        <f>UPPER(Master_ventas[[#This Row],[Category]])</f>
        <v>ACCESSORIES</v>
      </c>
      <c r="L57">
        <f>YEAR(Master_ventas[[#This Row],[Order Date]])</f>
        <v>2023</v>
      </c>
      <c r="M57" t="str">
        <f>CONCATENATE(LEFT(Master_ventas[[#This Row],[ProdUpper]],3),RIGHT(Master_ventas[[#This Row],[Ext-Year]],2),"-",MID(Master_ventas[[#This Row],[Category]],1,1))</f>
        <v>HEA23-A</v>
      </c>
      <c r="N57" t="str">
        <f>MID(Master_ventas[[#This Row],[ProdUpper]],1,3)</f>
        <v>HEA</v>
      </c>
      <c r="O57" t="str">
        <f>UPPER(IF(Master_ventas[[#This Row],[Profit]]&gt;500,"High","Std"))</f>
        <v>HIGH</v>
      </c>
      <c r="P57">
        <v>56</v>
      </c>
    </row>
    <row r="58" spans="1:16" x14ac:dyDescent="0.3">
      <c r="A58" s="1">
        <v>44711</v>
      </c>
      <c r="B58" t="s">
        <v>20</v>
      </c>
      <c r="C58" t="s">
        <v>11</v>
      </c>
      <c r="D58" t="s">
        <v>15</v>
      </c>
      <c r="E58">
        <v>3</v>
      </c>
      <c r="F58" s="3">
        <v>1872</v>
      </c>
      <c r="G58" s="2">
        <v>553.1</v>
      </c>
      <c r="H58">
        <f>Master_ventas[[#This Row],[Profit]]/Master_ventas[[#This Row],[Sales]]</f>
        <v>0.29545940170940171</v>
      </c>
      <c r="I58">
        <f ca="1">Referencia_Hoy-Master_ventas[[#This Row],[Order Date]]</f>
        <v>1612</v>
      </c>
      <c r="J58" t="str">
        <f>UPPER(Master_ventas[[#This Row],[Product Name]])</f>
        <v>MONITOR</v>
      </c>
      <c r="K58" t="str">
        <f>UPPER(Master_ventas[[#This Row],[Category]])</f>
        <v>ACCESSORIES</v>
      </c>
      <c r="L58">
        <f>YEAR(Master_ventas[[#This Row],[Order Date]])</f>
        <v>2022</v>
      </c>
      <c r="M58" t="str">
        <f>CONCATENATE(LEFT(Master_ventas[[#This Row],[ProdUpper]],3),RIGHT(Master_ventas[[#This Row],[Ext-Year]],2),"-",MID(Master_ventas[[#This Row],[Category]],1,1))</f>
        <v>MON22-A</v>
      </c>
      <c r="N58" t="str">
        <f>MID(Master_ventas[[#This Row],[ProdUpper]],1,3)</f>
        <v>MON</v>
      </c>
      <c r="O58" t="str">
        <f>UPPER(IF(Master_ventas[[#This Row],[Profit]]&gt;500,"High","Std"))</f>
        <v>HIGH</v>
      </c>
      <c r="P58">
        <v>57</v>
      </c>
    </row>
    <row r="59" spans="1:16" x14ac:dyDescent="0.3">
      <c r="A59" s="1">
        <v>45399</v>
      </c>
      <c r="B59" t="s">
        <v>19</v>
      </c>
      <c r="C59" t="s">
        <v>14</v>
      </c>
      <c r="D59" t="s">
        <v>12</v>
      </c>
      <c r="E59">
        <v>6</v>
      </c>
      <c r="F59" s="3">
        <v>2124</v>
      </c>
      <c r="G59" s="2">
        <v>126.03</v>
      </c>
      <c r="H59">
        <f>Master_ventas[[#This Row],[Profit]]/Master_ventas[[#This Row],[Sales]]</f>
        <v>5.9336158192090399E-2</v>
      </c>
      <c r="I59">
        <f ca="1">Referencia_Hoy-Master_ventas[[#This Row],[Order Date]]</f>
        <v>924</v>
      </c>
      <c r="J59" t="str">
        <f>UPPER(Master_ventas[[#This Row],[Product Name]])</f>
        <v>SMARTWATCH</v>
      </c>
      <c r="K59" t="str">
        <f>UPPER(Master_ventas[[#This Row],[Category]])</f>
        <v>ELECTRONICS</v>
      </c>
      <c r="L59">
        <f>YEAR(Master_ventas[[#This Row],[Order Date]])</f>
        <v>2024</v>
      </c>
      <c r="M59" t="str">
        <f>CONCATENATE(LEFT(Master_ventas[[#This Row],[ProdUpper]],3),RIGHT(Master_ventas[[#This Row],[Ext-Year]],2),"-",MID(Master_ventas[[#This Row],[Category]],1,1))</f>
        <v>SMA24-E</v>
      </c>
      <c r="N59" t="str">
        <f>MID(Master_ventas[[#This Row],[ProdUpper]],1,3)</f>
        <v>SMA</v>
      </c>
      <c r="O59" t="str">
        <f>UPPER(IF(Master_ventas[[#This Row],[Profit]]&gt;500,"High","Std"))</f>
        <v>STD</v>
      </c>
      <c r="P59">
        <v>58</v>
      </c>
    </row>
    <row r="60" spans="1:16" x14ac:dyDescent="0.3">
      <c r="A60" s="1">
        <v>45565</v>
      </c>
      <c r="B60" t="s">
        <v>20</v>
      </c>
      <c r="C60" t="s">
        <v>11</v>
      </c>
      <c r="D60" t="s">
        <v>16</v>
      </c>
      <c r="E60">
        <v>5</v>
      </c>
      <c r="F60" s="3">
        <v>5210</v>
      </c>
      <c r="G60" s="2">
        <v>1338.8</v>
      </c>
      <c r="H60">
        <f>Master_ventas[[#This Row],[Profit]]/Master_ventas[[#This Row],[Sales]]</f>
        <v>0.25696737044145873</v>
      </c>
      <c r="I60">
        <f ca="1">Referencia_Hoy-Master_ventas[[#This Row],[Order Date]]</f>
        <v>758</v>
      </c>
      <c r="J60" t="str">
        <f>UPPER(Master_ventas[[#This Row],[Product Name]])</f>
        <v>MONITOR</v>
      </c>
      <c r="K60" t="str">
        <f>UPPER(Master_ventas[[#This Row],[Category]])</f>
        <v>ACCESSORIES</v>
      </c>
      <c r="L60">
        <f>YEAR(Master_ventas[[#This Row],[Order Date]])</f>
        <v>2024</v>
      </c>
      <c r="M60" t="str">
        <f>CONCATENATE(LEFT(Master_ventas[[#This Row],[ProdUpper]],3),RIGHT(Master_ventas[[#This Row],[Ext-Year]],2),"-",MID(Master_ventas[[#This Row],[Category]],1,1))</f>
        <v>MON24-A</v>
      </c>
      <c r="N60" t="str">
        <f>MID(Master_ventas[[#This Row],[ProdUpper]],1,3)</f>
        <v>MON</v>
      </c>
      <c r="O60" t="str">
        <f>UPPER(IF(Master_ventas[[#This Row],[Profit]]&gt;500,"High","Std"))</f>
        <v>HIGH</v>
      </c>
      <c r="P60">
        <v>59</v>
      </c>
    </row>
    <row r="61" spans="1:16" x14ac:dyDescent="0.3">
      <c r="A61" s="1">
        <v>45445</v>
      </c>
      <c r="B61" t="s">
        <v>10</v>
      </c>
      <c r="C61" t="s">
        <v>11</v>
      </c>
      <c r="D61" t="s">
        <v>15</v>
      </c>
      <c r="E61">
        <v>7</v>
      </c>
      <c r="F61" s="3">
        <v>5761</v>
      </c>
      <c r="G61" s="2">
        <v>362.48</v>
      </c>
      <c r="H61">
        <f>Master_ventas[[#This Row],[Profit]]/Master_ventas[[#This Row],[Sales]]</f>
        <v>6.2919632008331894E-2</v>
      </c>
      <c r="I61">
        <f ca="1">Referencia_Hoy-Master_ventas[[#This Row],[Order Date]]</f>
        <v>878</v>
      </c>
      <c r="J61" t="str">
        <f>UPPER(Master_ventas[[#This Row],[Product Name]])</f>
        <v>MOUSE</v>
      </c>
      <c r="K61" t="str">
        <f>UPPER(Master_ventas[[#This Row],[Category]])</f>
        <v>ACCESSORIES</v>
      </c>
      <c r="L61">
        <f>YEAR(Master_ventas[[#This Row],[Order Date]])</f>
        <v>2024</v>
      </c>
      <c r="M61" t="str">
        <f>CONCATENATE(LEFT(Master_ventas[[#This Row],[ProdUpper]],3),RIGHT(Master_ventas[[#This Row],[Ext-Year]],2),"-",MID(Master_ventas[[#This Row],[Category]],1,1))</f>
        <v>MOU24-A</v>
      </c>
      <c r="N61" t="str">
        <f>MID(Master_ventas[[#This Row],[ProdUpper]],1,3)</f>
        <v>MOU</v>
      </c>
      <c r="O61" t="str">
        <f>UPPER(IF(Master_ventas[[#This Row],[Profit]]&gt;500,"High","Std"))</f>
        <v>STD</v>
      </c>
      <c r="P61">
        <v>60</v>
      </c>
    </row>
    <row r="62" spans="1:16" x14ac:dyDescent="0.3">
      <c r="A62" s="1">
        <v>44830</v>
      </c>
      <c r="B62" t="s">
        <v>18</v>
      </c>
      <c r="C62" t="s">
        <v>11</v>
      </c>
      <c r="D62" t="s">
        <v>15</v>
      </c>
      <c r="E62">
        <v>7</v>
      </c>
      <c r="F62" s="3">
        <v>6895</v>
      </c>
      <c r="G62" s="2">
        <v>1596.35</v>
      </c>
      <c r="H62">
        <f>Master_ventas[[#This Row],[Profit]]/Master_ventas[[#This Row],[Sales]]</f>
        <v>0.23152284263959388</v>
      </c>
      <c r="I62">
        <f ca="1">Referencia_Hoy-Master_ventas[[#This Row],[Order Date]]</f>
        <v>1493</v>
      </c>
      <c r="J62" t="str">
        <f>UPPER(Master_ventas[[#This Row],[Product Name]])</f>
        <v>HEADPHONES</v>
      </c>
      <c r="K62" t="str">
        <f>UPPER(Master_ventas[[#This Row],[Category]])</f>
        <v>ACCESSORIES</v>
      </c>
      <c r="L62">
        <f>YEAR(Master_ventas[[#This Row],[Order Date]])</f>
        <v>2022</v>
      </c>
      <c r="M62" t="str">
        <f>CONCATENATE(LEFT(Master_ventas[[#This Row],[ProdUpper]],3),RIGHT(Master_ventas[[#This Row],[Ext-Year]],2),"-",MID(Master_ventas[[#This Row],[Category]],1,1))</f>
        <v>HEA22-A</v>
      </c>
      <c r="N62" t="str">
        <f>MID(Master_ventas[[#This Row],[ProdUpper]],1,3)</f>
        <v>HEA</v>
      </c>
      <c r="O62" t="str">
        <f>UPPER(IF(Master_ventas[[#This Row],[Profit]]&gt;500,"High","Std"))</f>
        <v>HIGH</v>
      </c>
      <c r="P62">
        <v>61</v>
      </c>
    </row>
    <row r="63" spans="1:16" x14ac:dyDescent="0.3">
      <c r="A63" s="1">
        <v>45643</v>
      </c>
      <c r="B63" t="s">
        <v>19</v>
      </c>
      <c r="C63" t="s">
        <v>14</v>
      </c>
      <c r="D63" t="s">
        <v>12</v>
      </c>
      <c r="E63">
        <v>3</v>
      </c>
      <c r="F63" s="3">
        <v>2118</v>
      </c>
      <c r="G63" s="2">
        <v>317.08</v>
      </c>
      <c r="H63">
        <f>Master_ventas[[#This Row],[Profit]]/Master_ventas[[#This Row],[Sales]]</f>
        <v>0.14970727101038714</v>
      </c>
      <c r="I63">
        <f ca="1">Referencia_Hoy-Master_ventas[[#This Row],[Order Date]]</f>
        <v>680</v>
      </c>
      <c r="J63" t="str">
        <f>UPPER(Master_ventas[[#This Row],[Product Name]])</f>
        <v>SMARTWATCH</v>
      </c>
      <c r="K63" t="str">
        <f>UPPER(Master_ventas[[#This Row],[Category]])</f>
        <v>ELECTRONICS</v>
      </c>
      <c r="L63">
        <f>YEAR(Master_ventas[[#This Row],[Order Date]])</f>
        <v>2024</v>
      </c>
      <c r="M63" t="str">
        <f>CONCATENATE(LEFT(Master_ventas[[#This Row],[ProdUpper]],3),RIGHT(Master_ventas[[#This Row],[Ext-Year]],2),"-",MID(Master_ventas[[#This Row],[Category]],1,1))</f>
        <v>SMA24-E</v>
      </c>
      <c r="N63" t="str">
        <f>MID(Master_ventas[[#This Row],[ProdUpper]],1,3)</f>
        <v>SMA</v>
      </c>
      <c r="O63" t="str">
        <f>UPPER(IF(Master_ventas[[#This Row],[Profit]]&gt;500,"High","Std"))</f>
        <v>STD</v>
      </c>
      <c r="P63">
        <v>62</v>
      </c>
    </row>
    <row r="64" spans="1:16" x14ac:dyDescent="0.3">
      <c r="A64" s="1">
        <v>45574</v>
      </c>
      <c r="B64" t="s">
        <v>19</v>
      </c>
      <c r="C64" t="s">
        <v>14</v>
      </c>
      <c r="D64" t="s">
        <v>9</v>
      </c>
      <c r="E64">
        <v>5</v>
      </c>
      <c r="F64" s="3">
        <v>830</v>
      </c>
      <c r="G64" s="2">
        <v>58.28</v>
      </c>
      <c r="H64">
        <f>Master_ventas[[#This Row],[Profit]]/Master_ventas[[#This Row],[Sales]]</f>
        <v>7.0216867469879513E-2</v>
      </c>
      <c r="I64">
        <f ca="1">Referencia_Hoy-Master_ventas[[#This Row],[Order Date]]</f>
        <v>749</v>
      </c>
      <c r="J64" t="str">
        <f>UPPER(Master_ventas[[#This Row],[Product Name]])</f>
        <v>SMARTWATCH</v>
      </c>
      <c r="K64" t="str">
        <f>UPPER(Master_ventas[[#This Row],[Category]])</f>
        <v>ELECTRONICS</v>
      </c>
      <c r="L64">
        <f>YEAR(Master_ventas[[#This Row],[Order Date]])</f>
        <v>2024</v>
      </c>
      <c r="M64" t="str">
        <f>CONCATENATE(LEFT(Master_ventas[[#This Row],[ProdUpper]],3),RIGHT(Master_ventas[[#This Row],[Ext-Year]],2),"-",MID(Master_ventas[[#This Row],[Category]],1,1))</f>
        <v>SMA24-E</v>
      </c>
      <c r="N64" t="str">
        <f>MID(Master_ventas[[#This Row],[ProdUpper]],1,3)</f>
        <v>SMA</v>
      </c>
      <c r="O64" t="str">
        <f>UPPER(IF(Master_ventas[[#This Row],[Profit]]&gt;500,"High","Std"))</f>
        <v>STD</v>
      </c>
      <c r="P64">
        <v>63</v>
      </c>
    </row>
    <row r="65" spans="1:16" x14ac:dyDescent="0.3">
      <c r="A65" s="1">
        <v>45121</v>
      </c>
      <c r="B65" t="s">
        <v>19</v>
      </c>
      <c r="C65" t="s">
        <v>14</v>
      </c>
      <c r="D65" t="s">
        <v>9</v>
      </c>
      <c r="E65">
        <v>1</v>
      </c>
      <c r="F65" s="3">
        <v>851</v>
      </c>
      <c r="G65" s="2">
        <v>93.56</v>
      </c>
      <c r="H65">
        <f>Master_ventas[[#This Row],[Profit]]/Master_ventas[[#This Row],[Sales]]</f>
        <v>0.10994124559341951</v>
      </c>
      <c r="I65">
        <f ca="1">Referencia_Hoy-Master_ventas[[#This Row],[Order Date]]</f>
        <v>1202</v>
      </c>
      <c r="J65" t="str">
        <f>UPPER(Master_ventas[[#This Row],[Product Name]])</f>
        <v>SMARTWATCH</v>
      </c>
      <c r="K65" t="str">
        <f>UPPER(Master_ventas[[#This Row],[Category]])</f>
        <v>ELECTRONICS</v>
      </c>
      <c r="L65">
        <f>YEAR(Master_ventas[[#This Row],[Order Date]])</f>
        <v>2023</v>
      </c>
      <c r="M65" t="str">
        <f>CONCATENATE(LEFT(Master_ventas[[#This Row],[ProdUpper]],3),RIGHT(Master_ventas[[#This Row],[Ext-Year]],2),"-",MID(Master_ventas[[#This Row],[Category]],1,1))</f>
        <v>SMA23-E</v>
      </c>
      <c r="N65" t="str">
        <f>MID(Master_ventas[[#This Row],[ProdUpper]],1,3)</f>
        <v>SMA</v>
      </c>
      <c r="O65" t="str">
        <f>UPPER(IF(Master_ventas[[#This Row],[Profit]]&gt;500,"High","Std"))</f>
        <v>STD</v>
      </c>
      <c r="P65">
        <v>64</v>
      </c>
    </row>
    <row r="66" spans="1:16" x14ac:dyDescent="0.3">
      <c r="A66" s="1">
        <v>45265</v>
      </c>
      <c r="B66" t="s">
        <v>13</v>
      </c>
      <c r="C66" t="s">
        <v>14</v>
      </c>
      <c r="D66" t="s">
        <v>12</v>
      </c>
      <c r="E66">
        <v>5</v>
      </c>
      <c r="F66" s="3">
        <v>4730</v>
      </c>
      <c r="G66" s="2">
        <v>1365.63</v>
      </c>
      <c r="H66">
        <f>Master_ventas[[#This Row],[Profit]]/Master_ventas[[#This Row],[Sales]]</f>
        <v>0.28871670190274845</v>
      </c>
      <c r="I66">
        <f ca="1">Referencia_Hoy-Master_ventas[[#This Row],[Order Date]]</f>
        <v>1058</v>
      </c>
      <c r="J66" t="str">
        <f>UPPER(Master_ventas[[#This Row],[Product Name]])</f>
        <v>TABLET</v>
      </c>
      <c r="K66" t="str">
        <f>UPPER(Master_ventas[[#This Row],[Category]])</f>
        <v>ELECTRONICS</v>
      </c>
      <c r="L66">
        <f>YEAR(Master_ventas[[#This Row],[Order Date]])</f>
        <v>2023</v>
      </c>
      <c r="M66" t="str">
        <f>CONCATENATE(LEFT(Master_ventas[[#This Row],[ProdUpper]],3),RIGHT(Master_ventas[[#This Row],[Ext-Year]],2),"-",MID(Master_ventas[[#This Row],[Category]],1,1))</f>
        <v>TAB23-E</v>
      </c>
      <c r="N66" t="str">
        <f>MID(Master_ventas[[#This Row],[ProdUpper]],1,3)</f>
        <v>TAB</v>
      </c>
      <c r="O66" t="str">
        <f>UPPER(IF(Master_ventas[[#This Row],[Profit]]&gt;500,"High","Std"))</f>
        <v>HIGH</v>
      </c>
      <c r="P66">
        <v>65</v>
      </c>
    </row>
    <row r="67" spans="1:16" x14ac:dyDescent="0.3">
      <c r="A67" s="1">
        <v>44715</v>
      </c>
      <c r="B67" t="s">
        <v>10</v>
      </c>
      <c r="C67" t="s">
        <v>11</v>
      </c>
      <c r="D67" t="s">
        <v>16</v>
      </c>
      <c r="E67">
        <v>6</v>
      </c>
      <c r="F67" s="3">
        <v>5460</v>
      </c>
      <c r="G67" s="2">
        <v>845.75</v>
      </c>
      <c r="H67">
        <f>Master_ventas[[#This Row],[Profit]]/Master_ventas[[#This Row],[Sales]]</f>
        <v>0.1548992673992674</v>
      </c>
      <c r="I67">
        <f ca="1">Referencia_Hoy-Master_ventas[[#This Row],[Order Date]]</f>
        <v>1608</v>
      </c>
      <c r="J67" t="str">
        <f>UPPER(Master_ventas[[#This Row],[Product Name]])</f>
        <v>MOUSE</v>
      </c>
      <c r="K67" t="str">
        <f>UPPER(Master_ventas[[#This Row],[Category]])</f>
        <v>ACCESSORIES</v>
      </c>
      <c r="L67">
        <f>YEAR(Master_ventas[[#This Row],[Order Date]])</f>
        <v>2022</v>
      </c>
      <c r="M67" t="str">
        <f>CONCATENATE(LEFT(Master_ventas[[#This Row],[ProdUpper]],3),RIGHT(Master_ventas[[#This Row],[Ext-Year]],2),"-",MID(Master_ventas[[#This Row],[Category]],1,1))</f>
        <v>MOU22-A</v>
      </c>
      <c r="N67" t="str">
        <f>MID(Master_ventas[[#This Row],[ProdUpper]],1,3)</f>
        <v>MOU</v>
      </c>
      <c r="O67" t="str">
        <f>UPPER(IF(Master_ventas[[#This Row],[Profit]]&gt;500,"High","Std"))</f>
        <v>HIGH</v>
      </c>
      <c r="P67">
        <v>66</v>
      </c>
    </row>
    <row r="68" spans="1:16" x14ac:dyDescent="0.3">
      <c r="A68" s="1">
        <v>45654</v>
      </c>
      <c r="B68" t="s">
        <v>18</v>
      </c>
      <c r="C68" t="s">
        <v>11</v>
      </c>
      <c r="D68" t="s">
        <v>12</v>
      </c>
      <c r="E68">
        <v>5</v>
      </c>
      <c r="F68" s="3">
        <v>5795</v>
      </c>
      <c r="G68" s="2">
        <v>310.60000000000002</v>
      </c>
      <c r="H68">
        <f>Master_ventas[[#This Row],[Profit]]/Master_ventas[[#This Row],[Sales]]</f>
        <v>5.3597929249352895E-2</v>
      </c>
      <c r="I68">
        <f ca="1">Referencia_Hoy-Master_ventas[[#This Row],[Order Date]]</f>
        <v>669</v>
      </c>
      <c r="J68" t="str">
        <f>UPPER(Master_ventas[[#This Row],[Product Name]])</f>
        <v>HEADPHONES</v>
      </c>
      <c r="K68" t="str">
        <f>UPPER(Master_ventas[[#This Row],[Category]])</f>
        <v>ACCESSORIES</v>
      </c>
      <c r="L68">
        <f>YEAR(Master_ventas[[#This Row],[Order Date]])</f>
        <v>2024</v>
      </c>
      <c r="M68" t="str">
        <f>CONCATENATE(LEFT(Master_ventas[[#This Row],[ProdUpper]],3),RIGHT(Master_ventas[[#This Row],[Ext-Year]],2),"-",MID(Master_ventas[[#This Row],[Category]],1,1))</f>
        <v>HEA24-A</v>
      </c>
      <c r="N68" t="str">
        <f>MID(Master_ventas[[#This Row],[ProdUpper]],1,3)</f>
        <v>HEA</v>
      </c>
      <c r="O68" t="str">
        <f>UPPER(IF(Master_ventas[[#This Row],[Profit]]&gt;500,"High","Std"))</f>
        <v>STD</v>
      </c>
      <c r="P68">
        <v>67</v>
      </c>
    </row>
    <row r="69" spans="1:16" x14ac:dyDescent="0.3">
      <c r="A69" s="1">
        <v>44779</v>
      </c>
      <c r="B69" t="s">
        <v>23</v>
      </c>
      <c r="C69" t="s">
        <v>14</v>
      </c>
      <c r="D69" t="s">
        <v>15</v>
      </c>
      <c r="E69">
        <v>4</v>
      </c>
      <c r="F69" s="3">
        <v>2008</v>
      </c>
      <c r="G69" s="2">
        <v>338.44</v>
      </c>
      <c r="H69">
        <f>Master_ventas[[#This Row],[Profit]]/Master_ventas[[#This Row],[Sales]]</f>
        <v>0.16854581673306773</v>
      </c>
      <c r="I69">
        <f ca="1">Referencia_Hoy-Master_ventas[[#This Row],[Order Date]]</f>
        <v>1544</v>
      </c>
      <c r="J69" t="str">
        <f>UPPER(Master_ventas[[#This Row],[Product Name]])</f>
        <v>LAPTOP</v>
      </c>
      <c r="K69" t="str">
        <f>UPPER(Master_ventas[[#This Row],[Category]])</f>
        <v>ELECTRONICS</v>
      </c>
      <c r="L69">
        <f>YEAR(Master_ventas[[#This Row],[Order Date]])</f>
        <v>2022</v>
      </c>
      <c r="M69" t="str">
        <f>CONCATENATE(LEFT(Master_ventas[[#This Row],[ProdUpper]],3),RIGHT(Master_ventas[[#This Row],[Ext-Year]],2),"-",MID(Master_ventas[[#This Row],[Category]],1,1))</f>
        <v>LAP22-E</v>
      </c>
      <c r="N69" t="str">
        <f>MID(Master_ventas[[#This Row],[ProdUpper]],1,3)</f>
        <v>LAP</v>
      </c>
      <c r="O69" t="str">
        <f>UPPER(IF(Master_ventas[[#This Row],[Profit]]&gt;500,"High","Std"))</f>
        <v>STD</v>
      </c>
      <c r="P69">
        <v>68</v>
      </c>
    </row>
    <row r="70" spans="1:16" x14ac:dyDescent="0.3">
      <c r="A70" s="1">
        <v>45083</v>
      </c>
      <c r="B70" t="s">
        <v>10</v>
      </c>
      <c r="C70" t="s">
        <v>11</v>
      </c>
      <c r="D70" t="s">
        <v>15</v>
      </c>
      <c r="E70">
        <v>7</v>
      </c>
      <c r="F70" s="3">
        <v>2842</v>
      </c>
      <c r="G70" s="2">
        <v>425.24</v>
      </c>
      <c r="H70">
        <f>Master_ventas[[#This Row],[Profit]]/Master_ventas[[#This Row],[Sales]]</f>
        <v>0.14962702322308233</v>
      </c>
      <c r="I70">
        <f ca="1">Referencia_Hoy-Master_ventas[[#This Row],[Order Date]]</f>
        <v>1240</v>
      </c>
      <c r="J70" t="str">
        <f>UPPER(Master_ventas[[#This Row],[Product Name]])</f>
        <v>MOUSE</v>
      </c>
      <c r="K70" t="str">
        <f>UPPER(Master_ventas[[#This Row],[Category]])</f>
        <v>ACCESSORIES</v>
      </c>
      <c r="L70">
        <f>YEAR(Master_ventas[[#This Row],[Order Date]])</f>
        <v>2023</v>
      </c>
      <c r="M70" t="str">
        <f>CONCATENATE(LEFT(Master_ventas[[#This Row],[ProdUpper]],3),RIGHT(Master_ventas[[#This Row],[Ext-Year]],2),"-",MID(Master_ventas[[#This Row],[Category]],1,1))</f>
        <v>MOU23-A</v>
      </c>
      <c r="N70" t="str">
        <f>MID(Master_ventas[[#This Row],[ProdUpper]],1,3)</f>
        <v>MOU</v>
      </c>
      <c r="O70" t="str">
        <f>UPPER(IF(Master_ventas[[#This Row],[Profit]]&gt;500,"High","Std"))</f>
        <v>STD</v>
      </c>
      <c r="P70">
        <v>69</v>
      </c>
    </row>
    <row r="71" spans="1:16" x14ac:dyDescent="0.3">
      <c r="A71" s="1">
        <v>45323</v>
      </c>
      <c r="B71" t="s">
        <v>10</v>
      </c>
      <c r="C71" t="s">
        <v>11</v>
      </c>
      <c r="D71" t="s">
        <v>12</v>
      </c>
      <c r="E71">
        <v>4</v>
      </c>
      <c r="F71" s="3">
        <v>3404</v>
      </c>
      <c r="G71" s="2">
        <v>392.22</v>
      </c>
      <c r="H71">
        <f>Master_ventas[[#This Row],[Profit]]/Master_ventas[[#This Row],[Sales]]</f>
        <v>0.11522326674500588</v>
      </c>
      <c r="I71">
        <f ca="1">Referencia_Hoy-Master_ventas[[#This Row],[Order Date]]</f>
        <v>1000</v>
      </c>
      <c r="J71" t="str">
        <f>UPPER(Master_ventas[[#This Row],[Product Name]])</f>
        <v>MOUSE</v>
      </c>
      <c r="K71" t="str">
        <f>UPPER(Master_ventas[[#This Row],[Category]])</f>
        <v>ACCESSORIES</v>
      </c>
      <c r="L71">
        <f>YEAR(Master_ventas[[#This Row],[Order Date]])</f>
        <v>2024</v>
      </c>
      <c r="M71" t="str">
        <f>CONCATENATE(LEFT(Master_ventas[[#This Row],[ProdUpper]],3),RIGHT(Master_ventas[[#This Row],[Ext-Year]],2),"-",MID(Master_ventas[[#This Row],[Category]],1,1))</f>
        <v>MOU24-A</v>
      </c>
      <c r="N71" t="str">
        <f>MID(Master_ventas[[#This Row],[ProdUpper]],1,3)</f>
        <v>MOU</v>
      </c>
      <c r="O71" t="str">
        <f>UPPER(IF(Master_ventas[[#This Row],[Profit]]&gt;500,"High","Std"))</f>
        <v>STD</v>
      </c>
      <c r="P71">
        <v>70</v>
      </c>
    </row>
    <row r="72" spans="1:16" x14ac:dyDescent="0.3">
      <c r="A72" s="1">
        <v>45077</v>
      </c>
      <c r="B72" t="s">
        <v>19</v>
      </c>
      <c r="C72" t="s">
        <v>14</v>
      </c>
      <c r="D72" t="s">
        <v>16</v>
      </c>
      <c r="E72">
        <v>1</v>
      </c>
      <c r="F72" s="3">
        <v>1065</v>
      </c>
      <c r="G72" s="2">
        <v>228.63</v>
      </c>
      <c r="H72">
        <f>Master_ventas[[#This Row],[Profit]]/Master_ventas[[#This Row],[Sales]]</f>
        <v>0.21467605633802817</v>
      </c>
      <c r="I72">
        <f ca="1">Referencia_Hoy-Master_ventas[[#This Row],[Order Date]]</f>
        <v>1246</v>
      </c>
      <c r="J72" t="str">
        <f>UPPER(Master_ventas[[#This Row],[Product Name]])</f>
        <v>SMARTWATCH</v>
      </c>
      <c r="K72" t="str">
        <f>UPPER(Master_ventas[[#This Row],[Category]])</f>
        <v>ELECTRONICS</v>
      </c>
      <c r="L72">
        <f>YEAR(Master_ventas[[#This Row],[Order Date]])</f>
        <v>2023</v>
      </c>
      <c r="M72" t="str">
        <f>CONCATENATE(LEFT(Master_ventas[[#This Row],[ProdUpper]],3),RIGHT(Master_ventas[[#This Row],[Ext-Year]],2),"-",MID(Master_ventas[[#This Row],[Category]],1,1))</f>
        <v>SMA23-E</v>
      </c>
      <c r="N72" t="str">
        <f>MID(Master_ventas[[#This Row],[ProdUpper]],1,3)</f>
        <v>SMA</v>
      </c>
      <c r="O72" t="str">
        <f>UPPER(IF(Master_ventas[[#This Row],[Profit]]&gt;500,"High","Std"))</f>
        <v>STD</v>
      </c>
      <c r="P72">
        <v>71</v>
      </c>
    </row>
    <row r="73" spans="1:16" x14ac:dyDescent="0.3">
      <c r="A73" s="1">
        <v>45457</v>
      </c>
      <c r="B73" t="s">
        <v>13</v>
      </c>
      <c r="C73" t="s">
        <v>14</v>
      </c>
      <c r="D73" t="s">
        <v>16</v>
      </c>
      <c r="E73">
        <v>7</v>
      </c>
      <c r="F73" s="3">
        <v>2149</v>
      </c>
      <c r="G73" s="2">
        <v>121.69</v>
      </c>
      <c r="H73">
        <f>Master_ventas[[#This Row],[Profit]]/Master_ventas[[#This Row],[Sales]]</f>
        <v>5.6626337831549557E-2</v>
      </c>
      <c r="I73">
        <f ca="1">Referencia_Hoy-Master_ventas[[#This Row],[Order Date]]</f>
        <v>866</v>
      </c>
      <c r="J73" t="str">
        <f>UPPER(Master_ventas[[#This Row],[Product Name]])</f>
        <v>TABLET</v>
      </c>
      <c r="K73" t="str">
        <f>UPPER(Master_ventas[[#This Row],[Category]])</f>
        <v>ELECTRONICS</v>
      </c>
      <c r="L73">
        <f>YEAR(Master_ventas[[#This Row],[Order Date]])</f>
        <v>2024</v>
      </c>
      <c r="M73" t="str">
        <f>CONCATENATE(LEFT(Master_ventas[[#This Row],[ProdUpper]],3),RIGHT(Master_ventas[[#This Row],[Ext-Year]],2),"-",MID(Master_ventas[[#This Row],[Category]],1,1))</f>
        <v>TAB24-E</v>
      </c>
      <c r="N73" t="str">
        <f>MID(Master_ventas[[#This Row],[ProdUpper]],1,3)</f>
        <v>TAB</v>
      </c>
      <c r="O73" t="str">
        <f>UPPER(IF(Master_ventas[[#This Row],[Profit]]&gt;500,"High","Std"))</f>
        <v>STD</v>
      </c>
      <c r="P73">
        <v>72</v>
      </c>
    </row>
    <row r="74" spans="1:16" x14ac:dyDescent="0.3">
      <c r="A74" s="1">
        <v>45518</v>
      </c>
      <c r="B74" t="s">
        <v>22</v>
      </c>
      <c r="C74" t="s">
        <v>11</v>
      </c>
      <c r="D74" t="s">
        <v>12</v>
      </c>
      <c r="E74">
        <v>8</v>
      </c>
      <c r="F74" s="3">
        <v>5912</v>
      </c>
      <c r="G74" s="2">
        <v>1143.04</v>
      </c>
      <c r="H74">
        <f>Master_ventas[[#This Row],[Profit]]/Master_ventas[[#This Row],[Sales]]</f>
        <v>0.1933423545331529</v>
      </c>
      <c r="I74">
        <f ca="1">Referencia_Hoy-Master_ventas[[#This Row],[Order Date]]</f>
        <v>805</v>
      </c>
      <c r="J74" t="str">
        <f>UPPER(Master_ventas[[#This Row],[Product Name]])</f>
        <v>KEYBOARD</v>
      </c>
      <c r="K74" t="str">
        <f>UPPER(Master_ventas[[#This Row],[Category]])</f>
        <v>ACCESSORIES</v>
      </c>
      <c r="L74">
        <f>YEAR(Master_ventas[[#This Row],[Order Date]])</f>
        <v>2024</v>
      </c>
      <c r="M74" t="str">
        <f>CONCATENATE(LEFT(Master_ventas[[#This Row],[ProdUpper]],3),RIGHT(Master_ventas[[#This Row],[Ext-Year]],2),"-",MID(Master_ventas[[#This Row],[Category]],1,1))</f>
        <v>KEY24-A</v>
      </c>
      <c r="N74" t="str">
        <f>MID(Master_ventas[[#This Row],[ProdUpper]],1,3)</f>
        <v>KEY</v>
      </c>
      <c r="O74" t="str">
        <f>UPPER(IF(Master_ventas[[#This Row],[Profit]]&gt;500,"High","Std"))</f>
        <v>HIGH</v>
      </c>
      <c r="P74">
        <v>73</v>
      </c>
    </row>
    <row r="75" spans="1:16" x14ac:dyDescent="0.3">
      <c r="A75" s="1">
        <v>44958</v>
      </c>
      <c r="B75" t="s">
        <v>10</v>
      </c>
      <c r="C75" t="s">
        <v>11</v>
      </c>
      <c r="D75" t="s">
        <v>16</v>
      </c>
      <c r="E75">
        <v>3</v>
      </c>
      <c r="F75" s="3">
        <v>3348</v>
      </c>
      <c r="G75" s="2">
        <v>331.28</v>
      </c>
      <c r="H75">
        <f>Master_ventas[[#This Row],[Profit]]/Master_ventas[[#This Row],[Sales]]</f>
        <v>9.8948626045400237E-2</v>
      </c>
      <c r="I75">
        <f ca="1">Referencia_Hoy-Master_ventas[[#This Row],[Order Date]]</f>
        <v>1365</v>
      </c>
      <c r="J75" t="str">
        <f>UPPER(Master_ventas[[#This Row],[Product Name]])</f>
        <v>MOUSE</v>
      </c>
      <c r="K75" t="str">
        <f>UPPER(Master_ventas[[#This Row],[Category]])</f>
        <v>ACCESSORIES</v>
      </c>
      <c r="L75">
        <f>YEAR(Master_ventas[[#This Row],[Order Date]])</f>
        <v>2023</v>
      </c>
      <c r="M75" t="str">
        <f>CONCATENATE(LEFT(Master_ventas[[#This Row],[ProdUpper]],3),RIGHT(Master_ventas[[#This Row],[Ext-Year]],2),"-",MID(Master_ventas[[#This Row],[Category]],1,1))</f>
        <v>MOU23-A</v>
      </c>
      <c r="N75" t="str">
        <f>MID(Master_ventas[[#This Row],[ProdUpper]],1,3)</f>
        <v>MOU</v>
      </c>
      <c r="O75" t="str">
        <f>UPPER(IF(Master_ventas[[#This Row],[Profit]]&gt;500,"High","Std"))</f>
        <v>STD</v>
      </c>
      <c r="P75">
        <v>74</v>
      </c>
    </row>
    <row r="76" spans="1:16" x14ac:dyDescent="0.3">
      <c r="A76" s="1">
        <v>45410</v>
      </c>
      <c r="B76" t="s">
        <v>21</v>
      </c>
      <c r="C76" t="s">
        <v>14</v>
      </c>
      <c r="D76" t="s">
        <v>15</v>
      </c>
      <c r="E76">
        <v>3</v>
      </c>
      <c r="F76" s="3">
        <v>2409</v>
      </c>
      <c r="G76" s="2">
        <v>531.79</v>
      </c>
      <c r="H76">
        <f>Master_ventas[[#This Row],[Profit]]/Master_ventas[[#This Row],[Sales]]</f>
        <v>0.22075134910751348</v>
      </c>
      <c r="I76">
        <f ca="1">Referencia_Hoy-Master_ventas[[#This Row],[Order Date]]</f>
        <v>913</v>
      </c>
      <c r="J76" t="str">
        <f>UPPER(Master_ventas[[#This Row],[Product Name]])</f>
        <v>SMARTPHONE</v>
      </c>
      <c r="K76" t="str">
        <f>UPPER(Master_ventas[[#This Row],[Category]])</f>
        <v>ELECTRONICS</v>
      </c>
      <c r="L76">
        <f>YEAR(Master_ventas[[#This Row],[Order Date]])</f>
        <v>2024</v>
      </c>
      <c r="M76" t="str">
        <f>CONCATENATE(LEFT(Master_ventas[[#This Row],[ProdUpper]],3),RIGHT(Master_ventas[[#This Row],[Ext-Year]],2),"-",MID(Master_ventas[[#This Row],[Category]],1,1))</f>
        <v>SMA24-E</v>
      </c>
      <c r="N76" t="str">
        <f>MID(Master_ventas[[#This Row],[ProdUpper]],1,3)</f>
        <v>SMA</v>
      </c>
      <c r="O76" t="str">
        <f>UPPER(IF(Master_ventas[[#This Row],[Profit]]&gt;500,"High","Std"))</f>
        <v>HIGH</v>
      </c>
      <c r="P76">
        <v>75</v>
      </c>
    </row>
    <row r="77" spans="1:16" x14ac:dyDescent="0.3">
      <c r="A77" s="1">
        <v>45387</v>
      </c>
      <c r="B77" t="s">
        <v>13</v>
      </c>
      <c r="C77" t="s">
        <v>14</v>
      </c>
      <c r="D77" t="s">
        <v>9</v>
      </c>
      <c r="E77">
        <v>2</v>
      </c>
      <c r="F77" s="3">
        <v>328</v>
      </c>
      <c r="G77" s="2">
        <v>39.51</v>
      </c>
      <c r="H77">
        <f>Master_ventas[[#This Row],[Profit]]/Master_ventas[[#This Row],[Sales]]</f>
        <v>0.12045731707317073</v>
      </c>
      <c r="I77">
        <f ca="1">Referencia_Hoy-Master_ventas[[#This Row],[Order Date]]</f>
        <v>936</v>
      </c>
      <c r="J77" t="str">
        <f>UPPER(Master_ventas[[#This Row],[Product Name]])</f>
        <v>TABLET</v>
      </c>
      <c r="K77" t="str">
        <f>UPPER(Master_ventas[[#This Row],[Category]])</f>
        <v>ELECTRONICS</v>
      </c>
      <c r="L77">
        <f>YEAR(Master_ventas[[#This Row],[Order Date]])</f>
        <v>2024</v>
      </c>
      <c r="M77" t="str">
        <f>CONCATENATE(LEFT(Master_ventas[[#This Row],[ProdUpper]],3),RIGHT(Master_ventas[[#This Row],[Ext-Year]],2),"-",MID(Master_ventas[[#This Row],[Category]],1,1))</f>
        <v>TAB24-E</v>
      </c>
      <c r="N77" t="str">
        <f>MID(Master_ventas[[#This Row],[ProdUpper]],1,3)</f>
        <v>TAB</v>
      </c>
      <c r="O77" t="str">
        <f>UPPER(IF(Master_ventas[[#This Row],[Profit]]&gt;500,"High","Std"))</f>
        <v>STD</v>
      </c>
      <c r="P77">
        <v>76</v>
      </c>
    </row>
    <row r="78" spans="1:16" x14ac:dyDescent="0.3">
      <c r="A78" s="1">
        <v>45322</v>
      </c>
      <c r="B78" t="s">
        <v>21</v>
      </c>
      <c r="C78" t="s">
        <v>14</v>
      </c>
      <c r="D78" t="s">
        <v>16</v>
      </c>
      <c r="E78">
        <v>8</v>
      </c>
      <c r="F78" s="3">
        <v>6224</v>
      </c>
      <c r="G78" s="2">
        <v>1561.42</v>
      </c>
      <c r="H78">
        <f>Master_ventas[[#This Row],[Profit]]/Master_ventas[[#This Row],[Sales]]</f>
        <v>0.25087082262210797</v>
      </c>
      <c r="I78">
        <f ca="1">Referencia_Hoy-Master_ventas[[#This Row],[Order Date]]</f>
        <v>1001</v>
      </c>
      <c r="J78" t="str">
        <f>UPPER(Master_ventas[[#This Row],[Product Name]])</f>
        <v>SMARTPHONE</v>
      </c>
      <c r="K78" t="str">
        <f>UPPER(Master_ventas[[#This Row],[Category]])</f>
        <v>ELECTRONICS</v>
      </c>
      <c r="L78">
        <f>YEAR(Master_ventas[[#This Row],[Order Date]])</f>
        <v>2024</v>
      </c>
      <c r="M78" t="str">
        <f>CONCATENATE(LEFT(Master_ventas[[#This Row],[ProdUpper]],3),RIGHT(Master_ventas[[#This Row],[Ext-Year]],2),"-",MID(Master_ventas[[#This Row],[Category]],1,1))</f>
        <v>SMA24-E</v>
      </c>
      <c r="N78" t="str">
        <f>MID(Master_ventas[[#This Row],[ProdUpper]],1,3)</f>
        <v>SMA</v>
      </c>
      <c r="O78" t="str">
        <f>UPPER(IF(Master_ventas[[#This Row],[Profit]]&gt;500,"High","Std"))</f>
        <v>HIGH</v>
      </c>
      <c r="P78">
        <v>77</v>
      </c>
    </row>
    <row r="79" spans="1:16" x14ac:dyDescent="0.3">
      <c r="A79" s="1">
        <v>45300</v>
      </c>
      <c r="B79" t="s">
        <v>19</v>
      </c>
      <c r="C79" t="s">
        <v>14</v>
      </c>
      <c r="D79" t="s">
        <v>9</v>
      </c>
      <c r="E79">
        <v>5</v>
      </c>
      <c r="F79" s="3">
        <v>2530</v>
      </c>
      <c r="G79" s="2">
        <v>486.09</v>
      </c>
      <c r="H79">
        <f>Master_ventas[[#This Row],[Profit]]/Master_ventas[[#This Row],[Sales]]</f>
        <v>0.19213043478260869</v>
      </c>
      <c r="I79">
        <f ca="1">Referencia_Hoy-Master_ventas[[#This Row],[Order Date]]</f>
        <v>1023</v>
      </c>
      <c r="J79" t="str">
        <f>UPPER(Master_ventas[[#This Row],[Product Name]])</f>
        <v>SMARTWATCH</v>
      </c>
      <c r="K79" t="str">
        <f>UPPER(Master_ventas[[#This Row],[Category]])</f>
        <v>ELECTRONICS</v>
      </c>
      <c r="L79">
        <f>YEAR(Master_ventas[[#This Row],[Order Date]])</f>
        <v>2024</v>
      </c>
      <c r="M79" t="str">
        <f>CONCATENATE(LEFT(Master_ventas[[#This Row],[ProdUpper]],3),RIGHT(Master_ventas[[#This Row],[Ext-Year]],2),"-",MID(Master_ventas[[#This Row],[Category]],1,1))</f>
        <v>SMA24-E</v>
      </c>
      <c r="N79" t="str">
        <f>MID(Master_ventas[[#This Row],[ProdUpper]],1,3)</f>
        <v>SMA</v>
      </c>
      <c r="O79" t="str">
        <f>UPPER(IF(Master_ventas[[#This Row],[Profit]]&gt;500,"High","Std"))</f>
        <v>STD</v>
      </c>
      <c r="P79">
        <v>78</v>
      </c>
    </row>
    <row r="80" spans="1:16" x14ac:dyDescent="0.3">
      <c r="A80" s="1">
        <v>44657</v>
      </c>
      <c r="B80" t="s">
        <v>18</v>
      </c>
      <c r="C80" t="s">
        <v>11</v>
      </c>
      <c r="D80" t="s">
        <v>16</v>
      </c>
      <c r="E80">
        <v>4</v>
      </c>
      <c r="F80" s="3">
        <v>4108</v>
      </c>
      <c r="G80" s="2">
        <v>462.17</v>
      </c>
      <c r="H80">
        <f>Master_ventas[[#This Row],[Profit]]/Master_ventas[[#This Row],[Sales]]</f>
        <v>0.11250486854917235</v>
      </c>
      <c r="I80">
        <f ca="1">Referencia_Hoy-Master_ventas[[#This Row],[Order Date]]</f>
        <v>1666</v>
      </c>
      <c r="J80" t="str">
        <f>UPPER(Master_ventas[[#This Row],[Product Name]])</f>
        <v>HEADPHONES</v>
      </c>
      <c r="K80" t="str">
        <f>UPPER(Master_ventas[[#This Row],[Category]])</f>
        <v>ACCESSORIES</v>
      </c>
      <c r="L80">
        <f>YEAR(Master_ventas[[#This Row],[Order Date]])</f>
        <v>2022</v>
      </c>
      <c r="M80" t="str">
        <f>CONCATENATE(LEFT(Master_ventas[[#This Row],[ProdUpper]],3),RIGHT(Master_ventas[[#This Row],[Ext-Year]],2),"-",MID(Master_ventas[[#This Row],[Category]],1,1))</f>
        <v>HEA22-A</v>
      </c>
      <c r="N80" t="str">
        <f>MID(Master_ventas[[#This Row],[ProdUpper]],1,3)</f>
        <v>HEA</v>
      </c>
      <c r="O80" t="str">
        <f>UPPER(IF(Master_ventas[[#This Row],[Profit]]&gt;500,"High","Std"))</f>
        <v>STD</v>
      </c>
      <c r="P80">
        <v>79</v>
      </c>
    </row>
    <row r="81" spans="1:16" x14ac:dyDescent="0.3">
      <c r="A81" s="1">
        <v>45434</v>
      </c>
      <c r="B81" t="s">
        <v>7</v>
      </c>
      <c r="C81" t="s">
        <v>8</v>
      </c>
      <c r="D81" t="s">
        <v>15</v>
      </c>
      <c r="E81">
        <v>5</v>
      </c>
      <c r="F81" s="3">
        <v>1640</v>
      </c>
      <c r="G81" s="2">
        <v>391.36</v>
      </c>
      <c r="H81">
        <f>Master_ventas[[#This Row],[Profit]]/Master_ventas[[#This Row],[Sales]]</f>
        <v>0.23863414634146343</v>
      </c>
      <c r="I81">
        <f ca="1">Referencia_Hoy-Master_ventas[[#This Row],[Order Date]]</f>
        <v>889</v>
      </c>
      <c r="J81" t="str">
        <f>UPPER(Master_ventas[[#This Row],[Product Name]])</f>
        <v>PRINTER</v>
      </c>
      <c r="K81" t="str">
        <f>UPPER(Master_ventas[[#This Row],[Category]])</f>
        <v>OFFICE</v>
      </c>
      <c r="L81">
        <f>YEAR(Master_ventas[[#This Row],[Order Date]])</f>
        <v>2024</v>
      </c>
      <c r="M81" t="str">
        <f>CONCATENATE(LEFT(Master_ventas[[#This Row],[ProdUpper]],3),RIGHT(Master_ventas[[#This Row],[Ext-Year]],2),"-",MID(Master_ventas[[#This Row],[Category]],1,1))</f>
        <v>PRI24-O</v>
      </c>
      <c r="N81" t="str">
        <f>MID(Master_ventas[[#This Row],[ProdUpper]],1,3)</f>
        <v>PRI</v>
      </c>
      <c r="O81" t="str">
        <f>UPPER(IF(Master_ventas[[#This Row],[Profit]]&gt;500,"High","Std"))</f>
        <v>STD</v>
      </c>
      <c r="P81">
        <v>80</v>
      </c>
    </row>
    <row r="82" spans="1:16" x14ac:dyDescent="0.3">
      <c r="A82" s="1">
        <v>45290</v>
      </c>
      <c r="B82" t="s">
        <v>23</v>
      </c>
      <c r="C82" t="s">
        <v>14</v>
      </c>
      <c r="D82" t="s">
        <v>15</v>
      </c>
      <c r="E82">
        <v>1</v>
      </c>
      <c r="F82" s="3">
        <v>111</v>
      </c>
      <c r="G82" s="2">
        <v>19.329999999999998</v>
      </c>
      <c r="H82">
        <f>Master_ventas[[#This Row],[Profit]]/Master_ventas[[#This Row],[Sales]]</f>
        <v>0.17414414414414414</v>
      </c>
      <c r="I82">
        <f ca="1">Referencia_Hoy-Master_ventas[[#This Row],[Order Date]]</f>
        <v>1033</v>
      </c>
      <c r="J82" t="str">
        <f>UPPER(Master_ventas[[#This Row],[Product Name]])</f>
        <v>LAPTOP</v>
      </c>
      <c r="K82" t="str">
        <f>UPPER(Master_ventas[[#This Row],[Category]])</f>
        <v>ELECTRONICS</v>
      </c>
      <c r="L82">
        <f>YEAR(Master_ventas[[#This Row],[Order Date]])</f>
        <v>2023</v>
      </c>
      <c r="M82" t="str">
        <f>CONCATENATE(LEFT(Master_ventas[[#This Row],[ProdUpper]],3),RIGHT(Master_ventas[[#This Row],[Ext-Year]],2),"-",MID(Master_ventas[[#This Row],[Category]],1,1))</f>
        <v>LAP23-E</v>
      </c>
      <c r="N82" t="str">
        <f>MID(Master_ventas[[#This Row],[ProdUpper]],1,3)</f>
        <v>LAP</v>
      </c>
      <c r="O82" t="str">
        <f>UPPER(IF(Master_ventas[[#This Row],[Profit]]&gt;500,"High","Std"))</f>
        <v>STD</v>
      </c>
      <c r="P82">
        <v>81</v>
      </c>
    </row>
    <row r="83" spans="1:16" x14ac:dyDescent="0.3">
      <c r="A83" s="1">
        <v>44637</v>
      </c>
      <c r="B83" t="s">
        <v>18</v>
      </c>
      <c r="C83" t="s">
        <v>11</v>
      </c>
      <c r="D83" t="s">
        <v>9</v>
      </c>
      <c r="E83">
        <v>1</v>
      </c>
      <c r="F83" s="3">
        <v>445</v>
      </c>
      <c r="G83" s="2">
        <v>128.88999999999999</v>
      </c>
      <c r="H83">
        <f>Master_ventas[[#This Row],[Profit]]/Master_ventas[[#This Row],[Sales]]</f>
        <v>0.28964044943820222</v>
      </c>
      <c r="I83">
        <f ca="1">Referencia_Hoy-Master_ventas[[#This Row],[Order Date]]</f>
        <v>1686</v>
      </c>
      <c r="J83" t="str">
        <f>UPPER(Master_ventas[[#This Row],[Product Name]])</f>
        <v>HEADPHONES</v>
      </c>
      <c r="K83" t="str">
        <f>UPPER(Master_ventas[[#This Row],[Category]])</f>
        <v>ACCESSORIES</v>
      </c>
      <c r="L83">
        <f>YEAR(Master_ventas[[#This Row],[Order Date]])</f>
        <v>2022</v>
      </c>
      <c r="M83" t="str">
        <f>CONCATENATE(LEFT(Master_ventas[[#This Row],[ProdUpper]],3),RIGHT(Master_ventas[[#This Row],[Ext-Year]],2),"-",MID(Master_ventas[[#This Row],[Category]],1,1))</f>
        <v>HEA22-A</v>
      </c>
      <c r="N83" t="str">
        <f>MID(Master_ventas[[#This Row],[ProdUpper]],1,3)</f>
        <v>HEA</v>
      </c>
      <c r="O83" t="str">
        <f>UPPER(IF(Master_ventas[[#This Row],[Profit]]&gt;500,"High","Std"))</f>
        <v>STD</v>
      </c>
      <c r="P83">
        <v>82</v>
      </c>
    </row>
    <row r="84" spans="1:16" x14ac:dyDescent="0.3">
      <c r="A84" s="1">
        <v>44705</v>
      </c>
      <c r="B84" t="s">
        <v>7</v>
      </c>
      <c r="C84" t="s">
        <v>8</v>
      </c>
      <c r="D84" t="s">
        <v>9</v>
      </c>
      <c r="E84">
        <v>4</v>
      </c>
      <c r="F84" s="3">
        <v>3600</v>
      </c>
      <c r="G84" s="2">
        <v>623.72</v>
      </c>
      <c r="H84">
        <f>Master_ventas[[#This Row],[Profit]]/Master_ventas[[#This Row],[Sales]]</f>
        <v>0.17325555555555555</v>
      </c>
      <c r="I84">
        <f ca="1">Referencia_Hoy-Master_ventas[[#This Row],[Order Date]]</f>
        <v>1618</v>
      </c>
      <c r="J84" t="str">
        <f>UPPER(Master_ventas[[#This Row],[Product Name]])</f>
        <v>PRINTER</v>
      </c>
      <c r="K84" t="str">
        <f>UPPER(Master_ventas[[#This Row],[Category]])</f>
        <v>OFFICE</v>
      </c>
      <c r="L84">
        <f>YEAR(Master_ventas[[#This Row],[Order Date]])</f>
        <v>2022</v>
      </c>
      <c r="M84" t="str">
        <f>CONCATENATE(LEFT(Master_ventas[[#This Row],[ProdUpper]],3),RIGHT(Master_ventas[[#This Row],[Ext-Year]],2),"-",MID(Master_ventas[[#This Row],[Category]],1,1))</f>
        <v>PRI22-O</v>
      </c>
      <c r="N84" t="str">
        <f>MID(Master_ventas[[#This Row],[ProdUpper]],1,3)</f>
        <v>PRI</v>
      </c>
      <c r="O84" t="str">
        <f>UPPER(IF(Master_ventas[[#This Row],[Profit]]&gt;500,"High","Std"))</f>
        <v>HIGH</v>
      </c>
      <c r="P84">
        <v>83</v>
      </c>
    </row>
    <row r="85" spans="1:16" x14ac:dyDescent="0.3">
      <c r="A85" s="1">
        <v>45452</v>
      </c>
      <c r="B85" t="s">
        <v>10</v>
      </c>
      <c r="C85" t="s">
        <v>11</v>
      </c>
      <c r="D85" t="s">
        <v>9</v>
      </c>
      <c r="E85">
        <v>3</v>
      </c>
      <c r="F85" s="3">
        <v>1335</v>
      </c>
      <c r="G85" s="2">
        <v>176.44</v>
      </c>
      <c r="H85">
        <f>Master_ventas[[#This Row],[Profit]]/Master_ventas[[#This Row],[Sales]]</f>
        <v>0.13216479400749062</v>
      </c>
      <c r="I85">
        <f ca="1">Referencia_Hoy-Master_ventas[[#This Row],[Order Date]]</f>
        <v>871</v>
      </c>
      <c r="J85" t="str">
        <f>UPPER(Master_ventas[[#This Row],[Product Name]])</f>
        <v>MOUSE</v>
      </c>
      <c r="K85" t="str">
        <f>UPPER(Master_ventas[[#This Row],[Category]])</f>
        <v>ACCESSORIES</v>
      </c>
      <c r="L85">
        <f>YEAR(Master_ventas[[#This Row],[Order Date]])</f>
        <v>2024</v>
      </c>
      <c r="M85" t="str">
        <f>CONCATENATE(LEFT(Master_ventas[[#This Row],[ProdUpper]],3),RIGHT(Master_ventas[[#This Row],[Ext-Year]],2),"-",MID(Master_ventas[[#This Row],[Category]],1,1))</f>
        <v>MOU24-A</v>
      </c>
      <c r="N85" t="str">
        <f>MID(Master_ventas[[#This Row],[ProdUpper]],1,3)</f>
        <v>MOU</v>
      </c>
      <c r="O85" t="str">
        <f>UPPER(IF(Master_ventas[[#This Row],[Profit]]&gt;500,"High","Std"))</f>
        <v>STD</v>
      </c>
      <c r="P85">
        <v>84</v>
      </c>
    </row>
    <row r="86" spans="1:16" x14ac:dyDescent="0.3">
      <c r="A86" s="1">
        <v>45627</v>
      </c>
      <c r="B86" t="s">
        <v>22</v>
      </c>
      <c r="C86" t="s">
        <v>11</v>
      </c>
      <c r="D86" t="s">
        <v>15</v>
      </c>
      <c r="E86">
        <v>5</v>
      </c>
      <c r="F86" s="3">
        <v>3090</v>
      </c>
      <c r="G86" s="2">
        <v>242.15</v>
      </c>
      <c r="H86">
        <f>Master_ventas[[#This Row],[Profit]]/Master_ventas[[#This Row],[Sales]]</f>
        <v>7.8365695792880261E-2</v>
      </c>
      <c r="I86">
        <f ca="1">Referencia_Hoy-Master_ventas[[#This Row],[Order Date]]</f>
        <v>696</v>
      </c>
      <c r="J86" t="str">
        <f>UPPER(Master_ventas[[#This Row],[Product Name]])</f>
        <v>KEYBOARD</v>
      </c>
      <c r="K86" t="str">
        <f>UPPER(Master_ventas[[#This Row],[Category]])</f>
        <v>ACCESSORIES</v>
      </c>
      <c r="L86">
        <f>YEAR(Master_ventas[[#This Row],[Order Date]])</f>
        <v>2024</v>
      </c>
      <c r="M86" t="str">
        <f>CONCATENATE(LEFT(Master_ventas[[#This Row],[ProdUpper]],3),RIGHT(Master_ventas[[#This Row],[Ext-Year]],2),"-",MID(Master_ventas[[#This Row],[Category]],1,1))</f>
        <v>KEY24-A</v>
      </c>
      <c r="N86" t="str">
        <f>MID(Master_ventas[[#This Row],[ProdUpper]],1,3)</f>
        <v>KEY</v>
      </c>
      <c r="O86" t="str">
        <f>UPPER(IF(Master_ventas[[#This Row],[Profit]]&gt;500,"High","Std"))</f>
        <v>STD</v>
      </c>
      <c r="P86">
        <v>85</v>
      </c>
    </row>
    <row r="87" spans="1:16" x14ac:dyDescent="0.3">
      <c r="A87" s="1">
        <v>45219</v>
      </c>
      <c r="B87" t="s">
        <v>7</v>
      </c>
      <c r="C87" t="s">
        <v>8</v>
      </c>
      <c r="D87" t="s">
        <v>12</v>
      </c>
      <c r="E87">
        <v>5</v>
      </c>
      <c r="F87" s="3">
        <v>3910</v>
      </c>
      <c r="G87" s="2">
        <v>538.52</v>
      </c>
      <c r="H87">
        <f>Master_ventas[[#This Row],[Profit]]/Master_ventas[[#This Row],[Sales]]</f>
        <v>0.13772890025575446</v>
      </c>
      <c r="I87">
        <f ca="1">Referencia_Hoy-Master_ventas[[#This Row],[Order Date]]</f>
        <v>1104</v>
      </c>
      <c r="J87" t="str">
        <f>UPPER(Master_ventas[[#This Row],[Product Name]])</f>
        <v>PRINTER</v>
      </c>
      <c r="K87" t="str">
        <f>UPPER(Master_ventas[[#This Row],[Category]])</f>
        <v>OFFICE</v>
      </c>
      <c r="L87">
        <f>YEAR(Master_ventas[[#This Row],[Order Date]])</f>
        <v>2023</v>
      </c>
      <c r="M87" t="str">
        <f>CONCATENATE(LEFT(Master_ventas[[#This Row],[ProdUpper]],3),RIGHT(Master_ventas[[#This Row],[Ext-Year]],2),"-",MID(Master_ventas[[#This Row],[Category]],1,1))</f>
        <v>PRI23-O</v>
      </c>
      <c r="N87" t="str">
        <f>MID(Master_ventas[[#This Row],[ProdUpper]],1,3)</f>
        <v>PRI</v>
      </c>
      <c r="O87" t="str">
        <f>UPPER(IF(Master_ventas[[#This Row],[Profit]]&gt;500,"High","Std"))</f>
        <v>HIGH</v>
      </c>
      <c r="P87">
        <v>86</v>
      </c>
    </row>
    <row r="88" spans="1:16" x14ac:dyDescent="0.3">
      <c r="A88" s="1">
        <v>45356</v>
      </c>
      <c r="B88" t="s">
        <v>17</v>
      </c>
      <c r="C88" t="s">
        <v>14</v>
      </c>
      <c r="D88" t="s">
        <v>15</v>
      </c>
      <c r="E88">
        <v>1</v>
      </c>
      <c r="F88" s="3">
        <v>219</v>
      </c>
      <c r="G88" s="2">
        <v>32.67</v>
      </c>
      <c r="H88">
        <f>Master_ventas[[#This Row],[Profit]]/Master_ventas[[#This Row],[Sales]]</f>
        <v>0.14917808219178083</v>
      </c>
      <c r="I88">
        <f ca="1">Referencia_Hoy-Master_ventas[[#This Row],[Order Date]]</f>
        <v>967</v>
      </c>
      <c r="J88" t="str">
        <f>UPPER(Master_ventas[[#This Row],[Product Name]])</f>
        <v>CAMERA</v>
      </c>
      <c r="K88" t="str">
        <f>UPPER(Master_ventas[[#This Row],[Category]])</f>
        <v>ELECTRONICS</v>
      </c>
      <c r="L88">
        <f>YEAR(Master_ventas[[#This Row],[Order Date]])</f>
        <v>2024</v>
      </c>
      <c r="M88" t="str">
        <f>CONCATENATE(LEFT(Master_ventas[[#This Row],[ProdUpper]],3),RIGHT(Master_ventas[[#This Row],[Ext-Year]],2),"-",MID(Master_ventas[[#This Row],[Category]],1,1))</f>
        <v>CAM24-E</v>
      </c>
      <c r="N88" t="str">
        <f>MID(Master_ventas[[#This Row],[ProdUpper]],1,3)</f>
        <v>CAM</v>
      </c>
      <c r="O88" t="str">
        <f>UPPER(IF(Master_ventas[[#This Row],[Profit]]&gt;500,"High","Std"))</f>
        <v>STD</v>
      </c>
      <c r="P88">
        <v>87</v>
      </c>
    </row>
    <row r="89" spans="1:16" x14ac:dyDescent="0.3">
      <c r="A89" s="1">
        <v>44900</v>
      </c>
      <c r="B89" t="s">
        <v>21</v>
      </c>
      <c r="C89" t="s">
        <v>14</v>
      </c>
      <c r="D89" t="s">
        <v>16</v>
      </c>
      <c r="E89">
        <v>5</v>
      </c>
      <c r="F89" s="3">
        <v>390</v>
      </c>
      <c r="G89" s="2">
        <v>27.77</v>
      </c>
      <c r="H89">
        <f>Master_ventas[[#This Row],[Profit]]/Master_ventas[[#This Row],[Sales]]</f>
        <v>7.1205128205128199E-2</v>
      </c>
      <c r="I89">
        <f ca="1">Referencia_Hoy-Master_ventas[[#This Row],[Order Date]]</f>
        <v>1423</v>
      </c>
      <c r="J89" t="str">
        <f>UPPER(Master_ventas[[#This Row],[Product Name]])</f>
        <v>SMARTPHONE</v>
      </c>
      <c r="K89" t="str">
        <f>UPPER(Master_ventas[[#This Row],[Category]])</f>
        <v>ELECTRONICS</v>
      </c>
      <c r="L89">
        <f>YEAR(Master_ventas[[#This Row],[Order Date]])</f>
        <v>2022</v>
      </c>
      <c r="M89" t="str">
        <f>CONCATENATE(LEFT(Master_ventas[[#This Row],[ProdUpper]],3),RIGHT(Master_ventas[[#This Row],[Ext-Year]],2),"-",MID(Master_ventas[[#This Row],[Category]],1,1))</f>
        <v>SMA22-E</v>
      </c>
      <c r="N89" t="str">
        <f>MID(Master_ventas[[#This Row],[ProdUpper]],1,3)</f>
        <v>SMA</v>
      </c>
      <c r="O89" t="str">
        <f>UPPER(IF(Master_ventas[[#This Row],[Profit]]&gt;500,"High","Std"))</f>
        <v>STD</v>
      </c>
      <c r="P89">
        <v>88</v>
      </c>
    </row>
    <row r="90" spans="1:16" x14ac:dyDescent="0.3">
      <c r="A90" s="1">
        <v>44778</v>
      </c>
      <c r="B90" t="s">
        <v>23</v>
      </c>
      <c r="C90" t="s">
        <v>14</v>
      </c>
      <c r="D90" t="s">
        <v>9</v>
      </c>
      <c r="E90">
        <v>6</v>
      </c>
      <c r="F90" s="3">
        <v>3294</v>
      </c>
      <c r="G90" s="2">
        <v>359.61</v>
      </c>
      <c r="H90">
        <f>Master_ventas[[#This Row],[Profit]]/Master_ventas[[#This Row],[Sales]]</f>
        <v>0.1091712204007286</v>
      </c>
      <c r="I90">
        <f ca="1">Referencia_Hoy-Master_ventas[[#This Row],[Order Date]]</f>
        <v>1545</v>
      </c>
      <c r="J90" t="str">
        <f>UPPER(Master_ventas[[#This Row],[Product Name]])</f>
        <v>LAPTOP</v>
      </c>
      <c r="K90" t="str">
        <f>UPPER(Master_ventas[[#This Row],[Category]])</f>
        <v>ELECTRONICS</v>
      </c>
      <c r="L90">
        <f>YEAR(Master_ventas[[#This Row],[Order Date]])</f>
        <v>2022</v>
      </c>
      <c r="M90" t="str">
        <f>CONCATENATE(LEFT(Master_ventas[[#This Row],[ProdUpper]],3),RIGHT(Master_ventas[[#This Row],[Ext-Year]],2),"-",MID(Master_ventas[[#This Row],[Category]],1,1))</f>
        <v>LAP22-E</v>
      </c>
      <c r="N90" t="str">
        <f>MID(Master_ventas[[#This Row],[ProdUpper]],1,3)</f>
        <v>LAP</v>
      </c>
      <c r="O90" t="str">
        <f>UPPER(IF(Master_ventas[[#This Row],[Profit]]&gt;500,"High","Std"))</f>
        <v>STD</v>
      </c>
      <c r="P90">
        <v>89</v>
      </c>
    </row>
    <row r="91" spans="1:16" x14ac:dyDescent="0.3">
      <c r="A91" s="1">
        <v>45006</v>
      </c>
      <c r="B91" t="s">
        <v>22</v>
      </c>
      <c r="C91" t="s">
        <v>11</v>
      </c>
      <c r="D91" t="s">
        <v>16</v>
      </c>
      <c r="E91">
        <v>4</v>
      </c>
      <c r="F91" s="3">
        <v>4572</v>
      </c>
      <c r="G91" s="2">
        <v>1038.05</v>
      </c>
      <c r="H91">
        <f>Master_ventas[[#This Row],[Profit]]/Master_ventas[[#This Row],[Sales]]</f>
        <v>0.2270450568678915</v>
      </c>
      <c r="I91">
        <f ca="1">Referencia_Hoy-Master_ventas[[#This Row],[Order Date]]</f>
        <v>1317</v>
      </c>
      <c r="J91" t="str">
        <f>UPPER(Master_ventas[[#This Row],[Product Name]])</f>
        <v>KEYBOARD</v>
      </c>
      <c r="K91" t="str">
        <f>UPPER(Master_ventas[[#This Row],[Category]])</f>
        <v>ACCESSORIES</v>
      </c>
      <c r="L91">
        <f>YEAR(Master_ventas[[#This Row],[Order Date]])</f>
        <v>2023</v>
      </c>
      <c r="M91" t="str">
        <f>CONCATENATE(LEFT(Master_ventas[[#This Row],[ProdUpper]],3),RIGHT(Master_ventas[[#This Row],[Ext-Year]],2),"-",MID(Master_ventas[[#This Row],[Category]],1,1))</f>
        <v>KEY23-A</v>
      </c>
      <c r="N91" t="str">
        <f>MID(Master_ventas[[#This Row],[ProdUpper]],1,3)</f>
        <v>KEY</v>
      </c>
      <c r="O91" t="str">
        <f>UPPER(IF(Master_ventas[[#This Row],[Profit]]&gt;500,"High","Std"))</f>
        <v>HIGH</v>
      </c>
      <c r="P91">
        <v>90</v>
      </c>
    </row>
    <row r="92" spans="1:16" x14ac:dyDescent="0.3">
      <c r="A92" s="1">
        <v>44600</v>
      </c>
      <c r="B92" t="s">
        <v>20</v>
      </c>
      <c r="C92" t="s">
        <v>11</v>
      </c>
      <c r="D92" t="s">
        <v>15</v>
      </c>
      <c r="E92">
        <v>7</v>
      </c>
      <c r="F92" s="3">
        <v>980</v>
      </c>
      <c r="G92" s="2">
        <v>109.94</v>
      </c>
      <c r="H92">
        <f>Master_ventas[[#This Row],[Profit]]/Master_ventas[[#This Row],[Sales]]</f>
        <v>0.11218367346938775</v>
      </c>
      <c r="I92">
        <f ca="1">Referencia_Hoy-Master_ventas[[#This Row],[Order Date]]</f>
        <v>1723</v>
      </c>
      <c r="J92" t="str">
        <f>UPPER(Master_ventas[[#This Row],[Product Name]])</f>
        <v>MONITOR</v>
      </c>
      <c r="K92" t="str">
        <f>UPPER(Master_ventas[[#This Row],[Category]])</f>
        <v>ACCESSORIES</v>
      </c>
      <c r="L92">
        <f>YEAR(Master_ventas[[#This Row],[Order Date]])</f>
        <v>2022</v>
      </c>
      <c r="M92" t="str">
        <f>CONCATENATE(LEFT(Master_ventas[[#This Row],[ProdUpper]],3),RIGHT(Master_ventas[[#This Row],[Ext-Year]],2),"-",MID(Master_ventas[[#This Row],[Category]],1,1))</f>
        <v>MON22-A</v>
      </c>
      <c r="N92" t="str">
        <f>MID(Master_ventas[[#This Row],[ProdUpper]],1,3)</f>
        <v>MON</v>
      </c>
      <c r="O92" t="str">
        <f>UPPER(IF(Master_ventas[[#This Row],[Profit]]&gt;500,"High","Std"))</f>
        <v>STD</v>
      </c>
      <c r="P92">
        <v>91</v>
      </c>
    </row>
    <row r="93" spans="1:16" x14ac:dyDescent="0.3">
      <c r="A93" s="1">
        <v>45017</v>
      </c>
      <c r="B93" t="s">
        <v>18</v>
      </c>
      <c r="C93" t="s">
        <v>11</v>
      </c>
      <c r="D93" t="s">
        <v>9</v>
      </c>
      <c r="E93">
        <v>2</v>
      </c>
      <c r="F93" s="3">
        <v>2262</v>
      </c>
      <c r="G93" s="2">
        <v>532.12</v>
      </c>
      <c r="H93">
        <f>Master_ventas[[#This Row],[Profit]]/Master_ventas[[#This Row],[Sales]]</f>
        <v>0.23524314765694077</v>
      </c>
      <c r="I93">
        <f ca="1">Referencia_Hoy-Master_ventas[[#This Row],[Order Date]]</f>
        <v>1306</v>
      </c>
      <c r="J93" t="str">
        <f>UPPER(Master_ventas[[#This Row],[Product Name]])</f>
        <v>HEADPHONES</v>
      </c>
      <c r="K93" t="str">
        <f>UPPER(Master_ventas[[#This Row],[Category]])</f>
        <v>ACCESSORIES</v>
      </c>
      <c r="L93">
        <f>YEAR(Master_ventas[[#This Row],[Order Date]])</f>
        <v>2023</v>
      </c>
      <c r="M93" t="str">
        <f>CONCATENATE(LEFT(Master_ventas[[#This Row],[ProdUpper]],3),RIGHT(Master_ventas[[#This Row],[Ext-Year]],2),"-",MID(Master_ventas[[#This Row],[Category]],1,1))</f>
        <v>HEA23-A</v>
      </c>
      <c r="N93" t="str">
        <f>MID(Master_ventas[[#This Row],[ProdUpper]],1,3)</f>
        <v>HEA</v>
      </c>
      <c r="O93" t="str">
        <f>UPPER(IF(Master_ventas[[#This Row],[Profit]]&gt;500,"High","Std"))</f>
        <v>HIGH</v>
      </c>
      <c r="P93">
        <v>92</v>
      </c>
    </row>
    <row r="94" spans="1:16" x14ac:dyDescent="0.3">
      <c r="A94" s="1">
        <v>44909</v>
      </c>
      <c r="B94" t="s">
        <v>17</v>
      </c>
      <c r="C94" t="s">
        <v>14</v>
      </c>
      <c r="D94" t="s">
        <v>15</v>
      </c>
      <c r="E94">
        <v>7</v>
      </c>
      <c r="F94" s="3">
        <v>7518</v>
      </c>
      <c r="G94" s="2">
        <v>1655.91</v>
      </c>
      <c r="H94">
        <f>Master_ventas[[#This Row],[Profit]]/Master_ventas[[#This Row],[Sales]]</f>
        <v>0.22025937749401436</v>
      </c>
      <c r="I94">
        <f ca="1">Referencia_Hoy-Master_ventas[[#This Row],[Order Date]]</f>
        <v>1414</v>
      </c>
      <c r="J94" t="str">
        <f>UPPER(Master_ventas[[#This Row],[Product Name]])</f>
        <v>CAMERA</v>
      </c>
      <c r="K94" t="str">
        <f>UPPER(Master_ventas[[#This Row],[Category]])</f>
        <v>ELECTRONICS</v>
      </c>
      <c r="L94">
        <f>YEAR(Master_ventas[[#This Row],[Order Date]])</f>
        <v>2022</v>
      </c>
      <c r="M94" t="str">
        <f>CONCATENATE(LEFT(Master_ventas[[#This Row],[ProdUpper]],3),RIGHT(Master_ventas[[#This Row],[Ext-Year]],2),"-",MID(Master_ventas[[#This Row],[Category]],1,1))</f>
        <v>CAM22-E</v>
      </c>
      <c r="N94" t="str">
        <f>MID(Master_ventas[[#This Row],[ProdUpper]],1,3)</f>
        <v>CAM</v>
      </c>
      <c r="O94" t="str">
        <f>UPPER(IF(Master_ventas[[#This Row],[Profit]]&gt;500,"High","Std"))</f>
        <v>HIGH</v>
      </c>
      <c r="P94">
        <v>93</v>
      </c>
    </row>
    <row r="95" spans="1:16" x14ac:dyDescent="0.3">
      <c r="A95" s="1">
        <v>44695</v>
      </c>
      <c r="B95" t="s">
        <v>17</v>
      </c>
      <c r="C95" t="s">
        <v>14</v>
      </c>
      <c r="D95" t="s">
        <v>15</v>
      </c>
      <c r="E95">
        <v>1</v>
      </c>
      <c r="F95" s="3">
        <v>873</v>
      </c>
      <c r="G95" s="2">
        <v>158.97</v>
      </c>
      <c r="H95">
        <f>Master_ventas[[#This Row],[Profit]]/Master_ventas[[#This Row],[Sales]]</f>
        <v>0.18209621993127148</v>
      </c>
      <c r="I95">
        <f ca="1">Referencia_Hoy-Master_ventas[[#This Row],[Order Date]]</f>
        <v>1628</v>
      </c>
      <c r="J95" t="str">
        <f>UPPER(Master_ventas[[#This Row],[Product Name]])</f>
        <v>CAMERA</v>
      </c>
      <c r="K95" t="str">
        <f>UPPER(Master_ventas[[#This Row],[Category]])</f>
        <v>ELECTRONICS</v>
      </c>
      <c r="L95">
        <f>YEAR(Master_ventas[[#This Row],[Order Date]])</f>
        <v>2022</v>
      </c>
      <c r="M95" t="str">
        <f>CONCATENATE(LEFT(Master_ventas[[#This Row],[ProdUpper]],3),RIGHT(Master_ventas[[#This Row],[Ext-Year]],2),"-",MID(Master_ventas[[#This Row],[Category]],1,1))</f>
        <v>CAM22-E</v>
      </c>
      <c r="N95" t="str">
        <f>MID(Master_ventas[[#This Row],[ProdUpper]],1,3)</f>
        <v>CAM</v>
      </c>
      <c r="O95" t="str">
        <f>UPPER(IF(Master_ventas[[#This Row],[Profit]]&gt;500,"High","Std"))</f>
        <v>STD</v>
      </c>
      <c r="P95">
        <v>94</v>
      </c>
    </row>
    <row r="96" spans="1:16" x14ac:dyDescent="0.3">
      <c r="A96" s="1">
        <v>44608</v>
      </c>
      <c r="B96" t="s">
        <v>10</v>
      </c>
      <c r="C96" t="s">
        <v>11</v>
      </c>
      <c r="D96" t="s">
        <v>9</v>
      </c>
      <c r="E96">
        <v>6</v>
      </c>
      <c r="F96" s="3">
        <v>1512</v>
      </c>
      <c r="G96" s="2">
        <v>423.03</v>
      </c>
      <c r="H96">
        <f>Master_ventas[[#This Row],[Profit]]/Master_ventas[[#This Row],[Sales]]</f>
        <v>0.27978174603174599</v>
      </c>
      <c r="I96">
        <f ca="1">Referencia_Hoy-Master_ventas[[#This Row],[Order Date]]</f>
        <v>1715</v>
      </c>
      <c r="J96" t="str">
        <f>UPPER(Master_ventas[[#This Row],[Product Name]])</f>
        <v>MOUSE</v>
      </c>
      <c r="K96" t="str">
        <f>UPPER(Master_ventas[[#This Row],[Category]])</f>
        <v>ACCESSORIES</v>
      </c>
      <c r="L96">
        <f>YEAR(Master_ventas[[#This Row],[Order Date]])</f>
        <v>2022</v>
      </c>
      <c r="M96" t="str">
        <f>CONCATENATE(LEFT(Master_ventas[[#This Row],[ProdUpper]],3),RIGHT(Master_ventas[[#This Row],[Ext-Year]],2),"-",MID(Master_ventas[[#This Row],[Category]],1,1))</f>
        <v>MOU22-A</v>
      </c>
      <c r="N96" t="str">
        <f>MID(Master_ventas[[#This Row],[ProdUpper]],1,3)</f>
        <v>MOU</v>
      </c>
      <c r="O96" t="str">
        <f>UPPER(IF(Master_ventas[[#This Row],[Profit]]&gt;500,"High","Std"))</f>
        <v>STD</v>
      </c>
      <c r="P96">
        <v>95</v>
      </c>
    </row>
    <row r="97" spans="1:16" x14ac:dyDescent="0.3">
      <c r="A97" s="1">
        <v>45532</v>
      </c>
      <c r="B97" t="s">
        <v>23</v>
      </c>
      <c r="C97" t="s">
        <v>14</v>
      </c>
      <c r="D97" t="s">
        <v>16</v>
      </c>
      <c r="E97">
        <v>1</v>
      </c>
      <c r="F97" s="3">
        <v>705</v>
      </c>
      <c r="G97" s="2">
        <v>165.16</v>
      </c>
      <c r="H97">
        <f>Master_ventas[[#This Row],[Profit]]/Master_ventas[[#This Row],[Sales]]</f>
        <v>0.23426950354609929</v>
      </c>
      <c r="I97">
        <f ca="1">Referencia_Hoy-Master_ventas[[#This Row],[Order Date]]</f>
        <v>791</v>
      </c>
      <c r="J97" t="str">
        <f>UPPER(Master_ventas[[#This Row],[Product Name]])</f>
        <v>LAPTOP</v>
      </c>
      <c r="K97" t="str">
        <f>UPPER(Master_ventas[[#This Row],[Category]])</f>
        <v>ELECTRONICS</v>
      </c>
      <c r="L97">
        <f>YEAR(Master_ventas[[#This Row],[Order Date]])</f>
        <v>2024</v>
      </c>
      <c r="M97" t="str">
        <f>CONCATENATE(LEFT(Master_ventas[[#This Row],[ProdUpper]],3),RIGHT(Master_ventas[[#This Row],[Ext-Year]],2),"-",MID(Master_ventas[[#This Row],[Category]],1,1))</f>
        <v>LAP24-E</v>
      </c>
      <c r="N97" t="str">
        <f>MID(Master_ventas[[#This Row],[ProdUpper]],1,3)</f>
        <v>LAP</v>
      </c>
      <c r="O97" t="str">
        <f>UPPER(IF(Master_ventas[[#This Row],[Profit]]&gt;500,"High","Std"))</f>
        <v>STD</v>
      </c>
      <c r="P97">
        <v>96</v>
      </c>
    </row>
    <row r="98" spans="1:16" x14ac:dyDescent="0.3">
      <c r="A98" s="1">
        <v>45229</v>
      </c>
      <c r="B98" t="s">
        <v>19</v>
      </c>
      <c r="C98" t="s">
        <v>14</v>
      </c>
      <c r="D98" t="s">
        <v>9</v>
      </c>
      <c r="E98">
        <v>8</v>
      </c>
      <c r="F98" s="3">
        <v>3256</v>
      </c>
      <c r="G98" s="2">
        <v>533.70000000000005</v>
      </c>
      <c r="H98">
        <f>Master_ventas[[#This Row],[Profit]]/Master_ventas[[#This Row],[Sales]]</f>
        <v>0.16391277641277643</v>
      </c>
      <c r="I98">
        <f ca="1">Referencia_Hoy-Master_ventas[[#This Row],[Order Date]]</f>
        <v>1094</v>
      </c>
      <c r="J98" t="str">
        <f>UPPER(Master_ventas[[#This Row],[Product Name]])</f>
        <v>SMARTWATCH</v>
      </c>
      <c r="K98" t="str">
        <f>UPPER(Master_ventas[[#This Row],[Category]])</f>
        <v>ELECTRONICS</v>
      </c>
      <c r="L98">
        <f>YEAR(Master_ventas[[#This Row],[Order Date]])</f>
        <v>2023</v>
      </c>
      <c r="M98" t="str">
        <f>CONCATENATE(LEFT(Master_ventas[[#This Row],[ProdUpper]],3),RIGHT(Master_ventas[[#This Row],[Ext-Year]],2),"-",MID(Master_ventas[[#This Row],[Category]],1,1))</f>
        <v>SMA23-E</v>
      </c>
      <c r="N98" t="str">
        <f>MID(Master_ventas[[#This Row],[ProdUpper]],1,3)</f>
        <v>SMA</v>
      </c>
      <c r="O98" t="str">
        <f>UPPER(IF(Master_ventas[[#This Row],[Profit]]&gt;500,"High","Std"))</f>
        <v>HIGH</v>
      </c>
      <c r="P98">
        <v>97</v>
      </c>
    </row>
    <row r="99" spans="1:16" x14ac:dyDescent="0.3">
      <c r="A99" s="1">
        <v>45101</v>
      </c>
      <c r="B99" t="s">
        <v>13</v>
      </c>
      <c r="C99" t="s">
        <v>14</v>
      </c>
      <c r="D99" t="s">
        <v>16</v>
      </c>
      <c r="E99">
        <v>4</v>
      </c>
      <c r="F99" s="3">
        <v>556</v>
      </c>
      <c r="G99" s="2">
        <v>81.77</v>
      </c>
      <c r="H99">
        <f>Master_ventas[[#This Row],[Profit]]/Master_ventas[[#This Row],[Sales]]</f>
        <v>0.147068345323741</v>
      </c>
      <c r="I99">
        <f ca="1">Referencia_Hoy-Master_ventas[[#This Row],[Order Date]]</f>
        <v>1222</v>
      </c>
      <c r="J99" t="str">
        <f>UPPER(Master_ventas[[#This Row],[Product Name]])</f>
        <v>TABLET</v>
      </c>
      <c r="K99" t="str">
        <f>UPPER(Master_ventas[[#This Row],[Category]])</f>
        <v>ELECTRONICS</v>
      </c>
      <c r="L99">
        <f>YEAR(Master_ventas[[#This Row],[Order Date]])</f>
        <v>2023</v>
      </c>
      <c r="M99" t="str">
        <f>CONCATENATE(LEFT(Master_ventas[[#This Row],[ProdUpper]],3),RIGHT(Master_ventas[[#This Row],[Ext-Year]],2),"-",MID(Master_ventas[[#This Row],[Category]],1,1))</f>
        <v>TAB23-E</v>
      </c>
      <c r="N99" t="str">
        <f>MID(Master_ventas[[#This Row],[ProdUpper]],1,3)</f>
        <v>TAB</v>
      </c>
      <c r="O99" t="str">
        <f>UPPER(IF(Master_ventas[[#This Row],[Profit]]&gt;500,"High","Std"))</f>
        <v>STD</v>
      </c>
      <c r="P99">
        <v>98</v>
      </c>
    </row>
    <row r="100" spans="1:16" x14ac:dyDescent="0.3">
      <c r="A100" s="1">
        <v>45063</v>
      </c>
      <c r="B100" t="s">
        <v>10</v>
      </c>
      <c r="C100" t="s">
        <v>11</v>
      </c>
      <c r="D100" t="s">
        <v>12</v>
      </c>
      <c r="E100">
        <v>9</v>
      </c>
      <c r="F100" s="3">
        <v>7101</v>
      </c>
      <c r="G100" s="2">
        <v>2105.8200000000002</v>
      </c>
      <c r="H100">
        <f>Master_ventas[[#This Row],[Profit]]/Master_ventas[[#This Row],[Sales]]</f>
        <v>0.29655259822560204</v>
      </c>
      <c r="I100">
        <f ca="1">Referencia_Hoy-Master_ventas[[#This Row],[Order Date]]</f>
        <v>1260</v>
      </c>
      <c r="J100" t="str">
        <f>UPPER(Master_ventas[[#This Row],[Product Name]])</f>
        <v>MOUSE</v>
      </c>
      <c r="K100" t="str">
        <f>UPPER(Master_ventas[[#This Row],[Category]])</f>
        <v>ACCESSORIES</v>
      </c>
      <c r="L100">
        <f>YEAR(Master_ventas[[#This Row],[Order Date]])</f>
        <v>2023</v>
      </c>
      <c r="M100" t="str">
        <f>CONCATENATE(LEFT(Master_ventas[[#This Row],[ProdUpper]],3),RIGHT(Master_ventas[[#This Row],[Ext-Year]],2),"-",MID(Master_ventas[[#This Row],[Category]],1,1))</f>
        <v>MOU23-A</v>
      </c>
      <c r="N100" t="str">
        <f>MID(Master_ventas[[#This Row],[ProdUpper]],1,3)</f>
        <v>MOU</v>
      </c>
      <c r="O100" t="str">
        <f>UPPER(IF(Master_ventas[[#This Row],[Profit]]&gt;500,"High","Std"))</f>
        <v>HIGH</v>
      </c>
      <c r="P100">
        <v>99</v>
      </c>
    </row>
    <row r="101" spans="1:16" x14ac:dyDescent="0.3">
      <c r="A101" s="1">
        <v>45022</v>
      </c>
      <c r="B101" t="s">
        <v>23</v>
      </c>
      <c r="C101" t="s">
        <v>14</v>
      </c>
      <c r="D101" t="s">
        <v>16</v>
      </c>
      <c r="E101">
        <v>9</v>
      </c>
      <c r="F101" s="3">
        <v>8802</v>
      </c>
      <c r="G101" s="2">
        <v>1344.96</v>
      </c>
      <c r="H101">
        <f>Master_ventas[[#This Row],[Profit]]/Master_ventas[[#This Row],[Sales]]</f>
        <v>0.15280163599182003</v>
      </c>
      <c r="I101">
        <f ca="1">Referencia_Hoy-Master_ventas[[#This Row],[Order Date]]</f>
        <v>1301</v>
      </c>
      <c r="J101" t="str">
        <f>UPPER(Master_ventas[[#This Row],[Product Name]])</f>
        <v>LAPTOP</v>
      </c>
      <c r="K101" t="str">
        <f>UPPER(Master_ventas[[#This Row],[Category]])</f>
        <v>ELECTRONICS</v>
      </c>
      <c r="L101">
        <f>YEAR(Master_ventas[[#This Row],[Order Date]])</f>
        <v>2023</v>
      </c>
      <c r="M101" t="str">
        <f>CONCATENATE(LEFT(Master_ventas[[#This Row],[ProdUpper]],3),RIGHT(Master_ventas[[#This Row],[Ext-Year]],2),"-",MID(Master_ventas[[#This Row],[Category]],1,1))</f>
        <v>LAP23-E</v>
      </c>
      <c r="N101" t="str">
        <f>MID(Master_ventas[[#This Row],[ProdUpper]],1,3)</f>
        <v>LAP</v>
      </c>
      <c r="O101" t="str">
        <f>UPPER(IF(Master_ventas[[#This Row],[Profit]]&gt;500,"High","Std"))</f>
        <v>HIGH</v>
      </c>
      <c r="P101">
        <v>100</v>
      </c>
    </row>
    <row r="102" spans="1:16" x14ac:dyDescent="0.3">
      <c r="A102" s="1">
        <v>45011</v>
      </c>
      <c r="B102" t="s">
        <v>18</v>
      </c>
      <c r="C102" t="s">
        <v>11</v>
      </c>
      <c r="D102" t="s">
        <v>15</v>
      </c>
      <c r="E102">
        <v>6</v>
      </c>
      <c r="F102" s="3">
        <v>5592</v>
      </c>
      <c r="G102" s="2">
        <v>1294.1600000000001</v>
      </c>
      <c r="H102">
        <f>Master_ventas[[#This Row],[Profit]]/Master_ventas[[#This Row],[Sales]]</f>
        <v>0.23143061516452076</v>
      </c>
      <c r="I102">
        <f ca="1">Referencia_Hoy-Master_ventas[[#This Row],[Order Date]]</f>
        <v>1312</v>
      </c>
      <c r="J102" t="str">
        <f>UPPER(Master_ventas[[#This Row],[Product Name]])</f>
        <v>HEADPHONES</v>
      </c>
      <c r="K102" t="str">
        <f>UPPER(Master_ventas[[#This Row],[Category]])</f>
        <v>ACCESSORIES</v>
      </c>
      <c r="L102">
        <f>YEAR(Master_ventas[[#This Row],[Order Date]])</f>
        <v>2023</v>
      </c>
      <c r="M102" t="str">
        <f>CONCATENATE(LEFT(Master_ventas[[#This Row],[ProdUpper]],3),RIGHT(Master_ventas[[#This Row],[Ext-Year]],2),"-",MID(Master_ventas[[#This Row],[Category]],1,1))</f>
        <v>HEA23-A</v>
      </c>
      <c r="N102" t="str">
        <f>MID(Master_ventas[[#This Row],[ProdUpper]],1,3)</f>
        <v>HEA</v>
      </c>
      <c r="O102" t="str">
        <f>UPPER(IF(Master_ventas[[#This Row],[Profit]]&gt;500,"High","Std"))</f>
        <v>HIGH</v>
      </c>
      <c r="P102">
        <v>101</v>
      </c>
    </row>
    <row r="103" spans="1:16" x14ac:dyDescent="0.3">
      <c r="A103" s="1">
        <v>45577</v>
      </c>
      <c r="B103" t="s">
        <v>13</v>
      </c>
      <c r="C103" t="s">
        <v>14</v>
      </c>
      <c r="D103" t="s">
        <v>9</v>
      </c>
      <c r="E103">
        <v>2</v>
      </c>
      <c r="F103" s="3">
        <v>1852</v>
      </c>
      <c r="G103" s="2">
        <v>168.92</v>
      </c>
      <c r="H103">
        <f>Master_ventas[[#This Row],[Profit]]/Master_ventas[[#This Row],[Sales]]</f>
        <v>9.1209503239740808E-2</v>
      </c>
      <c r="I103">
        <f ca="1">Referencia_Hoy-Master_ventas[[#This Row],[Order Date]]</f>
        <v>746</v>
      </c>
      <c r="J103" t="str">
        <f>UPPER(Master_ventas[[#This Row],[Product Name]])</f>
        <v>TABLET</v>
      </c>
      <c r="K103" t="str">
        <f>UPPER(Master_ventas[[#This Row],[Category]])</f>
        <v>ELECTRONICS</v>
      </c>
      <c r="L103">
        <f>YEAR(Master_ventas[[#This Row],[Order Date]])</f>
        <v>2024</v>
      </c>
      <c r="M103" t="str">
        <f>CONCATENATE(LEFT(Master_ventas[[#This Row],[ProdUpper]],3),RIGHT(Master_ventas[[#This Row],[Ext-Year]],2),"-",MID(Master_ventas[[#This Row],[Category]],1,1))</f>
        <v>TAB24-E</v>
      </c>
      <c r="N103" t="str">
        <f>MID(Master_ventas[[#This Row],[ProdUpper]],1,3)</f>
        <v>TAB</v>
      </c>
      <c r="O103" t="str">
        <f>UPPER(IF(Master_ventas[[#This Row],[Profit]]&gt;500,"High","Std"))</f>
        <v>STD</v>
      </c>
      <c r="P103">
        <v>102</v>
      </c>
    </row>
    <row r="104" spans="1:16" x14ac:dyDescent="0.3">
      <c r="A104" s="1">
        <v>44738</v>
      </c>
      <c r="B104" t="s">
        <v>20</v>
      </c>
      <c r="C104" t="s">
        <v>11</v>
      </c>
      <c r="D104" t="s">
        <v>12</v>
      </c>
      <c r="E104">
        <v>1</v>
      </c>
      <c r="F104" s="3">
        <v>195</v>
      </c>
      <c r="G104" s="2">
        <v>57.88</v>
      </c>
      <c r="H104">
        <f>Master_ventas[[#This Row],[Profit]]/Master_ventas[[#This Row],[Sales]]</f>
        <v>0.29682051282051286</v>
      </c>
      <c r="I104">
        <f ca="1">Referencia_Hoy-Master_ventas[[#This Row],[Order Date]]</f>
        <v>1585</v>
      </c>
      <c r="J104" t="str">
        <f>UPPER(Master_ventas[[#This Row],[Product Name]])</f>
        <v>MONITOR</v>
      </c>
      <c r="K104" t="str">
        <f>UPPER(Master_ventas[[#This Row],[Category]])</f>
        <v>ACCESSORIES</v>
      </c>
      <c r="L104">
        <f>YEAR(Master_ventas[[#This Row],[Order Date]])</f>
        <v>2022</v>
      </c>
      <c r="M104" t="str">
        <f>CONCATENATE(LEFT(Master_ventas[[#This Row],[ProdUpper]],3),RIGHT(Master_ventas[[#This Row],[Ext-Year]],2),"-",MID(Master_ventas[[#This Row],[Category]],1,1))</f>
        <v>MON22-A</v>
      </c>
      <c r="N104" t="str">
        <f>MID(Master_ventas[[#This Row],[ProdUpper]],1,3)</f>
        <v>MON</v>
      </c>
      <c r="O104" t="str">
        <f>UPPER(IF(Master_ventas[[#This Row],[Profit]]&gt;500,"High","Std"))</f>
        <v>STD</v>
      </c>
      <c r="P104">
        <v>103</v>
      </c>
    </row>
    <row r="105" spans="1:16" x14ac:dyDescent="0.3">
      <c r="A105" s="1">
        <v>44666</v>
      </c>
      <c r="B105" t="s">
        <v>10</v>
      </c>
      <c r="C105" t="s">
        <v>11</v>
      </c>
      <c r="D105" t="s">
        <v>12</v>
      </c>
      <c r="E105">
        <v>9</v>
      </c>
      <c r="F105" s="3">
        <v>7884</v>
      </c>
      <c r="G105" s="2">
        <v>2054.02</v>
      </c>
      <c r="H105">
        <f>Master_ventas[[#This Row],[Profit]]/Master_ventas[[#This Row],[Sales]]</f>
        <v>0.26053018772196856</v>
      </c>
      <c r="I105">
        <f ca="1">Referencia_Hoy-Master_ventas[[#This Row],[Order Date]]</f>
        <v>1657</v>
      </c>
      <c r="J105" t="str">
        <f>UPPER(Master_ventas[[#This Row],[Product Name]])</f>
        <v>MOUSE</v>
      </c>
      <c r="K105" t="str">
        <f>UPPER(Master_ventas[[#This Row],[Category]])</f>
        <v>ACCESSORIES</v>
      </c>
      <c r="L105">
        <f>YEAR(Master_ventas[[#This Row],[Order Date]])</f>
        <v>2022</v>
      </c>
      <c r="M105" t="str">
        <f>CONCATENATE(LEFT(Master_ventas[[#This Row],[ProdUpper]],3),RIGHT(Master_ventas[[#This Row],[Ext-Year]],2),"-",MID(Master_ventas[[#This Row],[Category]],1,1))</f>
        <v>MOU22-A</v>
      </c>
      <c r="N105" t="str">
        <f>MID(Master_ventas[[#This Row],[ProdUpper]],1,3)</f>
        <v>MOU</v>
      </c>
      <c r="O105" t="str">
        <f>UPPER(IF(Master_ventas[[#This Row],[Profit]]&gt;500,"High","Std"))</f>
        <v>HIGH</v>
      </c>
      <c r="P105">
        <v>104</v>
      </c>
    </row>
    <row r="106" spans="1:16" x14ac:dyDescent="0.3">
      <c r="A106" s="1">
        <v>45270</v>
      </c>
      <c r="B106" t="s">
        <v>23</v>
      </c>
      <c r="C106" t="s">
        <v>14</v>
      </c>
      <c r="D106" t="s">
        <v>12</v>
      </c>
      <c r="E106">
        <v>5</v>
      </c>
      <c r="F106" s="3">
        <v>4360</v>
      </c>
      <c r="G106" s="2">
        <v>1160.55</v>
      </c>
      <c r="H106">
        <f>Master_ventas[[#This Row],[Profit]]/Master_ventas[[#This Row],[Sales]]</f>
        <v>0.26618119266055046</v>
      </c>
      <c r="I106">
        <f ca="1">Referencia_Hoy-Master_ventas[[#This Row],[Order Date]]</f>
        <v>1053</v>
      </c>
      <c r="J106" t="str">
        <f>UPPER(Master_ventas[[#This Row],[Product Name]])</f>
        <v>LAPTOP</v>
      </c>
      <c r="K106" t="str">
        <f>UPPER(Master_ventas[[#This Row],[Category]])</f>
        <v>ELECTRONICS</v>
      </c>
      <c r="L106">
        <f>YEAR(Master_ventas[[#This Row],[Order Date]])</f>
        <v>2023</v>
      </c>
      <c r="M106" t="str">
        <f>CONCATENATE(LEFT(Master_ventas[[#This Row],[ProdUpper]],3),RIGHT(Master_ventas[[#This Row],[Ext-Year]],2),"-",MID(Master_ventas[[#This Row],[Category]],1,1))</f>
        <v>LAP23-E</v>
      </c>
      <c r="N106" t="str">
        <f>MID(Master_ventas[[#This Row],[ProdUpper]],1,3)</f>
        <v>LAP</v>
      </c>
      <c r="O106" t="str">
        <f>UPPER(IF(Master_ventas[[#This Row],[Profit]]&gt;500,"High","Std"))</f>
        <v>HIGH</v>
      </c>
      <c r="P106">
        <v>105</v>
      </c>
    </row>
    <row r="107" spans="1:16" x14ac:dyDescent="0.3">
      <c r="A107" s="1">
        <v>45558</v>
      </c>
      <c r="B107" t="s">
        <v>10</v>
      </c>
      <c r="C107" t="s">
        <v>11</v>
      </c>
      <c r="D107" t="s">
        <v>9</v>
      </c>
      <c r="E107">
        <v>6</v>
      </c>
      <c r="F107" s="3">
        <v>4920</v>
      </c>
      <c r="G107" s="2">
        <v>929.18</v>
      </c>
      <c r="H107">
        <f>Master_ventas[[#This Row],[Profit]]/Master_ventas[[#This Row],[Sales]]</f>
        <v>0.18885772357723576</v>
      </c>
      <c r="I107">
        <f ca="1">Referencia_Hoy-Master_ventas[[#This Row],[Order Date]]</f>
        <v>765</v>
      </c>
      <c r="J107" t="str">
        <f>UPPER(Master_ventas[[#This Row],[Product Name]])</f>
        <v>MOUSE</v>
      </c>
      <c r="K107" t="str">
        <f>UPPER(Master_ventas[[#This Row],[Category]])</f>
        <v>ACCESSORIES</v>
      </c>
      <c r="L107">
        <f>YEAR(Master_ventas[[#This Row],[Order Date]])</f>
        <v>2024</v>
      </c>
      <c r="M107" t="str">
        <f>CONCATENATE(LEFT(Master_ventas[[#This Row],[ProdUpper]],3),RIGHT(Master_ventas[[#This Row],[Ext-Year]],2),"-",MID(Master_ventas[[#This Row],[Category]],1,1))</f>
        <v>MOU24-A</v>
      </c>
      <c r="N107" t="str">
        <f>MID(Master_ventas[[#This Row],[ProdUpper]],1,3)</f>
        <v>MOU</v>
      </c>
      <c r="O107" t="str">
        <f>UPPER(IF(Master_ventas[[#This Row],[Profit]]&gt;500,"High","Std"))</f>
        <v>HIGH</v>
      </c>
      <c r="P107">
        <v>106</v>
      </c>
    </row>
    <row r="108" spans="1:16" x14ac:dyDescent="0.3">
      <c r="A108" s="1">
        <v>44562</v>
      </c>
      <c r="B108" t="s">
        <v>10</v>
      </c>
      <c r="C108" t="s">
        <v>11</v>
      </c>
      <c r="D108" t="s">
        <v>12</v>
      </c>
      <c r="E108">
        <v>3</v>
      </c>
      <c r="F108" s="3">
        <v>3474</v>
      </c>
      <c r="G108" s="2">
        <v>565</v>
      </c>
      <c r="H108">
        <f>Master_ventas[[#This Row],[Profit]]/Master_ventas[[#This Row],[Sales]]</f>
        <v>0.16263672999424295</v>
      </c>
      <c r="I108">
        <f ca="1">Referencia_Hoy-Master_ventas[[#This Row],[Order Date]]</f>
        <v>1761</v>
      </c>
      <c r="J108" t="str">
        <f>UPPER(Master_ventas[[#This Row],[Product Name]])</f>
        <v>MOUSE</v>
      </c>
      <c r="K108" t="str">
        <f>UPPER(Master_ventas[[#This Row],[Category]])</f>
        <v>ACCESSORIES</v>
      </c>
      <c r="L108">
        <f>YEAR(Master_ventas[[#This Row],[Order Date]])</f>
        <v>2022</v>
      </c>
      <c r="M108" t="str">
        <f>CONCATENATE(LEFT(Master_ventas[[#This Row],[ProdUpper]],3),RIGHT(Master_ventas[[#This Row],[Ext-Year]],2),"-",MID(Master_ventas[[#This Row],[Category]],1,1))</f>
        <v>MOU22-A</v>
      </c>
      <c r="N108" t="str">
        <f>MID(Master_ventas[[#This Row],[ProdUpper]],1,3)</f>
        <v>MOU</v>
      </c>
      <c r="O108" t="str">
        <f>UPPER(IF(Master_ventas[[#This Row],[Profit]]&gt;500,"High","Std"))</f>
        <v>HIGH</v>
      </c>
      <c r="P108">
        <v>107</v>
      </c>
    </row>
    <row r="109" spans="1:16" x14ac:dyDescent="0.3">
      <c r="A109" s="1">
        <v>44595</v>
      </c>
      <c r="B109" t="s">
        <v>22</v>
      </c>
      <c r="C109" t="s">
        <v>11</v>
      </c>
      <c r="D109" t="s">
        <v>16</v>
      </c>
      <c r="E109">
        <v>1</v>
      </c>
      <c r="F109" s="3">
        <v>930</v>
      </c>
      <c r="G109" s="2">
        <v>222.5</v>
      </c>
      <c r="H109">
        <f>Master_ventas[[#This Row],[Profit]]/Master_ventas[[#This Row],[Sales]]</f>
        <v>0.239247311827957</v>
      </c>
      <c r="I109">
        <f ca="1">Referencia_Hoy-Master_ventas[[#This Row],[Order Date]]</f>
        <v>1728</v>
      </c>
      <c r="J109" t="str">
        <f>UPPER(Master_ventas[[#This Row],[Product Name]])</f>
        <v>KEYBOARD</v>
      </c>
      <c r="K109" t="str">
        <f>UPPER(Master_ventas[[#This Row],[Category]])</f>
        <v>ACCESSORIES</v>
      </c>
      <c r="L109">
        <f>YEAR(Master_ventas[[#This Row],[Order Date]])</f>
        <v>2022</v>
      </c>
      <c r="M109" t="str">
        <f>CONCATENATE(LEFT(Master_ventas[[#This Row],[ProdUpper]],3),RIGHT(Master_ventas[[#This Row],[Ext-Year]],2),"-",MID(Master_ventas[[#This Row],[Category]],1,1))</f>
        <v>KEY22-A</v>
      </c>
      <c r="N109" t="str">
        <f>MID(Master_ventas[[#This Row],[ProdUpper]],1,3)</f>
        <v>KEY</v>
      </c>
      <c r="O109" t="str">
        <f>UPPER(IF(Master_ventas[[#This Row],[Profit]]&gt;500,"High","Std"))</f>
        <v>STD</v>
      </c>
      <c r="P109">
        <v>108</v>
      </c>
    </row>
    <row r="110" spans="1:16" x14ac:dyDescent="0.3">
      <c r="A110" s="1">
        <v>44999</v>
      </c>
      <c r="B110" t="s">
        <v>13</v>
      </c>
      <c r="C110" t="s">
        <v>14</v>
      </c>
      <c r="D110" t="s">
        <v>15</v>
      </c>
      <c r="E110">
        <v>7</v>
      </c>
      <c r="F110" s="3">
        <v>1421</v>
      </c>
      <c r="G110" s="2">
        <v>248.02</v>
      </c>
      <c r="H110">
        <f>Master_ventas[[#This Row],[Profit]]/Master_ventas[[#This Row],[Sales]]</f>
        <v>0.1745390570021112</v>
      </c>
      <c r="I110">
        <f ca="1">Referencia_Hoy-Master_ventas[[#This Row],[Order Date]]</f>
        <v>1324</v>
      </c>
      <c r="J110" t="str">
        <f>UPPER(Master_ventas[[#This Row],[Product Name]])</f>
        <v>TABLET</v>
      </c>
      <c r="K110" t="str">
        <f>UPPER(Master_ventas[[#This Row],[Category]])</f>
        <v>ELECTRONICS</v>
      </c>
      <c r="L110">
        <f>YEAR(Master_ventas[[#This Row],[Order Date]])</f>
        <v>2023</v>
      </c>
      <c r="M110" t="str">
        <f>CONCATENATE(LEFT(Master_ventas[[#This Row],[ProdUpper]],3),RIGHT(Master_ventas[[#This Row],[Ext-Year]],2),"-",MID(Master_ventas[[#This Row],[Category]],1,1))</f>
        <v>TAB23-E</v>
      </c>
      <c r="N110" t="str">
        <f>MID(Master_ventas[[#This Row],[ProdUpper]],1,3)</f>
        <v>TAB</v>
      </c>
      <c r="O110" t="str">
        <f>UPPER(IF(Master_ventas[[#This Row],[Profit]]&gt;500,"High","Std"))</f>
        <v>STD</v>
      </c>
      <c r="P110">
        <v>109</v>
      </c>
    </row>
    <row r="111" spans="1:16" x14ac:dyDescent="0.3">
      <c r="A111" s="1">
        <v>44797</v>
      </c>
      <c r="B111" t="s">
        <v>18</v>
      </c>
      <c r="C111" t="s">
        <v>11</v>
      </c>
      <c r="D111" t="s">
        <v>9</v>
      </c>
      <c r="E111">
        <v>2</v>
      </c>
      <c r="F111" s="3">
        <v>634</v>
      </c>
      <c r="G111" s="2">
        <v>161.1</v>
      </c>
      <c r="H111">
        <f>Master_ventas[[#This Row],[Profit]]/Master_ventas[[#This Row],[Sales]]</f>
        <v>0.25410094637223973</v>
      </c>
      <c r="I111">
        <f ca="1">Referencia_Hoy-Master_ventas[[#This Row],[Order Date]]</f>
        <v>1526</v>
      </c>
      <c r="J111" t="str">
        <f>UPPER(Master_ventas[[#This Row],[Product Name]])</f>
        <v>HEADPHONES</v>
      </c>
      <c r="K111" t="str">
        <f>UPPER(Master_ventas[[#This Row],[Category]])</f>
        <v>ACCESSORIES</v>
      </c>
      <c r="L111">
        <f>YEAR(Master_ventas[[#This Row],[Order Date]])</f>
        <v>2022</v>
      </c>
      <c r="M111" t="str">
        <f>CONCATENATE(LEFT(Master_ventas[[#This Row],[ProdUpper]],3),RIGHT(Master_ventas[[#This Row],[Ext-Year]],2),"-",MID(Master_ventas[[#This Row],[Category]],1,1))</f>
        <v>HEA22-A</v>
      </c>
      <c r="N111" t="str">
        <f>MID(Master_ventas[[#This Row],[ProdUpper]],1,3)</f>
        <v>HEA</v>
      </c>
      <c r="O111" t="str">
        <f>UPPER(IF(Master_ventas[[#This Row],[Profit]]&gt;500,"High","Std"))</f>
        <v>STD</v>
      </c>
      <c r="P111">
        <v>110</v>
      </c>
    </row>
    <row r="112" spans="1:16" x14ac:dyDescent="0.3">
      <c r="A112" s="1">
        <v>45480</v>
      </c>
      <c r="B112" t="s">
        <v>17</v>
      </c>
      <c r="C112" t="s">
        <v>14</v>
      </c>
      <c r="D112" t="s">
        <v>12</v>
      </c>
      <c r="E112">
        <v>1</v>
      </c>
      <c r="F112" s="3">
        <v>673</v>
      </c>
      <c r="G112" s="2">
        <v>114.42</v>
      </c>
      <c r="H112">
        <f>Master_ventas[[#This Row],[Profit]]/Master_ventas[[#This Row],[Sales]]</f>
        <v>0.17001485884101039</v>
      </c>
      <c r="I112">
        <f ca="1">Referencia_Hoy-Master_ventas[[#This Row],[Order Date]]</f>
        <v>843</v>
      </c>
      <c r="J112" t="str">
        <f>UPPER(Master_ventas[[#This Row],[Product Name]])</f>
        <v>CAMERA</v>
      </c>
      <c r="K112" t="str">
        <f>UPPER(Master_ventas[[#This Row],[Category]])</f>
        <v>ELECTRONICS</v>
      </c>
      <c r="L112">
        <f>YEAR(Master_ventas[[#This Row],[Order Date]])</f>
        <v>2024</v>
      </c>
      <c r="M112" t="str">
        <f>CONCATENATE(LEFT(Master_ventas[[#This Row],[ProdUpper]],3),RIGHT(Master_ventas[[#This Row],[Ext-Year]],2),"-",MID(Master_ventas[[#This Row],[Category]],1,1))</f>
        <v>CAM24-E</v>
      </c>
      <c r="N112" t="str">
        <f>MID(Master_ventas[[#This Row],[ProdUpper]],1,3)</f>
        <v>CAM</v>
      </c>
      <c r="O112" t="str">
        <f>UPPER(IF(Master_ventas[[#This Row],[Profit]]&gt;500,"High","Std"))</f>
        <v>STD</v>
      </c>
      <c r="P112">
        <v>111</v>
      </c>
    </row>
    <row r="113" spans="1:16" x14ac:dyDescent="0.3">
      <c r="A113" s="1">
        <v>44664</v>
      </c>
      <c r="B113" t="s">
        <v>10</v>
      </c>
      <c r="C113" t="s">
        <v>11</v>
      </c>
      <c r="D113" t="s">
        <v>15</v>
      </c>
      <c r="E113">
        <v>5</v>
      </c>
      <c r="F113" s="3">
        <v>3135</v>
      </c>
      <c r="G113" s="2">
        <v>787.7</v>
      </c>
      <c r="H113">
        <f>Master_ventas[[#This Row],[Profit]]/Master_ventas[[#This Row],[Sales]]</f>
        <v>0.25125996810207341</v>
      </c>
      <c r="I113">
        <f ca="1">Referencia_Hoy-Master_ventas[[#This Row],[Order Date]]</f>
        <v>1659</v>
      </c>
      <c r="J113" t="str">
        <f>UPPER(Master_ventas[[#This Row],[Product Name]])</f>
        <v>MOUSE</v>
      </c>
      <c r="K113" t="str">
        <f>UPPER(Master_ventas[[#This Row],[Category]])</f>
        <v>ACCESSORIES</v>
      </c>
      <c r="L113">
        <f>YEAR(Master_ventas[[#This Row],[Order Date]])</f>
        <v>2022</v>
      </c>
      <c r="M113" t="str">
        <f>CONCATENATE(LEFT(Master_ventas[[#This Row],[ProdUpper]],3),RIGHT(Master_ventas[[#This Row],[Ext-Year]],2),"-",MID(Master_ventas[[#This Row],[Category]],1,1))</f>
        <v>MOU22-A</v>
      </c>
      <c r="N113" t="str">
        <f>MID(Master_ventas[[#This Row],[ProdUpper]],1,3)</f>
        <v>MOU</v>
      </c>
      <c r="O113" t="str">
        <f>UPPER(IF(Master_ventas[[#This Row],[Profit]]&gt;500,"High","Std"))</f>
        <v>HIGH</v>
      </c>
      <c r="P113">
        <v>112</v>
      </c>
    </row>
    <row r="114" spans="1:16" x14ac:dyDescent="0.3">
      <c r="A114" s="1">
        <v>45420</v>
      </c>
      <c r="B114" t="s">
        <v>21</v>
      </c>
      <c r="C114" t="s">
        <v>14</v>
      </c>
      <c r="D114" t="s">
        <v>12</v>
      </c>
      <c r="E114">
        <v>6</v>
      </c>
      <c r="F114" s="3">
        <v>882</v>
      </c>
      <c r="G114" s="2">
        <v>184.48</v>
      </c>
      <c r="H114">
        <f>Master_ventas[[#This Row],[Profit]]/Master_ventas[[#This Row],[Sales]]</f>
        <v>0.2091609977324263</v>
      </c>
      <c r="I114">
        <f ca="1">Referencia_Hoy-Master_ventas[[#This Row],[Order Date]]</f>
        <v>903</v>
      </c>
      <c r="J114" t="str">
        <f>UPPER(Master_ventas[[#This Row],[Product Name]])</f>
        <v>SMARTPHONE</v>
      </c>
      <c r="K114" t="str">
        <f>UPPER(Master_ventas[[#This Row],[Category]])</f>
        <v>ELECTRONICS</v>
      </c>
      <c r="L114">
        <f>YEAR(Master_ventas[[#This Row],[Order Date]])</f>
        <v>2024</v>
      </c>
      <c r="M114" t="str">
        <f>CONCATENATE(LEFT(Master_ventas[[#This Row],[ProdUpper]],3),RIGHT(Master_ventas[[#This Row],[Ext-Year]],2),"-",MID(Master_ventas[[#This Row],[Category]],1,1))</f>
        <v>SMA24-E</v>
      </c>
      <c r="N114" t="str">
        <f>MID(Master_ventas[[#This Row],[ProdUpper]],1,3)</f>
        <v>SMA</v>
      </c>
      <c r="O114" t="str">
        <f>UPPER(IF(Master_ventas[[#This Row],[Profit]]&gt;500,"High","Std"))</f>
        <v>STD</v>
      </c>
      <c r="P114">
        <v>113</v>
      </c>
    </row>
    <row r="115" spans="1:16" x14ac:dyDescent="0.3">
      <c r="A115" s="1">
        <v>45545</v>
      </c>
      <c r="B115" t="s">
        <v>21</v>
      </c>
      <c r="C115" t="s">
        <v>14</v>
      </c>
      <c r="D115" t="s">
        <v>12</v>
      </c>
      <c r="E115">
        <v>4</v>
      </c>
      <c r="F115" s="3">
        <v>1192</v>
      </c>
      <c r="G115" s="2">
        <v>212.77</v>
      </c>
      <c r="H115">
        <f>Master_ventas[[#This Row],[Profit]]/Master_ventas[[#This Row],[Sales]]</f>
        <v>0.17849832214765102</v>
      </c>
      <c r="I115">
        <f ca="1">Referencia_Hoy-Master_ventas[[#This Row],[Order Date]]</f>
        <v>778</v>
      </c>
      <c r="J115" t="str">
        <f>UPPER(Master_ventas[[#This Row],[Product Name]])</f>
        <v>SMARTPHONE</v>
      </c>
      <c r="K115" t="str">
        <f>UPPER(Master_ventas[[#This Row],[Category]])</f>
        <v>ELECTRONICS</v>
      </c>
      <c r="L115">
        <f>YEAR(Master_ventas[[#This Row],[Order Date]])</f>
        <v>2024</v>
      </c>
      <c r="M115" t="str">
        <f>CONCATENATE(LEFT(Master_ventas[[#This Row],[ProdUpper]],3),RIGHT(Master_ventas[[#This Row],[Ext-Year]],2),"-",MID(Master_ventas[[#This Row],[Category]],1,1))</f>
        <v>SMA24-E</v>
      </c>
      <c r="N115" t="str">
        <f>MID(Master_ventas[[#This Row],[ProdUpper]],1,3)</f>
        <v>SMA</v>
      </c>
      <c r="O115" t="str">
        <f>UPPER(IF(Master_ventas[[#This Row],[Profit]]&gt;500,"High","Std"))</f>
        <v>STD</v>
      </c>
      <c r="P115">
        <v>114</v>
      </c>
    </row>
    <row r="116" spans="1:16" x14ac:dyDescent="0.3">
      <c r="A116" s="1">
        <v>45461</v>
      </c>
      <c r="B116" t="s">
        <v>7</v>
      </c>
      <c r="C116" t="s">
        <v>8</v>
      </c>
      <c r="D116" t="s">
        <v>15</v>
      </c>
      <c r="E116">
        <v>3</v>
      </c>
      <c r="F116" s="3">
        <v>390</v>
      </c>
      <c r="G116" s="2">
        <v>112.08</v>
      </c>
      <c r="H116">
        <f>Master_ventas[[#This Row],[Profit]]/Master_ventas[[#This Row],[Sales]]</f>
        <v>0.28738461538461541</v>
      </c>
      <c r="I116">
        <f ca="1">Referencia_Hoy-Master_ventas[[#This Row],[Order Date]]</f>
        <v>862</v>
      </c>
      <c r="J116" t="str">
        <f>UPPER(Master_ventas[[#This Row],[Product Name]])</f>
        <v>PRINTER</v>
      </c>
      <c r="K116" t="str">
        <f>UPPER(Master_ventas[[#This Row],[Category]])</f>
        <v>OFFICE</v>
      </c>
      <c r="L116">
        <f>YEAR(Master_ventas[[#This Row],[Order Date]])</f>
        <v>2024</v>
      </c>
      <c r="M116" t="str">
        <f>CONCATENATE(LEFT(Master_ventas[[#This Row],[ProdUpper]],3),RIGHT(Master_ventas[[#This Row],[Ext-Year]],2),"-",MID(Master_ventas[[#This Row],[Category]],1,1))</f>
        <v>PRI24-O</v>
      </c>
      <c r="N116" t="str">
        <f>MID(Master_ventas[[#This Row],[ProdUpper]],1,3)</f>
        <v>PRI</v>
      </c>
      <c r="O116" t="str">
        <f>UPPER(IF(Master_ventas[[#This Row],[Profit]]&gt;500,"High","Std"))</f>
        <v>STD</v>
      </c>
      <c r="P116">
        <v>115</v>
      </c>
    </row>
    <row r="117" spans="1:16" x14ac:dyDescent="0.3">
      <c r="A117" s="1">
        <v>45545</v>
      </c>
      <c r="B117" t="s">
        <v>13</v>
      </c>
      <c r="C117" t="s">
        <v>14</v>
      </c>
      <c r="D117" t="s">
        <v>9</v>
      </c>
      <c r="E117">
        <v>1</v>
      </c>
      <c r="F117" s="3">
        <v>834</v>
      </c>
      <c r="G117" s="2">
        <v>95.54</v>
      </c>
      <c r="H117">
        <f>Master_ventas[[#This Row],[Profit]]/Master_ventas[[#This Row],[Sales]]</f>
        <v>0.11455635491606715</v>
      </c>
      <c r="I117">
        <f ca="1">Referencia_Hoy-Master_ventas[[#This Row],[Order Date]]</f>
        <v>778</v>
      </c>
      <c r="J117" t="str">
        <f>UPPER(Master_ventas[[#This Row],[Product Name]])</f>
        <v>TABLET</v>
      </c>
      <c r="K117" t="str">
        <f>UPPER(Master_ventas[[#This Row],[Category]])</f>
        <v>ELECTRONICS</v>
      </c>
      <c r="L117">
        <f>YEAR(Master_ventas[[#This Row],[Order Date]])</f>
        <v>2024</v>
      </c>
      <c r="M117" t="str">
        <f>CONCATENATE(LEFT(Master_ventas[[#This Row],[ProdUpper]],3),RIGHT(Master_ventas[[#This Row],[Ext-Year]],2),"-",MID(Master_ventas[[#This Row],[Category]],1,1))</f>
        <v>TAB24-E</v>
      </c>
      <c r="N117" t="str">
        <f>MID(Master_ventas[[#This Row],[ProdUpper]],1,3)</f>
        <v>TAB</v>
      </c>
      <c r="O117" t="str">
        <f>UPPER(IF(Master_ventas[[#This Row],[Profit]]&gt;500,"High","Std"))</f>
        <v>STD</v>
      </c>
      <c r="P117">
        <v>116</v>
      </c>
    </row>
    <row r="118" spans="1:16" x14ac:dyDescent="0.3">
      <c r="A118" s="1">
        <v>44687</v>
      </c>
      <c r="B118" t="s">
        <v>21</v>
      </c>
      <c r="C118" t="s">
        <v>14</v>
      </c>
      <c r="D118" t="s">
        <v>12</v>
      </c>
      <c r="E118">
        <v>6</v>
      </c>
      <c r="F118" s="3">
        <v>612</v>
      </c>
      <c r="G118" s="2">
        <v>83.75</v>
      </c>
      <c r="H118">
        <f>Master_ventas[[#This Row],[Profit]]/Master_ventas[[#This Row],[Sales]]</f>
        <v>0.13684640522875818</v>
      </c>
      <c r="I118">
        <f ca="1">Referencia_Hoy-Master_ventas[[#This Row],[Order Date]]</f>
        <v>1636</v>
      </c>
      <c r="J118" t="str">
        <f>UPPER(Master_ventas[[#This Row],[Product Name]])</f>
        <v>SMARTPHONE</v>
      </c>
      <c r="K118" t="str">
        <f>UPPER(Master_ventas[[#This Row],[Category]])</f>
        <v>ELECTRONICS</v>
      </c>
      <c r="L118">
        <f>YEAR(Master_ventas[[#This Row],[Order Date]])</f>
        <v>2022</v>
      </c>
      <c r="M118" t="str">
        <f>CONCATENATE(LEFT(Master_ventas[[#This Row],[ProdUpper]],3),RIGHT(Master_ventas[[#This Row],[Ext-Year]],2),"-",MID(Master_ventas[[#This Row],[Category]],1,1))</f>
        <v>SMA22-E</v>
      </c>
      <c r="N118" t="str">
        <f>MID(Master_ventas[[#This Row],[ProdUpper]],1,3)</f>
        <v>SMA</v>
      </c>
      <c r="O118" t="str">
        <f>UPPER(IF(Master_ventas[[#This Row],[Profit]]&gt;500,"High","Std"))</f>
        <v>STD</v>
      </c>
      <c r="P118">
        <v>117</v>
      </c>
    </row>
    <row r="119" spans="1:16" x14ac:dyDescent="0.3">
      <c r="A119" s="1">
        <v>45461</v>
      </c>
      <c r="B119" t="s">
        <v>18</v>
      </c>
      <c r="C119" t="s">
        <v>11</v>
      </c>
      <c r="D119" t="s">
        <v>16</v>
      </c>
      <c r="E119">
        <v>9</v>
      </c>
      <c r="F119" s="3">
        <v>8073</v>
      </c>
      <c r="G119" s="2">
        <v>710.23</v>
      </c>
      <c r="H119">
        <f>Master_ventas[[#This Row],[Profit]]/Master_ventas[[#This Row],[Sales]]</f>
        <v>8.7975969280317104E-2</v>
      </c>
      <c r="I119">
        <f ca="1">Referencia_Hoy-Master_ventas[[#This Row],[Order Date]]</f>
        <v>862</v>
      </c>
      <c r="J119" t="str">
        <f>UPPER(Master_ventas[[#This Row],[Product Name]])</f>
        <v>HEADPHONES</v>
      </c>
      <c r="K119" t="str">
        <f>UPPER(Master_ventas[[#This Row],[Category]])</f>
        <v>ACCESSORIES</v>
      </c>
      <c r="L119">
        <f>YEAR(Master_ventas[[#This Row],[Order Date]])</f>
        <v>2024</v>
      </c>
      <c r="M119" t="str">
        <f>CONCATENATE(LEFT(Master_ventas[[#This Row],[ProdUpper]],3),RIGHT(Master_ventas[[#This Row],[Ext-Year]],2),"-",MID(Master_ventas[[#This Row],[Category]],1,1))</f>
        <v>HEA24-A</v>
      </c>
      <c r="N119" t="str">
        <f>MID(Master_ventas[[#This Row],[ProdUpper]],1,3)</f>
        <v>HEA</v>
      </c>
      <c r="O119" t="str">
        <f>UPPER(IF(Master_ventas[[#This Row],[Profit]]&gt;500,"High","Std"))</f>
        <v>HIGH</v>
      </c>
      <c r="P119">
        <v>118</v>
      </c>
    </row>
    <row r="120" spans="1:16" x14ac:dyDescent="0.3">
      <c r="A120" s="1">
        <v>45228</v>
      </c>
      <c r="B120" t="s">
        <v>22</v>
      </c>
      <c r="C120" t="s">
        <v>11</v>
      </c>
      <c r="D120" t="s">
        <v>9</v>
      </c>
      <c r="E120">
        <v>8</v>
      </c>
      <c r="F120" s="3">
        <v>2640</v>
      </c>
      <c r="G120" s="2">
        <v>723.88</v>
      </c>
      <c r="H120">
        <f>Master_ventas[[#This Row],[Profit]]/Master_ventas[[#This Row],[Sales]]</f>
        <v>0.27419696969696972</v>
      </c>
      <c r="I120">
        <f ca="1">Referencia_Hoy-Master_ventas[[#This Row],[Order Date]]</f>
        <v>1095</v>
      </c>
      <c r="J120" t="str">
        <f>UPPER(Master_ventas[[#This Row],[Product Name]])</f>
        <v>KEYBOARD</v>
      </c>
      <c r="K120" t="str">
        <f>UPPER(Master_ventas[[#This Row],[Category]])</f>
        <v>ACCESSORIES</v>
      </c>
      <c r="L120">
        <f>YEAR(Master_ventas[[#This Row],[Order Date]])</f>
        <v>2023</v>
      </c>
      <c r="M120" t="str">
        <f>CONCATENATE(LEFT(Master_ventas[[#This Row],[ProdUpper]],3),RIGHT(Master_ventas[[#This Row],[Ext-Year]],2),"-",MID(Master_ventas[[#This Row],[Category]],1,1))</f>
        <v>KEY23-A</v>
      </c>
      <c r="N120" t="str">
        <f>MID(Master_ventas[[#This Row],[ProdUpper]],1,3)</f>
        <v>KEY</v>
      </c>
      <c r="O120" t="str">
        <f>UPPER(IF(Master_ventas[[#This Row],[Profit]]&gt;500,"High","Std"))</f>
        <v>HIGH</v>
      </c>
      <c r="P120">
        <v>119</v>
      </c>
    </row>
    <row r="121" spans="1:16" x14ac:dyDescent="0.3">
      <c r="A121" s="1">
        <v>45243</v>
      </c>
      <c r="B121" t="s">
        <v>21</v>
      </c>
      <c r="C121" t="s">
        <v>14</v>
      </c>
      <c r="D121" t="s">
        <v>9</v>
      </c>
      <c r="E121">
        <v>3</v>
      </c>
      <c r="F121" s="3">
        <v>3234</v>
      </c>
      <c r="G121" s="2">
        <v>440.7</v>
      </c>
      <c r="H121">
        <f>Master_ventas[[#This Row],[Profit]]/Master_ventas[[#This Row],[Sales]]</f>
        <v>0.13627087198515769</v>
      </c>
      <c r="I121">
        <f ca="1">Referencia_Hoy-Master_ventas[[#This Row],[Order Date]]</f>
        <v>1080</v>
      </c>
      <c r="J121" t="str">
        <f>UPPER(Master_ventas[[#This Row],[Product Name]])</f>
        <v>SMARTPHONE</v>
      </c>
      <c r="K121" t="str">
        <f>UPPER(Master_ventas[[#This Row],[Category]])</f>
        <v>ELECTRONICS</v>
      </c>
      <c r="L121">
        <f>YEAR(Master_ventas[[#This Row],[Order Date]])</f>
        <v>2023</v>
      </c>
      <c r="M121" t="str">
        <f>CONCATENATE(LEFT(Master_ventas[[#This Row],[ProdUpper]],3),RIGHT(Master_ventas[[#This Row],[Ext-Year]],2),"-",MID(Master_ventas[[#This Row],[Category]],1,1))</f>
        <v>SMA23-E</v>
      </c>
      <c r="N121" t="str">
        <f>MID(Master_ventas[[#This Row],[ProdUpper]],1,3)</f>
        <v>SMA</v>
      </c>
      <c r="O121" t="str">
        <f>UPPER(IF(Master_ventas[[#This Row],[Profit]]&gt;500,"High","Std"))</f>
        <v>STD</v>
      </c>
      <c r="P121">
        <v>120</v>
      </c>
    </row>
    <row r="122" spans="1:16" x14ac:dyDescent="0.3">
      <c r="A122" s="1">
        <v>44794</v>
      </c>
      <c r="B122" t="s">
        <v>20</v>
      </c>
      <c r="C122" t="s">
        <v>11</v>
      </c>
      <c r="D122" t="s">
        <v>16</v>
      </c>
      <c r="E122">
        <v>5</v>
      </c>
      <c r="F122" s="3">
        <v>4435</v>
      </c>
      <c r="G122" s="2">
        <v>355.51</v>
      </c>
      <c r="H122">
        <f>Master_ventas[[#This Row],[Profit]]/Master_ventas[[#This Row],[Sales]]</f>
        <v>8.0160090191657263E-2</v>
      </c>
      <c r="I122">
        <f ca="1">Referencia_Hoy-Master_ventas[[#This Row],[Order Date]]</f>
        <v>1529</v>
      </c>
      <c r="J122" t="str">
        <f>UPPER(Master_ventas[[#This Row],[Product Name]])</f>
        <v>MONITOR</v>
      </c>
      <c r="K122" t="str">
        <f>UPPER(Master_ventas[[#This Row],[Category]])</f>
        <v>ACCESSORIES</v>
      </c>
      <c r="L122">
        <f>YEAR(Master_ventas[[#This Row],[Order Date]])</f>
        <v>2022</v>
      </c>
      <c r="M122" t="str">
        <f>CONCATENATE(LEFT(Master_ventas[[#This Row],[ProdUpper]],3),RIGHT(Master_ventas[[#This Row],[Ext-Year]],2),"-",MID(Master_ventas[[#This Row],[Category]],1,1))</f>
        <v>MON22-A</v>
      </c>
      <c r="N122" t="str">
        <f>MID(Master_ventas[[#This Row],[ProdUpper]],1,3)</f>
        <v>MON</v>
      </c>
      <c r="O122" t="str">
        <f>UPPER(IF(Master_ventas[[#This Row],[Profit]]&gt;500,"High","Std"))</f>
        <v>STD</v>
      </c>
      <c r="P122">
        <v>121</v>
      </c>
    </row>
    <row r="123" spans="1:16" x14ac:dyDescent="0.3">
      <c r="A123" s="1">
        <v>45355</v>
      </c>
      <c r="B123" t="s">
        <v>19</v>
      </c>
      <c r="C123" t="s">
        <v>14</v>
      </c>
      <c r="D123" t="s">
        <v>9</v>
      </c>
      <c r="E123">
        <v>2</v>
      </c>
      <c r="F123" s="3">
        <v>2302</v>
      </c>
      <c r="G123" s="2">
        <v>305.07</v>
      </c>
      <c r="H123">
        <f>Master_ventas[[#This Row],[Profit]]/Master_ventas[[#This Row],[Sales]]</f>
        <v>0.1325238922675934</v>
      </c>
      <c r="I123">
        <f ca="1">Referencia_Hoy-Master_ventas[[#This Row],[Order Date]]</f>
        <v>968</v>
      </c>
      <c r="J123" t="str">
        <f>UPPER(Master_ventas[[#This Row],[Product Name]])</f>
        <v>SMARTWATCH</v>
      </c>
      <c r="K123" t="str">
        <f>UPPER(Master_ventas[[#This Row],[Category]])</f>
        <v>ELECTRONICS</v>
      </c>
      <c r="L123">
        <f>YEAR(Master_ventas[[#This Row],[Order Date]])</f>
        <v>2024</v>
      </c>
      <c r="M123" t="str">
        <f>CONCATENATE(LEFT(Master_ventas[[#This Row],[ProdUpper]],3),RIGHT(Master_ventas[[#This Row],[Ext-Year]],2),"-",MID(Master_ventas[[#This Row],[Category]],1,1))</f>
        <v>SMA24-E</v>
      </c>
      <c r="N123" t="str">
        <f>MID(Master_ventas[[#This Row],[ProdUpper]],1,3)</f>
        <v>SMA</v>
      </c>
      <c r="O123" t="str">
        <f>UPPER(IF(Master_ventas[[#This Row],[Profit]]&gt;500,"High","Std"))</f>
        <v>STD</v>
      </c>
      <c r="P123">
        <v>122</v>
      </c>
    </row>
    <row r="124" spans="1:16" x14ac:dyDescent="0.3">
      <c r="A124" s="1">
        <v>44668</v>
      </c>
      <c r="B124" t="s">
        <v>17</v>
      </c>
      <c r="C124" t="s">
        <v>14</v>
      </c>
      <c r="D124" t="s">
        <v>12</v>
      </c>
      <c r="E124">
        <v>6</v>
      </c>
      <c r="F124" s="3">
        <v>1728</v>
      </c>
      <c r="G124" s="2">
        <v>307.44</v>
      </c>
      <c r="H124">
        <f>Master_ventas[[#This Row],[Profit]]/Master_ventas[[#This Row],[Sales]]</f>
        <v>0.17791666666666667</v>
      </c>
      <c r="I124">
        <f ca="1">Referencia_Hoy-Master_ventas[[#This Row],[Order Date]]</f>
        <v>1655</v>
      </c>
      <c r="J124" t="str">
        <f>UPPER(Master_ventas[[#This Row],[Product Name]])</f>
        <v>CAMERA</v>
      </c>
      <c r="K124" t="str">
        <f>UPPER(Master_ventas[[#This Row],[Category]])</f>
        <v>ELECTRONICS</v>
      </c>
      <c r="L124">
        <f>YEAR(Master_ventas[[#This Row],[Order Date]])</f>
        <v>2022</v>
      </c>
      <c r="M124" t="str">
        <f>CONCATENATE(LEFT(Master_ventas[[#This Row],[ProdUpper]],3),RIGHT(Master_ventas[[#This Row],[Ext-Year]],2),"-",MID(Master_ventas[[#This Row],[Category]],1,1))</f>
        <v>CAM22-E</v>
      </c>
      <c r="N124" t="str">
        <f>MID(Master_ventas[[#This Row],[ProdUpper]],1,3)</f>
        <v>CAM</v>
      </c>
      <c r="O124" t="str">
        <f>UPPER(IF(Master_ventas[[#This Row],[Profit]]&gt;500,"High","Std"))</f>
        <v>STD</v>
      </c>
      <c r="P124">
        <v>123</v>
      </c>
    </row>
    <row r="125" spans="1:16" x14ac:dyDescent="0.3">
      <c r="A125" s="1">
        <v>45280</v>
      </c>
      <c r="B125" t="s">
        <v>23</v>
      </c>
      <c r="C125" t="s">
        <v>14</v>
      </c>
      <c r="D125" t="s">
        <v>12</v>
      </c>
      <c r="E125">
        <v>4</v>
      </c>
      <c r="F125" s="3">
        <v>228</v>
      </c>
      <c r="G125" s="2">
        <v>54.05</v>
      </c>
      <c r="H125">
        <f>Master_ventas[[#This Row],[Profit]]/Master_ventas[[#This Row],[Sales]]</f>
        <v>0.23706140350877192</v>
      </c>
      <c r="I125">
        <f ca="1">Referencia_Hoy-Master_ventas[[#This Row],[Order Date]]</f>
        <v>1043</v>
      </c>
      <c r="J125" t="str">
        <f>UPPER(Master_ventas[[#This Row],[Product Name]])</f>
        <v>LAPTOP</v>
      </c>
      <c r="K125" t="str">
        <f>UPPER(Master_ventas[[#This Row],[Category]])</f>
        <v>ELECTRONICS</v>
      </c>
      <c r="L125">
        <f>YEAR(Master_ventas[[#This Row],[Order Date]])</f>
        <v>2023</v>
      </c>
      <c r="M125" t="str">
        <f>CONCATENATE(LEFT(Master_ventas[[#This Row],[ProdUpper]],3),RIGHT(Master_ventas[[#This Row],[Ext-Year]],2),"-",MID(Master_ventas[[#This Row],[Category]],1,1))</f>
        <v>LAP23-E</v>
      </c>
      <c r="N125" t="str">
        <f>MID(Master_ventas[[#This Row],[ProdUpper]],1,3)</f>
        <v>LAP</v>
      </c>
      <c r="O125" t="str">
        <f>UPPER(IF(Master_ventas[[#This Row],[Profit]]&gt;500,"High","Std"))</f>
        <v>STD</v>
      </c>
      <c r="P125">
        <v>124</v>
      </c>
    </row>
    <row r="126" spans="1:16" x14ac:dyDescent="0.3">
      <c r="A126" s="1">
        <v>44639</v>
      </c>
      <c r="B126" t="s">
        <v>13</v>
      </c>
      <c r="C126" t="s">
        <v>14</v>
      </c>
      <c r="D126" t="s">
        <v>16</v>
      </c>
      <c r="E126">
        <v>6</v>
      </c>
      <c r="F126" s="3">
        <v>3450</v>
      </c>
      <c r="G126" s="2">
        <v>705.74</v>
      </c>
      <c r="H126">
        <f>Master_ventas[[#This Row],[Profit]]/Master_ventas[[#This Row],[Sales]]</f>
        <v>0.20456231884057971</v>
      </c>
      <c r="I126">
        <f ca="1">Referencia_Hoy-Master_ventas[[#This Row],[Order Date]]</f>
        <v>1684</v>
      </c>
      <c r="J126" t="str">
        <f>UPPER(Master_ventas[[#This Row],[Product Name]])</f>
        <v>TABLET</v>
      </c>
      <c r="K126" t="str">
        <f>UPPER(Master_ventas[[#This Row],[Category]])</f>
        <v>ELECTRONICS</v>
      </c>
      <c r="L126">
        <f>YEAR(Master_ventas[[#This Row],[Order Date]])</f>
        <v>2022</v>
      </c>
      <c r="M126" t="str">
        <f>CONCATENATE(LEFT(Master_ventas[[#This Row],[ProdUpper]],3),RIGHT(Master_ventas[[#This Row],[Ext-Year]],2),"-",MID(Master_ventas[[#This Row],[Category]],1,1))</f>
        <v>TAB22-E</v>
      </c>
      <c r="N126" t="str">
        <f>MID(Master_ventas[[#This Row],[ProdUpper]],1,3)</f>
        <v>TAB</v>
      </c>
      <c r="O126" t="str">
        <f>UPPER(IF(Master_ventas[[#This Row],[Profit]]&gt;500,"High","Std"))</f>
        <v>HIGH</v>
      </c>
      <c r="P126">
        <v>125</v>
      </c>
    </row>
    <row r="127" spans="1:16" x14ac:dyDescent="0.3">
      <c r="A127" s="1">
        <v>45480</v>
      </c>
      <c r="B127" t="s">
        <v>21</v>
      </c>
      <c r="C127" t="s">
        <v>14</v>
      </c>
      <c r="D127" t="s">
        <v>15</v>
      </c>
      <c r="E127">
        <v>8</v>
      </c>
      <c r="F127" s="3">
        <v>7456</v>
      </c>
      <c r="G127" s="2">
        <v>1702.48</v>
      </c>
      <c r="H127">
        <f>Master_ventas[[#This Row],[Profit]]/Master_ventas[[#This Row],[Sales]]</f>
        <v>0.22833690987124464</v>
      </c>
      <c r="I127">
        <f ca="1">Referencia_Hoy-Master_ventas[[#This Row],[Order Date]]</f>
        <v>843</v>
      </c>
      <c r="J127" t="str">
        <f>UPPER(Master_ventas[[#This Row],[Product Name]])</f>
        <v>SMARTPHONE</v>
      </c>
      <c r="K127" t="str">
        <f>UPPER(Master_ventas[[#This Row],[Category]])</f>
        <v>ELECTRONICS</v>
      </c>
      <c r="L127">
        <f>YEAR(Master_ventas[[#This Row],[Order Date]])</f>
        <v>2024</v>
      </c>
      <c r="M127" t="str">
        <f>CONCATENATE(LEFT(Master_ventas[[#This Row],[ProdUpper]],3),RIGHT(Master_ventas[[#This Row],[Ext-Year]],2),"-",MID(Master_ventas[[#This Row],[Category]],1,1))</f>
        <v>SMA24-E</v>
      </c>
      <c r="N127" t="str">
        <f>MID(Master_ventas[[#This Row],[ProdUpper]],1,3)</f>
        <v>SMA</v>
      </c>
      <c r="O127" t="str">
        <f>UPPER(IF(Master_ventas[[#This Row],[Profit]]&gt;500,"High","Std"))</f>
        <v>HIGH</v>
      </c>
      <c r="P127">
        <v>126</v>
      </c>
    </row>
    <row r="128" spans="1:16" x14ac:dyDescent="0.3">
      <c r="A128" s="1">
        <v>45046</v>
      </c>
      <c r="B128" t="s">
        <v>21</v>
      </c>
      <c r="C128" t="s">
        <v>14</v>
      </c>
      <c r="D128" t="s">
        <v>16</v>
      </c>
      <c r="E128">
        <v>6</v>
      </c>
      <c r="F128" s="3">
        <v>4728</v>
      </c>
      <c r="G128" s="2">
        <v>705.85</v>
      </c>
      <c r="H128">
        <f>Master_ventas[[#This Row],[Profit]]/Master_ventas[[#This Row],[Sales]]</f>
        <v>0.14929145516074452</v>
      </c>
      <c r="I128">
        <f ca="1">Referencia_Hoy-Master_ventas[[#This Row],[Order Date]]</f>
        <v>1277</v>
      </c>
      <c r="J128" t="str">
        <f>UPPER(Master_ventas[[#This Row],[Product Name]])</f>
        <v>SMARTPHONE</v>
      </c>
      <c r="K128" t="str">
        <f>UPPER(Master_ventas[[#This Row],[Category]])</f>
        <v>ELECTRONICS</v>
      </c>
      <c r="L128">
        <f>YEAR(Master_ventas[[#This Row],[Order Date]])</f>
        <v>2023</v>
      </c>
      <c r="M128" t="str">
        <f>CONCATENATE(LEFT(Master_ventas[[#This Row],[ProdUpper]],3),RIGHT(Master_ventas[[#This Row],[Ext-Year]],2),"-",MID(Master_ventas[[#This Row],[Category]],1,1))</f>
        <v>SMA23-E</v>
      </c>
      <c r="N128" t="str">
        <f>MID(Master_ventas[[#This Row],[ProdUpper]],1,3)</f>
        <v>SMA</v>
      </c>
      <c r="O128" t="str">
        <f>UPPER(IF(Master_ventas[[#This Row],[Profit]]&gt;500,"High","Std"))</f>
        <v>HIGH</v>
      </c>
      <c r="P128">
        <v>127</v>
      </c>
    </row>
    <row r="129" spans="1:16" x14ac:dyDescent="0.3">
      <c r="A129" s="1">
        <v>45373</v>
      </c>
      <c r="B129" t="s">
        <v>19</v>
      </c>
      <c r="C129" t="s">
        <v>14</v>
      </c>
      <c r="D129" t="s">
        <v>9</v>
      </c>
      <c r="E129">
        <v>7</v>
      </c>
      <c r="F129" s="3">
        <v>945</v>
      </c>
      <c r="G129" s="2">
        <v>124.62</v>
      </c>
      <c r="H129">
        <f>Master_ventas[[#This Row],[Profit]]/Master_ventas[[#This Row],[Sales]]</f>
        <v>0.13187301587301586</v>
      </c>
      <c r="I129">
        <f ca="1">Referencia_Hoy-Master_ventas[[#This Row],[Order Date]]</f>
        <v>950</v>
      </c>
      <c r="J129" t="str">
        <f>UPPER(Master_ventas[[#This Row],[Product Name]])</f>
        <v>SMARTWATCH</v>
      </c>
      <c r="K129" t="str">
        <f>UPPER(Master_ventas[[#This Row],[Category]])</f>
        <v>ELECTRONICS</v>
      </c>
      <c r="L129">
        <f>YEAR(Master_ventas[[#This Row],[Order Date]])</f>
        <v>2024</v>
      </c>
      <c r="M129" t="str">
        <f>CONCATENATE(LEFT(Master_ventas[[#This Row],[ProdUpper]],3),RIGHT(Master_ventas[[#This Row],[Ext-Year]],2),"-",MID(Master_ventas[[#This Row],[Category]],1,1))</f>
        <v>SMA24-E</v>
      </c>
      <c r="N129" t="str">
        <f>MID(Master_ventas[[#This Row],[ProdUpper]],1,3)</f>
        <v>SMA</v>
      </c>
      <c r="O129" t="str">
        <f>UPPER(IF(Master_ventas[[#This Row],[Profit]]&gt;500,"High","Std"))</f>
        <v>STD</v>
      </c>
      <c r="P129">
        <v>128</v>
      </c>
    </row>
    <row r="130" spans="1:16" x14ac:dyDescent="0.3">
      <c r="A130" s="1">
        <v>44628</v>
      </c>
      <c r="B130" t="s">
        <v>23</v>
      </c>
      <c r="C130" t="s">
        <v>14</v>
      </c>
      <c r="D130" t="s">
        <v>9</v>
      </c>
      <c r="E130">
        <v>4</v>
      </c>
      <c r="F130" s="3">
        <v>296</v>
      </c>
      <c r="G130" s="2">
        <v>65.05</v>
      </c>
      <c r="H130">
        <f>Master_ventas[[#This Row],[Profit]]/Master_ventas[[#This Row],[Sales]]</f>
        <v>0.2197635135135135</v>
      </c>
      <c r="I130">
        <f ca="1">Referencia_Hoy-Master_ventas[[#This Row],[Order Date]]</f>
        <v>1695</v>
      </c>
      <c r="J130" t="str">
        <f>UPPER(Master_ventas[[#This Row],[Product Name]])</f>
        <v>LAPTOP</v>
      </c>
      <c r="K130" t="str">
        <f>UPPER(Master_ventas[[#This Row],[Category]])</f>
        <v>ELECTRONICS</v>
      </c>
      <c r="L130">
        <f>YEAR(Master_ventas[[#This Row],[Order Date]])</f>
        <v>2022</v>
      </c>
      <c r="M130" t="str">
        <f>CONCATENATE(LEFT(Master_ventas[[#This Row],[ProdUpper]],3),RIGHT(Master_ventas[[#This Row],[Ext-Year]],2),"-",MID(Master_ventas[[#This Row],[Category]],1,1))</f>
        <v>LAP22-E</v>
      </c>
      <c r="N130" t="str">
        <f>MID(Master_ventas[[#This Row],[ProdUpper]],1,3)</f>
        <v>LAP</v>
      </c>
      <c r="O130" t="str">
        <f>UPPER(IF(Master_ventas[[#This Row],[Profit]]&gt;500,"High","Std"))</f>
        <v>STD</v>
      </c>
      <c r="P130">
        <v>129</v>
      </c>
    </row>
    <row r="131" spans="1:16" x14ac:dyDescent="0.3">
      <c r="A131" s="1">
        <v>45184</v>
      </c>
      <c r="B131" t="s">
        <v>21</v>
      </c>
      <c r="C131" t="s">
        <v>14</v>
      </c>
      <c r="D131" t="s">
        <v>16</v>
      </c>
      <c r="E131">
        <v>4</v>
      </c>
      <c r="F131" s="3">
        <v>640</v>
      </c>
      <c r="G131" s="2">
        <v>149.88999999999999</v>
      </c>
      <c r="H131">
        <f>Master_ventas[[#This Row],[Profit]]/Master_ventas[[#This Row],[Sales]]</f>
        <v>0.23420312499999998</v>
      </c>
      <c r="I131">
        <f ca="1">Referencia_Hoy-Master_ventas[[#This Row],[Order Date]]</f>
        <v>1139</v>
      </c>
      <c r="J131" t="str">
        <f>UPPER(Master_ventas[[#This Row],[Product Name]])</f>
        <v>SMARTPHONE</v>
      </c>
      <c r="K131" t="str">
        <f>UPPER(Master_ventas[[#This Row],[Category]])</f>
        <v>ELECTRONICS</v>
      </c>
      <c r="L131">
        <f>YEAR(Master_ventas[[#This Row],[Order Date]])</f>
        <v>2023</v>
      </c>
      <c r="M131" t="str">
        <f>CONCATENATE(LEFT(Master_ventas[[#This Row],[ProdUpper]],3),RIGHT(Master_ventas[[#This Row],[Ext-Year]],2),"-",MID(Master_ventas[[#This Row],[Category]],1,1))</f>
        <v>SMA23-E</v>
      </c>
      <c r="N131" t="str">
        <f>MID(Master_ventas[[#This Row],[ProdUpper]],1,3)</f>
        <v>SMA</v>
      </c>
      <c r="O131" t="str">
        <f>UPPER(IF(Master_ventas[[#This Row],[Profit]]&gt;500,"High","Std"))</f>
        <v>STD</v>
      </c>
      <c r="P131">
        <v>130</v>
      </c>
    </row>
    <row r="132" spans="1:16" x14ac:dyDescent="0.3">
      <c r="A132" s="1">
        <v>44986</v>
      </c>
      <c r="B132" t="s">
        <v>13</v>
      </c>
      <c r="C132" t="s">
        <v>14</v>
      </c>
      <c r="D132" t="s">
        <v>9</v>
      </c>
      <c r="E132">
        <v>1</v>
      </c>
      <c r="F132" s="3">
        <v>797</v>
      </c>
      <c r="G132" s="2">
        <v>65.27</v>
      </c>
      <c r="H132">
        <f>Master_ventas[[#This Row],[Profit]]/Master_ventas[[#This Row],[Sales]]</f>
        <v>8.1894604767879547E-2</v>
      </c>
      <c r="I132">
        <f ca="1">Referencia_Hoy-Master_ventas[[#This Row],[Order Date]]</f>
        <v>1337</v>
      </c>
      <c r="J132" t="str">
        <f>UPPER(Master_ventas[[#This Row],[Product Name]])</f>
        <v>TABLET</v>
      </c>
      <c r="K132" t="str">
        <f>UPPER(Master_ventas[[#This Row],[Category]])</f>
        <v>ELECTRONICS</v>
      </c>
      <c r="L132">
        <f>YEAR(Master_ventas[[#This Row],[Order Date]])</f>
        <v>2023</v>
      </c>
      <c r="M132" t="str">
        <f>CONCATENATE(LEFT(Master_ventas[[#This Row],[ProdUpper]],3),RIGHT(Master_ventas[[#This Row],[Ext-Year]],2),"-",MID(Master_ventas[[#This Row],[Category]],1,1))</f>
        <v>TAB23-E</v>
      </c>
      <c r="N132" t="str">
        <f>MID(Master_ventas[[#This Row],[ProdUpper]],1,3)</f>
        <v>TAB</v>
      </c>
      <c r="O132" t="str">
        <f>UPPER(IF(Master_ventas[[#This Row],[Profit]]&gt;500,"High","Std"))</f>
        <v>STD</v>
      </c>
      <c r="P132">
        <v>131</v>
      </c>
    </row>
    <row r="133" spans="1:16" x14ac:dyDescent="0.3">
      <c r="A133" s="1">
        <v>45223</v>
      </c>
      <c r="B133" t="s">
        <v>20</v>
      </c>
      <c r="C133" t="s">
        <v>11</v>
      </c>
      <c r="D133" t="s">
        <v>9</v>
      </c>
      <c r="E133">
        <v>4</v>
      </c>
      <c r="F133" s="3">
        <v>1456</v>
      </c>
      <c r="G133" s="2">
        <v>431.89</v>
      </c>
      <c r="H133">
        <f>Master_ventas[[#This Row],[Profit]]/Master_ventas[[#This Row],[Sales]]</f>
        <v>0.29662774725274726</v>
      </c>
      <c r="I133">
        <f ca="1">Referencia_Hoy-Master_ventas[[#This Row],[Order Date]]</f>
        <v>1100</v>
      </c>
      <c r="J133" t="str">
        <f>UPPER(Master_ventas[[#This Row],[Product Name]])</f>
        <v>MONITOR</v>
      </c>
      <c r="K133" t="str">
        <f>UPPER(Master_ventas[[#This Row],[Category]])</f>
        <v>ACCESSORIES</v>
      </c>
      <c r="L133">
        <f>YEAR(Master_ventas[[#This Row],[Order Date]])</f>
        <v>2023</v>
      </c>
      <c r="M133" t="str">
        <f>CONCATENATE(LEFT(Master_ventas[[#This Row],[ProdUpper]],3),RIGHT(Master_ventas[[#This Row],[Ext-Year]],2),"-",MID(Master_ventas[[#This Row],[Category]],1,1))</f>
        <v>MON23-A</v>
      </c>
      <c r="N133" t="str">
        <f>MID(Master_ventas[[#This Row],[ProdUpper]],1,3)</f>
        <v>MON</v>
      </c>
      <c r="O133" t="str">
        <f>UPPER(IF(Master_ventas[[#This Row],[Profit]]&gt;500,"High","Std"))</f>
        <v>STD</v>
      </c>
      <c r="P133">
        <v>132</v>
      </c>
    </row>
    <row r="134" spans="1:16" x14ac:dyDescent="0.3">
      <c r="A134" s="1">
        <v>45404</v>
      </c>
      <c r="B134" t="s">
        <v>20</v>
      </c>
      <c r="C134" t="s">
        <v>11</v>
      </c>
      <c r="D134" t="s">
        <v>15</v>
      </c>
      <c r="E134">
        <v>6</v>
      </c>
      <c r="F134" s="3">
        <v>4038</v>
      </c>
      <c r="G134" s="2">
        <v>364.11</v>
      </c>
      <c r="H134">
        <f>Master_ventas[[#This Row],[Profit]]/Master_ventas[[#This Row],[Sales]]</f>
        <v>9.0170876671619618E-2</v>
      </c>
      <c r="I134">
        <f ca="1">Referencia_Hoy-Master_ventas[[#This Row],[Order Date]]</f>
        <v>919</v>
      </c>
      <c r="J134" t="str">
        <f>UPPER(Master_ventas[[#This Row],[Product Name]])</f>
        <v>MONITOR</v>
      </c>
      <c r="K134" t="str">
        <f>UPPER(Master_ventas[[#This Row],[Category]])</f>
        <v>ACCESSORIES</v>
      </c>
      <c r="L134">
        <f>YEAR(Master_ventas[[#This Row],[Order Date]])</f>
        <v>2024</v>
      </c>
      <c r="M134" t="str">
        <f>CONCATENATE(LEFT(Master_ventas[[#This Row],[ProdUpper]],3),RIGHT(Master_ventas[[#This Row],[Ext-Year]],2),"-",MID(Master_ventas[[#This Row],[Category]],1,1))</f>
        <v>MON24-A</v>
      </c>
      <c r="N134" t="str">
        <f>MID(Master_ventas[[#This Row],[ProdUpper]],1,3)</f>
        <v>MON</v>
      </c>
      <c r="O134" t="str">
        <f>UPPER(IF(Master_ventas[[#This Row],[Profit]]&gt;500,"High","Std"))</f>
        <v>STD</v>
      </c>
      <c r="P134">
        <v>133</v>
      </c>
    </row>
    <row r="135" spans="1:16" x14ac:dyDescent="0.3">
      <c r="A135" s="1">
        <v>45104</v>
      </c>
      <c r="B135" t="s">
        <v>13</v>
      </c>
      <c r="C135" t="s">
        <v>14</v>
      </c>
      <c r="D135" t="s">
        <v>16</v>
      </c>
      <c r="E135">
        <v>7</v>
      </c>
      <c r="F135" s="3">
        <v>5656</v>
      </c>
      <c r="G135" s="2">
        <v>355.81</v>
      </c>
      <c r="H135">
        <f>Master_ventas[[#This Row],[Profit]]/Master_ventas[[#This Row],[Sales]]</f>
        <v>6.2908415841584159E-2</v>
      </c>
      <c r="I135">
        <f ca="1">Referencia_Hoy-Master_ventas[[#This Row],[Order Date]]</f>
        <v>1219</v>
      </c>
      <c r="J135" t="str">
        <f>UPPER(Master_ventas[[#This Row],[Product Name]])</f>
        <v>TABLET</v>
      </c>
      <c r="K135" t="str">
        <f>UPPER(Master_ventas[[#This Row],[Category]])</f>
        <v>ELECTRONICS</v>
      </c>
      <c r="L135">
        <f>YEAR(Master_ventas[[#This Row],[Order Date]])</f>
        <v>2023</v>
      </c>
      <c r="M135" t="str">
        <f>CONCATENATE(LEFT(Master_ventas[[#This Row],[ProdUpper]],3),RIGHT(Master_ventas[[#This Row],[Ext-Year]],2),"-",MID(Master_ventas[[#This Row],[Category]],1,1))</f>
        <v>TAB23-E</v>
      </c>
      <c r="N135" t="str">
        <f>MID(Master_ventas[[#This Row],[ProdUpper]],1,3)</f>
        <v>TAB</v>
      </c>
      <c r="O135" t="str">
        <f>UPPER(IF(Master_ventas[[#This Row],[Profit]]&gt;500,"High","Std"))</f>
        <v>STD</v>
      </c>
      <c r="P135">
        <v>134</v>
      </c>
    </row>
    <row r="136" spans="1:16" x14ac:dyDescent="0.3">
      <c r="A136" s="1">
        <v>45029</v>
      </c>
      <c r="B136" t="s">
        <v>10</v>
      </c>
      <c r="C136" t="s">
        <v>11</v>
      </c>
      <c r="D136" t="s">
        <v>16</v>
      </c>
      <c r="E136">
        <v>4</v>
      </c>
      <c r="F136" s="3">
        <v>3876</v>
      </c>
      <c r="G136" s="2">
        <v>302.37</v>
      </c>
      <c r="H136">
        <f>Master_ventas[[#This Row],[Profit]]/Master_ventas[[#This Row],[Sales]]</f>
        <v>7.801083591331269E-2</v>
      </c>
      <c r="I136">
        <f ca="1">Referencia_Hoy-Master_ventas[[#This Row],[Order Date]]</f>
        <v>1294</v>
      </c>
      <c r="J136" t="str">
        <f>UPPER(Master_ventas[[#This Row],[Product Name]])</f>
        <v>MOUSE</v>
      </c>
      <c r="K136" t="str">
        <f>UPPER(Master_ventas[[#This Row],[Category]])</f>
        <v>ACCESSORIES</v>
      </c>
      <c r="L136">
        <f>YEAR(Master_ventas[[#This Row],[Order Date]])</f>
        <v>2023</v>
      </c>
      <c r="M136" t="str">
        <f>CONCATENATE(LEFT(Master_ventas[[#This Row],[ProdUpper]],3),RIGHT(Master_ventas[[#This Row],[Ext-Year]],2),"-",MID(Master_ventas[[#This Row],[Category]],1,1))</f>
        <v>MOU23-A</v>
      </c>
      <c r="N136" t="str">
        <f>MID(Master_ventas[[#This Row],[ProdUpper]],1,3)</f>
        <v>MOU</v>
      </c>
      <c r="O136" t="str">
        <f>UPPER(IF(Master_ventas[[#This Row],[Profit]]&gt;500,"High","Std"))</f>
        <v>STD</v>
      </c>
      <c r="P136">
        <v>135</v>
      </c>
    </row>
    <row r="137" spans="1:16" x14ac:dyDescent="0.3">
      <c r="A137" s="1">
        <v>45065</v>
      </c>
      <c r="B137" t="s">
        <v>22</v>
      </c>
      <c r="C137" t="s">
        <v>11</v>
      </c>
      <c r="D137" t="s">
        <v>15</v>
      </c>
      <c r="E137">
        <v>6</v>
      </c>
      <c r="F137" s="3">
        <v>1002</v>
      </c>
      <c r="G137" s="2">
        <v>114.7</v>
      </c>
      <c r="H137">
        <f>Master_ventas[[#This Row],[Profit]]/Master_ventas[[#This Row],[Sales]]</f>
        <v>0.11447105788423154</v>
      </c>
      <c r="I137">
        <f ca="1">Referencia_Hoy-Master_ventas[[#This Row],[Order Date]]</f>
        <v>1258</v>
      </c>
      <c r="J137" t="str">
        <f>UPPER(Master_ventas[[#This Row],[Product Name]])</f>
        <v>KEYBOARD</v>
      </c>
      <c r="K137" t="str">
        <f>UPPER(Master_ventas[[#This Row],[Category]])</f>
        <v>ACCESSORIES</v>
      </c>
      <c r="L137">
        <f>YEAR(Master_ventas[[#This Row],[Order Date]])</f>
        <v>2023</v>
      </c>
      <c r="M137" t="str">
        <f>CONCATENATE(LEFT(Master_ventas[[#This Row],[ProdUpper]],3),RIGHT(Master_ventas[[#This Row],[Ext-Year]],2),"-",MID(Master_ventas[[#This Row],[Category]],1,1))</f>
        <v>KEY23-A</v>
      </c>
      <c r="N137" t="str">
        <f>MID(Master_ventas[[#This Row],[ProdUpper]],1,3)</f>
        <v>KEY</v>
      </c>
      <c r="O137" t="str">
        <f>UPPER(IF(Master_ventas[[#This Row],[Profit]]&gt;500,"High","Std"))</f>
        <v>STD</v>
      </c>
      <c r="P137">
        <v>136</v>
      </c>
    </row>
    <row r="138" spans="1:16" x14ac:dyDescent="0.3">
      <c r="A138" s="1">
        <v>45611</v>
      </c>
      <c r="B138" t="s">
        <v>18</v>
      </c>
      <c r="C138" t="s">
        <v>11</v>
      </c>
      <c r="D138" t="s">
        <v>12</v>
      </c>
      <c r="E138">
        <v>9</v>
      </c>
      <c r="F138" s="3">
        <v>2187</v>
      </c>
      <c r="G138" s="2">
        <v>413.76</v>
      </c>
      <c r="H138">
        <f>Master_ventas[[#This Row],[Profit]]/Master_ventas[[#This Row],[Sales]]</f>
        <v>0.18919067215363511</v>
      </c>
      <c r="I138">
        <f ca="1">Referencia_Hoy-Master_ventas[[#This Row],[Order Date]]</f>
        <v>712</v>
      </c>
      <c r="J138" t="str">
        <f>UPPER(Master_ventas[[#This Row],[Product Name]])</f>
        <v>HEADPHONES</v>
      </c>
      <c r="K138" t="str">
        <f>UPPER(Master_ventas[[#This Row],[Category]])</f>
        <v>ACCESSORIES</v>
      </c>
      <c r="L138">
        <f>YEAR(Master_ventas[[#This Row],[Order Date]])</f>
        <v>2024</v>
      </c>
      <c r="M138" t="str">
        <f>CONCATENATE(LEFT(Master_ventas[[#This Row],[ProdUpper]],3),RIGHT(Master_ventas[[#This Row],[Ext-Year]],2),"-",MID(Master_ventas[[#This Row],[Category]],1,1))</f>
        <v>HEA24-A</v>
      </c>
      <c r="N138" t="str">
        <f>MID(Master_ventas[[#This Row],[ProdUpper]],1,3)</f>
        <v>HEA</v>
      </c>
      <c r="O138" t="str">
        <f>UPPER(IF(Master_ventas[[#This Row],[Profit]]&gt;500,"High","Std"))</f>
        <v>STD</v>
      </c>
      <c r="P138">
        <v>137</v>
      </c>
    </row>
    <row r="139" spans="1:16" x14ac:dyDescent="0.3">
      <c r="A139" s="1">
        <v>45285</v>
      </c>
      <c r="B139" t="s">
        <v>10</v>
      </c>
      <c r="C139" t="s">
        <v>11</v>
      </c>
      <c r="D139" t="s">
        <v>9</v>
      </c>
      <c r="E139">
        <v>6</v>
      </c>
      <c r="F139" s="3">
        <v>7146</v>
      </c>
      <c r="G139" s="2">
        <v>1627.42</v>
      </c>
      <c r="H139">
        <f>Master_ventas[[#This Row],[Profit]]/Master_ventas[[#This Row],[Sales]]</f>
        <v>0.22773859501819202</v>
      </c>
      <c r="I139">
        <f ca="1">Referencia_Hoy-Master_ventas[[#This Row],[Order Date]]</f>
        <v>1038</v>
      </c>
      <c r="J139" t="str">
        <f>UPPER(Master_ventas[[#This Row],[Product Name]])</f>
        <v>MOUSE</v>
      </c>
      <c r="K139" t="str">
        <f>UPPER(Master_ventas[[#This Row],[Category]])</f>
        <v>ACCESSORIES</v>
      </c>
      <c r="L139">
        <f>YEAR(Master_ventas[[#This Row],[Order Date]])</f>
        <v>2023</v>
      </c>
      <c r="M139" t="str">
        <f>CONCATENATE(LEFT(Master_ventas[[#This Row],[ProdUpper]],3),RIGHT(Master_ventas[[#This Row],[Ext-Year]],2),"-",MID(Master_ventas[[#This Row],[Category]],1,1))</f>
        <v>MOU23-A</v>
      </c>
      <c r="N139" t="str">
        <f>MID(Master_ventas[[#This Row],[ProdUpper]],1,3)</f>
        <v>MOU</v>
      </c>
      <c r="O139" t="str">
        <f>UPPER(IF(Master_ventas[[#This Row],[Profit]]&gt;500,"High","Std"))</f>
        <v>HIGH</v>
      </c>
      <c r="P139">
        <v>138</v>
      </c>
    </row>
    <row r="140" spans="1:16" x14ac:dyDescent="0.3">
      <c r="A140" s="1">
        <v>44651</v>
      </c>
      <c r="B140" t="s">
        <v>22</v>
      </c>
      <c r="C140" t="s">
        <v>11</v>
      </c>
      <c r="D140" t="s">
        <v>15</v>
      </c>
      <c r="E140">
        <v>1</v>
      </c>
      <c r="F140" s="3">
        <v>189</v>
      </c>
      <c r="G140" s="2">
        <v>14.88</v>
      </c>
      <c r="H140">
        <f>Master_ventas[[#This Row],[Profit]]/Master_ventas[[#This Row],[Sales]]</f>
        <v>7.8730158730158734E-2</v>
      </c>
      <c r="I140">
        <f ca="1">Referencia_Hoy-Master_ventas[[#This Row],[Order Date]]</f>
        <v>1672</v>
      </c>
      <c r="J140" t="str">
        <f>UPPER(Master_ventas[[#This Row],[Product Name]])</f>
        <v>KEYBOARD</v>
      </c>
      <c r="K140" t="str">
        <f>UPPER(Master_ventas[[#This Row],[Category]])</f>
        <v>ACCESSORIES</v>
      </c>
      <c r="L140">
        <f>YEAR(Master_ventas[[#This Row],[Order Date]])</f>
        <v>2022</v>
      </c>
      <c r="M140" t="str">
        <f>CONCATENATE(LEFT(Master_ventas[[#This Row],[ProdUpper]],3),RIGHT(Master_ventas[[#This Row],[Ext-Year]],2),"-",MID(Master_ventas[[#This Row],[Category]],1,1))</f>
        <v>KEY22-A</v>
      </c>
      <c r="N140" t="str">
        <f>MID(Master_ventas[[#This Row],[ProdUpper]],1,3)</f>
        <v>KEY</v>
      </c>
      <c r="O140" t="str">
        <f>UPPER(IF(Master_ventas[[#This Row],[Profit]]&gt;500,"High","Std"))</f>
        <v>STD</v>
      </c>
      <c r="P140">
        <v>139</v>
      </c>
    </row>
    <row r="141" spans="1:16" x14ac:dyDescent="0.3">
      <c r="A141" s="1">
        <v>45406</v>
      </c>
      <c r="B141" t="s">
        <v>20</v>
      </c>
      <c r="C141" t="s">
        <v>11</v>
      </c>
      <c r="D141" t="s">
        <v>12</v>
      </c>
      <c r="E141">
        <v>5</v>
      </c>
      <c r="F141" s="3">
        <v>940</v>
      </c>
      <c r="G141" s="2">
        <v>266.02</v>
      </c>
      <c r="H141">
        <f>Master_ventas[[#This Row],[Profit]]/Master_ventas[[#This Row],[Sales]]</f>
        <v>0.28299999999999997</v>
      </c>
      <c r="I141">
        <f ca="1">Referencia_Hoy-Master_ventas[[#This Row],[Order Date]]</f>
        <v>917</v>
      </c>
      <c r="J141" t="str">
        <f>UPPER(Master_ventas[[#This Row],[Product Name]])</f>
        <v>MONITOR</v>
      </c>
      <c r="K141" t="str">
        <f>UPPER(Master_ventas[[#This Row],[Category]])</f>
        <v>ACCESSORIES</v>
      </c>
      <c r="L141">
        <f>YEAR(Master_ventas[[#This Row],[Order Date]])</f>
        <v>2024</v>
      </c>
      <c r="M141" t="str">
        <f>CONCATENATE(LEFT(Master_ventas[[#This Row],[ProdUpper]],3),RIGHT(Master_ventas[[#This Row],[Ext-Year]],2),"-",MID(Master_ventas[[#This Row],[Category]],1,1))</f>
        <v>MON24-A</v>
      </c>
      <c r="N141" t="str">
        <f>MID(Master_ventas[[#This Row],[ProdUpper]],1,3)</f>
        <v>MON</v>
      </c>
      <c r="O141" t="str">
        <f>UPPER(IF(Master_ventas[[#This Row],[Profit]]&gt;500,"High","Std"))</f>
        <v>STD</v>
      </c>
      <c r="P141">
        <v>140</v>
      </c>
    </row>
    <row r="142" spans="1:16" x14ac:dyDescent="0.3">
      <c r="A142" s="1">
        <v>44571</v>
      </c>
      <c r="B142" t="s">
        <v>18</v>
      </c>
      <c r="C142" t="s">
        <v>11</v>
      </c>
      <c r="D142" t="s">
        <v>9</v>
      </c>
      <c r="E142">
        <v>1</v>
      </c>
      <c r="F142" s="3">
        <v>951</v>
      </c>
      <c r="G142" s="2">
        <v>127.58</v>
      </c>
      <c r="H142">
        <f>Master_ventas[[#This Row],[Profit]]/Master_ventas[[#This Row],[Sales]]</f>
        <v>0.13415352260778129</v>
      </c>
      <c r="I142">
        <f ca="1">Referencia_Hoy-Master_ventas[[#This Row],[Order Date]]</f>
        <v>1752</v>
      </c>
      <c r="J142" t="str">
        <f>UPPER(Master_ventas[[#This Row],[Product Name]])</f>
        <v>HEADPHONES</v>
      </c>
      <c r="K142" t="str">
        <f>UPPER(Master_ventas[[#This Row],[Category]])</f>
        <v>ACCESSORIES</v>
      </c>
      <c r="L142">
        <f>YEAR(Master_ventas[[#This Row],[Order Date]])</f>
        <v>2022</v>
      </c>
      <c r="M142" t="str">
        <f>CONCATENATE(LEFT(Master_ventas[[#This Row],[ProdUpper]],3),RIGHT(Master_ventas[[#This Row],[Ext-Year]],2),"-",MID(Master_ventas[[#This Row],[Category]],1,1))</f>
        <v>HEA22-A</v>
      </c>
      <c r="N142" t="str">
        <f>MID(Master_ventas[[#This Row],[ProdUpper]],1,3)</f>
        <v>HEA</v>
      </c>
      <c r="O142" t="str">
        <f>UPPER(IF(Master_ventas[[#This Row],[Profit]]&gt;500,"High","Std"))</f>
        <v>STD</v>
      </c>
      <c r="P142">
        <v>141</v>
      </c>
    </row>
    <row r="143" spans="1:16" x14ac:dyDescent="0.3">
      <c r="A143" s="1">
        <v>44882</v>
      </c>
      <c r="B143" t="s">
        <v>7</v>
      </c>
      <c r="C143" t="s">
        <v>8</v>
      </c>
      <c r="D143" t="s">
        <v>12</v>
      </c>
      <c r="E143">
        <v>2</v>
      </c>
      <c r="F143" s="3">
        <v>124</v>
      </c>
      <c r="G143" s="2">
        <v>27.42</v>
      </c>
      <c r="H143">
        <f>Master_ventas[[#This Row],[Profit]]/Master_ventas[[#This Row],[Sales]]</f>
        <v>0.22112903225806452</v>
      </c>
      <c r="I143">
        <f ca="1">Referencia_Hoy-Master_ventas[[#This Row],[Order Date]]</f>
        <v>1441</v>
      </c>
      <c r="J143" t="str">
        <f>UPPER(Master_ventas[[#This Row],[Product Name]])</f>
        <v>PRINTER</v>
      </c>
      <c r="K143" t="str">
        <f>UPPER(Master_ventas[[#This Row],[Category]])</f>
        <v>OFFICE</v>
      </c>
      <c r="L143">
        <f>YEAR(Master_ventas[[#This Row],[Order Date]])</f>
        <v>2022</v>
      </c>
      <c r="M143" t="str">
        <f>CONCATENATE(LEFT(Master_ventas[[#This Row],[ProdUpper]],3),RIGHT(Master_ventas[[#This Row],[Ext-Year]],2),"-",MID(Master_ventas[[#This Row],[Category]],1,1))</f>
        <v>PRI22-O</v>
      </c>
      <c r="N143" t="str">
        <f>MID(Master_ventas[[#This Row],[ProdUpper]],1,3)</f>
        <v>PRI</v>
      </c>
      <c r="O143" t="str">
        <f>UPPER(IF(Master_ventas[[#This Row],[Profit]]&gt;500,"High","Std"))</f>
        <v>STD</v>
      </c>
      <c r="P143">
        <v>142</v>
      </c>
    </row>
    <row r="144" spans="1:16" x14ac:dyDescent="0.3">
      <c r="A144" s="1">
        <v>45472</v>
      </c>
      <c r="B144" t="s">
        <v>10</v>
      </c>
      <c r="C144" t="s">
        <v>11</v>
      </c>
      <c r="D144" t="s">
        <v>16</v>
      </c>
      <c r="E144">
        <v>9</v>
      </c>
      <c r="F144" s="3">
        <v>7506</v>
      </c>
      <c r="G144" s="2">
        <v>594.28</v>
      </c>
      <c r="H144">
        <f>Master_ventas[[#This Row],[Profit]]/Master_ventas[[#This Row],[Sales]]</f>
        <v>7.917399413802291E-2</v>
      </c>
      <c r="I144">
        <f ca="1">Referencia_Hoy-Master_ventas[[#This Row],[Order Date]]</f>
        <v>851</v>
      </c>
      <c r="J144" t="str">
        <f>UPPER(Master_ventas[[#This Row],[Product Name]])</f>
        <v>MOUSE</v>
      </c>
      <c r="K144" t="str">
        <f>UPPER(Master_ventas[[#This Row],[Category]])</f>
        <v>ACCESSORIES</v>
      </c>
      <c r="L144">
        <f>YEAR(Master_ventas[[#This Row],[Order Date]])</f>
        <v>2024</v>
      </c>
      <c r="M144" t="str">
        <f>CONCATENATE(LEFT(Master_ventas[[#This Row],[ProdUpper]],3),RIGHT(Master_ventas[[#This Row],[Ext-Year]],2),"-",MID(Master_ventas[[#This Row],[Category]],1,1))</f>
        <v>MOU24-A</v>
      </c>
      <c r="N144" t="str">
        <f>MID(Master_ventas[[#This Row],[ProdUpper]],1,3)</f>
        <v>MOU</v>
      </c>
      <c r="O144" t="str">
        <f>UPPER(IF(Master_ventas[[#This Row],[Profit]]&gt;500,"High","Std"))</f>
        <v>HIGH</v>
      </c>
      <c r="P144">
        <v>143</v>
      </c>
    </row>
    <row r="145" spans="1:16" x14ac:dyDescent="0.3">
      <c r="A145" s="1">
        <v>44879</v>
      </c>
      <c r="B145" t="s">
        <v>20</v>
      </c>
      <c r="C145" t="s">
        <v>11</v>
      </c>
      <c r="D145" t="s">
        <v>16</v>
      </c>
      <c r="E145">
        <v>7</v>
      </c>
      <c r="F145" s="3">
        <v>8176</v>
      </c>
      <c r="G145" s="2">
        <v>2308.7600000000002</v>
      </c>
      <c r="H145">
        <f>Master_ventas[[#This Row],[Profit]]/Master_ventas[[#This Row],[Sales]]</f>
        <v>0.28238258317025444</v>
      </c>
      <c r="I145">
        <f ca="1">Referencia_Hoy-Master_ventas[[#This Row],[Order Date]]</f>
        <v>1444</v>
      </c>
      <c r="J145" t="str">
        <f>UPPER(Master_ventas[[#This Row],[Product Name]])</f>
        <v>MONITOR</v>
      </c>
      <c r="K145" t="str">
        <f>UPPER(Master_ventas[[#This Row],[Category]])</f>
        <v>ACCESSORIES</v>
      </c>
      <c r="L145">
        <f>YEAR(Master_ventas[[#This Row],[Order Date]])</f>
        <v>2022</v>
      </c>
      <c r="M145" t="str">
        <f>CONCATENATE(LEFT(Master_ventas[[#This Row],[ProdUpper]],3),RIGHT(Master_ventas[[#This Row],[Ext-Year]],2),"-",MID(Master_ventas[[#This Row],[Category]],1,1))</f>
        <v>MON22-A</v>
      </c>
      <c r="N145" t="str">
        <f>MID(Master_ventas[[#This Row],[ProdUpper]],1,3)</f>
        <v>MON</v>
      </c>
      <c r="O145" t="str">
        <f>UPPER(IF(Master_ventas[[#This Row],[Profit]]&gt;500,"High","Std"))</f>
        <v>HIGH</v>
      </c>
      <c r="P145">
        <v>144</v>
      </c>
    </row>
    <row r="146" spans="1:16" x14ac:dyDescent="0.3">
      <c r="A146" s="1">
        <v>45149</v>
      </c>
      <c r="B146" t="s">
        <v>21</v>
      </c>
      <c r="C146" t="s">
        <v>14</v>
      </c>
      <c r="D146" t="s">
        <v>12</v>
      </c>
      <c r="E146">
        <v>5</v>
      </c>
      <c r="F146" s="3">
        <v>2125</v>
      </c>
      <c r="G146" s="2">
        <v>632.67999999999995</v>
      </c>
      <c r="H146">
        <f>Master_ventas[[#This Row],[Profit]]/Master_ventas[[#This Row],[Sales]]</f>
        <v>0.29773176470588231</v>
      </c>
      <c r="I146">
        <f ca="1">Referencia_Hoy-Master_ventas[[#This Row],[Order Date]]</f>
        <v>1174</v>
      </c>
      <c r="J146" t="str">
        <f>UPPER(Master_ventas[[#This Row],[Product Name]])</f>
        <v>SMARTPHONE</v>
      </c>
      <c r="K146" t="str">
        <f>UPPER(Master_ventas[[#This Row],[Category]])</f>
        <v>ELECTRONICS</v>
      </c>
      <c r="L146">
        <f>YEAR(Master_ventas[[#This Row],[Order Date]])</f>
        <v>2023</v>
      </c>
      <c r="M146" t="str">
        <f>CONCATENATE(LEFT(Master_ventas[[#This Row],[ProdUpper]],3),RIGHT(Master_ventas[[#This Row],[Ext-Year]],2),"-",MID(Master_ventas[[#This Row],[Category]],1,1))</f>
        <v>SMA23-E</v>
      </c>
      <c r="N146" t="str">
        <f>MID(Master_ventas[[#This Row],[ProdUpper]],1,3)</f>
        <v>SMA</v>
      </c>
      <c r="O146" t="str">
        <f>UPPER(IF(Master_ventas[[#This Row],[Profit]]&gt;500,"High","Std"))</f>
        <v>HIGH</v>
      </c>
      <c r="P146">
        <v>145</v>
      </c>
    </row>
    <row r="147" spans="1:16" x14ac:dyDescent="0.3">
      <c r="A147" s="1">
        <v>45434</v>
      </c>
      <c r="B147" t="s">
        <v>18</v>
      </c>
      <c r="C147" t="s">
        <v>11</v>
      </c>
      <c r="D147" t="s">
        <v>9</v>
      </c>
      <c r="E147">
        <v>1</v>
      </c>
      <c r="F147" s="3">
        <v>967</v>
      </c>
      <c r="G147" s="2">
        <v>59.98</v>
      </c>
      <c r="H147">
        <f>Master_ventas[[#This Row],[Profit]]/Master_ventas[[#This Row],[Sales]]</f>
        <v>6.2026887280248189E-2</v>
      </c>
      <c r="I147">
        <f ca="1">Referencia_Hoy-Master_ventas[[#This Row],[Order Date]]</f>
        <v>889</v>
      </c>
      <c r="J147" t="str">
        <f>UPPER(Master_ventas[[#This Row],[Product Name]])</f>
        <v>HEADPHONES</v>
      </c>
      <c r="K147" t="str">
        <f>UPPER(Master_ventas[[#This Row],[Category]])</f>
        <v>ACCESSORIES</v>
      </c>
      <c r="L147">
        <f>YEAR(Master_ventas[[#This Row],[Order Date]])</f>
        <v>2024</v>
      </c>
      <c r="M147" t="str">
        <f>CONCATENATE(LEFT(Master_ventas[[#This Row],[ProdUpper]],3),RIGHT(Master_ventas[[#This Row],[Ext-Year]],2),"-",MID(Master_ventas[[#This Row],[Category]],1,1))</f>
        <v>HEA24-A</v>
      </c>
      <c r="N147" t="str">
        <f>MID(Master_ventas[[#This Row],[ProdUpper]],1,3)</f>
        <v>HEA</v>
      </c>
      <c r="O147" t="str">
        <f>UPPER(IF(Master_ventas[[#This Row],[Profit]]&gt;500,"High","Std"))</f>
        <v>STD</v>
      </c>
      <c r="P147">
        <v>146</v>
      </c>
    </row>
    <row r="148" spans="1:16" x14ac:dyDescent="0.3">
      <c r="A148" s="1">
        <v>44639</v>
      </c>
      <c r="B148" t="s">
        <v>18</v>
      </c>
      <c r="C148" t="s">
        <v>11</v>
      </c>
      <c r="D148" t="s">
        <v>15</v>
      </c>
      <c r="E148">
        <v>5</v>
      </c>
      <c r="F148" s="3">
        <v>270</v>
      </c>
      <c r="G148" s="2">
        <v>29.41</v>
      </c>
      <c r="H148">
        <f>Master_ventas[[#This Row],[Profit]]/Master_ventas[[#This Row],[Sales]]</f>
        <v>0.10892592592592593</v>
      </c>
      <c r="I148">
        <f ca="1">Referencia_Hoy-Master_ventas[[#This Row],[Order Date]]</f>
        <v>1684</v>
      </c>
      <c r="J148" t="str">
        <f>UPPER(Master_ventas[[#This Row],[Product Name]])</f>
        <v>HEADPHONES</v>
      </c>
      <c r="K148" t="str">
        <f>UPPER(Master_ventas[[#This Row],[Category]])</f>
        <v>ACCESSORIES</v>
      </c>
      <c r="L148">
        <f>YEAR(Master_ventas[[#This Row],[Order Date]])</f>
        <v>2022</v>
      </c>
      <c r="M148" t="str">
        <f>CONCATENATE(LEFT(Master_ventas[[#This Row],[ProdUpper]],3),RIGHT(Master_ventas[[#This Row],[Ext-Year]],2),"-",MID(Master_ventas[[#This Row],[Category]],1,1))</f>
        <v>HEA22-A</v>
      </c>
      <c r="N148" t="str">
        <f>MID(Master_ventas[[#This Row],[ProdUpper]],1,3)</f>
        <v>HEA</v>
      </c>
      <c r="O148" t="str">
        <f>UPPER(IF(Master_ventas[[#This Row],[Profit]]&gt;500,"High","Std"))</f>
        <v>STD</v>
      </c>
      <c r="P148">
        <v>147</v>
      </c>
    </row>
    <row r="149" spans="1:16" x14ac:dyDescent="0.3">
      <c r="A149" s="1">
        <v>44857</v>
      </c>
      <c r="B149" t="s">
        <v>22</v>
      </c>
      <c r="C149" t="s">
        <v>11</v>
      </c>
      <c r="D149" t="s">
        <v>16</v>
      </c>
      <c r="E149">
        <v>9</v>
      </c>
      <c r="F149" s="3">
        <v>10035</v>
      </c>
      <c r="G149" s="2">
        <v>1486.3</v>
      </c>
      <c r="H149">
        <f>Master_ventas[[#This Row],[Profit]]/Master_ventas[[#This Row],[Sales]]</f>
        <v>0.14811160936721474</v>
      </c>
      <c r="I149">
        <f ca="1">Referencia_Hoy-Master_ventas[[#This Row],[Order Date]]</f>
        <v>1466</v>
      </c>
      <c r="J149" t="str">
        <f>UPPER(Master_ventas[[#This Row],[Product Name]])</f>
        <v>KEYBOARD</v>
      </c>
      <c r="K149" t="str">
        <f>UPPER(Master_ventas[[#This Row],[Category]])</f>
        <v>ACCESSORIES</v>
      </c>
      <c r="L149">
        <f>YEAR(Master_ventas[[#This Row],[Order Date]])</f>
        <v>2022</v>
      </c>
      <c r="M149" t="str">
        <f>CONCATENATE(LEFT(Master_ventas[[#This Row],[ProdUpper]],3),RIGHT(Master_ventas[[#This Row],[Ext-Year]],2),"-",MID(Master_ventas[[#This Row],[Category]],1,1))</f>
        <v>KEY22-A</v>
      </c>
      <c r="N149" t="str">
        <f>MID(Master_ventas[[#This Row],[ProdUpper]],1,3)</f>
        <v>KEY</v>
      </c>
      <c r="O149" t="str">
        <f>UPPER(IF(Master_ventas[[#This Row],[Profit]]&gt;500,"High","Std"))</f>
        <v>HIGH</v>
      </c>
      <c r="P149">
        <v>148</v>
      </c>
    </row>
    <row r="150" spans="1:16" x14ac:dyDescent="0.3">
      <c r="A150" s="1">
        <v>44983</v>
      </c>
      <c r="B150" t="s">
        <v>7</v>
      </c>
      <c r="C150" t="s">
        <v>8</v>
      </c>
      <c r="D150" t="s">
        <v>9</v>
      </c>
      <c r="E150">
        <v>8</v>
      </c>
      <c r="F150" s="3">
        <v>6792</v>
      </c>
      <c r="G150" s="2">
        <v>1125.23</v>
      </c>
      <c r="H150">
        <f>Master_ventas[[#This Row],[Profit]]/Master_ventas[[#This Row],[Sales]]</f>
        <v>0.16566990577149587</v>
      </c>
      <c r="I150">
        <f ca="1">Referencia_Hoy-Master_ventas[[#This Row],[Order Date]]</f>
        <v>1340</v>
      </c>
      <c r="J150" t="str">
        <f>UPPER(Master_ventas[[#This Row],[Product Name]])</f>
        <v>PRINTER</v>
      </c>
      <c r="K150" t="str">
        <f>UPPER(Master_ventas[[#This Row],[Category]])</f>
        <v>OFFICE</v>
      </c>
      <c r="L150">
        <f>YEAR(Master_ventas[[#This Row],[Order Date]])</f>
        <v>2023</v>
      </c>
      <c r="M150" t="str">
        <f>CONCATENATE(LEFT(Master_ventas[[#This Row],[ProdUpper]],3),RIGHT(Master_ventas[[#This Row],[Ext-Year]],2),"-",MID(Master_ventas[[#This Row],[Category]],1,1))</f>
        <v>PRI23-O</v>
      </c>
      <c r="N150" t="str">
        <f>MID(Master_ventas[[#This Row],[ProdUpper]],1,3)</f>
        <v>PRI</v>
      </c>
      <c r="O150" t="str">
        <f>UPPER(IF(Master_ventas[[#This Row],[Profit]]&gt;500,"High","Std"))</f>
        <v>HIGH</v>
      </c>
      <c r="P150">
        <v>149</v>
      </c>
    </row>
    <row r="151" spans="1:16" x14ac:dyDescent="0.3">
      <c r="A151" s="1">
        <v>45568</v>
      </c>
      <c r="B151" t="s">
        <v>7</v>
      </c>
      <c r="C151" t="s">
        <v>8</v>
      </c>
      <c r="D151" t="s">
        <v>12</v>
      </c>
      <c r="E151">
        <v>1</v>
      </c>
      <c r="F151" s="3">
        <v>714</v>
      </c>
      <c r="G151" s="2">
        <v>99.13</v>
      </c>
      <c r="H151">
        <f>Master_ventas[[#This Row],[Profit]]/Master_ventas[[#This Row],[Sales]]</f>
        <v>0.13883753501400559</v>
      </c>
      <c r="I151">
        <f ca="1">Referencia_Hoy-Master_ventas[[#This Row],[Order Date]]</f>
        <v>755</v>
      </c>
      <c r="J151" t="str">
        <f>UPPER(Master_ventas[[#This Row],[Product Name]])</f>
        <v>PRINTER</v>
      </c>
      <c r="K151" t="str">
        <f>UPPER(Master_ventas[[#This Row],[Category]])</f>
        <v>OFFICE</v>
      </c>
      <c r="L151">
        <f>YEAR(Master_ventas[[#This Row],[Order Date]])</f>
        <v>2024</v>
      </c>
      <c r="M151" t="str">
        <f>CONCATENATE(LEFT(Master_ventas[[#This Row],[ProdUpper]],3),RIGHT(Master_ventas[[#This Row],[Ext-Year]],2),"-",MID(Master_ventas[[#This Row],[Category]],1,1))</f>
        <v>PRI24-O</v>
      </c>
      <c r="N151" t="str">
        <f>MID(Master_ventas[[#This Row],[ProdUpper]],1,3)</f>
        <v>PRI</v>
      </c>
      <c r="O151" t="str">
        <f>UPPER(IF(Master_ventas[[#This Row],[Profit]]&gt;500,"High","Std"))</f>
        <v>STD</v>
      </c>
      <c r="P151">
        <v>150</v>
      </c>
    </row>
    <row r="152" spans="1:16" x14ac:dyDescent="0.3">
      <c r="A152" s="1">
        <v>44759</v>
      </c>
      <c r="B152" t="s">
        <v>21</v>
      </c>
      <c r="C152" t="s">
        <v>14</v>
      </c>
      <c r="D152" t="s">
        <v>15</v>
      </c>
      <c r="E152">
        <v>5</v>
      </c>
      <c r="F152" s="3">
        <v>765</v>
      </c>
      <c r="G152" s="2">
        <v>157.63999999999999</v>
      </c>
      <c r="H152">
        <f>Master_ventas[[#This Row],[Profit]]/Master_ventas[[#This Row],[Sales]]</f>
        <v>0.20606535947712418</v>
      </c>
      <c r="I152">
        <f ca="1">Referencia_Hoy-Master_ventas[[#This Row],[Order Date]]</f>
        <v>1564</v>
      </c>
      <c r="J152" t="str">
        <f>UPPER(Master_ventas[[#This Row],[Product Name]])</f>
        <v>SMARTPHONE</v>
      </c>
      <c r="K152" t="str">
        <f>UPPER(Master_ventas[[#This Row],[Category]])</f>
        <v>ELECTRONICS</v>
      </c>
      <c r="L152">
        <f>YEAR(Master_ventas[[#This Row],[Order Date]])</f>
        <v>2022</v>
      </c>
      <c r="M152" t="str">
        <f>CONCATENATE(LEFT(Master_ventas[[#This Row],[ProdUpper]],3),RIGHT(Master_ventas[[#This Row],[Ext-Year]],2),"-",MID(Master_ventas[[#This Row],[Category]],1,1))</f>
        <v>SMA22-E</v>
      </c>
      <c r="N152" t="str">
        <f>MID(Master_ventas[[#This Row],[ProdUpper]],1,3)</f>
        <v>SMA</v>
      </c>
      <c r="O152" t="str">
        <f>UPPER(IF(Master_ventas[[#This Row],[Profit]]&gt;500,"High","Std"))</f>
        <v>STD</v>
      </c>
      <c r="P152">
        <v>151</v>
      </c>
    </row>
    <row r="153" spans="1:16" x14ac:dyDescent="0.3">
      <c r="A153" s="1">
        <v>45600</v>
      </c>
      <c r="B153" t="s">
        <v>18</v>
      </c>
      <c r="C153" t="s">
        <v>11</v>
      </c>
      <c r="D153" t="s">
        <v>12</v>
      </c>
      <c r="E153">
        <v>7</v>
      </c>
      <c r="F153" s="3">
        <v>4221</v>
      </c>
      <c r="G153" s="2">
        <v>358.02</v>
      </c>
      <c r="H153">
        <f>Master_ventas[[#This Row],[Profit]]/Master_ventas[[#This Row],[Sales]]</f>
        <v>8.481876332622601E-2</v>
      </c>
      <c r="I153">
        <f ca="1">Referencia_Hoy-Master_ventas[[#This Row],[Order Date]]</f>
        <v>723</v>
      </c>
      <c r="J153" t="str">
        <f>UPPER(Master_ventas[[#This Row],[Product Name]])</f>
        <v>HEADPHONES</v>
      </c>
      <c r="K153" t="str">
        <f>UPPER(Master_ventas[[#This Row],[Category]])</f>
        <v>ACCESSORIES</v>
      </c>
      <c r="L153">
        <f>YEAR(Master_ventas[[#This Row],[Order Date]])</f>
        <v>2024</v>
      </c>
      <c r="M153" t="str">
        <f>CONCATENATE(LEFT(Master_ventas[[#This Row],[ProdUpper]],3),RIGHT(Master_ventas[[#This Row],[Ext-Year]],2),"-",MID(Master_ventas[[#This Row],[Category]],1,1))</f>
        <v>HEA24-A</v>
      </c>
      <c r="N153" t="str">
        <f>MID(Master_ventas[[#This Row],[ProdUpper]],1,3)</f>
        <v>HEA</v>
      </c>
      <c r="O153" t="str">
        <f>UPPER(IF(Master_ventas[[#This Row],[Profit]]&gt;500,"High","Std"))</f>
        <v>STD</v>
      </c>
      <c r="P153">
        <v>152</v>
      </c>
    </row>
    <row r="154" spans="1:16" x14ac:dyDescent="0.3">
      <c r="A154" s="1">
        <v>44981</v>
      </c>
      <c r="B154" t="s">
        <v>23</v>
      </c>
      <c r="C154" t="s">
        <v>14</v>
      </c>
      <c r="D154" t="s">
        <v>9</v>
      </c>
      <c r="E154">
        <v>4</v>
      </c>
      <c r="F154" s="3">
        <v>2108</v>
      </c>
      <c r="G154" s="2">
        <v>576.48</v>
      </c>
      <c r="H154">
        <f>Master_ventas[[#This Row],[Profit]]/Master_ventas[[#This Row],[Sales]]</f>
        <v>0.27347248576850097</v>
      </c>
      <c r="I154">
        <f ca="1">Referencia_Hoy-Master_ventas[[#This Row],[Order Date]]</f>
        <v>1342</v>
      </c>
      <c r="J154" t="str">
        <f>UPPER(Master_ventas[[#This Row],[Product Name]])</f>
        <v>LAPTOP</v>
      </c>
      <c r="K154" t="str">
        <f>UPPER(Master_ventas[[#This Row],[Category]])</f>
        <v>ELECTRONICS</v>
      </c>
      <c r="L154">
        <f>YEAR(Master_ventas[[#This Row],[Order Date]])</f>
        <v>2023</v>
      </c>
      <c r="M154" t="str">
        <f>CONCATENATE(LEFT(Master_ventas[[#This Row],[ProdUpper]],3),RIGHT(Master_ventas[[#This Row],[Ext-Year]],2),"-",MID(Master_ventas[[#This Row],[Category]],1,1))</f>
        <v>LAP23-E</v>
      </c>
      <c r="N154" t="str">
        <f>MID(Master_ventas[[#This Row],[ProdUpper]],1,3)</f>
        <v>LAP</v>
      </c>
      <c r="O154" t="str">
        <f>UPPER(IF(Master_ventas[[#This Row],[Profit]]&gt;500,"High","Std"))</f>
        <v>HIGH</v>
      </c>
      <c r="P154">
        <v>153</v>
      </c>
    </row>
    <row r="155" spans="1:16" x14ac:dyDescent="0.3">
      <c r="A155" s="1">
        <v>45512</v>
      </c>
      <c r="B155" t="s">
        <v>20</v>
      </c>
      <c r="C155" t="s">
        <v>11</v>
      </c>
      <c r="D155" t="s">
        <v>9</v>
      </c>
      <c r="E155">
        <v>9</v>
      </c>
      <c r="F155" s="3">
        <v>10530</v>
      </c>
      <c r="G155" s="2">
        <v>2387.63</v>
      </c>
      <c r="H155">
        <f>Master_ventas[[#This Row],[Profit]]/Master_ventas[[#This Row],[Sales]]</f>
        <v>0.22674548907882242</v>
      </c>
      <c r="I155">
        <f ca="1">Referencia_Hoy-Master_ventas[[#This Row],[Order Date]]</f>
        <v>811</v>
      </c>
      <c r="J155" t="str">
        <f>UPPER(Master_ventas[[#This Row],[Product Name]])</f>
        <v>MONITOR</v>
      </c>
      <c r="K155" t="str">
        <f>UPPER(Master_ventas[[#This Row],[Category]])</f>
        <v>ACCESSORIES</v>
      </c>
      <c r="L155">
        <f>YEAR(Master_ventas[[#This Row],[Order Date]])</f>
        <v>2024</v>
      </c>
      <c r="M155" t="str">
        <f>CONCATENATE(LEFT(Master_ventas[[#This Row],[ProdUpper]],3),RIGHT(Master_ventas[[#This Row],[Ext-Year]],2),"-",MID(Master_ventas[[#This Row],[Category]],1,1))</f>
        <v>MON24-A</v>
      </c>
      <c r="N155" t="str">
        <f>MID(Master_ventas[[#This Row],[ProdUpper]],1,3)</f>
        <v>MON</v>
      </c>
      <c r="O155" t="str">
        <f>UPPER(IF(Master_ventas[[#This Row],[Profit]]&gt;500,"High","Std"))</f>
        <v>HIGH</v>
      </c>
      <c r="P155">
        <v>154</v>
      </c>
    </row>
    <row r="156" spans="1:16" x14ac:dyDescent="0.3">
      <c r="A156" s="1">
        <v>45426</v>
      </c>
      <c r="B156" t="s">
        <v>22</v>
      </c>
      <c r="C156" t="s">
        <v>11</v>
      </c>
      <c r="D156" t="s">
        <v>15</v>
      </c>
      <c r="E156">
        <v>6</v>
      </c>
      <c r="F156" s="3">
        <v>3396</v>
      </c>
      <c r="G156" s="2">
        <v>914.17</v>
      </c>
      <c r="H156">
        <f>Master_ventas[[#This Row],[Profit]]/Master_ventas[[#This Row],[Sales]]</f>
        <v>0.2691902237926973</v>
      </c>
      <c r="I156">
        <f ca="1">Referencia_Hoy-Master_ventas[[#This Row],[Order Date]]</f>
        <v>897</v>
      </c>
      <c r="J156" t="str">
        <f>UPPER(Master_ventas[[#This Row],[Product Name]])</f>
        <v>KEYBOARD</v>
      </c>
      <c r="K156" t="str">
        <f>UPPER(Master_ventas[[#This Row],[Category]])</f>
        <v>ACCESSORIES</v>
      </c>
      <c r="L156">
        <f>YEAR(Master_ventas[[#This Row],[Order Date]])</f>
        <v>2024</v>
      </c>
      <c r="M156" t="str">
        <f>CONCATENATE(LEFT(Master_ventas[[#This Row],[ProdUpper]],3),RIGHT(Master_ventas[[#This Row],[Ext-Year]],2),"-",MID(Master_ventas[[#This Row],[Category]],1,1))</f>
        <v>KEY24-A</v>
      </c>
      <c r="N156" t="str">
        <f>MID(Master_ventas[[#This Row],[ProdUpper]],1,3)</f>
        <v>KEY</v>
      </c>
      <c r="O156" t="str">
        <f>UPPER(IF(Master_ventas[[#This Row],[Profit]]&gt;500,"High","Std"))</f>
        <v>HIGH</v>
      </c>
      <c r="P156">
        <v>155</v>
      </c>
    </row>
    <row r="157" spans="1:16" x14ac:dyDescent="0.3">
      <c r="A157" s="1">
        <v>44576</v>
      </c>
      <c r="B157" t="s">
        <v>20</v>
      </c>
      <c r="C157" t="s">
        <v>11</v>
      </c>
      <c r="D157" t="s">
        <v>9</v>
      </c>
      <c r="E157">
        <v>4</v>
      </c>
      <c r="F157" s="3">
        <v>1060</v>
      </c>
      <c r="G157" s="2">
        <v>213.05</v>
      </c>
      <c r="H157">
        <f>Master_ventas[[#This Row],[Profit]]/Master_ventas[[#This Row],[Sales]]</f>
        <v>0.20099056603773585</v>
      </c>
      <c r="I157">
        <f ca="1">Referencia_Hoy-Master_ventas[[#This Row],[Order Date]]</f>
        <v>1747</v>
      </c>
      <c r="J157" t="str">
        <f>UPPER(Master_ventas[[#This Row],[Product Name]])</f>
        <v>MONITOR</v>
      </c>
      <c r="K157" t="str">
        <f>UPPER(Master_ventas[[#This Row],[Category]])</f>
        <v>ACCESSORIES</v>
      </c>
      <c r="L157">
        <f>YEAR(Master_ventas[[#This Row],[Order Date]])</f>
        <v>2022</v>
      </c>
      <c r="M157" t="str">
        <f>CONCATENATE(LEFT(Master_ventas[[#This Row],[ProdUpper]],3),RIGHT(Master_ventas[[#This Row],[Ext-Year]],2),"-",MID(Master_ventas[[#This Row],[Category]],1,1))</f>
        <v>MON22-A</v>
      </c>
      <c r="N157" t="str">
        <f>MID(Master_ventas[[#This Row],[ProdUpper]],1,3)</f>
        <v>MON</v>
      </c>
      <c r="O157" t="str">
        <f>UPPER(IF(Master_ventas[[#This Row],[Profit]]&gt;500,"High","Std"))</f>
        <v>STD</v>
      </c>
      <c r="P157">
        <v>156</v>
      </c>
    </row>
    <row r="158" spans="1:16" x14ac:dyDescent="0.3">
      <c r="A158" s="1">
        <v>44691</v>
      </c>
      <c r="B158" t="s">
        <v>13</v>
      </c>
      <c r="C158" t="s">
        <v>14</v>
      </c>
      <c r="D158" t="s">
        <v>12</v>
      </c>
      <c r="E158">
        <v>5</v>
      </c>
      <c r="F158" s="3">
        <v>480</v>
      </c>
      <c r="G158" s="2">
        <v>73.069999999999993</v>
      </c>
      <c r="H158">
        <f>Master_ventas[[#This Row],[Profit]]/Master_ventas[[#This Row],[Sales]]</f>
        <v>0.15222916666666667</v>
      </c>
      <c r="I158">
        <f ca="1">Referencia_Hoy-Master_ventas[[#This Row],[Order Date]]</f>
        <v>1632</v>
      </c>
      <c r="J158" t="str">
        <f>UPPER(Master_ventas[[#This Row],[Product Name]])</f>
        <v>TABLET</v>
      </c>
      <c r="K158" t="str">
        <f>UPPER(Master_ventas[[#This Row],[Category]])</f>
        <v>ELECTRONICS</v>
      </c>
      <c r="L158">
        <f>YEAR(Master_ventas[[#This Row],[Order Date]])</f>
        <v>2022</v>
      </c>
      <c r="M158" t="str">
        <f>CONCATENATE(LEFT(Master_ventas[[#This Row],[ProdUpper]],3),RIGHT(Master_ventas[[#This Row],[Ext-Year]],2),"-",MID(Master_ventas[[#This Row],[Category]],1,1))</f>
        <v>TAB22-E</v>
      </c>
      <c r="N158" t="str">
        <f>MID(Master_ventas[[#This Row],[ProdUpper]],1,3)</f>
        <v>TAB</v>
      </c>
      <c r="O158" t="str">
        <f>UPPER(IF(Master_ventas[[#This Row],[Profit]]&gt;500,"High","Std"))</f>
        <v>STD</v>
      </c>
      <c r="P158">
        <v>157</v>
      </c>
    </row>
    <row r="159" spans="1:16" x14ac:dyDescent="0.3">
      <c r="A159" s="1">
        <v>44630</v>
      </c>
      <c r="B159" t="s">
        <v>18</v>
      </c>
      <c r="C159" t="s">
        <v>11</v>
      </c>
      <c r="D159" t="s">
        <v>16</v>
      </c>
      <c r="E159">
        <v>3</v>
      </c>
      <c r="F159" s="3">
        <v>2529</v>
      </c>
      <c r="G159" s="2">
        <v>285.64999999999998</v>
      </c>
      <c r="H159">
        <f>Master_ventas[[#This Row],[Profit]]/Master_ventas[[#This Row],[Sales]]</f>
        <v>0.11294978252273626</v>
      </c>
      <c r="I159">
        <f ca="1">Referencia_Hoy-Master_ventas[[#This Row],[Order Date]]</f>
        <v>1693</v>
      </c>
      <c r="J159" t="str">
        <f>UPPER(Master_ventas[[#This Row],[Product Name]])</f>
        <v>HEADPHONES</v>
      </c>
      <c r="K159" t="str">
        <f>UPPER(Master_ventas[[#This Row],[Category]])</f>
        <v>ACCESSORIES</v>
      </c>
      <c r="L159">
        <f>YEAR(Master_ventas[[#This Row],[Order Date]])</f>
        <v>2022</v>
      </c>
      <c r="M159" t="str">
        <f>CONCATENATE(LEFT(Master_ventas[[#This Row],[ProdUpper]],3),RIGHT(Master_ventas[[#This Row],[Ext-Year]],2),"-",MID(Master_ventas[[#This Row],[Category]],1,1))</f>
        <v>HEA22-A</v>
      </c>
      <c r="N159" t="str">
        <f>MID(Master_ventas[[#This Row],[ProdUpper]],1,3)</f>
        <v>HEA</v>
      </c>
      <c r="O159" t="str">
        <f>UPPER(IF(Master_ventas[[#This Row],[Profit]]&gt;500,"High","Std"))</f>
        <v>STD</v>
      </c>
      <c r="P159">
        <v>158</v>
      </c>
    </row>
    <row r="160" spans="1:16" x14ac:dyDescent="0.3">
      <c r="A160" s="1">
        <v>44584</v>
      </c>
      <c r="B160" t="s">
        <v>19</v>
      </c>
      <c r="C160" t="s">
        <v>14</v>
      </c>
      <c r="D160" t="s">
        <v>12</v>
      </c>
      <c r="E160">
        <v>8</v>
      </c>
      <c r="F160" s="3">
        <v>4792</v>
      </c>
      <c r="G160" s="2">
        <v>511.97</v>
      </c>
      <c r="H160">
        <f>Master_ventas[[#This Row],[Profit]]/Master_ventas[[#This Row],[Sales]]</f>
        <v>0.10683848080133557</v>
      </c>
      <c r="I160">
        <f ca="1">Referencia_Hoy-Master_ventas[[#This Row],[Order Date]]</f>
        <v>1739</v>
      </c>
      <c r="J160" t="str">
        <f>UPPER(Master_ventas[[#This Row],[Product Name]])</f>
        <v>SMARTWATCH</v>
      </c>
      <c r="K160" t="str">
        <f>UPPER(Master_ventas[[#This Row],[Category]])</f>
        <v>ELECTRONICS</v>
      </c>
      <c r="L160">
        <f>YEAR(Master_ventas[[#This Row],[Order Date]])</f>
        <v>2022</v>
      </c>
      <c r="M160" t="str">
        <f>CONCATENATE(LEFT(Master_ventas[[#This Row],[ProdUpper]],3),RIGHT(Master_ventas[[#This Row],[Ext-Year]],2),"-",MID(Master_ventas[[#This Row],[Category]],1,1))</f>
        <v>SMA22-E</v>
      </c>
      <c r="N160" t="str">
        <f>MID(Master_ventas[[#This Row],[ProdUpper]],1,3)</f>
        <v>SMA</v>
      </c>
      <c r="O160" t="str">
        <f>UPPER(IF(Master_ventas[[#This Row],[Profit]]&gt;500,"High","Std"))</f>
        <v>HIGH</v>
      </c>
      <c r="P160">
        <v>159</v>
      </c>
    </row>
    <row r="161" spans="1:16" x14ac:dyDescent="0.3">
      <c r="A161" s="1">
        <v>45554</v>
      </c>
      <c r="B161" t="s">
        <v>19</v>
      </c>
      <c r="C161" t="s">
        <v>14</v>
      </c>
      <c r="D161" t="s">
        <v>12</v>
      </c>
      <c r="E161">
        <v>8</v>
      </c>
      <c r="F161" s="3">
        <v>8056</v>
      </c>
      <c r="G161" s="2">
        <v>605.79999999999995</v>
      </c>
      <c r="H161">
        <f>Master_ventas[[#This Row],[Profit]]/Master_ventas[[#This Row],[Sales]]</f>
        <v>7.519860973187685E-2</v>
      </c>
      <c r="I161">
        <f ca="1">Referencia_Hoy-Master_ventas[[#This Row],[Order Date]]</f>
        <v>769</v>
      </c>
      <c r="J161" t="str">
        <f>UPPER(Master_ventas[[#This Row],[Product Name]])</f>
        <v>SMARTWATCH</v>
      </c>
      <c r="K161" t="str">
        <f>UPPER(Master_ventas[[#This Row],[Category]])</f>
        <v>ELECTRONICS</v>
      </c>
      <c r="L161">
        <f>YEAR(Master_ventas[[#This Row],[Order Date]])</f>
        <v>2024</v>
      </c>
      <c r="M161" t="str">
        <f>CONCATENATE(LEFT(Master_ventas[[#This Row],[ProdUpper]],3),RIGHT(Master_ventas[[#This Row],[Ext-Year]],2),"-",MID(Master_ventas[[#This Row],[Category]],1,1))</f>
        <v>SMA24-E</v>
      </c>
      <c r="N161" t="str">
        <f>MID(Master_ventas[[#This Row],[ProdUpper]],1,3)</f>
        <v>SMA</v>
      </c>
      <c r="O161" t="str">
        <f>UPPER(IF(Master_ventas[[#This Row],[Profit]]&gt;500,"High","Std"))</f>
        <v>HIGH</v>
      </c>
      <c r="P161">
        <v>160</v>
      </c>
    </row>
    <row r="162" spans="1:16" x14ac:dyDescent="0.3">
      <c r="A162" s="1">
        <v>45449</v>
      </c>
      <c r="B162" t="s">
        <v>13</v>
      </c>
      <c r="C162" t="s">
        <v>14</v>
      </c>
      <c r="D162" t="s">
        <v>9</v>
      </c>
      <c r="E162">
        <v>4</v>
      </c>
      <c r="F162" s="3">
        <v>4228</v>
      </c>
      <c r="G162" s="2">
        <v>947.76</v>
      </c>
      <c r="H162">
        <f>Master_ventas[[#This Row],[Profit]]/Master_ventas[[#This Row],[Sales]]</f>
        <v>0.22416272469252602</v>
      </c>
      <c r="I162">
        <f ca="1">Referencia_Hoy-Master_ventas[[#This Row],[Order Date]]</f>
        <v>874</v>
      </c>
      <c r="J162" t="str">
        <f>UPPER(Master_ventas[[#This Row],[Product Name]])</f>
        <v>TABLET</v>
      </c>
      <c r="K162" t="str">
        <f>UPPER(Master_ventas[[#This Row],[Category]])</f>
        <v>ELECTRONICS</v>
      </c>
      <c r="L162">
        <f>YEAR(Master_ventas[[#This Row],[Order Date]])</f>
        <v>2024</v>
      </c>
      <c r="M162" t="str">
        <f>CONCATENATE(LEFT(Master_ventas[[#This Row],[ProdUpper]],3),RIGHT(Master_ventas[[#This Row],[Ext-Year]],2),"-",MID(Master_ventas[[#This Row],[Category]],1,1))</f>
        <v>TAB24-E</v>
      </c>
      <c r="N162" t="str">
        <f>MID(Master_ventas[[#This Row],[ProdUpper]],1,3)</f>
        <v>TAB</v>
      </c>
      <c r="O162" t="str">
        <f>UPPER(IF(Master_ventas[[#This Row],[Profit]]&gt;500,"High","Std"))</f>
        <v>HIGH</v>
      </c>
      <c r="P162">
        <v>161</v>
      </c>
    </row>
    <row r="163" spans="1:16" x14ac:dyDescent="0.3">
      <c r="A163" s="1">
        <v>45575</v>
      </c>
      <c r="B163" t="s">
        <v>13</v>
      </c>
      <c r="C163" t="s">
        <v>14</v>
      </c>
      <c r="D163" t="s">
        <v>12</v>
      </c>
      <c r="E163">
        <v>1</v>
      </c>
      <c r="F163" s="3">
        <v>653</v>
      </c>
      <c r="G163" s="2">
        <v>93.78</v>
      </c>
      <c r="H163">
        <f>Master_ventas[[#This Row],[Profit]]/Master_ventas[[#This Row],[Sales]]</f>
        <v>0.14361408882082696</v>
      </c>
      <c r="I163">
        <f ca="1">Referencia_Hoy-Master_ventas[[#This Row],[Order Date]]</f>
        <v>748</v>
      </c>
      <c r="J163" t="str">
        <f>UPPER(Master_ventas[[#This Row],[Product Name]])</f>
        <v>TABLET</v>
      </c>
      <c r="K163" t="str">
        <f>UPPER(Master_ventas[[#This Row],[Category]])</f>
        <v>ELECTRONICS</v>
      </c>
      <c r="L163">
        <f>YEAR(Master_ventas[[#This Row],[Order Date]])</f>
        <v>2024</v>
      </c>
      <c r="M163" t="str">
        <f>CONCATENATE(LEFT(Master_ventas[[#This Row],[ProdUpper]],3),RIGHT(Master_ventas[[#This Row],[Ext-Year]],2),"-",MID(Master_ventas[[#This Row],[Category]],1,1))</f>
        <v>TAB24-E</v>
      </c>
      <c r="N163" t="str">
        <f>MID(Master_ventas[[#This Row],[ProdUpper]],1,3)</f>
        <v>TAB</v>
      </c>
      <c r="O163" t="str">
        <f>UPPER(IF(Master_ventas[[#This Row],[Profit]]&gt;500,"High","Std"))</f>
        <v>STD</v>
      </c>
      <c r="P163">
        <v>162</v>
      </c>
    </row>
    <row r="164" spans="1:16" x14ac:dyDescent="0.3">
      <c r="A164" s="1">
        <v>45375</v>
      </c>
      <c r="B164" t="s">
        <v>13</v>
      </c>
      <c r="C164" t="s">
        <v>14</v>
      </c>
      <c r="D164" t="s">
        <v>9</v>
      </c>
      <c r="E164">
        <v>9</v>
      </c>
      <c r="F164" s="3">
        <v>7452</v>
      </c>
      <c r="G164" s="2">
        <v>1212.51</v>
      </c>
      <c r="H164">
        <f>Master_ventas[[#This Row],[Profit]]/Master_ventas[[#This Row],[Sales]]</f>
        <v>0.16270933977455718</v>
      </c>
      <c r="I164">
        <f ca="1">Referencia_Hoy-Master_ventas[[#This Row],[Order Date]]</f>
        <v>948</v>
      </c>
      <c r="J164" t="str">
        <f>UPPER(Master_ventas[[#This Row],[Product Name]])</f>
        <v>TABLET</v>
      </c>
      <c r="K164" t="str">
        <f>UPPER(Master_ventas[[#This Row],[Category]])</f>
        <v>ELECTRONICS</v>
      </c>
      <c r="L164">
        <f>YEAR(Master_ventas[[#This Row],[Order Date]])</f>
        <v>2024</v>
      </c>
      <c r="M164" t="str">
        <f>CONCATENATE(LEFT(Master_ventas[[#This Row],[ProdUpper]],3),RIGHT(Master_ventas[[#This Row],[Ext-Year]],2),"-",MID(Master_ventas[[#This Row],[Category]],1,1))</f>
        <v>TAB24-E</v>
      </c>
      <c r="N164" t="str">
        <f>MID(Master_ventas[[#This Row],[ProdUpper]],1,3)</f>
        <v>TAB</v>
      </c>
      <c r="O164" t="str">
        <f>UPPER(IF(Master_ventas[[#This Row],[Profit]]&gt;500,"High","Std"))</f>
        <v>HIGH</v>
      </c>
      <c r="P164">
        <v>163</v>
      </c>
    </row>
    <row r="165" spans="1:16" x14ac:dyDescent="0.3">
      <c r="A165" s="1">
        <v>45128</v>
      </c>
      <c r="B165" t="s">
        <v>10</v>
      </c>
      <c r="C165" t="s">
        <v>11</v>
      </c>
      <c r="D165" t="s">
        <v>12</v>
      </c>
      <c r="E165">
        <v>4</v>
      </c>
      <c r="F165" s="3">
        <v>4128</v>
      </c>
      <c r="G165" s="2">
        <v>1156.71</v>
      </c>
      <c r="H165">
        <f>Master_ventas[[#This Row],[Profit]]/Master_ventas[[#This Row],[Sales]]</f>
        <v>0.28021075581395349</v>
      </c>
      <c r="I165">
        <f ca="1">Referencia_Hoy-Master_ventas[[#This Row],[Order Date]]</f>
        <v>1195</v>
      </c>
      <c r="J165" t="str">
        <f>UPPER(Master_ventas[[#This Row],[Product Name]])</f>
        <v>MOUSE</v>
      </c>
      <c r="K165" t="str">
        <f>UPPER(Master_ventas[[#This Row],[Category]])</f>
        <v>ACCESSORIES</v>
      </c>
      <c r="L165">
        <f>YEAR(Master_ventas[[#This Row],[Order Date]])</f>
        <v>2023</v>
      </c>
      <c r="M165" t="str">
        <f>CONCATENATE(LEFT(Master_ventas[[#This Row],[ProdUpper]],3),RIGHT(Master_ventas[[#This Row],[Ext-Year]],2),"-",MID(Master_ventas[[#This Row],[Category]],1,1))</f>
        <v>MOU23-A</v>
      </c>
      <c r="N165" t="str">
        <f>MID(Master_ventas[[#This Row],[ProdUpper]],1,3)</f>
        <v>MOU</v>
      </c>
      <c r="O165" t="str">
        <f>UPPER(IF(Master_ventas[[#This Row],[Profit]]&gt;500,"High","Std"))</f>
        <v>HIGH</v>
      </c>
      <c r="P165">
        <v>164</v>
      </c>
    </row>
    <row r="166" spans="1:16" x14ac:dyDescent="0.3">
      <c r="A166" s="1">
        <v>44763</v>
      </c>
      <c r="B166" t="s">
        <v>13</v>
      </c>
      <c r="C166" t="s">
        <v>14</v>
      </c>
      <c r="D166" t="s">
        <v>16</v>
      </c>
      <c r="E166">
        <v>5</v>
      </c>
      <c r="F166" s="3">
        <v>5090</v>
      </c>
      <c r="G166" s="2">
        <v>1201.56</v>
      </c>
      <c r="H166">
        <f>Master_ventas[[#This Row],[Profit]]/Master_ventas[[#This Row],[Sales]]</f>
        <v>0.23606286836935167</v>
      </c>
      <c r="I166">
        <f ca="1">Referencia_Hoy-Master_ventas[[#This Row],[Order Date]]</f>
        <v>1560</v>
      </c>
      <c r="J166" t="str">
        <f>UPPER(Master_ventas[[#This Row],[Product Name]])</f>
        <v>TABLET</v>
      </c>
      <c r="K166" t="str">
        <f>UPPER(Master_ventas[[#This Row],[Category]])</f>
        <v>ELECTRONICS</v>
      </c>
      <c r="L166">
        <f>YEAR(Master_ventas[[#This Row],[Order Date]])</f>
        <v>2022</v>
      </c>
      <c r="M166" t="str">
        <f>CONCATENATE(LEFT(Master_ventas[[#This Row],[ProdUpper]],3),RIGHT(Master_ventas[[#This Row],[Ext-Year]],2),"-",MID(Master_ventas[[#This Row],[Category]],1,1))</f>
        <v>TAB22-E</v>
      </c>
      <c r="N166" t="str">
        <f>MID(Master_ventas[[#This Row],[ProdUpper]],1,3)</f>
        <v>TAB</v>
      </c>
      <c r="O166" t="str">
        <f>UPPER(IF(Master_ventas[[#This Row],[Profit]]&gt;500,"High","Std"))</f>
        <v>HIGH</v>
      </c>
      <c r="P166">
        <v>165</v>
      </c>
    </row>
    <row r="167" spans="1:16" x14ac:dyDescent="0.3">
      <c r="A167" s="1">
        <v>44805</v>
      </c>
      <c r="B167" t="s">
        <v>17</v>
      </c>
      <c r="C167" t="s">
        <v>14</v>
      </c>
      <c r="D167" t="s">
        <v>9</v>
      </c>
      <c r="E167">
        <v>5</v>
      </c>
      <c r="F167" s="3">
        <v>4930</v>
      </c>
      <c r="G167" s="2">
        <v>387.33</v>
      </c>
      <c r="H167">
        <f>Master_ventas[[#This Row],[Profit]]/Master_ventas[[#This Row],[Sales]]</f>
        <v>7.8565922920892498E-2</v>
      </c>
      <c r="I167">
        <f ca="1">Referencia_Hoy-Master_ventas[[#This Row],[Order Date]]</f>
        <v>1518</v>
      </c>
      <c r="J167" t="str">
        <f>UPPER(Master_ventas[[#This Row],[Product Name]])</f>
        <v>CAMERA</v>
      </c>
      <c r="K167" t="str">
        <f>UPPER(Master_ventas[[#This Row],[Category]])</f>
        <v>ELECTRONICS</v>
      </c>
      <c r="L167">
        <f>YEAR(Master_ventas[[#This Row],[Order Date]])</f>
        <v>2022</v>
      </c>
      <c r="M167" t="str">
        <f>CONCATENATE(LEFT(Master_ventas[[#This Row],[ProdUpper]],3),RIGHT(Master_ventas[[#This Row],[Ext-Year]],2),"-",MID(Master_ventas[[#This Row],[Category]],1,1))</f>
        <v>CAM22-E</v>
      </c>
      <c r="N167" t="str">
        <f>MID(Master_ventas[[#This Row],[ProdUpper]],1,3)</f>
        <v>CAM</v>
      </c>
      <c r="O167" t="str">
        <f>UPPER(IF(Master_ventas[[#This Row],[Profit]]&gt;500,"High","Std"))</f>
        <v>STD</v>
      </c>
      <c r="P167">
        <v>166</v>
      </c>
    </row>
    <row r="168" spans="1:16" x14ac:dyDescent="0.3">
      <c r="A168" s="1">
        <v>45036</v>
      </c>
      <c r="B168" t="s">
        <v>19</v>
      </c>
      <c r="C168" t="s">
        <v>14</v>
      </c>
      <c r="D168" t="s">
        <v>15</v>
      </c>
      <c r="E168">
        <v>6</v>
      </c>
      <c r="F168" s="3">
        <v>2610</v>
      </c>
      <c r="G168" s="2">
        <v>434.37</v>
      </c>
      <c r="H168">
        <f>Master_ventas[[#This Row],[Profit]]/Master_ventas[[#This Row],[Sales]]</f>
        <v>0.16642528735632184</v>
      </c>
      <c r="I168">
        <f ca="1">Referencia_Hoy-Master_ventas[[#This Row],[Order Date]]</f>
        <v>1287</v>
      </c>
      <c r="J168" t="str">
        <f>UPPER(Master_ventas[[#This Row],[Product Name]])</f>
        <v>SMARTWATCH</v>
      </c>
      <c r="K168" t="str">
        <f>UPPER(Master_ventas[[#This Row],[Category]])</f>
        <v>ELECTRONICS</v>
      </c>
      <c r="L168">
        <f>YEAR(Master_ventas[[#This Row],[Order Date]])</f>
        <v>2023</v>
      </c>
      <c r="M168" t="str">
        <f>CONCATENATE(LEFT(Master_ventas[[#This Row],[ProdUpper]],3),RIGHT(Master_ventas[[#This Row],[Ext-Year]],2),"-",MID(Master_ventas[[#This Row],[Category]],1,1))</f>
        <v>SMA23-E</v>
      </c>
      <c r="N168" t="str">
        <f>MID(Master_ventas[[#This Row],[ProdUpper]],1,3)</f>
        <v>SMA</v>
      </c>
      <c r="O168" t="str">
        <f>UPPER(IF(Master_ventas[[#This Row],[Profit]]&gt;500,"High","Std"))</f>
        <v>STD</v>
      </c>
      <c r="P168">
        <v>167</v>
      </c>
    </row>
    <row r="169" spans="1:16" x14ac:dyDescent="0.3">
      <c r="A169" s="1">
        <v>45271</v>
      </c>
      <c r="B169" t="s">
        <v>23</v>
      </c>
      <c r="C169" t="s">
        <v>14</v>
      </c>
      <c r="D169" t="s">
        <v>9</v>
      </c>
      <c r="E169">
        <v>3</v>
      </c>
      <c r="F169" s="3">
        <v>2139</v>
      </c>
      <c r="G169" s="2">
        <v>415.84</v>
      </c>
      <c r="H169">
        <f>Master_ventas[[#This Row],[Profit]]/Master_ventas[[#This Row],[Sales]]</f>
        <v>0.19440860215053762</v>
      </c>
      <c r="I169">
        <f ca="1">Referencia_Hoy-Master_ventas[[#This Row],[Order Date]]</f>
        <v>1052</v>
      </c>
      <c r="J169" t="str">
        <f>UPPER(Master_ventas[[#This Row],[Product Name]])</f>
        <v>LAPTOP</v>
      </c>
      <c r="K169" t="str">
        <f>UPPER(Master_ventas[[#This Row],[Category]])</f>
        <v>ELECTRONICS</v>
      </c>
      <c r="L169">
        <f>YEAR(Master_ventas[[#This Row],[Order Date]])</f>
        <v>2023</v>
      </c>
      <c r="M169" t="str">
        <f>CONCATENATE(LEFT(Master_ventas[[#This Row],[ProdUpper]],3),RIGHT(Master_ventas[[#This Row],[Ext-Year]],2),"-",MID(Master_ventas[[#This Row],[Category]],1,1))</f>
        <v>LAP23-E</v>
      </c>
      <c r="N169" t="str">
        <f>MID(Master_ventas[[#This Row],[ProdUpper]],1,3)</f>
        <v>LAP</v>
      </c>
      <c r="O169" t="str">
        <f>UPPER(IF(Master_ventas[[#This Row],[Profit]]&gt;500,"High","Std"))</f>
        <v>STD</v>
      </c>
      <c r="P169">
        <v>168</v>
      </c>
    </row>
    <row r="170" spans="1:16" x14ac:dyDescent="0.3">
      <c r="A170" s="1">
        <v>45564</v>
      </c>
      <c r="B170" t="s">
        <v>13</v>
      </c>
      <c r="C170" t="s">
        <v>14</v>
      </c>
      <c r="D170" t="s">
        <v>15</v>
      </c>
      <c r="E170">
        <v>1</v>
      </c>
      <c r="F170" s="3">
        <v>226</v>
      </c>
      <c r="G170" s="2">
        <v>55.4</v>
      </c>
      <c r="H170">
        <f>Master_ventas[[#This Row],[Profit]]/Master_ventas[[#This Row],[Sales]]</f>
        <v>0.24513274336283186</v>
      </c>
      <c r="I170">
        <f ca="1">Referencia_Hoy-Master_ventas[[#This Row],[Order Date]]</f>
        <v>759</v>
      </c>
      <c r="J170" t="str">
        <f>UPPER(Master_ventas[[#This Row],[Product Name]])</f>
        <v>TABLET</v>
      </c>
      <c r="K170" t="str">
        <f>UPPER(Master_ventas[[#This Row],[Category]])</f>
        <v>ELECTRONICS</v>
      </c>
      <c r="L170">
        <f>YEAR(Master_ventas[[#This Row],[Order Date]])</f>
        <v>2024</v>
      </c>
      <c r="M170" t="str">
        <f>CONCATENATE(LEFT(Master_ventas[[#This Row],[ProdUpper]],3),RIGHT(Master_ventas[[#This Row],[Ext-Year]],2),"-",MID(Master_ventas[[#This Row],[Category]],1,1))</f>
        <v>TAB24-E</v>
      </c>
      <c r="N170" t="str">
        <f>MID(Master_ventas[[#This Row],[ProdUpper]],1,3)</f>
        <v>TAB</v>
      </c>
      <c r="O170" t="str">
        <f>UPPER(IF(Master_ventas[[#This Row],[Profit]]&gt;500,"High","Std"))</f>
        <v>STD</v>
      </c>
      <c r="P170">
        <v>169</v>
      </c>
    </row>
    <row r="171" spans="1:16" x14ac:dyDescent="0.3">
      <c r="A171" s="1">
        <v>45250</v>
      </c>
      <c r="B171" t="s">
        <v>19</v>
      </c>
      <c r="C171" t="s">
        <v>14</v>
      </c>
      <c r="D171" t="s">
        <v>16</v>
      </c>
      <c r="E171">
        <v>2</v>
      </c>
      <c r="F171" s="3">
        <v>2244</v>
      </c>
      <c r="G171" s="2">
        <v>212.08</v>
      </c>
      <c r="H171">
        <f>Master_ventas[[#This Row],[Profit]]/Master_ventas[[#This Row],[Sales]]</f>
        <v>9.450980392156863E-2</v>
      </c>
      <c r="I171">
        <f ca="1">Referencia_Hoy-Master_ventas[[#This Row],[Order Date]]</f>
        <v>1073</v>
      </c>
      <c r="J171" t="str">
        <f>UPPER(Master_ventas[[#This Row],[Product Name]])</f>
        <v>SMARTWATCH</v>
      </c>
      <c r="K171" t="str">
        <f>UPPER(Master_ventas[[#This Row],[Category]])</f>
        <v>ELECTRONICS</v>
      </c>
      <c r="L171">
        <f>YEAR(Master_ventas[[#This Row],[Order Date]])</f>
        <v>2023</v>
      </c>
      <c r="M171" t="str">
        <f>CONCATENATE(LEFT(Master_ventas[[#This Row],[ProdUpper]],3),RIGHT(Master_ventas[[#This Row],[Ext-Year]],2),"-",MID(Master_ventas[[#This Row],[Category]],1,1))</f>
        <v>SMA23-E</v>
      </c>
      <c r="N171" t="str">
        <f>MID(Master_ventas[[#This Row],[ProdUpper]],1,3)</f>
        <v>SMA</v>
      </c>
      <c r="O171" t="str">
        <f>UPPER(IF(Master_ventas[[#This Row],[Profit]]&gt;500,"High","Std"))</f>
        <v>STD</v>
      </c>
      <c r="P171">
        <v>170</v>
      </c>
    </row>
    <row r="172" spans="1:16" x14ac:dyDescent="0.3">
      <c r="A172" s="1">
        <v>45122</v>
      </c>
      <c r="B172" t="s">
        <v>20</v>
      </c>
      <c r="C172" t="s">
        <v>11</v>
      </c>
      <c r="D172" t="s">
        <v>12</v>
      </c>
      <c r="E172">
        <v>6</v>
      </c>
      <c r="F172" s="3">
        <v>3150</v>
      </c>
      <c r="G172" s="2">
        <v>578.87</v>
      </c>
      <c r="H172">
        <f>Master_ventas[[#This Row],[Profit]]/Master_ventas[[#This Row],[Sales]]</f>
        <v>0.18376825396825397</v>
      </c>
      <c r="I172">
        <f ca="1">Referencia_Hoy-Master_ventas[[#This Row],[Order Date]]</f>
        <v>1201</v>
      </c>
      <c r="J172" t="str">
        <f>UPPER(Master_ventas[[#This Row],[Product Name]])</f>
        <v>MONITOR</v>
      </c>
      <c r="K172" t="str">
        <f>UPPER(Master_ventas[[#This Row],[Category]])</f>
        <v>ACCESSORIES</v>
      </c>
      <c r="L172">
        <f>YEAR(Master_ventas[[#This Row],[Order Date]])</f>
        <v>2023</v>
      </c>
      <c r="M172" t="str">
        <f>CONCATENATE(LEFT(Master_ventas[[#This Row],[ProdUpper]],3),RIGHT(Master_ventas[[#This Row],[Ext-Year]],2),"-",MID(Master_ventas[[#This Row],[Category]],1,1))</f>
        <v>MON23-A</v>
      </c>
      <c r="N172" t="str">
        <f>MID(Master_ventas[[#This Row],[ProdUpper]],1,3)</f>
        <v>MON</v>
      </c>
      <c r="O172" t="str">
        <f>UPPER(IF(Master_ventas[[#This Row],[Profit]]&gt;500,"High","Std"))</f>
        <v>HIGH</v>
      </c>
      <c r="P172">
        <v>171</v>
      </c>
    </row>
    <row r="173" spans="1:16" x14ac:dyDescent="0.3">
      <c r="A173" s="1">
        <v>45284</v>
      </c>
      <c r="B173" t="s">
        <v>23</v>
      </c>
      <c r="C173" t="s">
        <v>14</v>
      </c>
      <c r="D173" t="s">
        <v>15</v>
      </c>
      <c r="E173">
        <v>7</v>
      </c>
      <c r="F173" s="3">
        <v>3388</v>
      </c>
      <c r="G173" s="2">
        <v>347.19</v>
      </c>
      <c r="H173">
        <f>Master_ventas[[#This Row],[Profit]]/Master_ventas[[#This Row],[Sales]]</f>
        <v>0.10247638724911452</v>
      </c>
      <c r="I173">
        <f ca="1">Referencia_Hoy-Master_ventas[[#This Row],[Order Date]]</f>
        <v>1039</v>
      </c>
      <c r="J173" t="str">
        <f>UPPER(Master_ventas[[#This Row],[Product Name]])</f>
        <v>LAPTOP</v>
      </c>
      <c r="K173" t="str">
        <f>UPPER(Master_ventas[[#This Row],[Category]])</f>
        <v>ELECTRONICS</v>
      </c>
      <c r="L173">
        <f>YEAR(Master_ventas[[#This Row],[Order Date]])</f>
        <v>2023</v>
      </c>
      <c r="M173" t="str">
        <f>CONCATENATE(LEFT(Master_ventas[[#This Row],[ProdUpper]],3),RIGHT(Master_ventas[[#This Row],[Ext-Year]],2),"-",MID(Master_ventas[[#This Row],[Category]],1,1))</f>
        <v>LAP23-E</v>
      </c>
      <c r="N173" t="str">
        <f>MID(Master_ventas[[#This Row],[ProdUpper]],1,3)</f>
        <v>LAP</v>
      </c>
      <c r="O173" t="str">
        <f>UPPER(IF(Master_ventas[[#This Row],[Profit]]&gt;500,"High","Std"))</f>
        <v>STD</v>
      </c>
      <c r="P173">
        <v>172</v>
      </c>
    </row>
    <row r="174" spans="1:16" x14ac:dyDescent="0.3">
      <c r="A174" s="1">
        <v>45151</v>
      </c>
      <c r="B174" t="s">
        <v>23</v>
      </c>
      <c r="C174" t="s">
        <v>14</v>
      </c>
      <c r="D174" t="s">
        <v>12</v>
      </c>
      <c r="E174">
        <v>8</v>
      </c>
      <c r="F174" s="3">
        <v>8736</v>
      </c>
      <c r="G174" s="2">
        <v>580.30999999999995</v>
      </c>
      <c r="H174">
        <f>Master_ventas[[#This Row],[Profit]]/Master_ventas[[#This Row],[Sales]]</f>
        <v>6.6427426739926729E-2</v>
      </c>
      <c r="I174">
        <f ca="1">Referencia_Hoy-Master_ventas[[#This Row],[Order Date]]</f>
        <v>1172</v>
      </c>
      <c r="J174" t="str">
        <f>UPPER(Master_ventas[[#This Row],[Product Name]])</f>
        <v>LAPTOP</v>
      </c>
      <c r="K174" t="str">
        <f>UPPER(Master_ventas[[#This Row],[Category]])</f>
        <v>ELECTRONICS</v>
      </c>
      <c r="L174">
        <f>YEAR(Master_ventas[[#This Row],[Order Date]])</f>
        <v>2023</v>
      </c>
      <c r="M174" t="str">
        <f>CONCATENATE(LEFT(Master_ventas[[#This Row],[ProdUpper]],3),RIGHT(Master_ventas[[#This Row],[Ext-Year]],2),"-",MID(Master_ventas[[#This Row],[Category]],1,1))</f>
        <v>LAP23-E</v>
      </c>
      <c r="N174" t="str">
        <f>MID(Master_ventas[[#This Row],[ProdUpper]],1,3)</f>
        <v>LAP</v>
      </c>
      <c r="O174" t="str">
        <f>UPPER(IF(Master_ventas[[#This Row],[Profit]]&gt;500,"High","Std"))</f>
        <v>HIGH</v>
      </c>
      <c r="P174">
        <v>173</v>
      </c>
    </row>
    <row r="175" spans="1:16" x14ac:dyDescent="0.3">
      <c r="A175" s="1">
        <v>44675</v>
      </c>
      <c r="B175" t="s">
        <v>21</v>
      </c>
      <c r="C175" t="s">
        <v>14</v>
      </c>
      <c r="D175" t="s">
        <v>15</v>
      </c>
      <c r="E175">
        <v>2</v>
      </c>
      <c r="F175" s="3">
        <v>1102</v>
      </c>
      <c r="G175" s="2">
        <v>176.53</v>
      </c>
      <c r="H175">
        <f>Master_ventas[[#This Row],[Profit]]/Master_ventas[[#This Row],[Sales]]</f>
        <v>0.16019056261343012</v>
      </c>
      <c r="I175">
        <f ca="1">Referencia_Hoy-Master_ventas[[#This Row],[Order Date]]</f>
        <v>1648</v>
      </c>
      <c r="J175" t="str">
        <f>UPPER(Master_ventas[[#This Row],[Product Name]])</f>
        <v>SMARTPHONE</v>
      </c>
      <c r="K175" t="str">
        <f>UPPER(Master_ventas[[#This Row],[Category]])</f>
        <v>ELECTRONICS</v>
      </c>
      <c r="L175">
        <f>YEAR(Master_ventas[[#This Row],[Order Date]])</f>
        <v>2022</v>
      </c>
      <c r="M175" t="str">
        <f>CONCATENATE(LEFT(Master_ventas[[#This Row],[ProdUpper]],3),RIGHT(Master_ventas[[#This Row],[Ext-Year]],2),"-",MID(Master_ventas[[#This Row],[Category]],1,1))</f>
        <v>SMA22-E</v>
      </c>
      <c r="N175" t="str">
        <f>MID(Master_ventas[[#This Row],[ProdUpper]],1,3)</f>
        <v>SMA</v>
      </c>
      <c r="O175" t="str">
        <f>UPPER(IF(Master_ventas[[#This Row],[Profit]]&gt;500,"High","Std"))</f>
        <v>STD</v>
      </c>
      <c r="P175">
        <v>174</v>
      </c>
    </row>
    <row r="176" spans="1:16" x14ac:dyDescent="0.3">
      <c r="A176" s="1">
        <v>45486</v>
      </c>
      <c r="B176" t="s">
        <v>20</v>
      </c>
      <c r="C176" t="s">
        <v>11</v>
      </c>
      <c r="D176" t="s">
        <v>12</v>
      </c>
      <c r="E176">
        <v>3</v>
      </c>
      <c r="F176" s="3">
        <v>2640</v>
      </c>
      <c r="G176" s="2">
        <v>199.97</v>
      </c>
      <c r="H176">
        <f>Master_ventas[[#This Row],[Profit]]/Master_ventas[[#This Row],[Sales]]</f>
        <v>7.5746212121212117E-2</v>
      </c>
      <c r="I176">
        <f ca="1">Referencia_Hoy-Master_ventas[[#This Row],[Order Date]]</f>
        <v>837</v>
      </c>
      <c r="J176" t="str">
        <f>UPPER(Master_ventas[[#This Row],[Product Name]])</f>
        <v>MONITOR</v>
      </c>
      <c r="K176" t="str">
        <f>UPPER(Master_ventas[[#This Row],[Category]])</f>
        <v>ACCESSORIES</v>
      </c>
      <c r="L176">
        <f>YEAR(Master_ventas[[#This Row],[Order Date]])</f>
        <v>2024</v>
      </c>
      <c r="M176" t="str">
        <f>CONCATENATE(LEFT(Master_ventas[[#This Row],[ProdUpper]],3),RIGHT(Master_ventas[[#This Row],[Ext-Year]],2),"-",MID(Master_ventas[[#This Row],[Category]],1,1))</f>
        <v>MON24-A</v>
      </c>
      <c r="N176" t="str">
        <f>MID(Master_ventas[[#This Row],[ProdUpper]],1,3)</f>
        <v>MON</v>
      </c>
      <c r="O176" t="str">
        <f>UPPER(IF(Master_ventas[[#This Row],[Profit]]&gt;500,"High","Std"))</f>
        <v>STD</v>
      </c>
      <c r="P176">
        <v>175</v>
      </c>
    </row>
    <row r="177" spans="1:16" x14ac:dyDescent="0.3">
      <c r="A177" s="1">
        <v>44723</v>
      </c>
      <c r="B177" t="s">
        <v>7</v>
      </c>
      <c r="C177" t="s">
        <v>8</v>
      </c>
      <c r="D177" t="s">
        <v>16</v>
      </c>
      <c r="E177">
        <v>3</v>
      </c>
      <c r="F177" s="3">
        <v>2547</v>
      </c>
      <c r="G177" s="2">
        <v>300.74</v>
      </c>
      <c r="H177">
        <f>Master_ventas[[#This Row],[Profit]]/Master_ventas[[#This Row],[Sales]]</f>
        <v>0.11807616804083236</v>
      </c>
      <c r="I177">
        <f ca="1">Referencia_Hoy-Master_ventas[[#This Row],[Order Date]]</f>
        <v>1600</v>
      </c>
      <c r="J177" t="str">
        <f>UPPER(Master_ventas[[#This Row],[Product Name]])</f>
        <v>PRINTER</v>
      </c>
      <c r="K177" t="str">
        <f>UPPER(Master_ventas[[#This Row],[Category]])</f>
        <v>OFFICE</v>
      </c>
      <c r="L177">
        <f>YEAR(Master_ventas[[#This Row],[Order Date]])</f>
        <v>2022</v>
      </c>
      <c r="M177" t="str">
        <f>CONCATENATE(LEFT(Master_ventas[[#This Row],[ProdUpper]],3),RIGHT(Master_ventas[[#This Row],[Ext-Year]],2),"-",MID(Master_ventas[[#This Row],[Category]],1,1))</f>
        <v>PRI22-O</v>
      </c>
      <c r="N177" t="str">
        <f>MID(Master_ventas[[#This Row],[ProdUpper]],1,3)</f>
        <v>PRI</v>
      </c>
      <c r="O177" t="str">
        <f>UPPER(IF(Master_ventas[[#This Row],[Profit]]&gt;500,"High","Std"))</f>
        <v>STD</v>
      </c>
      <c r="P177">
        <v>176</v>
      </c>
    </row>
    <row r="178" spans="1:16" x14ac:dyDescent="0.3">
      <c r="A178" s="1">
        <v>45593</v>
      </c>
      <c r="B178" t="s">
        <v>23</v>
      </c>
      <c r="C178" t="s">
        <v>14</v>
      </c>
      <c r="D178" t="s">
        <v>9</v>
      </c>
      <c r="E178">
        <v>7</v>
      </c>
      <c r="F178" s="3">
        <v>728</v>
      </c>
      <c r="G178" s="2">
        <v>64.819999999999993</v>
      </c>
      <c r="H178">
        <f>Master_ventas[[#This Row],[Profit]]/Master_ventas[[#This Row],[Sales]]</f>
        <v>8.9038461538461525E-2</v>
      </c>
      <c r="I178">
        <f ca="1">Referencia_Hoy-Master_ventas[[#This Row],[Order Date]]</f>
        <v>730</v>
      </c>
      <c r="J178" t="str">
        <f>UPPER(Master_ventas[[#This Row],[Product Name]])</f>
        <v>LAPTOP</v>
      </c>
      <c r="K178" t="str">
        <f>UPPER(Master_ventas[[#This Row],[Category]])</f>
        <v>ELECTRONICS</v>
      </c>
      <c r="L178">
        <f>YEAR(Master_ventas[[#This Row],[Order Date]])</f>
        <v>2024</v>
      </c>
      <c r="M178" t="str">
        <f>CONCATENATE(LEFT(Master_ventas[[#This Row],[ProdUpper]],3),RIGHT(Master_ventas[[#This Row],[Ext-Year]],2),"-",MID(Master_ventas[[#This Row],[Category]],1,1))</f>
        <v>LAP24-E</v>
      </c>
      <c r="N178" t="str">
        <f>MID(Master_ventas[[#This Row],[ProdUpper]],1,3)</f>
        <v>LAP</v>
      </c>
      <c r="O178" t="str">
        <f>UPPER(IF(Master_ventas[[#This Row],[Profit]]&gt;500,"High","Std"))</f>
        <v>STD</v>
      </c>
      <c r="P178">
        <v>177</v>
      </c>
    </row>
    <row r="179" spans="1:16" x14ac:dyDescent="0.3">
      <c r="A179" s="1">
        <v>44889</v>
      </c>
      <c r="B179" t="s">
        <v>17</v>
      </c>
      <c r="C179" t="s">
        <v>14</v>
      </c>
      <c r="D179" t="s">
        <v>15</v>
      </c>
      <c r="E179">
        <v>7</v>
      </c>
      <c r="F179" s="3">
        <v>3444</v>
      </c>
      <c r="G179" s="2">
        <v>607.44000000000005</v>
      </c>
      <c r="H179">
        <f>Master_ventas[[#This Row],[Profit]]/Master_ventas[[#This Row],[Sales]]</f>
        <v>0.17637630662020906</v>
      </c>
      <c r="I179">
        <f ca="1">Referencia_Hoy-Master_ventas[[#This Row],[Order Date]]</f>
        <v>1434</v>
      </c>
      <c r="J179" t="str">
        <f>UPPER(Master_ventas[[#This Row],[Product Name]])</f>
        <v>CAMERA</v>
      </c>
      <c r="K179" t="str">
        <f>UPPER(Master_ventas[[#This Row],[Category]])</f>
        <v>ELECTRONICS</v>
      </c>
      <c r="L179">
        <f>YEAR(Master_ventas[[#This Row],[Order Date]])</f>
        <v>2022</v>
      </c>
      <c r="M179" t="str">
        <f>CONCATENATE(LEFT(Master_ventas[[#This Row],[ProdUpper]],3),RIGHT(Master_ventas[[#This Row],[Ext-Year]],2),"-",MID(Master_ventas[[#This Row],[Category]],1,1))</f>
        <v>CAM22-E</v>
      </c>
      <c r="N179" t="str">
        <f>MID(Master_ventas[[#This Row],[ProdUpper]],1,3)</f>
        <v>CAM</v>
      </c>
      <c r="O179" t="str">
        <f>UPPER(IF(Master_ventas[[#This Row],[Profit]]&gt;500,"High","Std"))</f>
        <v>HIGH</v>
      </c>
      <c r="P179">
        <v>178</v>
      </c>
    </row>
    <row r="180" spans="1:16" x14ac:dyDescent="0.3">
      <c r="A180" s="1">
        <v>45568</v>
      </c>
      <c r="B180" t="s">
        <v>17</v>
      </c>
      <c r="C180" t="s">
        <v>14</v>
      </c>
      <c r="D180" t="s">
        <v>16</v>
      </c>
      <c r="E180">
        <v>5</v>
      </c>
      <c r="F180" s="3">
        <v>3140</v>
      </c>
      <c r="G180" s="2">
        <v>853.66</v>
      </c>
      <c r="H180">
        <f>Master_ventas[[#This Row],[Profit]]/Master_ventas[[#This Row],[Sales]]</f>
        <v>0.27186624203821658</v>
      </c>
      <c r="I180">
        <f ca="1">Referencia_Hoy-Master_ventas[[#This Row],[Order Date]]</f>
        <v>755</v>
      </c>
      <c r="J180" t="str">
        <f>UPPER(Master_ventas[[#This Row],[Product Name]])</f>
        <v>CAMERA</v>
      </c>
      <c r="K180" t="str">
        <f>UPPER(Master_ventas[[#This Row],[Category]])</f>
        <v>ELECTRONICS</v>
      </c>
      <c r="L180">
        <f>YEAR(Master_ventas[[#This Row],[Order Date]])</f>
        <v>2024</v>
      </c>
      <c r="M180" t="str">
        <f>CONCATENATE(LEFT(Master_ventas[[#This Row],[ProdUpper]],3),RIGHT(Master_ventas[[#This Row],[Ext-Year]],2),"-",MID(Master_ventas[[#This Row],[Category]],1,1))</f>
        <v>CAM24-E</v>
      </c>
      <c r="N180" t="str">
        <f>MID(Master_ventas[[#This Row],[ProdUpper]],1,3)</f>
        <v>CAM</v>
      </c>
      <c r="O180" t="str">
        <f>UPPER(IF(Master_ventas[[#This Row],[Profit]]&gt;500,"High","Std"))</f>
        <v>HIGH</v>
      </c>
      <c r="P180">
        <v>179</v>
      </c>
    </row>
    <row r="181" spans="1:16" x14ac:dyDescent="0.3">
      <c r="A181" s="1">
        <v>45375</v>
      </c>
      <c r="B181" t="s">
        <v>21</v>
      </c>
      <c r="C181" t="s">
        <v>14</v>
      </c>
      <c r="D181" t="s">
        <v>12</v>
      </c>
      <c r="E181">
        <v>3</v>
      </c>
      <c r="F181" s="3">
        <v>435</v>
      </c>
      <c r="G181" s="2">
        <v>129.27000000000001</v>
      </c>
      <c r="H181">
        <f>Master_ventas[[#This Row],[Profit]]/Master_ventas[[#This Row],[Sales]]</f>
        <v>0.2971724137931035</v>
      </c>
      <c r="I181">
        <f ca="1">Referencia_Hoy-Master_ventas[[#This Row],[Order Date]]</f>
        <v>948</v>
      </c>
      <c r="J181" t="str">
        <f>UPPER(Master_ventas[[#This Row],[Product Name]])</f>
        <v>SMARTPHONE</v>
      </c>
      <c r="K181" t="str">
        <f>UPPER(Master_ventas[[#This Row],[Category]])</f>
        <v>ELECTRONICS</v>
      </c>
      <c r="L181">
        <f>YEAR(Master_ventas[[#This Row],[Order Date]])</f>
        <v>2024</v>
      </c>
      <c r="M181" t="str">
        <f>CONCATENATE(LEFT(Master_ventas[[#This Row],[ProdUpper]],3),RIGHT(Master_ventas[[#This Row],[Ext-Year]],2),"-",MID(Master_ventas[[#This Row],[Category]],1,1))</f>
        <v>SMA24-E</v>
      </c>
      <c r="N181" t="str">
        <f>MID(Master_ventas[[#This Row],[ProdUpper]],1,3)</f>
        <v>SMA</v>
      </c>
      <c r="O181" t="str">
        <f>UPPER(IF(Master_ventas[[#This Row],[Profit]]&gt;500,"High","Std"))</f>
        <v>STD</v>
      </c>
      <c r="P181">
        <v>180</v>
      </c>
    </row>
    <row r="182" spans="1:16" x14ac:dyDescent="0.3">
      <c r="A182" s="1">
        <v>45471</v>
      </c>
      <c r="B182" t="s">
        <v>22</v>
      </c>
      <c r="C182" t="s">
        <v>11</v>
      </c>
      <c r="D182" t="s">
        <v>12</v>
      </c>
      <c r="E182">
        <v>4</v>
      </c>
      <c r="F182" s="3">
        <v>856</v>
      </c>
      <c r="G182" s="2">
        <v>72.989999999999995</v>
      </c>
      <c r="H182">
        <f>Master_ventas[[#This Row],[Profit]]/Master_ventas[[#This Row],[Sales]]</f>
        <v>8.5268691588785042E-2</v>
      </c>
      <c r="I182">
        <f ca="1">Referencia_Hoy-Master_ventas[[#This Row],[Order Date]]</f>
        <v>852</v>
      </c>
      <c r="J182" t="str">
        <f>UPPER(Master_ventas[[#This Row],[Product Name]])</f>
        <v>KEYBOARD</v>
      </c>
      <c r="K182" t="str">
        <f>UPPER(Master_ventas[[#This Row],[Category]])</f>
        <v>ACCESSORIES</v>
      </c>
      <c r="L182">
        <f>YEAR(Master_ventas[[#This Row],[Order Date]])</f>
        <v>2024</v>
      </c>
      <c r="M182" t="str">
        <f>CONCATENATE(LEFT(Master_ventas[[#This Row],[ProdUpper]],3),RIGHT(Master_ventas[[#This Row],[Ext-Year]],2),"-",MID(Master_ventas[[#This Row],[Category]],1,1))</f>
        <v>KEY24-A</v>
      </c>
      <c r="N182" t="str">
        <f>MID(Master_ventas[[#This Row],[ProdUpper]],1,3)</f>
        <v>KEY</v>
      </c>
      <c r="O182" t="str">
        <f>UPPER(IF(Master_ventas[[#This Row],[Profit]]&gt;500,"High","Std"))</f>
        <v>STD</v>
      </c>
      <c r="P182">
        <v>181</v>
      </c>
    </row>
    <row r="183" spans="1:16" x14ac:dyDescent="0.3">
      <c r="A183" s="1">
        <v>44712</v>
      </c>
      <c r="B183" t="s">
        <v>7</v>
      </c>
      <c r="C183" t="s">
        <v>8</v>
      </c>
      <c r="D183" t="s">
        <v>9</v>
      </c>
      <c r="E183">
        <v>2</v>
      </c>
      <c r="F183" s="3">
        <v>112</v>
      </c>
      <c r="G183" s="2">
        <v>23.33</v>
      </c>
      <c r="H183">
        <f>Master_ventas[[#This Row],[Profit]]/Master_ventas[[#This Row],[Sales]]</f>
        <v>0.20830357142857142</v>
      </c>
      <c r="I183">
        <f ca="1">Referencia_Hoy-Master_ventas[[#This Row],[Order Date]]</f>
        <v>1611</v>
      </c>
      <c r="J183" t="str">
        <f>UPPER(Master_ventas[[#This Row],[Product Name]])</f>
        <v>PRINTER</v>
      </c>
      <c r="K183" t="str">
        <f>UPPER(Master_ventas[[#This Row],[Category]])</f>
        <v>OFFICE</v>
      </c>
      <c r="L183">
        <f>YEAR(Master_ventas[[#This Row],[Order Date]])</f>
        <v>2022</v>
      </c>
      <c r="M183" t="str">
        <f>CONCATENATE(LEFT(Master_ventas[[#This Row],[ProdUpper]],3),RIGHT(Master_ventas[[#This Row],[Ext-Year]],2),"-",MID(Master_ventas[[#This Row],[Category]],1,1))</f>
        <v>PRI22-O</v>
      </c>
      <c r="N183" t="str">
        <f>MID(Master_ventas[[#This Row],[ProdUpper]],1,3)</f>
        <v>PRI</v>
      </c>
      <c r="O183" t="str">
        <f>UPPER(IF(Master_ventas[[#This Row],[Profit]]&gt;500,"High","Std"))</f>
        <v>STD</v>
      </c>
      <c r="P183">
        <v>182</v>
      </c>
    </row>
    <row r="184" spans="1:16" x14ac:dyDescent="0.3">
      <c r="A184" s="1">
        <v>45376</v>
      </c>
      <c r="B184" t="s">
        <v>18</v>
      </c>
      <c r="C184" t="s">
        <v>11</v>
      </c>
      <c r="D184" t="s">
        <v>9</v>
      </c>
      <c r="E184">
        <v>3</v>
      </c>
      <c r="F184" s="3">
        <v>2247</v>
      </c>
      <c r="G184" s="2">
        <v>507.79</v>
      </c>
      <c r="H184">
        <f>Master_ventas[[#This Row],[Profit]]/Master_ventas[[#This Row],[Sales]]</f>
        <v>0.22598575878949712</v>
      </c>
      <c r="I184">
        <f ca="1">Referencia_Hoy-Master_ventas[[#This Row],[Order Date]]</f>
        <v>947</v>
      </c>
      <c r="J184" t="str">
        <f>UPPER(Master_ventas[[#This Row],[Product Name]])</f>
        <v>HEADPHONES</v>
      </c>
      <c r="K184" t="str">
        <f>UPPER(Master_ventas[[#This Row],[Category]])</f>
        <v>ACCESSORIES</v>
      </c>
      <c r="L184">
        <f>YEAR(Master_ventas[[#This Row],[Order Date]])</f>
        <v>2024</v>
      </c>
      <c r="M184" t="str">
        <f>CONCATENATE(LEFT(Master_ventas[[#This Row],[ProdUpper]],3),RIGHT(Master_ventas[[#This Row],[Ext-Year]],2),"-",MID(Master_ventas[[#This Row],[Category]],1,1))</f>
        <v>HEA24-A</v>
      </c>
      <c r="N184" t="str">
        <f>MID(Master_ventas[[#This Row],[ProdUpper]],1,3)</f>
        <v>HEA</v>
      </c>
      <c r="O184" t="str">
        <f>UPPER(IF(Master_ventas[[#This Row],[Profit]]&gt;500,"High","Std"))</f>
        <v>HIGH</v>
      </c>
      <c r="P184">
        <v>183</v>
      </c>
    </row>
    <row r="185" spans="1:16" x14ac:dyDescent="0.3">
      <c r="A185" s="1">
        <v>44957</v>
      </c>
      <c r="B185" t="s">
        <v>22</v>
      </c>
      <c r="C185" t="s">
        <v>11</v>
      </c>
      <c r="D185" t="s">
        <v>16</v>
      </c>
      <c r="E185">
        <v>2</v>
      </c>
      <c r="F185" s="3">
        <v>1512</v>
      </c>
      <c r="G185" s="2">
        <v>298.73</v>
      </c>
      <c r="H185">
        <f>Master_ventas[[#This Row],[Profit]]/Master_ventas[[#This Row],[Sales]]</f>
        <v>0.19757275132275134</v>
      </c>
      <c r="I185">
        <f ca="1">Referencia_Hoy-Master_ventas[[#This Row],[Order Date]]</f>
        <v>1366</v>
      </c>
      <c r="J185" t="str">
        <f>UPPER(Master_ventas[[#This Row],[Product Name]])</f>
        <v>KEYBOARD</v>
      </c>
      <c r="K185" t="str">
        <f>UPPER(Master_ventas[[#This Row],[Category]])</f>
        <v>ACCESSORIES</v>
      </c>
      <c r="L185">
        <f>YEAR(Master_ventas[[#This Row],[Order Date]])</f>
        <v>2023</v>
      </c>
      <c r="M185" t="str">
        <f>CONCATENATE(LEFT(Master_ventas[[#This Row],[ProdUpper]],3),RIGHT(Master_ventas[[#This Row],[Ext-Year]],2),"-",MID(Master_ventas[[#This Row],[Category]],1,1))</f>
        <v>KEY23-A</v>
      </c>
      <c r="N185" t="str">
        <f>MID(Master_ventas[[#This Row],[ProdUpper]],1,3)</f>
        <v>KEY</v>
      </c>
      <c r="O185" t="str">
        <f>UPPER(IF(Master_ventas[[#This Row],[Profit]]&gt;500,"High","Std"))</f>
        <v>STD</v>
      </c>
      <c r="P185">
        <v>184</v>
      </c>
    </row>
    <row r="186" spans="1:16" x14ac:dyDescent="0.3">
      <c r="A186" s="1">
        <v>45466</v>
      </c>
      <c r="B186" t="s">
        <v>10</v>
      </c>
      <c r="C186" t="s">
        <v>11</v>
      </c>
      <c r="D186" t="s">
        <v>15</v>
      </c>
      <c r="E186">
        <v>5</v>
      </c>
      <c r="F186" s="3">
        <v>4915</v>
      </c>
      <c r="G186" s="2">
        <v>1196.5999999999999</v>
      </c>
      <c r="H186">
        <f>Master_ventas[[#This Row],[Profit]]/Master_ventas[[#This Row],[Sales]]</f>
        <v>0.24345879959308239</v>
      </c>
      <c r="I186">
        <f ca="1">Referencia_Hoy-Master_ventas[[#This Row],[Order Date]]</f>
        <v>857</v>
      </c>
      <c r="J186" t="str">
        <f>UPPER(Master_ventas[[#This Row],[Product Name]])</f>
        <v>MOUSE</v>
      </c>
      <c r="K186" t="str">
        <f>UPPER(Master_ventas[[#This Row],[Category]])</f>
        <v>ACCESSORIES</v>
      </c>
      <c r="L186">
        <f>YEAR(Master_ventas[[#This Row],[Order Date]])</f>
        <v>2024</v>
      </c>
      <c r="M186" t="str">
        <f>CONCATENATE(LEFT(Master_ventas[[#This Row],[ProdUpper]],3),RIGHT(Master_ventas[[#This Row],[Ext-Year]],2),"-",MID(Master_ventas[[#This Row],[Category]],1,1))</f>
        <v>MOU24-A</v>
      </c>
      <c r="N186" t="str">
        <f>MID(Master_ventas[[#This Row],[ProdUpper]],1,3)</f>
        <v>MOU</v>
      </c>
      <c r="O186" t="str">
        <f>UPPER(IF(Master_ventas[[#This Row],[Profit]]&gt;500,"High","Std"))</f>
        <v>HIGH</v>
      </c>
      <c r="P186">
        <v>185</v>
      </c>
    </row>
    <row r="187" spans="1:16" x14ac:dyDescent="0.3">
      <c r="A187" s="1">
        <v>45154</v>
      </c>
      <c r="B187" t="s">
        <v>10</v>
      </c>
      <c r="C187" t="s">
        <v>11</v>
      </c>
      <c r="D187" t="s">
        <v>15</v>
      </c>
      <c r="E187">
        <v>3</v>
      </c>
      <c r="F187" s="3">
        <v>2709</v>
      </c>
      <c r="G187" s="2">
        <v>663.54</v>
      </c>
      <c r="H187">
        <f>Master_ventas[[#This Row],[Profit]]/Master_ventas[[#This Row],[Sales]]</f>
        <v>0.2449390919158361</v>
      </c>
      <c r="I187">
        <f ca="1">Referencia_Hoy-Master_ventas[[#This Row],[Order Date]]</f>
        <v>1169</v>
      </c>
      <c r="J187" t="str">
        <f>UPPER(Master_ventas[[#This Row],[Product Name]])</f>
        <v>MOUSE</v>
      </c>
      <c r="K187" t="str">
        <f>UPPER(Master_ventas[[#This Row],[Category]])</f>
        <v>ACCESSORIES</v>
      </c>
      <c r="L187">
        <f>YEAR(Master_ventas[[#This Row],[Order Date]])</f>
        <v>2023</v>
      </c>
      <c r="M187" t="str">
        <f>CONCATENATE(LEFT(Master_ventas[[#This Row],[ProdUpper]],3),RIGHT(Master_ventas[[#This Row],[Ext-Year]],2),"-",MID(Master_ventas[[#This Row],[Category]],1,1))</f>
        <v>MOU23-A</v>
      </c>
      <c r="N187" t="str">
        <f>MID(Master_ventas[[#This Row],[ProdUpper]],1,3)</f>
        <v>MOU</v>
      </c>
      <c r="O187" t="str">
        <f>UPPER(IF(Master_ventas[[#This Row],[Profit]]&gt;500,"High","Std"))</f>
        <v>HIGH</v>
      </c>
      <c r="P187">
        <v>186</v>
      </c>
    </row>
    <row r="188" spans="1:16" x14ac:dyDescent="0.3">
      <c r="A188" s="1">
        <v>45087</v>
      </c>
      <c r="B188" t="s">
        <v>13</v>
      </c>
      <c r="C188" t="s">
        <v>14</v>
      </c>
      <c r="D188" t="s">
        <v>9</v>
      </c>
      <c r="E188">
        <v>7</v>
      </c>
      <c r="F188" s="3">
        <v>1239</v>
      </c>
      <c r="G188" s="2">
        <v>118.36</v>
      </c>
      <c r="H188">
        <f>Master_ventas[[#This Row],[Profit]]/Master_ventas[[#This Row],[Sales]]</f>
        <v>9.5528652138821626E-2</v>
      </c>
      <c r="I188">
        <f ca="1">Referencia_Hoy-Master_ventas[[#This Row],[Order Date]]</f>
        <v>1236</v>
      </c>
      <c r="J188" t="str">
        <f>UPPER(Master_ventas[[#This Row],[Product Name]])</f>
        <v>TABLET</v>
      </c>
      <c r="K188" t="str">
        <f>UPPER(Master_ventas[[#This Row],[Category]])</f>
        <v>ELECTRONICS</v>
      </c>
      <c r="L188">
        <f>YEAR(Master_ventas[[#This Row],[Order Date]])</f>
        <v>2023</v>
      </c>
      <c r="M188" t="str">
        <f>CONCATENATE(LEFT(Master_ventas[[#This Row],[ProdUpper]],3),RIGHT(Master_ventas[[#This Row],[Ext-Year]],2),"-",MID(Master_ventas[[#This Row],[Category]],1,1))</f>
        <v>TAB23-E</v>
      </c>
      <c r="N188" t="str">
        <f>MID(Master_ventas[[#This Row],[ProdUpper]],1,3)</f>
        <v>TAB</v>
      </c>
      <c r="O188" t="str">
        <f>UPPER(IF(Master_ventas[[#This Row],[Profit]]&gt;500,"High","Std"))</f>
        <v>STD</v>
      </c>
      <c r="P188">
        <v>187</v>
      </c>
    </row>
    <row r="189" spans="1:16" x14ac:dyDescent="0.3">
      <c r="A189" s="1">
        <v>45055</v>
      </c>
      <c r="B189" t="s">
        <v>13</v>
      </c>
      <c r="C189" t="s">
        <v>14</v>
      </c>
      <c r="D189" t="s">
        <v>16</v>
      </c>
      <c r="E189">
        <v>2</v>
      </c>
      <c r="F189" s="3">
        <v>572</v>
      </c>
      <c r="G189" s="2">
        <v>86.16</v>
      </c>
      <c r="H189">
        <f>Master_ventas[[#This Row],[Profit]]/Master_ventas[[#This Row],[Sales]]</f>
        <v>0.15062937062937062</v>
      </c>
      <c r="I189">
        <f ca="1">Referencia_Hoy-Master_ventas[[#This Row],[Order Date]]</f>
        <v>1268</v>
      </c>
      <c r="J189" t="str">
        <f>UPPER(Master_ventas[[#This Row],[Product Name]])</f>
        <v>TABLET</v>
      </c>
      <c r="K189" t="str">
        <f>UPPER(Master_ventas[[#This Row],[Category]])</f>
        <v>ELECTRONICS</v>
      </c>
      <c r="L189">
        <f>YEAR(Master_ventas[[#This Row],[Order Date]])</f>
        <v>2023</v>
      </c>
      <c r="M189" t="str">
        <f>CONCATENATE(LEFT(Master_ventas[[#This Row],[ProdUpper]],3),RIGHT(Master_ventas[[#This Row],[Ext-Year]],2),"-",MID(Master_ventas[[#This Row],[Category]],1,1))</f>
        <v>TAB23-E</v>
      </c>
      <c r="N189" t="str">
        <f>MID(Master_ventas[[#This Row],[ProdUpper]],1,3)</f>
        <v>TAB</v>
      </c>
      <c r="O189" t="str">
        <f>UPPER(IF(Master_ventas[[#This Row],[Profit]]&gt;500,"High","Std"))</f>
        <v>STD</v>
      </c>
      <c r="P189">
        <v>188</v>
      </c>
    </row>
    <row r="190" spans="1:16" x14ac:dyDescent="0.3">
      <c r="A190" s="1">
        <v>44689</v>
      </c>
      <c r="B190" t="s">
        <v>19</v>
      </c>
      <c r="C190" t="s">
        <v>14</v>
      </c>
      <c r="D190" t="s">
        <v>9</v>
      </c>
      <c r="E190">
        <v>2</v>
      </c>
      <c r="F190" s="3">
        <v>1708</v>
      </c>
      <c r="G190" s="2">
        <v>93.25</v>
      </c>
      <c r="H190">
        <f>Master_ventas[[#This Row],[Profit]]/Master_ventas[[#This Row],[Sales]]</f>
        <v>5.4596018735362996E-2</v>
      </c>
      <c r="I190">
        <f ca="1">Referencia_Hoy-Master_ventas[[#This Row],[Order Date]]</f>
        <v>1634</v>
      </c>
      <c r="J190" t="str">
        <f>UPPER(Master_ventas[[#This Row],[Product Name]])</f>
        <v>SMARTWATCH</v>
      </c>
      <c r="K190" t="str">
        <f>UPPER(Master_ventas[[#This Row],[Category]])</f>
        <v>ELECTRONICS</v>
      </c>
      <c r="L190">
        <f>YEAR(Master_ventas[[#This Row],[Order Date]])</f>
        <v>2022</v>
      </c>
      <c r="M190" t="str">
        <f>CONCATENATE(LEFT(Master_ventas[[#This Row],[ProdUpper]],3),RIGHT(Master_ventas[[#This Row],[Ext-Year]],2),"-",MID(Master_ventas[[#This Row],[Category]],1,1))</f>
        <v>SMA22-E</v>
      </c>
      <c r="N190" t="str">
        <f>MID(Master_ventas[[#This Row],[ProdUpper]],1,3)</f>
        <v>SMA</v>
      </c>
      <c r="O190" t="str">
        <f>UPPER(IF(Master_ventas[[#This Row],[Profit]]&gt;500,"High","Std"))</f>
        <v>STD</v>
      </c>
      <c r="P190">
        <v>189</v>
      </c>
    </row>
    <row r="191" spans="1:16" x14ac:dyDescent="0.3">
      <c r="A191" s="1">
        <v>45602</v>
      </c>
      <c r="B191" t="s">
        <v>19</v>
      </c>
      <c r="C191" t="s">
        <v>14</v>
      </c>
      <c r="D191" t="s">
        <v>9</v>
      </c>
      <c r="E191">
        <v>4</v>
      </c>
      <c r="F191" s="3">
        <v>360</v>
      </c>
      <c r="G191" s="2">
        <v>42.66</v>
      </c>
      <c r="H191">
        <f>Master_ventas[[#This Row],[Profit]]/Master_ventas[[#This Row],[Sales]]</f>
        <v>0.11849999999999999</v>
      </c>
      <c r="I191">
        <f ca="1">Referencia_Hoy-Master_ventas[[#This Row],[Order Date]]</f>
        <v>721</v>
      </c>
      <c r="J191" t="str">
        <f>UPPER(Master_ventas[[#This Row],[Product Name]])</f>
        <v>SMARTWATCH</v>
      </c>
      <c r="K191" t="str">
        <f>UPPER(Master_ventas[[#This Row],[Category]])</f>
        <v>ELECTRONICS</v>
      </c>
      <c r="L191">
        <f>YEAR(Master_ventas[[#This Row],[Order Date]])</f>
        <v>2024</v>
      </c>
      <c r="M191" t="str">
        <f>CONCATENATE(LEFT(Master_ventas[[#This Row],[ProdUpper]],3),RIGHT(Master_ventas[[#This Row],[Ext-Year]],2),"-",MID(Master_ventas[[#This Row],[Category]],1,1))</f>
        <v>SMA24-E</v>
      </c>
      <c r="N191" t="str">
        <f>MID(Master_ventas[[#This Row],[ProdUpper]],1,3)</f>
        <v>SMA</v>
      </c>
      <c r="O191" t="str">
        <f>UPPER(IF(Master_ventas[[#This Row],[Profit]]&gt;500,"High","Std"))</f>
        <v>STD</v>
      </c>
      <c r="P191">
        <v>190</v>
      </c>
    </row>
    <row r="192" spans="1:16" x14ac:dyDescent="0.3">
      <c r="A192" s="1">
        <v>44903</v>
      </c>
      <c r="B192" t="s">
        <v>17</v>
      </c>
      <c r="C192" t="s">
        <v>14</v>
      </c>
      <c r="D192" t="s">
        <v>9</v>
      </c>
      <c r="E192">
        <v>6</v>
      </c>
      <c r="F192" s="3">
        <v>3822</v>
      </c>
      <c r="G192" s="2">
        <v>388.34</v>
      </c>
      <c r="H192">
        <f>Master_ventas[[#This Row],[Profit]]/Master_ventas[[#This Row],[Sales]]</f>
        <v>0.10160648874934589</v>
      </c>
      <c r="I192">
        <f ca="1">Referencia_Hoy-Master_ventas[[#This Row],[Order Date]]</f>
        <v>1420</v>
      </c>
      <c r="J192" t="str">
        <f>UPPER(Master_ventas[[#This Row],[Product Name]])</f>
        <v>CAMERA</v>
      </c>
      <c r="K192" t="str">
        <f>UPPER(Master_ventas[[#This Row],[Category]])</f>
        <v>ELECTRONICS</v>
      </c>
      <c r="L192">
        <f>YEAR(Master_ventas[[#This Row],[Order Date]])</f>
        <v>2022</v>
      </c>
      <c r="M192" t="str">
        <f>CONCATENATE(LEFT(Master_ventas[[#This Row],[ProdUpper]],3),RIGHT(Master_ventas[[#This Row],[Ext-Year]],2),"-",MID(Master_ventas[[#This Row],[Category]],1,1))</f>
        <v>CAM22-E</v>
      </c>
      <c r="N192" t="str">
        <f>MID(Master_ventas[[#This Row],[ProdUpper]],1,3)</f>
        <v>CAM</v>
      </c>
      <c r="O192" t="str">
        <f>UPPER(IF(Master_ventas[[#This Row],[Profit]]&gt;500,"High","Std"))</f>
        <v>STD</v>
      </c>
      <c r="P192">
        <v>191</v>
      </c>
    </row>
    <row r="193" spans="1:16" x14ac:dyDescent="0.3">
      <c r="A193" s="1">
        <v>44829</v>
      </c>
      <c r="B193" t="s">
        <v>17</v>
      </c>
      <c r="C193" t="s">
        <v>14</v>
      </c>
      <c r="D193" t="s">
        <v>9</v>
      </c>
      <c r="E193">
        <v>6</v>
      </c>
      <c r="F193" s="3">
        <v>4680</v>
      </c>
      <c r="G193" s="2">
        <v>932.97</v>
      </c>
      <c r="H193">
        <f>Master_ventas[[#This Row],[Profit]]/Master_ventas[[#This Row],[Sales]]</f>
        <v>0.19935256410256411</v>
      </c>
      <c r="I193">
        <f ca="1">Referencia_Hoy-Master_ventas[[#This Row],[Order Date]]</f>
        <v>1494</v>
      </c>
      <c r="J193" t="str">
        <f>UPPER(Master_ventas[[#This Row],[Product Name]])</f>
        <v>CAMERA</v>
      </c>
      <c r="K193" t="str">
        <f>UPPER(Master_ventas[[#This Row],[Category]])</f>
        <v>ELECTRONICS</v>
      </c>
      <c r="L193">
        <f>YEAR(Master_ventas[[#This Row],[Order Date]])</f>
        <v>2022</v>
      </c>
      <c r="M193" t="str">
        <f>CONCATENATE(LEFT(Master_ventas[[#This Row],[ProdUpper]],3),RIGHT(Master_ventas[[#This Row],[Ext-Year]],2),"-",MID(Master_ventas[[#This Row],[Category]],1,1))</f>
        <v>CAM22-E</v>
      </c>
      <c r="N193" t="str">
        <f>MID(Master_ventas[[#This Row],[ProdUpper]],1,3)</f>
        <v>CAM</v>
      </c>
      <c r="O193" t="str">
        <f>UPPER(IF(Master_ventas[[#This Row],[Profit]]&gt;500,"High","Std"))</f>
        <v>HIGH</v>
      </c>
      <c r="P193">
        <v>192</v>
      </c>
    </row>
    <row r="194" spans="1:16" x14ac:dyDescent="0.3">
      <c r="A194" s="1">
        <v>45483</v>
      </c>
      <c r="B194" t="s">
        <v>17</v>
      </c>
      <c r="C194" t="s">
        <v>14</v>
      </c>
      <c r="D194" t="s">
        <v>9</v>
      </c>
      <c r="E194">
        <v>5</v>
      </c>
      <c r="F194" s="3">
        <v>2520</v>
      </c>
      <c r="G194" s="2">
        <v>487.18</v>
      </c>
      <c r="H194">
        <f>Master_ventas[[#This Row],[Profit]]/Master_ventas[[#This Row],[Sales]]</f>
        <v>0.19332539682539682</v>
      </c>
      <c r="I194">
        <f ca="1">Referencia_Hoy-Master_ventas[[#This Row],[Order Date]]</f>
        <v>840</v>
      </c>
      <c r="J194" t="str">
        <f>UPPER(Master_ventas[[#This Row],[Product Name]])</f>
        <v>CAMERA</v>
      </c>
      <c r="K194" t="str">
        <f>UPPER(Master_ventas[[#This Row],[Category]])</f>
        <v>ELECTRONICS</v>
      </c>
      <c r="L194">
        <f>YEAR(Master_ventas[[#This Row],[Order Date]])</f>
        <v>2024</v>
      </c>
      <c r="M194" t="str">
        <f>CONCATENATE(LEFT(Master_ventas[[#This Row],[ProdUpper]],3),RIGHT(Master_ventas[[#This Row],[Ext-Year]],2),"-",MID(Master_ventas[[#This Row],[Category]],1,1))</f>
        <v>CAM24-E</v>
      </c>
      <c r="N194" t="str">
        <f>MID(Master_ventas[[#This Row],[ProdUpper]],1,3)</f>
        <v>CAM</v>
      </c>
      <c r="O194" t="str">
        <f>UPPER(IF(Master_ventas[[#This Row],[Profit]]&gt;500,"High","Std"))</f>
        <v>STD</v>
      </c>
      <c r="P194">
        <v>193</v>
      </c>
    </row>
    <row r="195" spans="1:16" x14ac:dyDescent="0.3">
      <c r="A195" s="1">
        <v>45380</v>
      </c>
      <c r="B195" t="s">
        <v>19</v>
      </c>
      <c r="C195" t="s">
        <v>14</v>
      </c>
      <c r="D195" t="s">
        <v>9</v>
      </c>
      <c r="E195">
        <v>2</v>
      </c>
      <c r="F195" s="3">
        <v>2138</v>
      </c>
      <c r="G195" s="2">
        <v>619.29</v>
      </c>
      <c r="H195">
        <f>Master_ventas[[#This Row],[Profit]]/Master_ventas[[#This Row],[Sales]]</f>
        <v>0.28965855940130963</v>
      </c>
      <c r="I195">
        <f ca="1">Referencia_Hoy-Master_ventas[[#This Row],[Order Date]]</f>
        <v>943</v>
      </c>
      <c r="J195" t="str">
        <f>UPPER(Master_ventas[[#This Row],[Product Name]])</f>
        <v>SMARTWATCH</v>
      </c>
      <c r="K195" t="str">
        <f>UPPER(Master_ventas[[#This Row],[Category]])</f>
        <v>ELECTRONICS</v>
      </c>
      <c r="L195">
        <f>YEAR(Master_ventas[[#This Row],[Order Date]])</f>
        <v>2024</v>
      </c>
      <c r="M195" t="str">
        <f>CONCATENATE(LEFT(Master_ventas[[#This Row],[ProdUpper]],3),RIGHT(Master_ventas[[#This Row],[Ext-Year]],2),"-",MID(Master_ventas[[#This Row],[Category]],1,1))</f>
        <v>SMA24-E</v>
      </c>
      <c r="N195" t="str">
        <f>MID(Master_ventas[[#This Row],[ProdUpper]],1,3)</f>
        <v>SMA</v>
      </c>
      <c r="O195" t="str">
        <f>UPPER(IF(Master_ventas[[#This Row],[Profit]]&gt;500,"High","Std"))</f>
        <v>HIGH</v>
      </c>
      <c r="P195">
        <v>194</v>
      </c>
    </row>
    <row r="196" spans="1:16" x14ac:dyDescent="0.3">
      <c r="A196" s="1">
        <v>44572</v>
      </c>
      <c r="B196" t="s">
        <v>22</v>
      </c>
      <c r="C196" t="s">
        <v>11</v>
      </c>
      <c r="D196" t="s">
        <v>16</v>
      </c>
      <c r="E196">
        <v>3</v>
      </c>
      <c r="F196" s="3">
        <v>2529</v>
      </c>
      <c r="G196" s="2">
        <v>169.6</v>
      </c>
      <c r="H196">
        <f>Master_ventas[[#This Row],[Profit]]/Master_ventas[[#This Row],[Sales]]</f>
        <v>6.7062079873467767E-2</v>
      </c>
      <c r="I196">
        <f ca="1">Referencia_Hoy-Master_ventas[[#This Row],[Order Date]]</f>
        <v>1751</v>
      </c>
      <c r="J196" t="str">
        <f>UPPER(Master_ventas[[#This Row],[Product Name]])</f>
        <v>KEYBOARD</v>
      </c>
      <c r="K196" t="str">
        <f>UPPER(Master_ventas[[#This Row],[Category]])</f>
        <v>ACCESSORIES</v>
      </c>
      <c r="L196">
        <f>YEAR(Master_ventas[[#This Row],[Order Date]])</f>
        <v>2022</v>
      </c>
      <c r="M196" t="str">
        <f>CONCATENATE(LEFT(Master_ventas[[#This Row],[ProdUpper]],3),RIGHT(Master_ventas[[#This Row],[Ext-Year]],2),"-",MID(Master_ventas[[#This Row],[Category]],1,1))</f>
        <v>KEY22-A</v>
      </c>
      <c r="N196" t="str">
        <f>MID(Master_ventas[[#This Row],[ProdUpper]],1,3)</f>
        <v>KEY</v>
      </c>
      <c r="O196" t="str">
        <f>UPPER(IF(Master_ventas[[#This Row],[Profit]]&gt;500,"High","Std"))</f>
        <v>STD</v>
      </c>
      <c r="P196">
        <v>195</v>
      </c>
    </row>
    <row r="197" spans="1:16" x14ac:dyDescent="0.3">
      <c r="A197" s="1">
        <v>44659</v>
      </c>
      <c r="B197" t="s">
        <v>22</v>
      </c>
      <c r="C197" t="s">
        <v>11</v>
      </c>
      <c r="D197" t="s">
        <v>12</v>
      </c>
      <c r="E197">
        <v>1</v>
      </c>
      <c r="F197" s="3">
        <v>236</v>
      </c>
      <c r="G197" s="2">
        <v>29.33</v>
      </c>
      <c r="H197">
        <f>Master_ventas[[#This Row],[Profit]]/Master_ventas[[#This Row],[Sales]]</f>
        <v>0.12427966101694915</v>
      </c>
      <c r="I197">
        <f ca="1">Referencia_Hoy-Master_ventas[[#This Row],[Order Date]]</f>
        <v>1664</v>
      </c>
      <c r="J197" t="str">
        <f>UPPER(Master_ventas[[#This Row],[Product Name]])</f>
        <v>KEYBOARD</v>
      </c>
      <c r="K197" t="str">
        <f>UPPER(Master_ventas[[#This Row],[Category]])</f>
        <v>ACCESSORIES</v>
      </c>
      <c r="L197">
        <f>YEAR(Master_ventas[[#This Row],[Order Date]])</f>
        <v>2022</v>
      </c>
      <c r="M197" t="str">
        <f>CONCATENATE(LEFT(Master_ventas[[#This Row],[ProdUpper]],3),RIGHT(Master_ventas[[#This Row],[Ext-Year]],2),"-",MID(Master_ventas[[#This Row],[Category]],1,1))</f>
        <v>KEY22-A</v>
      </c>
      <c r="N197" t="str">
        <f>MID(Master_ventas[[#This Row],[ProdUpper]],1,3)</f>
        <v>KEY</v>
      </c>
      <c r="O197" t="str">
        <f>UPPER(IF(Master_ventas[[#This Row],[Profit]]&gt;500,"High","Std"))</f>
        <v>STD</v>
      </c>
      <c r="P197">
        <v>196</v>
      </c>
    </row>
    <row r="198" spans="1:16" x14ac:dyDescent="0.3">
      <c r="A198" s="1">
        <v>45312</v>
      </c>
      <c r="B198" t="s">
        <v>13</v>
      </c>
      <c r="C198" t="s">
        <v>14</v>
      </c>
      <c r="D198" t="s">
        <v>16</v>
      </c>
      <c r="E198">
        <v>6</v>
      </c>
      <c r="F198" s="3">
        <v>2730</v>
      </c>
      <c r="G198" s="2">
        <v>636.48</v>
      </c>
      <c r="H198">
        <f>Master_ventas[[#This Row],[Profit]]/Master_ventas[[#This Row],[Sales]]</f>
        <v>0.23314285714285715</v>
      </c>
      <c r="I198">
        <f ca="1">Referencia_Hoy-Master_ventas[[#This Row],[Order Date]]</f>
        <v>1011</v>
      </c>
      <c r="J198" t="str">
        <f>UPPER(Master_ventas[[#This Row],[Product Name]])</f>
        <v>TABLET</v>
      </c>
      <c r="K198" t="str">
        <f>UPPER(Master_ventas[[#This Row],[Category]])</f>
        <v>ELECTRONICS</v>
      </c>
      <c r="L198">
        <f>YEAR(Master_ventas[[#This Row],[Order Date]])</f>
        <v>2024</v>
      </c>
      <c r="M198" t="str">
        <f>CONCATENATE(LEFT(Master_ventas[[#This Row],[ProdUpper]],3),RIGHT(Master_ventas[[#This Row],[Ext-Year]],2),"-",MID(Master_ventas[[#This Row],[Category]],1,1))</f>
        <v>TAB24-E</v>
      </c>
      <c r="N198" t="str">
        <f>MID(Master_ventas[[#This Row],[ProdUpper]],1,3)</f>
        <v>TAB</v>
      </c>
      <c r="O198" t="str">
        <f>UPPER(IF(Master_ventas[[#This Row],[Profit]]&gt;500,"High","Std"))</f>
        <v>HIGH</v>
      </c>
      <c r="P198">
        <v>197</v>
      </c>
    </row>
    <row r="199" spans="1:16" x14ac:dyDescent="0.3">
      <c r="A199" s="1">
        <v>45043</v>
      </c>
      <c r="B199" t="s">
        <v>18</v>
      </c>
      <c r="C199" t="s">
        <v>11</v>
      </c>
      <c r="D199" t="s">
        <v>9</v>
      </c>
      <c r="E199">
        <v>3</v>
      </c>
      <c r="F199" s="3">
        <v>3021</v>
      </c>
      <c r="G199" s="2">
        <v>872.49</v>
      </c>
      <c r="H199">
        <f>Master_ventas[[#This Row],[Profit]]/Master_ventas[[#This Row],[Sales]]</f>
        <v>0.28880834160873881</v>
      </c>
      <c r="I199">
        <f ca="1">Referencia_Hoy-Master_ventas[[#This Row],[Order Date]]</f>
        <v>1280</v>
      </c>
      <c r="J199" t="str">
        <f>UPPER(Master_ventas[[#This Row],[Product Name]])</f>
        <v>HEADPHONES</v>
      </c>
      <c r="K199" t="str">
        <f>UPPER(Master_ventas[[#This Row],[Category]])</f>
        <v>ACCESSORIES</v>
      </c>
      <c r="L199">
        <f>YEAR(Master_ventas[[#This Row],[Order Date]])</f>
        <v>2023</v>
      </c>
      <c r="M199" t="str">
        <f>CONCATENATE(LEFT(Master_ventas[[#This Row],[ProdUpper]],3),RIGHT(Master_ventas[[#This Row],[Ext-Year]],2),"-",MID(Master_ventas[[#This Row],[Category]],1,1))</f>
        <v>HEA23-A</v>
      </c>
      <c r="N199" t="str">
        <f>MID(Master_ventas[[#This Row],[ProdUpper]],1,3)</f>
        <v>HEA</v>
      </c>
      <c r="O199" t="str">
        <f>UPPER(IF(Master_ventas[[#This Row],[Profit]]&gt;500,"High","Std"))</f>
        <v>HIGH</v>
      </c>
      <c r="P199">
        <v>198</v>
      </c>
    </row>
    <row r="200" spans="1:16" x14ac:dyDescent="0.3">
      <c r="A200" s="1">
        <v>45602</v>
      </c>
      <c r="B200" t="s">
        <v>19</v>
      </c>
      <c r="C200" t="s">
        <v>14</v>
      </c>
      <c r="D200" t="s">
        <v>9</v>
      </c>
      <c r="E200">
        <v>2</v>
      </c>
      <c r="F200" s="3">
        <v>244</v>
      </c>
      <c r="G200" s="2">
        <v>16.78</v>
      </c>
      <c r="H200">
        <f>Master_ventas[[#This Row],[Profit]]/Master_ventas[[#This Row],[Sales]]</f>
        <v>6.8770491803278697E-2</v>
      </c>
      <c r="I200">
        <f ca="1">Referencia_Hoy-Master_ventas[[#This Row],[Order Date]]</f>
        <v>721</v>
      </c>
      <c r="J200" t="str">
        <f>UPPER(Master_ventas[[#This Row],[Product Name]])</f>
        <v>SMARTWATCH</v>
      </c>
      <c r="K200" t="str">
        <f>UPPER(Master_ventas[[#This Row],[Category]])</f>
        <v>ELECTRONICS</v>
      </c>
      <c r="L200">
        <f>YEAR(Master_ventas[[#This Row],[Order Date]])</f>
        <v>2024</v>
      </c>
      <c r="M200" t="str">
        <f>CONCATENATE(LEFT(Master_ventas[[#This Row],[ProdUpper]],3),RIGHT(Master_ventas[[#This Row],[Ext-Year]],2),"-",MID(Master_ventas[[#This Row],[Category]],1,1))</f>
        <v>SMA24-E</v>
      </c>
      <c r="N200" t="str">
        <f>MID(Master_ventas[[#This Row],[ProdUpper]],1,3)</f>
        <v>SMA</v>
      </c>
      <c r="O200" t="str">
        <f>UPPER(IF(Master_ventas[[#This Row],[Profit]]&gt;500,"High","Std"))</f>
        <v>STD</v>
      </c>
      <c r="P200">
        <v>199</v>
      </c>
    </row>
    <row r="201" spans="1:16" x14ac:dyDescent="0.3">
      <c r="A201" s="1">
        <v>44692</v>
      </c>
      <c r="B201" t="s">
        <v>17</v>
      </c>
      <c r="C201" t="s">
        <v>14</v>
      </c>
      <c r="D201" t="s">
        <v>15</v>
      </c>
      <c r="E201">
        <v>8</v>
      </c>
      <c r="F201" s="3">
        <v>728</v>
      </c>
      <c r="G201" s="2">
        <v>120.06</v>
      </c>
      <c r="H201">
        <f>Master_ventas[[#This Row],[Profit]]/Master_ventas[[#This Row],[Sales]]</f>
        <v>0.16491758241758242</v>
      </c>
      <c r="I201">
        <f ca="1">Referencia_Hoy-Master_ventas[[#This Row],[Order Date]]</f>
        <v>1631</v>
      </c>
      <c r="J201" t="str">
        <f>UPPER(Master_ventas[[#This Row],[Product Name]])</f>
        <v>CAMERA</v>
      </c>
      <c r="K201" t="str">
        <f>UPPER(Master_ventas[[#This Row],[Category]])</f>
        <v>ELECTRONICS</v>
      </c>
      <c r="L201">
        <f>YEAR(Master_ventas[[#This Row],[Order Date]])</f>
        <v>2022</v>
      </c>
      <c r="M201" t="str">
        <f>CONCATENATE(LEFT(Master_ventas[[#This Row],[ProdUpper]],3),RIGHT(Master_ventas[[#This Row],[Ext-Year]],2),"-",MID(Master_ventas[[#This Row],[Category]],1,1))</f>
        <v>CAM22-E</v>
      </c>
      <c r="N201" t="str">
        <f>MID(Master_ventas[[#This Row],[ProdUpper]],1,3)</f>
        <v>CAM</v>
      </c>
      <c r="O201" t="str">
        <f>UPPER(IF(Master_ventas[[#This Row],[Profit]]&gt;500,"High","Std"))</f>
        <v>STD</v>
      </c>
      <c r="P201">
        <v>200</v>
      </c>
    </row>
    <row r="202" spans="1:16" x14ac:dyDescent="0.3">
      <c r="A202" s="1">
        <v>44836</v>
      </c>
      <c r="B202" t="s">
        <v>10</v>
      </c>
      <c r="C202" t="s">
        <v>11</v>
      </c>
      <c r="D202" t="s">
        <v>9</v>
      </c>
      <c r="E202">
        <v>3</v>
      </c>
      <c r="F202" s="3">
        <v>453</v>
      </c>
      <c r="G202" s="2">
        <v>89.49</v>
      </c>
      <c r="H202">
        <f>Master_ventas[[#This Row],[Profit]]/Master_ventas[[#This Row],[Sales]]</f>
        <v>0.19754966887417216</v>
      </c>
      <c r="I202">
        <f ca="1">Referencia_Hoy-Master_ventas[[#This Row],[Order Date]]</f>
        <v>1487</v>
      </c>
      <c r="J202" t="str">
        <f>UPPER(Master_ventas[[#This Row],[Product Name]])</f>
        <v>MOUSE</v>
      </c>
      <c r="K202" t="str">
        <f>UPPER(Master_ventas[[#This Row],[Category]])</f>
        <v>ACCESSORIES</v>
      </c>
      <c r="L202">
        <f>YEAR(Master_ventas[[#This Row],[Order Date]])</f>
        <v>2022</v>
      </c>
      <c r="M202" t="str">
        <f>CONCATENATE(LEFT(Master_ventas[[#This Row],[ProdUpper]],3),RIGHT(Master_ventas[[#This Row],[Ext-Year]],2),"-",MID(Master_ventas[[#This Row],[Category]],1,1))</f>
        <v>MOU22-A</v>
      </c>
      <c r="N202" t="str">
        <f>MID(Master_ventas[[#This Row],[ProdUpper]],1,3)</f>
        <v>MOU</v>
      </c>
      <c r="O202" t="str">
        <f>UPPER(IF(Master_ventas[[#This Row],[Profit]]&gt;500,"High","Std"))</f>
        <v>STD</v>
      </c>
      <c r="P202">
        <v>201</v>
      </c>
    </row>
    <row r="203" spans="1:16" x14ac:dyDescent="0.3">
      <c r="A203" s="1">
        <v>44573</v>
      </c>
      <c r="B203" t="s">
        <v>23</v>
      </c>
      <c r="C203" t="s">
        <v>14</v>
      </c>
      <c r="D203" t="s">
        <v>15</v>
      </c>
      <c r="E203">
        <v>1</v>
      </c>
      <c r="F203" s="3">
        <v>379</v>
      </c>
      <c r="G203" s="2">
        <v>84.38</v>
      </c>
      <c r="H203">
        <f>Master_ventas[[#This Row],[Profit]]/Master_ventas[[#This Row],[Sales]]</f>
        <v>0.22263852242744062</v>
      </c>
      <c r="I203">
        <f ca="1">Referencia_Hoy-Master_ventas[[#This Row],[Order Date]]</f>
        <v>1750</v>
      </c>
      <c r="J203" t="str">
        <f>UPPER(Master_ventas[[#This Row],[Product Name]])</f>
        <v>LAPTOP</v>
      </c>
      <c r="K203" t="str">
        <f>UPPER(Master_ventas[[#This Row],[Category]])</f>
        <v>ELECTRONICS</v>
      </c>
      <c r="L203">
        <f>YEAR(Master_ventas[[#This Row],[Order Date]])</f>
        <v>2022</v>
      </c>
      <c r="M203" t="str">
        <f>CONCATENATE(LEFT(Master_ventas[[#This Row],[ProdUpper]],3),RIGHT(Master_ventas[[#This Row],[Ext-Year]],2),"-",MID(Master_ventas[[#This Row],[Category]],1,1))</f>
        <v>LAP22-E</v>
      </c>
      <c r="N203" t="str">
        <f>MID(Master_ventas[[#This Row],[ProdUpper]],1,3)</f>
        <v>LAP</v>
      </c>
      <c r="O203" t="str">
        <f>UPPER(IF(Master_ventas[[#This Row],[Profit]]&gt;500,"High","Std"))</f>
        <v>STD</v>
      </c>
      <c r="P203">
        <v>202</v>
      </c>
    </row>
    <row r="204" spans="1:16" x14ac:dyDescent="0.3">
      <c r="A204" s="1">
        <v>44935</v>
      </c>
      <c r="B204" t="s">
        <v>13</v>
      </c>
      <c r="C204" t="s">
        <v>14</v>
      </c>
      <c r="D204" t="s">
        <v>16</v>
      </c>
      <c r="E204">
        <v>3</v>
      </c>
      <c r="F204" s="3">
        <v>2130</v>
      </c>
      <c r="G204" s="2">
        <v>510.69</v>
      </c>
      <c r="H204">
        <f>Master_ventas[[#This Row],[Profit]]/Master_ventas[[#This Row],[Sales]]</f>
        <v>0.23976056338028168</v>
      </c>
      <c r="I204">
        <f ca="1">Referencia_Hoy-Master_ventas[[#This Row],[Order Date]]</f>
        <v>1388</v>
      </c>
      <c r="J204" t="str">
        <f>UPPER(Master_ventas[[#This Row],[Product Name]])</f>
        <v>TABLET</v>
      </c>
      <c r="K204" t="str">
        <f>UPPER(Master_ventas[[#This Row],[Category]])</f>
        <v>ELECTRONICS</v>
      </c>
      <c r="L204">
        <f>YEAR(Master_ventas[[#This Row],[Order Date]])</f>
        <v>2023</v>
      </c>
      <c r="M204" t="str">
        <f>CONCATENATE(LEFT(Master_ventas[[#This Row],[ProdUpper]],3),RIGHT(Master_ventas[[#This Row],[Ext-Year]],2),"-",MID(Master_ventas[[#This Row],[Category]],1,1))</f>
        <v>TAB23-E</v>
      </c>
      <c r="N204" t="str">
        <f>MID(Master_ventas[[#This Row],[ProdUpper]],1,3)</f>
        <v>TAB</v>
      </c>
      <c r="O204" t="str">
        <f>UPPER(IF(Master_ventas[[#This Row],[Profit]]&gt;500,"High","Std"))</f>
        <v>HIGH</v>
      </c>
      <c r="P204">
        <v>203</v>
      </c>
    </row>
    <row r="205" spans="1:16" x14ac:dyDescent="0.3">
      <c r="A205" s="1">
        <v>45050</v>
      </c>
      <c r="B205" t="s">
        <v>20</v>
      </c>
      <c r="C205" t="s">
        <v>11</v>
      </c>
      <c r="D205" t="s">
        <v>9</v>
      </c>
      <c r="E205">
        <v>8</v>
      </c>
      <c r="F205" s="3">
        <v>4120</v>
      </c>
      <c r="G205" s="2">
        <v>710.11</v>
      </c>
      <c r="H205">
        <f>Master_ventas[[#This Row],[Profit]]/Master_ventas[[#This Row],[Sales]]</f>
        <v>0.17235679611650487</v>
      </c>
      <c r="I205">
        <f ca="1">Referencia_Hoy-Master_ventas[[#This Row],[Order Date]]</f>
        <v>1273</v>
      </c>
      <c r="J205" t="str">
        <f>UPPER(Master_ventas[[#This Row],[Product Name]])</f>
        <v>MONITOR</v>
      </c>
      <c r="K205" t="str">
        <f>UPPER(Master_ventas[[#This Row],[Category]])</f>
        <v>ACCESSORIES</v>
      </c>
      <c r="L205">
        <f>YEAR(Master_ventas[[#This Row],[Order Date]])</f>
        <v>2023</v>
      </c>
      <c r="M205" t="str">
        <f>CONCATENATE(LEFT(Master_ventas[[#This Row],[ProdUpper]],3),RIGHT(Master_ventas[[#This Row],[Ext-Year]],2),"-",MID(Master_ventas[[#This Row],[Category]],1,1))</f>
        <v>MON23-A</v>
      </c>
      <c r="N205" t="str">
        <f>MID(Master_ventas[[#This Row],[ProdUpper]],1,3)</f>
        <v>MON</v>
      </c>
      <c r="O205" t="str">
        <f>UPPER(IF(Master_ventas[[#This Row],[Profit]]&gt;500,"High","Std"))</f>
        <v>HIGH</v>
      </c>
      <c r="P205">
        <v>204</v>
      </c>
    </row>
    <row r="206" spans="1:16" x14ac:dyDescent="0.3">
      <c r="A206" s="1">
        <v>45542</v>
      </c>
      <c r="B206" t="s">
        <v>19</v>
      </c>
      <c r="C206" t="s">
        <v>14</v>
      </c>
      <c r="D206" t="s">
        <v>15</v>
      </c>
      <c r="E206">
        <v>7</v>
      </c>
      <c r="F206" s="3">
        <v>3150</v>
      </c>
      <c r="G206" s="2">
        <v>299.7</v>
      </c>
      <c r="H206">
        <f>Master_ventas[[#This Row],[Profit]]/Master_ventas[[#This Row],[Sales]]</f>
        <v>9.514285714285714E-2</v>
      </c>
      <c r="I206">
        <f ca="1">Referencia_Hoy-Master_ventas[[#This Row],[Order Date]]</f>
        <v>781</v>
      </c>
      <c r="J206" t="str">
        <f>UPPER(Master_ventas[[#This Row],[Product Name]])</f>
        <v>SMARTWATCH</v>
      </c>
      <c r="K206" t="str">
        <f>UPPER(Master_ventas[[#This Row],[Category]])</f>
        <v>ELECTRONICS</v>
      </c>
      <c r="L206">
        <f>YEAR(Master_ventas[[#This Row],[Order Date]])</f>
        <v>2024</v>
      </c>
      <c r="M206" t="str">
        <f>CONCATENATE(LEFT(Master_ventas[[#This Row],[ProdUpper]],3),RIGHT(Master_ventas[[#This Row],[Ext-Year]],2),"-",MID(Master_ventas[[#This Row],[Category]],1,1))</f>
        <v>SMA24-E</v>
      </c>
      <c r="N206" t="str">
        <f>MID(Master_ventas[[#This Row],[ProdUpper]],1,3)</f>
        <v>SMA</v>
      </c>
      <c r="O206" t="str">
        <f>UPPER(IF(Master_ventas[[#This Row],[Profit]]&gt;500,"High","Std"))</f>
        <v>STD</v>
      </c>
      <c r="P206">
        <v>205</v>
      </c>
    </row>
    <row r="207" spans="1:16" x14ac:dyDescent="0.3">
      <c r="A207" s="1">
        <v>44698</v>
      </c>
      <c r="B207" t="s">
        <v>19</v>
      </c>
      <c r="C207" t="s">
        <v>14</v>
      </c>
      <c r="D207" t="s">
        <v>12</v>
      </c>
      <c r="E207">
        <v>7</v>
      </c>
      <c r="F207" s="3">
        <v>2688</v>
      </c>
      <c r="G207" s="2">
        <v>603.07000000000005</v>
      </c>
      <c r="H207">
        <f>Master_ventas[[#This Row],[Profit]]/Master_ventas[[#This Row],[Sales]]</f>
        <v>0.22435639880952382</v>
      </c>
      <c r="I207">
        <f ca="1">Referencia_Hoy-Master_ventas[[#This Row],[Order Date]]</f>
        <v>1625</v>
      </c>
      <c r="J207" t="str">
        <f>UPPER(Master_ventas[[#This Row],[Product Name]])</f>
        <v>SMARTWATCH</v>
      </c>
      <c r="K207" t="str">
        <f>UPPER(Master_ventas[[#This Row],[Category]])</f>
        <v>ELECTRONICS</v>
      </c>
      <c r="L207">
        <f>YEAR(Master_ventas[[#This Row],[Order Date]])</f>
        <v>2022</v>
      </c>
      <c r="M207" t="str">
        <f>CONCATENATE(LEFT(Master_ventas[[#This Row],[ProdUpper]],3),RIGHT(Master_ventas[[#This Row],[Ext-Year]],2),"-",MID(Master_ventas[[#This Row],[Category]],1,1))</f>
        <v>SMA22-E</v>
      </c>
      <c r="N207" t="str">
        <f>MID(Master_ventas[[#This Row],[ProdUpper]],1,3)</f>
        <v>SMA</v>
      </c>
      <c r="O207" t="str">
        <f>UPPER(IF(Master_ventas[[#This Row],[Profit]]&gt;500,"High","Std"))</f>
        <v>HIGH</v>
      </c>
      <c r="P207">
        <v>206</v>
      </c>
    </row>
    <row r="208" spans="1:16" x14ac:dyDescent="0.3">
      <c r="A208" s="1">
        <v>45155</v>
      </c>
      <c r="B208" t="s">
        <v>13</v>
      </c>
      <c r="C208" t="s">
        <v>14</v>
      </c>
      <c r="D208" t="s">
        <v>12</v>
      </c>
      <c r="E208">
        <v>2</v>
      </c>
      <c r="F208" s="3">
        <v>1752</v>
      </c>
      <c r="G208" s="2">
        <v>501.19</v>
      </c>
      <c r="H208">
        <f>Master_ventas[[#This Row],[Profit]]/Master_ventas[[#This Row],[Sales]]</f>
        <v>0.28606735159817354</v>
      </c>
      <c r="I208">
        <f ca="1">Referencia_Hoy-Master_ventas[[#This Row],[Order Date]]</f>
        <v>1168</v>
      </c>
      <c r="J208" t="str">
        <f>UPPER(Master_ventas[[#This Row],[Product Name]])</f>
        <v>TABLET</v>
      </c>
      <c r="K208" t="str">
        <f>UPPER(Master_ventas[[#This Row],[Category]])</f>
        <v>ELECTRONICS</v>
      </c>
      <c r="L208">
        <f>YEAR(Master_ventas[[#This Row],[Order Date]])</f>
        <v>2023</v>
      </c>
      <c r="M208" t="str">
        <f>CONCATENATE(LEFT(Master_ventas[[#This Row],[ProdUpper]],3),RIGHT(Master_ventas[[#This Row],[Ext-Year]],2),"-",MID(Master_ventas[[#This Row],[Category]],1,1))</f>
        <v>TAB23-E</v>
      </c>
      <c r="N208" t="str">
        <f>MID(Master_ventas[[#This Row],[ProdUpper]],1,3)</f>
        <v>TAB</v>
      </c>
      <c r="O208" t="str">
        <f>UPPER(IF(Master_ventas[[#This Row],[Profit]]&gt;500,"High","Std"))</f>
        <v>HIGH</v>
      </c>
      <c r="P208">
        <v>207</v>
      </c>
    </row>
    <row r="209" spans="1:16" x14ac:dyDescent="0.3">
      <c r="A209" s="1">
        <v>45176</v>
      </c>
      <c r="B209" t="s">
        <v>22</v>
      </c>
      <c r="C209" t="s">
        <v>11</v>
      </c>
      <c r="D209" t="s">
        <v>9</v>
      </c>
      <c r="E209">
        <v>7</v>
      </c>
      <c r="F209" s="3">
        <v>7308</v>
      </c>
      <c r="G209" s="2">
        <v>948.4</v>
      </c>
      <c r="H209">
        <f>Master_ventas[[#This Row],[Profit]]/Master_ventas[[#This Row],[Sales]]</f>
        <v>0.12977558839627804</v>
      </c>
      <c r="I209">
        <f ca="1">Referencia_Hoy-Master_ventas[[#This Row],[Order Date]]</f>
        <v>1147</v>
      </c>
      <c r="J209" t="str">
        <f>UPPER(Master_ventas[[#This Row],[Product Name]])</f>
        <v>KEYBOARD</v>
      </c>
      <c r="K209" t="str">
        <f>UPPER(Master_ventas[[#This Row],[Category]])</f>
        <v>ACCESSORIES</v>
      </c>
      <c r="L209">
        <f>YEAR(Master_ventas[[#This Row],[Order Date]])</f>
        <v>2023</v>
      </c>
      <c r="M209" t="str">
        <f>CONCATENATE(LEFT(Master_ventas[[#This Row],[ProdUpper]],3),RIGHT(Master_ventas[[#This Row],[Ext-Year]],2),"-",MID(Master_ventas[[#This Row],[Category]],1,1))</f>
        <v>KEY23-A</v>
      </c>
      <c r="N209" t="str">
        <f>MID(Master_ventas[[#This Row],[ProdUpper]],1,3)</f>
        <v>KEY</v>
      </c>
      <c r="O209" t="str">
        <f>UPPER(IF(Master_ventas[[#This Row],[Profit]]&gt;500,"High","Std"))</f>
        <v>HIGH</v>
      </c>
      <c r="P209">
        <v>208</v>
      </c>
    </row>
    <row r="210" spans="1:16" x14ac:dyDescent="0.3">
      <c r="A210" s="1">
        <v>44692</v>
      </c>
      <c r="B210" t="s">
        <v>13</v>
      </c>
      <c r="C210" t="s">
        <v>14</v>
      </c>
      <c r="D210" t="s">
        <v>9</v>
      </c>
      <c r="E210">
        <v>3</v>
      </c>
      <c r="F210" s="3">
        <v>2007</v>
      </c>
      <c r="G210" s="2">
        <v>160.84</v>
      </c>
      <c r="H210">
        <f>Master_ventas[[#This Row],[Profit]]/Master_ventas[[#This Row],[Sales]]</f>
        <v>8.0139511709018438E-2</v>
      </c>
      <c r="I210">
        <f ca="1">Referencia_Hoy-Master_ventas[[#This Row],[Order Date]]</f>
        <v>1631</v>
      </c>
      <c r="J210" t="str">
        <f>UPPER(Master_ventas[[#This Row],[Product Name]])</f>
        <v>TABLET</v>
      </c>
      <c r="K210" t="str">
        <f>UPPER(Master_ventas[[#This Row],[Category]])</f>
        <v>ELECTRONICS</v>
      </c>
      <c r="L210">
        <f>YEAR(Master_ventas[[#This Row],[Order Date]])</f>
        <v>2022</v>
      </c>
      <c r="M210" t="str">
        <f>CONCATENATE(LEFT(Master_ventas[[#This Row],[ProdUpper]],3),RIGHT(Master_ventas[[#This Row],[Ext-Year]],2),"-",MID(Master_ventas[[#This Row],[Category]],1,1))</f>
        <v>TAB22-E</v>
      </c>
      <c r="N210" t="str">
        <f>MID(Master_ventas[[#This Row],[ProdUpper]],1,3)</f>
        <v>TAB</v>
      </c>
      <c r="O210" t="str">
        <f>UPPER(IF(Master_ventas[[#This Row],[Profit]]&gt;500,"High","Std"))</f>
        <v>STD</v>
      </c>
      <c r="P210">
        <v>209</v>
      </c>
    </row>
    <row r="211" spans="1:16" x14ac:dyDescent="0.3">
      <c r="A211" s="1">
        <v>45058</v>
      </c>
      <c r="B211" t="s">
        <v>13</v>
      </c>
      <c r="C211" t="s">
        <v>14</v>
      </c>
      <c r="D211" t="s">
        <v>16</v>
      </c>
      <c r="E211">
        <v>7</v>
      </c>
      <c r="F211" s="3">
        <v>7224</v>
      </c>
      <c r="G211" s="2">
        <v>479.23</v>
      </c>
      <c r="H211">
        <f>Master_ventas[[#This Row],[Profit]]/Master_ventas[[#This Row],[Sales]]</f>
        <v>6.6338593576965671E-2</v>
      </c>
      <c r="I211">
        <f ca="1">Referencia_Hoy-Master_ventas[[#This Row],[Order Date]]</f>
        <v>1265</v>
      </c>
      <c r="J211" t="str">
        <f>UPPER(Master_ventas[[#This Row],[Product Name]])</f>
        <v>TABLET</v>
      </c>
      <c r="K211" t="str">
        <f>UPPER(Master_ventas[[#This Row],[Category]])</f>
        <v>ELECTRONICS</v>
      </c>
      <c r="L211">
        <f>YEAR(Master_ventas[[#This Row],[Order Date]])</f>
        <v>2023</v>
      </c>
      <c r="M211" t="str">
        <f>CONCATENATE(LEFT(Master_ventas[[#This Row],[ProdUpper]],3),RIGHT(Master_ventas[[#This Row],[Ext-Year]],2),"-",MID(Master_ventas[[#This Row],[Category]],1,1))</f>
        <v>TAB23-E</v>
      </c>
      <c r="N211" t="str">
        <f>MID(Master_ventas[[#This Row],[ProdUpper]],1,3)</f>
        <v>TAB</v>
      </c>
      <c r="O211" t="str">
        <f>UPPER(IF(Master_ventas[[#This Row],[Profit]]&gt;500,"High","Std"))</f>
        <v>STD</v>
      </c>
      <c r="P211">
        <v>210</v>
      </c>
    </row>
    <row r="212" spans="1:16" x14ac:dyDescent="0.3">
      <c r="A212" s="1">
        <v>45054</v>
      </c>
      <c r="B212" t="s">
        <v>20</v>
      </c>
      <c r="C212" t="s">
        <v>11</v>
      </c>
      <c r="D212" t="s">
        <v>15</v>
      </c>
      <c r="E212">
        <v>9</v>
      </c>
      <c r="F212" s="3">
        <v>6939</v>
      </c>
      <c r="G212" s="2">
        <v>1249.31</v>
      </c>
      <c r="H212">
        <f>Master_ventas[[#This Row],[Profit]]/Master_ventas[[#This Row],[Sales]]</f>
        <v>0.18004179276552817</v>
      </c>
      <c r="I212">
        <f ca="1">Referencia_Hoy-Master_ventas[[#This Row],[Order Date]]</f>
        <v>1269</v>
      </c>
      <c r="J212" t="str">
        <f>UPPER(Master_ventas[[#This Row],[Product Name]])</f>
        <v>MONITOR</v>
      </c>
      <c r="K212" t="str">
        <f>UPPER(Master_ventas[[#This Row],[Category]])</f>
        <v>ACCESSORIES</v>
      </c>
      <c r="L212">
        <f>YEAR(Master_ventas[[#This Row],[Order Date]])</f>
        <v>2023</v>
      </c>
      <c r="M212" t="str">
        <f>CONCATENATE(LEFT(Master_ventas[[#This Row],[ProdUpper]],3),RIGHT(Master_ventas[[#This Row],[Ext-Year]],2),"-",MID(Master_ventas[[#This Row],[Category]],1,1))</f>
        <v>MON23-A</v>
      </c>
      <c r="N212" t="str">
        <f>MID(Master_ventas[[#This Row],[ProdUpper]],1,3)</f>
        <v>MON</v>
      </c>
      <c r="O212" t="str">
        <f>UPPER(IF(Master_ventas[[#This Row],[Profit]]&gt;500,"High","Std"))</f>
        <v>HIGH</v>
      </c>
      <c r="P212">
        <v>211</v>
      </c>
    </row>
    <row r="213" spans="1:16" x14ac:dyDescent="0.3">
      <c r="A213" s="1">
        <v>44975</v>
      </c>
      <c r="B213" t="s">
        <v>21</v>
      </c>
      <c r="C213" t="s">
        <v>14</v>
      </c>
      <c r="D213" t="s">
        <v>12</v>
      </c>
      <c r="E213">
        <v>7</v>
      </c>
      <c r="F213" s="3">
        <v>5516</v>
      </c>
      <c r="G213" s="2">
        <v>1475.67</v>
      </c>
      <c r="H213">
        <f>Master_ventas[[#This Row],[Profit]]/Master_ventas[[#This Row],[Sales]]</f>
        <v>0.2675253807106599</v>
      </c>
      <c r="I213">
        <f ca="1">Referencia_Hoy-Master_ventas[[#This Row],[Order Date]]</f>
        <v>1348</v>
      </c>
      <c r="J213" t="str">
        <f>UPPER(Master_ventas[[#This Row],[Product Name]])</f>
        <v>SMARTPHONE</v>
      </c>
      <c r="K213" t="str">
        <f>UPPER(Master_ventas[[#This Row],[Category]])</f>
        <v>ELECTRONICS</v>
      </c>
      <c r="L213">
        <f>YEAR(Master_ventas[[#This Row],[Order Date]])</f>
        <v>2023</v>
      </c>
      <c r="M213" t="str">
        <f>CONCATENATE(LEFT(Master_ventas[[#This Row],[ProdUpper]],3),RIGHT(Master_ventas[[#This Row],[Ext-Year]],2),"-",MID(Master_ventas[[#This Row],[Category]],1,1))</f>
        <v>SMA23-E</v>
      </c>
      <c r="N213" t="str">
        <f>MID(Master_ventas[[#This Row],[ProdUpper]],1,3)</f>
        <v>SMA</v>
      </c>
      <c r="O213" t="str">
        <f>UPPER(IF(Master_ventas[[#This Row],[Profit]]&gt;500,"High","Std"))</f>
        <v>HIGH</v>
      </c>
      <c r="P213">
        <v>212</v>
      </c>
    </row>
    <row r="214" spans="1:16" x14ac:dyDescent="0.3">
      <c r="A214" s="1">
        <v>44590</v>
      </c>
      <c r="B214" t="s">
        <v>7</v>
      </c>
      <c r="C214" t="s">
        <v>8</v>
      </c>
      <c r="D214" t="s">
        <v>15</v>
      </c>
      <c r="E214">
        <v>2</v>
      </c>
      <c r="F214" s="3">
        <v>2224</v>
      </c>
      <c r="G214" s="2">
        <v>116.47</v>
      </c>
      <c r="H214">
        <f>Master_ventas[[#This Row],[Profit]]/Master_ventas[[#This Row],[Sales]]</f>
        <v>5.2369604316546761E-2</v>
      </c>
      <c r="I214">
        <f ca="1">Referencia_Hoy-Master_ventas[[#This Row],[Order Date]]</f>
        <v>1733</v>
      </c>
      <c r="J214" t="str">
        <f>UPPER(Master_ventas[[#This Row],[Product Name]])</f>
        <v>PRINTER</v>
      </c>
      <c r="K214" t="str">
        <f>UPPER(Master_ventas[[#This Row],[Category]])</f>
        <v>OFFICE</v>
      </c>
      <c r="L214">
        <f>YEAR(Master_ventas[[#This Row],[Order Date]])</f>
        <v>2022</v>
      </c>
      <c r="M214" t="str">
        <f>CONCATENATE(LEFT(Master_ventas[[#This Row],[ProdUpper]],3),RIGHT(Master_ventas[[#This Row],[Ext-Year]],2),"-",MID(Master_ventas[[#This Row],[Category]],1,1))</f>
        <v>PRI22-O</v>
      </c>
      <c r="N214" t="str">
        <f>MID(Master_ventas[[#This Row],[ProdUpper]],1,3)</f>
        <v>PRI</v>
      </c>
      <c r="O214" t="str">
        <f>UPPER(IF(Master_ventas[[#This Row],[Profit]]&gt;500,"High","Std"))</f>
        <v>STD</v>
      </c>
      <c r="P214">
        <v>213</v>
      </c>
    </row>
    <row r="215" spans="1:16" x14ac:dyDescent="0.3">
      <c r="A215" s="1">
        <v>44938</v>
      </c>
      <c r="B215" t="s">
        <v>23</v>
      </c>
      <c r="C215" t="s">
        <v>14</v>
      </c>
      <c r="D215" t="s">
        <v>15</v>
      </c>
      <c r="E215">
        <v>5</v>
      </c>
      <c r="F215" s="3">
        <v>3985</v>
      </c>
      <c r="G215" s="2">
        <v>824.4</v>
      </c>
      <c r="H215">
        <f>Master_ventas[[#This Row],[Profit]]/Master_ventas[[#This Row],[Sales]]</f>
        <v>0.20687578419071517</v>
      </c>
      <c r="I215">
        <f ca="1">Referencia_Hoy-Master_ventas[[#This Row],[Order Date]]</f>
        <v>1385</v>
      </c>
      <c r="J215" t="str">
        <f>UPPER(Master_ventas[[#This Row],[Product Name]])</f>
        <v>LAPTOP</v>
      </c>
      <c r="K215" t="str">
        <f>UPPER(Master_ventas[[#This Row],[Category]])</f>
        <v>ELECTRONICS</v>
      </c>
      <c r="L215">
        <f>YEAR(Master_ventas[[#This Row],[Order Date]])</f>
        <v>2023</v>
      </c>
      <c r="M215" t="str">
        <f>CONCATENATE(LEFT(Master_ventas[[#This Row],[ProdUpper]],3),RIGHT(Master_ventas[[#This Row],[Ext-Year]],2),"-",MID(Master_ventas[[#This Row],[Category]],1,1))</f>
        <v>LAP23-E</v>
      </c>
      <c r="N215" t="str">
        <f>MID(Master_ventas[[#This Row],[ProdUpper]],1,3)</f>
        <v>LAP</v>
      </c>
      <c r="O215" t="str">
        <f>UPPER(IF(Master_ventas[[#This Row],[Profit]]&gt;500,"High","Std"))</f>
        <v>HIGH</v>
      </c>
      <c r="P215">
        <v>214</v>
      </c>
    </row>
    <row r="216" spans="1:16" x14ac:dyDescent="0.3">
      <c r="A216" s="1">
        <v>44564</v>
      </c>
      <c r="B216" t="s">
        <v>17</v>
      </c>
      <c r="C216" t="s">
        <v>14</v>
      </c>
      <c r="D216" t="s">
        <v>9</v>
      </c>
      <c r="E216">
        <v>7</v>
      </c>
      <c r="F216" s="3">
        <v>2723</v>
      </c>
      <c r="G216" s="2">
        <v>638.26</v>
      </c>
      <c r="H216">
        <f>Master_ventas[[#This Row],[Profit]]/Master_ventas[[#This Row],[Sales]]</f>
        <v>0.23439588688946014</v>
      </c>
      <c r="I216">
        <f ca="1">Referencia_Hoy-Master_ventas[[#This Row],[Order Date]]</f>
        <v>1759</v>
      </c>
      <c r="J216" t="str">
        <f>UPPER(Master_ventas[[#This Row],[Product Name]])</f>
        <v>CAMERA</v>
      </c>
      <c r="K216" t="str">
        <f>UPPER(Master_ventas[[#This Row],[Category]])</f>
        <v>ELECTRONICS</v>
      </c>
      <c r="L216">
        <f>YEAR(Master_ventas[[#This Row],[Order Date]])</f>
        <v>2022</v>
      </c>
      <c r="M216" t="str">
        <f>CONCATENATE(LEFT(Master_ventas[[#This Row],[ProdUpper]],3),RIGHT(Master_ventas[[#This Row],[Ext-Year]],2),"-",MID(Master_ventas[[#This Row],[Category]],1,1))</f>
        <v>CAM22-E</v>
      </c>
      <c r="N216" t="str">
        <f>MID(Master_ventas[[#This Row],[ProdUpper]],1,3)</f>
        <v>CAM</v>
      </c>
      <c r="O216" t="str">
        <f>UPPER(IF(Master_ventas[[#This Row],[Profit]]&gt;500,"High","Std"))</f>
        <v>HIGH</v>
      </c>
      <c r="P216">
        <v>215</v>
      </c>
    </row>
    <row r="217" spans="1:16" x14ac:dyDescent="0.3">
      <c r="A217" s="1">
        <v>44854</v>
      </c>
      <c r="B217" t="s">
        <v>13</v>
      </c>
      <c r="C217" t="s">
        <v>14</v>
      </c>
      <c r="D217" t="s">
        <v>9</v>
      </c>
      <c r="E217">
        <v>2</v>
      </c>
      <c r="F217" s="3">
        <v>746</v>
      </c>
      <c r="G217" s="2">
        <v>170.75</v>
      </c>
      <c r="H217">
        <f>Master_ventas[[#This Row],[Profit]]/Master_ventas[[#This Row],[Sales]]</f>
        <v>0.22888739946380698</v>
      </c>
      <c r="I217">
        <f ca="1">Referencia_Hoy-Master_ventas[[#This Row],[Order Date]]</f>
        <v>1469</v>
      </c>
      <c r="J217" t="str">
        <f>UPPER(Master_ventas[[#This Row],[Product Name]])</f>
        <v>TABLET</v>
      </c>
      <c r="K217" t="str">
        <f>UPPER(Master_ventas[[#This Row],[Category]])</f>
        <v>ELECTRONICS</v>
      </c>
      <c r="L217">
        <f>YEAR(Master_ventas[[#This Row],[Order Date]])</f>
        <v>2022</v>
      </c>
      <c r="M217" t="str">
        <f>CONCATENATE(LEFT(Master_ventas[[#This Row],[ProdUpper]],3),RIGHT(Master_ventas[[#This Row],[Ext-Year]],2),"-",MID(Master_ventas[[#This Row],[Category]],1,1))</f>
        <v>TAB22-E</v>
      </c>
      <c r="N217" t="str">
        <f>MID(Master_ventas[[#This Row],[ProdUpper]],1,3)</f>
        <v>TAB</v>
      </c>
      <c r="O217" t="str">
        <f>UPPER(IF(Master_ventas[[#This Row],[Profit]]&gt;500,"High","Std"))</f>
        <v>STD</v>
      </c>
      <c r="P217">
        <v>216</v>
      </c>
    </row>
    <row r="218" spans="1:16" x14ac:dyDescent="0.3">
      <c r="A218" s="1">
        <v>45525</v>
      </c>
      <c r="B218" t="s">
        <v>23</v>
      </c>
      <c r="C218" t="s">
        <v>14</v>
      </c>
      <c r="D218" t="s">
        <v>16</v>
      </c>
      <c r="E218">
        <v>5</v>
      </c>
      <c r="F218" s="3">
        <v>3170</v>
      </c>
      <c r="G218" s="2">
        <v>245.25</v>
      </c>
      <c r="H218">
        <f>Master_ventas[[#This Row],[Profit]]/Master_ventas[[#This Row],[Sales]]</f>
        <v>7.7365930599369082E-2</v>
      </c>
      <c r="I218">
        <f ca="1">Referencia_Hoy-Master_ventas[[#This Row],[Order Date]]</f>
        <v>798</v>
      </c>
      <c r="J218" t="str">
        <f>UPPER(Master_ventas[[#This Row],[Product Name]])</f>
        <v>LAPTOP</v>
      </c>
      <c r="K218" t="str">
        <f>UPPER(Master_ventas[[#This Row],[Category]])</f>
        <v>ELECTRONICS</v>
      </c>
      <c r="L218">
        <f>YEAR(Master_ventas[[#This Row],[Order Date]])</f>
        <v>2024</v>
      </c>
      <c r="M218" t="str">
        <f>CONCATENATE(LEFT(Master_ventas[[#This Row],[ProdUpper]],3),RIGHT(Master_ventas[[#This Row],[Ext-Year]],2),"-",MID(Master_ventas[[#This Row],[Category]],1,1))</f>
        <v>LAP24-E</v>
      </c>
      <c r="N218" t="str">
        <f>MID(Master_ventas[[#This Row],[ProdUpper]],1,3)</f>
        <v>LAP</v>
      </c>
      <c r="O218" t="str">
        <f>UPPER(IF(Master_ventas[[#This Row],[Profit]]&gt;500,"High","Std"))</f>
        <v>STD</v>
      </c>
      <c r="P218">
        <v>217</v>
      </c>
    </row>
    <row r="219" spans="1:16" x14ac:dyDescent="0.3">
      <c r="A219" s="1">
        <v>45271</v>
      </c>
      <c r="B219" t="s">
        <v>19</v>
      </c>
      <c r="C219" t="s">
        <v>14</v>
      </c>
      <c r="D219" t="s">
        <v>12</v>
      </c>
      <c r="E219">
        <v>5</v>
      </c>
      <c r="F219" s="3">
        <v>550</v>
      </c>
      <c r="G219" s="2">
        <v>63.11</v>
      </c>
      <c r="H219">
        <f>Master_ventas[[#This Row],[Profit]]/Master_ventas[[#This Row],[Sales]]</f>
        <v>0.11474545454545454</v>
      </c>
      <c r="I219">
        <f ca="1">Referencia_Hoy-Master_ventas[[#This Row],[Order Date]]</f>
        <v>1052</v>
      </c>
      <c r="J219" t="str">
        <f>UPPER(Master_ventas[[#This Row],[Product Name]])</f>
        <v>SMARTWATCH</v>
      </c>
      <c r="K219" t="str">
        <f>UPPER(Master_ventas[[#This Row],[Category]])</f>
        <v>ELECTRONICS</v>
      </c>
      <c r="L219">
        <f>YEAR(Master_ventas[[#This Row],[Order Date]])</f>
        <v>2023</v>
      </c>
      <c r="M219" t="str">
        <f>CONCATENATE(LEFT(Master_ventas[[#This Row],[ProdUpper]],3),RIGHT(Master_ventas[[#This Row],[Ext-Year]],2),"-",MID(Master_ventas[[#This Row],[Category]],1,1))</f>
        <v>SMA23-E</v>
      </c>
      <c r="N219" t="str">
        <f>MID(Master_ventas[[#This Row],[ProdUpper]],1,3)</f>
        <v>SMA</v>
      </c>
      <c r="O219" t="str">
        <f>UPPER(IF(Master_ventas[[#This Row],[Profit]]&gt;500,"High","Std"))</f>
        <v>STD</v>
      </c>
      <c r="P219">
        <v>218</v>
      </c>
    </row>
    <row r="220" spans="1:16" x14ac:dyDescent="0.3">
      <c r="A220" s="1">
        <v>44787</v>
      </c>
      <c r="B220" t="s">
        <v>13</v>
      </c>
      <c r="C220" t="s">
        <v>14</v>
      </c>
      <c r="D220" t="s">
        <v>9</v>
      </c>
      <c r="E220">
        <v>8</v>
      </c>
      <c r="F220" s="3">
        <v>480</v>
      </c>
      <c r="G220" s="2">
        <v>132.44999999999999</v>
      </c>
      <c r="H220">
        <f>Master_ventas[[#This Row],[Profit]]/Master_ventas[[#This Row],[Sales]]</f>
        <v>0.2759375</v>
      </c>
      <c r="I220">
        <f ca="1">Referencia_Hoy-Master_ventas[[#This Row],[Order Date]]</f>
        <v>1536</v>
      </c>
      <c r="J220" t="str">
        <f>UPPER(Master_ventas[[#This Row],[Product Name]])</f>
        <v>TABLET</v>
      </c>
      <c r="K220" t="str">
        <f>UPPER(Master_ventas[[#This Row],[Category]])</f>
        <v>ELECTRONICS</v>
      </c>
      <c r="L220">
        <f>YEAR(Master_ventas[[#This Row],[Order Date]])</f>
        <v>2022</v>
      </c>
      <c r="M220" t="str">
        <f>CONCATENATE(LEFT(Master_ventas[[#This Row],[ProdUpper]],3),RIGHT(Master_ventas[[#This Row],[Ext-Year]],2),"-",MID(Master_ventas[[#This Row],[Category]],1,1))</f>
        <v>TAB22-E</v>
      </c>
      <c r="N220" t="str">
        <f>MID(Master_ventas[[#This Row],[ProdUpper]],1,3)</f>
        <v>TAB</v>
      </c>
      <c r="O220" t="str">
        <f>UPPER(IF(Master_ventas[[#This Row],[Profit]]&gt;500,"High","Std"))</f>
        <v>STD</v>
      </c>
      <c r="P220">
        <v>219</v>
      </c>
    </row>
    <row r="221" spans="1:16" x14ac:dyDescent="0.3">
      <c r="A221" s="1">
        <v>45446</v>
      </c>
      <c r="B221" t="s">
        <v>7</v>
      </c>
      <c r="C221" t="s">
        <v>8</v>
      </c>
      <c r="D221" t="s">
        <v>12</v>
      </c>
      <c r="E221">
        <v>4</v>
      </c>
      <c r="F221" s="3">
        <v>3284</v>
      </c>
      <c r="G221" s="2">
        <v>354.4</v>
      </c>
      <c r="H221">
        <f>Master_ventas[[#This Row],[Profit]]/Master_ventas[[#This Row],[Sales]]</f>
        <v>0.10791717417783191</v>
      </c>
      <c r="I221">
        <f ca="1">Referencia_Hoy-Master_ventas[[#This Row],[Order Date]]</f>
        <v>877</v>
      </c>
      <c r="J221" t="str">
        <f>UPPER(Master_ventas[[#This Row],[Product Name]])</f>
        <v>PRINTER</v>
      </c>
      <c r="K221" t="str">
        <f>UPPER(Master_ventas[[#This Row],[Category]])</f>
        <v>OFFICE</v>
      </c>
      <c r="L221">
        <f>YEAR(Master_ventas[[#This Row],[Order Date]])</f>
        <v>2024</v>
      </c>
      <c r="M221" t="str">
        <f>CONCATENATE(LEFT(Master_ventas[[#This Row],[ProdUpper]],3),RIGHT(Master_ventas[[#This Row],[Ext-Year]],2),"-",MID(Master_ventas[[#This Row],[Category]],1,1))</f>
        <v>PRI24-O</v>
      </c>
      <c r="N221" t="str">
        <f>MID(Master_ventas[[#This Row],[ProdUpper]],1,3)</f>
        <v>PRI</v>
      </c>
      <c r="O221" t="str">
        <f>UPPER(IF(Master_ventas[[#This Row],[Profit]]&gt;500,"High","Std"))</f>
        <v>STD</v>
      </c>
      <c r="P221">
        <v>220</v>
      </c>
    </row>
    <row r="222" spans="1:16" x14ac:dyDescent="0.3">
      <c r="A222" s="1">
        <v>45314</v>
      </c>
      <c r="B222" t="s">
        <v>19</v>
      </c>
      <c r="C222" t="s">
        <v>14</v>
      </c>
      <c r="D222" t="s">
        <v>15</v>
      </c>
      <c r="E222">
        <v>2</v>
      </c>
      <c r="F222" s="3">
        <v>1748</v>
      </c>
      <c r="G222" s="2">
        <v>183.75</v>
      </c>
      <c r="H222">
        <f>Master_ventas[[#This Row],[Profit]]/Master_ventas[[#This Row],[Sales]]</f>
        <v>0.10512013729977117</v>
      </c>
      <c r="I222">
        <f ca="1">Referencia_Hoy-Master_ventas[[#This Row],[Order Date]]</f>
        <v>1009</v>
      </c>
      <c r="J222" t="str">
        <f>UPPER(Master_ventas[[#This Row],[Product Name]])</f>
        <v>SMARTWATCH</v>
      </c>
      <c r="K222" t="str">
        <f>UPPER(Master_ventas[[#This Row],[Category]])</f>
        <v>ELECTRONICS</v>
      </c>
      <c r="L222">
        <f>YEAR(Master_ventas[[#This Row],[Order Date]])</f>
        <v>2024</v>
      </c>
      <c r="M222" t="str">
        <f>CONCATENATE(LEFT(Master_ventas[[#This Row],[ProdUpper]],3),RIGHT(Master_ventas[[#This Row],[Ext-Year]],2),"-",MID(Master_ventas[[#This Row],[Category]],1,1))</f>
        <v>SMA24-E</v>
      </c>
      <c r="N222" t="str">
        <f>MID(Master_ventas[[#This Row],[ProdUpper]],1,3)</f>
        <v>SMA</v>
      </c>
      <c r="O222" t="str">
        <f>UPPER(IF(Master_ventas[[#This Row],[Profit]]&gt;500,"High","Std"))</f>
        <v>STD</v>
      </c>
      <c r="P222">
        <v>221</v>
      </c>
    </row>
    <row r="223" spans="1:16" x14ac:dyDescent="0.3">
      <c r="A223" s="1">
        <v>45250</v>
      </c>
      <c r="B223" t="s">
        <v>18</v>
      </c>
      <c r="C223" t="s">
        <v>11</v>
      </c>
      <c r="D223" t="s">
        <v>9</v>
      </c>
      <c r="E223">
        <v>8</v>
      </c>
      <c r="F223" s="3">
        <v>824</v>
      </c>
      <c r="G223" s="2">
        <v>240.84</v>
      </c>
      <c r="H223">
        <f>Master_ventas[[#This Row],[Profit]]/Master_ventas[[#This Row],[Sales]]</f>
        <v>0.29228155339805828</v>
      </c>
      <c r="I223">
        <f ca="1">Referencia_Hoy-Master_ventas[[#This Row],[Order Date]]</f>
        <v>1073</v>
      </c>
      <c r="J223" t="str">
        <f>UPPER(Master_ventas[[#This Row],[Product Name]])</f>
        <v>HEADPHONES</v>
      </c>
      <c r="K223" t="str">
        <f>UPPER(Master_ventas[[#This Row],[Category]])</f>
        <v>ACCESSORIES</v>
      </c>
      <c r="L223">
        <f>YEAR(Master_ventas[[#This Row],[Order Date]])</f>
        <v>2023</v>
      </c>
      <c r="M223" t="str">
        <f>CONCATENATE(LEFT(Master_ventas[[#This Row],[ProdUpper]],3),RIGHT(Master_ventas[[#This Row],[Ext-Year]],2),"-",MID(Master_ventas[[#This Row],[Category]],1,1))</f>
        <v>HEA23-A</v>
      </c>
      <c r="N223" t="str">
        <f>MID(Master_ventas[[#This Row],[ProdUpper]],1,3)</f>
        <v>HEA</v>
      </c>
      <c r="O223" t="str">
        <f>UPPER(IF(Master_ventas[[#This Row],[Profit]]&gt;500,"High","Std"))</f>
        <v>STD</v>
      </c>
      <c r="P223">
        <v>222</v>
      </c>
    </row>
    <row r="224" spans="1:16" x14ac:dyDescent="0.3">
      <c r="A224" s="1">
        <v>44623</v>
      </c>
      <c r="B224" t="s">
        <v>18</v>
      </c>
      <c r="C224" t="s">
        <v>11</v>
      </c>
      <c r="D224" t="s">
        <v>9</v>
      </c>
      <c r="E224">
        <v>4</v>
      </c>
      <c r="F224" s="3">
        <v>1872</v>
      </c>
      <c r="G224" s="2">
        <v>448.46</v>
      </c>
      <c r="H224">
        <f>Master_ventas[[#This Row],[Profit]]/Master_ventas[[#This Row],[Sales]]</f>
        <v>0.23956196581196579</v>
      </c>
      <c r="I224">
        <f ca="1">Referencia_Hoy-Master_ventas[[#This Row],[Order Date]]</f>
        <v>1700</v>
      </c>
      <c r="J224" t="str">
        <f>UPPER(Master_ventas[[#This Row],[Product Name]])</f>
        <v>HEADPHONES</v>
      </c>
      <c r="K224" t="str">
        <f>UPPER(Master_ventas[[#This Row],[Category]])</f>
        <v>ACCESSORIES</v>
      </c>
      <c r="L224">
        <f>YEAR(Master_ventas[[#This Row],[Order Date]])</f>
        <v>2022</v>
      </c>
      <c r="M224" t="str">
        <f>CONCATENATE(LEFT(Master_ventas[[#This Row],[ProdUpper]],3),RIGHT(Master_ventas[[#This Row],[Ext-Year]],2),"-",MID(Master_ventas[[#This Row],[Category]],1,1))</f>
        <v>HEA22-A</v>
      </c>
      <c r="N224" t="str">
        <f>MID(Master_ventas[[#This Row],[ProdUpper]],1,3)</f>
        <v>HEA</v>
      </c>
      <c r="O224" t="str">
        <f>UPPER(IF(Master_ventas[[#This Row],[Profit]]&gt;500,"High","Std"))</f>
        <v>STD</v>
      </c>
      <c r="P224">
        <v>223</v>
      </c>
    </row>
    <row r="225" spans="1:16" x14ac:dyDescent="0.3">
      <c r="A225" s="1">
        <v>45342</v>
      </c>
      <c r="B225" t="s">
        <v>13</v>
      </c>
      <c r="C225" t="s">
        <v>14</v>
      </c>
      <c r="D225" t="s">
        <v>16</v>
      </c>
      <c r="E225">
        <v>3</v>
      </c>
      <c r="F225" s="3">
        <v>627</v>
      </c>
      <c r="G225" s="2">
        <v>103.98</v>
      </c>
      <c r="H225">
        <f>Master_ventas[[#This Row],[Profit]]/Master_ventas[[#This Row],[Sales]]</f>
        <v>0.16583732057416267</v>
      </c>
      <c r="I225">
        <f ca="1">Referencia_Hoy-Master_ventas[[#This Row],[Order Date]]</f>
        <v>981</v>
      </c>
      <c r="J225" t="str">
        <f>UPPER(Master_ventas[[#This Row],[Product Name]])</f>
        <v>TABLET</v>
      </c>
      <c r="K225" t="str">
        <f>UPPER(Master_ventas[[#This Row],[Category]])</f>
        <v>ELECTRONICS</v>
      </c>
      <c r="L225">
        <f>YEAR(Master_ventas[[#This Row],[Order Date]])</f>
        <v>2024</v>
      </c>
      <c r="M225" t="str">
        <f>CONCATENATE(LEFT(Master_ventas[[#This Row],[ProdUpper]],3),RIGHT(Master_ventas[[#This Row],[Ext-Year]],2),"-",MID(Master_ventas[[#This Row],[Category]],1,1))</f>
        <v>TAB24-E</v>
      </c>
      <c r="N225" t="str">
        <f>MID(Master_ventas[[#This Row],[ProdUpper]],1,3)</f>
        <v>TAB</v>
      </c>
      <c r="O225" t="str">
        <f>UPPER(IF(Master_ventas[[#This Row],[Profit]]&gt;500,"High","Std"))</f>
        <v>STD</v>
      </c>
      <c r="P225">
        <v>224</v>
      </c>
    </row>
    <row r="226" spans="1:16" x14ac:dyDescent="0.3">
      <c r="A226" s="1">
        <v>45513</v>
      </c>
      <c r="B226" t="s">
        <v>17</v>
      </c>
      <c r="C226" t="s">
        <v>14</v>
      </c>
      <c r="D226" t="s">
        <v>12</v>
      </c>
      <c r="E226">
        <v>9</v>
      </c>
      <c r="F226" s="3">
        <v>5661</v>
      </c>
      <c r="G226" s="2">
        <v>1104.02</v>
      </c>
      <c r="H226">
        <f>Master_ventas[[#This Row],[Profit]]/Master_ventas[[#This Row],[Sales]]</f>
        <v>0.19502208090443385</v>
      </c>
      <c r="I226">
        <f ca="1">Referencia_Hoy-Master_ventas[[#This Row],[Order Date]]</f>
        <v>810</v>
      </c>
      <c r="J226" t="str">
        <f>UPPER(Master_ventas[[#This Row],[Product Name]])</f>
        <v>CAMERA</v>
      </c>
      <c r="K226" t="str">
        <f>UPPER(Master_ventas[[#This Row],[Category]])</f>
        <v>ELECTRONICS</v>
      </c>
      <c r="L226">
        <f>YEAR(Master_ventas[[#This Row],[Order Date]])</f>
        <v>2024</v>
      </c>
      <c r="M226" t="str">
        <f>CONCATENATE(LEFT(Master_ventas[[#This Row],[ProdUpper]],3),RIGHT(Master_ventas[[#This Row],[Ext-Year]],2),"-",MID(Master_ventas[[#This Row],[Category]],1,1))</f>
        <v>CAM24-E</v>
      </c>
      <c r="N226" t="str">
        <f>MID(Master_ventas[[#This Row],[ProdUpper]],1,3)</f>
        <v>CAM</v>
      </c>
      <c r="O226" t="str">
        <f>UPPER(IF(Master_ventas[[#This Row],[Profit]]&gt;500,"High","Std"))</f>
        <v>HIGH</v>
      </c>
      <c r="P226">
        <v>225</v>
      </c>
    </row>
    <row r="227" spans="1:16" x14ac:dyDescent="0.3">
      <c r="A227" s="1">
        <v>44731</v>
      </c>
      <c r="B227" t="s">
        <v>17</v>
      </c>
      <c r="C227" t="s">
        <v>14</v>
      </c>
      <c r="D227" t="s">
        <v>9</v>
      </c>
      <c r="E227">
        <v>3</v>
      </c>
      <c r="F227" s="3">
        <v>2910</v>
      </c>
      <c r="G227" s="2">
        <v>765.47</v>
      </c>
      <c r="H227">
        <f>Master_ventas[[#This Row],[Profit]]/Master_ventas[[#This Row],[Sales]]</f>
        <v>0.26304810996563577</v>
      </c>
      <c r="I227">
        <f ca="1">Referencia_Hoy-Master_ventas[[#This Row],[Order Date]]</f>
        <v>1592</v>
      </c>
      <c r="J227" t="str">
        <f>UPPER(Master_ventas[[#This Row],[Product Name]])</f>
        <v>CAMERA</v>
      </c>
      <c r="K227" t="str">
        <f>UPPER(Master_ventas[[#This Row],[Category]])</f>
        <v>ELECTRONICS</v>
      </c>
      <c r="L227">
        <f>YEAR(Master_ventas[[#This Row],[Order Date]])</f>
        <v>2022</v>
      </c>
      <c r="M227" t="str">
        <f>CONCATENATE(LEFT(Master_ventas[[#This Row],[ProdUpper]],3),RIGHT(Master_ventas[[#This Row],[Ext-Year]],2),"-",MID(Master_ventas[[#This Row],[Category]],1,1))</f>
        <v>CAM22-E</v>
      </c>
      <c r="N227" t="str">
        <f>MID(Master_ventas[[#This Row],[ProdUpper]],1,3)</f>
        <v>CAM</v>
      </c>
      <c r="O227" t="str">
        <f>UPPER(IF(Master_ventas[[#This Row],[Profit]]&gt;500,"High","Std"))</f>
        <v>HIGH</v>
      </c>
      <c r="P227">
        <v>226</v>
      </c>
    </row>
    <row r="228" spans="1:16" x14ac:dyDescent="0.3">
      <c r="A228" s="1">
        <v>45536</v>
      </c>
      <c r="B228" t="s">
        <v>13</v>
      </c>
      <c r="C228" t="s">
        <v>14</v>
      </c>
      <c r="D228" t="s">
        <v>15</v>
      </c>
      <c r="E228">
        <v>9</v>
      </c>
      <c r="F228" s="3">
        <v>9036</v>
      </c>
      <c r="G228" s="2">
        <v>1087.46</v>
      </c>
      <c r="H228">
        <f>Master_ventas[[#This Row],[Profit]]/Master_ventas[[#This Row],[Sales]]</f>
        <v>0.12034749889331563</v>
      </c>
      <c r="I228">
        <f ca="1">Referencia_Hoy-Master_ventas[[#This Row],[Order Date]]</f>
        <v>787</v>
      </c>
      <c r="J228" t="str">
        <f>UPPER(Master_ventas[[#This Row],[Product Name]])</f>
        <v>TABLET</v>
      </c>
      <c r="K228" t="str">
        <f>UPPER(Master_ventas[[#This Row],[Category]])</f>
        <v>ELECTRONICS</v>
      </c>
      <c r="L228">
        <f>YEAR(Master_ventas[[#This Row],[Order Date]])</f>
        <v>2024</v>
      </c>
      <c r="M228" t="str">
        <f>CONCATENATE(LEFT(Master_ventas[[#This Row],[ProdUpper]],3),RIGHT(Master_ventas[[#This Row],[Ext-Year]],2),"-",MID(Master_ventas[[#This Row],[Category]],1,1))</f>
        <v>TAB24-E</v>
      </c>
      <c r="N228" t="str">
        <f>MID(Master_ventas[[#This Row],[ProdUpper]],1,3)</f>
        <v>TAB</v>
      </c>
      <c r="O228" t="str">
        <f>UPPER(IF(Master_ventas[[#This Row],[Profit]]&gt;500,"High","Std"))</f>
        <v>HIGH</v>
      </c>
      <c r="P228">
        <v>227</v>
      </c>
    </row>
    <row r="229" spans="1:16" x14ac:dyDescent="0.3">
      <c r="A229" s="1">
        <v>45534</v>
      </c>
      <c r="B229" t="s">
        <v>13</v>
      </c>
      <c r="C229" t="s">
        <v>14</v>
      </c>
      <c r="D229" t="s">
        <v>16</v>
      </c>
      <c r="E229">
        <v>5</v>
      </c>
      <c r="F229" s="3">
        <v>4815</v>
      </c>
      <c r="G229" s="2">
        <v>338.31</v>
      </c>
      <c r="H229">
        <f>Master_ventas[[#This Row],[Profit]]/Master_ventas[[#This Row],[Sales]]</f>
        <v>7.0261682242990661E-2</v>
      </c>
      <c r="I229">
        <f ca="1">Referencia_Hoy-Master_ventas[[#This Row],[Order Date]]</f>
        <v>789</v>
      </c>
      <c r="J229" t="str">
        <f>UPPER(Master_ventas[[#This Row],[Product Name]])</f>
        <v>TABLET</v>
      </c>
      <c r="K229" t="str">
        <f>UPPER(Master_ventas[[#This Row],[Category]])</f>
        <v>ELECTRONICS</v>
      </c>
      <c r="L229">
        <f>YEAR(Master_ventas[[#This Row],[Order Date]])</f>
        <v>2024</v>
      </c>
      <c r="M229" t="str">
        <f>CONCATENATE(LEFT(Master_ventas[[#This Row],[ProdUpper]],3),RIGHT(Master_ventas[[#This Row],[Ext-Year]],2),"-",MID(Master_ventas[[#This Row],[Category]],1,1))</f>
        <v>TAB24-E</v>
      </c>
      <c r="N229" t="str">
        <f>MID(Master_ventas[[#This Row],[ProdUpper]],1,3)</f>
        <v>TAB</v>
      </c>
      <c r="O229" t="str">
        <f>UPPER(IF(Master_ventas[[#This Row],[Profit]]&gt;500,"High","Std"))</f>
        <v>STD</v>
      </c>
      <c r="P229">
        <v>228</v>
      </c>
    </row>
    <row r="230" spans="1:16" x14ac:dyDescent="0.3">
      <c r="A230" s="1">
        <v>44785</v>
      </c>
      <c r="B230" t="s">
        <v>10</v>
      </c>
      <c r="C230" t="s">
        <v>11</v>
      </c>
      <c r="D230" t="s">
        <v>15</v>
      </c>
      <c r="E230">
        <v>1</v>
      </c>
      <c r="F230" s="3">
        <v>1187</v>
      </c>
      <c r="G230" s="2">
        <v>206.28</v>
      </c>
      <c r="H230">
        <f>Master_ventas[[#This Row],[Profit]]/Master_ventas[[#This Row],[Sales]]</f>
        <v>0.17378264532434709</v>
      </c>
      <c r="I230">
        <f ca="1">Referencia_Hoy-Master_ventas[[#This Row],[Order Date]]</f>
        <v>1538</v>
      </c>
      <c r="J230" t="str">
        <f>UPPER(Master_ventas[[#This Row],[Product Name]])</f>
        <v>MOUSE</v>
      </c>
      <c r="K230" t="str">
        <f>UPPER(Master_ventas[[#This Row],[Category]])</f>
        <v>ACCESSORIES</v>
      </c>
      <c r="L230">
        <f>YEAR(Master_ventas[[#This Row],[Order Date]])</f>
        <v>2022</v>
      </c>
      <c r="M230" t="str">
        <f>CONCATENATE(LEFT(Master_ventas[[#This Row],[ProdUpper]],3),RIGHT(Master_ventas[[#This Row],[Ext-Year]],2),"-",MID(Master_ventas[[#This Row],[Category]],1,1))</f>
        <v>MOU22-A</v>
      </c>
      <c r="N230" t="str">
        <f>MID(Master_ventas[[#This Row],[ProdUpper]],1,3)</f>
        <v>MOU</v>
      </c>
      <c r="O230" t="str">
        <f>UPPER(IF(Master_ventas[[#This Row],[Profit]]&gt;500,"High","Std"))</f>
        <v>STD</v>
      </c>
      <c r="P230">
        <v>229</v>
      </c>
    </row>
    <row r="231" spans="1:16" x14ac:dyDescent="0.3">
      <c r="A231" s="1">
        <v>44777</v>
      </c>
      <c r="B231" t="s">
        <v>18</v>
      </c>
      <c r="C231" t="s">
        <v>11</v>
      </c>
      <c r="D231" t="s">
        <v>12</v>
      </c>
      <c r="E231">
        <v>3</v>
      </c>
      <c r="F231" s="3">
        <v>3339</v>
      </c>
      <c r="G231" s="2">
        <v>732.92</v>
      </c>
      <c r="H231">
        <f>Master_ventas[[#This Row],[Profit]]/Master_ventas[[#This Row],[Sales]]</f>
        <v>0.21950284516322252</v>
      </c>
      <c r="I231">
        <f ca="1">Referencia_Hoy-Master_ventas[[#This Row],[Order Date]]</f>
        <v>1546</v>
      </c>
      <c r="J231" t="str">
        <f>UPPER(Master_ventas[[#This Row],[Product Name]])</f>
        <v>HEADPHONES</v>
      </c>
      <c r="K231" t="str">
        <f>UPPER(Master_ventas[[#This Row],[Category]])</f>
        <v>ACCESSORIES</v>
      </c>
      <c r="L231">
        <f>YEAR(Master_ventas[[#This Row],[Order Date]])</f>
        <v>2022</v>
      </c>
      <c r="M231" t="str">
        <f>CONCATENATE(LEFT(Master_ventas[[#This Row],[ProdUpper]],3),RIGHT(Master_ventas[[#This Row],[Ext-Year]],2),"-",MID(Master_ventas[[#This Row],[Category]],1,1))</f>
        <v>HEA22-A</v>
      </c>
      <c r="N231" t="str">
        <f>MID(Master_ventas[[#This Row],[ProdUpper]],1,3)</f>
        <v>HEA</v>
      </c>
      <c r="O231" t="str">
        <f>UPPER(IF(Master_ventas[[#This Row],[Profit]]&gt;500,"High","Std"))</f>
        <v>HIGH</v>
      </c>
      <c r="P231">
        <v>230</v>
      </c>
    </row>
    <row r="232" spans="1:16" x14ac:dyDescent="0.3">
      <c r="A232" s="1">
        <v>45342</v>
      </c>
      <c r="B232" t="s">
        <v>13</v>
      </c>
      <c r="C232" t="s">
        <v>14</v>
      </c>
      <c r="D232" t="s">
        <v>12</v>
      </c>
      <c r="E232">
        <v>1</v>
      </c>
      <c r="F232" s="3">
        <v>620</v>
      </c>
      <c r="G232" s="2">
        <v>165.43</v>
      </c>
      <c r="H232">
        <f>Master_ventas[[#This Row],[Profit]]/Master_ventas[[#This Row],[Sales]]</f>
        <v>0.26682258064516129</v>
      </c>
      <c r="I232">
        <f ca="1">Referencia_Hoy-Master_ventas[[#This Row],[Order Date]]</f>
        <v>981</v>
      </c>
      <c r="J232" t="str">
        <f>UPPER(Master_ventas[[#This Row],[Product Name]])</f>
        <v>TABLET</v>
      </c>
      <c r="K232" t="str">
        <f>UPPER(Master_ventas[[#This Row],[Category]])</f>
        <v>ELECTRONICS</v>
      </c>
      <c r="L232">
        <f>YEAR(Master_ventas[[#This Row],[Order Date]])</f>
        <v>2024</v>
      </c>
      <c r="M232" t="str">
        <f>CONCATENATE(LEFT(Master_ventas[[#This Row],[ProdUpper]],3),RIGHT(Master_ventas[[#This Row],[Ext-Year]],2),"-",MID(Master_ventas[[#This Row],[Category]],1,1))</f>
        <v>TAB24-E</v>
      </c>
      <c r="N232" t="str">
        <f>MID(Master_ventas[[#This Row],[ProdUpper]],1,3)</f>
        <v>TAB</v>
      </c>
      <c r="O232" t="str">
        <f>UPPER(IF(Master_ventas[[#This Row],[Profit]]&gt;500,"High","Std"))</f>
        <v>STD</v>
      </c>
      <c r="P232">
        <v>231</v>
      </c>
    </row>
    <row r="233" spans="1:16" x14ac:dyDescent="0.3">
      <c r="A233" s="1">
        <v>44983</v>
      </c>
      <c r="B233" t="s">
        <v>17</v>
      </c>
      <c r="C233" t="s">
        <v>14</v>
      </c>
      <c r="D233" t="s">
        <v>16</v>
      </c>
      <c r="E233">
        <v>5</v>
      </c>
      <c r="F233" s="3">
        <v>2025</v>
      </c>
      <c r="G233" s="2">
        <v>414.42</v>
      </c>
      <c r="H233">
        <f>Master_ventas[[#This Row],[Profit]]/Master_ventas[[#This Row],[Sales]]</f>
        <v>0.20465185185185186</v>
      </c>
      <c r="I233">
        <f ca="1">Referencia_Hoy-Master_ventas[[#This Row],[Order Date]]</f>
        <v>1340</v>
      </c>
      <c r="J233" t="str">
        <f>UPPER(Master_ventas[[#This Row],[Product Name]])</f>
        <v>CAMERA</v>
      </c>
      <c r="K233" t="str">
        <f>UPPER(Master_ventas[[#This Row],[Category]])</f>
        <v>ELECTRONICS</v>
      </c>
      <c r="L233">
        <f>YEAR(Master_ventas[[#This Row],[Order Date]])</f>
        <v>2023</v>
      </c>
      <c r="M233" t="str">
        <f>CONCATENATE(LEFT(Master_ventas[[#This Row],[ProdUpper]],3),RIGHT(Master_ventas[[#This Row],[Ext-Year]],2),"-",MID(Master_ventas[[#This Row],[Category]],1,1))</f>
        <v>CAM23-E</v>
      </c>
      <c r="N233" t="str">
        <f>MID(Master_ventas[[#This Row],[ProdUpper]],1,3)</f>
        <v>CAM</v>
      </c>
      <c r="O233" t="str">
        <f>UPPER(IF(Master_ventas[[#This Row],[Profit]]&gt;500,"High","Std"))</f>
        <v>STD</v>
      </c>
      <c r="P233">
        <v>232</v>
      </c>
    </row>
    <row r="234" spans="1:16" x14ac:dyDescent="0.3">
      <c r="A234" s="1">
        <v>45616</v>
      </c>
      <c r="B234" t="s">
        <v>7</v>
      </c>
      <c r="C234" t="s">
        <v>8</v>
      </c>
      <c r="D234" t="s">
        <v>12</v>
      </c>
      <c r="E234">
        <v>5</v>
      </c>
      <c r="F234" s="3">
        <v>3030</v>
      </c>
      <c r="G234" s="2">
        <v>811.92</v>
      </c>
      <c r="H234">
        <f>Master_ventas[[#This Row],[Profit]]/Master_ventas[[#This Row],[Sales]]</f>
        <v>0.26796039603960392</v>
      </c>
      <c r="I234">
        <f ca="1">Referencia_Hoy-Master_ventas[[#This Row],[Order Date]]</f>
        <v>707</v>
      </c>
      <c r="J234" t="str">
        <f>UPPER(Master_ventas[[#This Row],[Product Name]])</f>
        <v>PRINTER</v>
      </c>
      <c r="K234" t="str">
        <f>UPPER(Master_ventas[[#This Row],[Category]])</f>
        <v>OFFICE</v>
      </c>
      <c r="L234">
        <f>YEAR(Master_ventas[[#This Row],[Order Date]])</f>
        <v>2024</v>
      </c>
      <c r="M234" t="str">
        <f>CONCATENATE(LEFT(Master_ventas[[#This Row],[ProdUpper]],3),RIGHT(Master_ventas[[#This Row],[Ext-Year]],2),"-",MID(Master_ventas[[#This Row],[Category]],1,1))</f>
        <v>PRI24-O</v>
      </c>
      <c r="N234" t="str">
        <f>MID(Master_ventas[[#This Row],[ProdUpper]],1,3)</f>
        <v>PRI</v>
      </c>
      <c r="O234" t="str">
        <f>UPPER(IF(Master_ventas[[#This Row],[Profit]]&gt;500,"High","Std"))</f>
        <v>HIGH</v>
      </c>
      <c r="P234">
        <v>233</v>
      </c>
    </row>
    <row r="235" spans="1:16" x14ac:dyDescent="0.3">
      <c r="A235" s="1">
        <v>45150</v>
      </c>
      <c r="B235" t="s">
        <v>19</v>
      </c>
      <c r="C235" t="s">
        <v>14</v>
      </c>
      <c r="D235" t="s">
        <v>9</v>
      </c>
      <c r="E235">
        <v>5</v>
      </c>
      <c r="F235" s="3">
        <v>655</v>
      </c>
      <c r="G235" s="2">
        <v>166.69</v>
      </c>
      <c r="H235">
        <f>Master_ventas[[#This Row],[Profit]]/Master_ventas[[#This Row],[Sales]]</f>
        <v>0.25448854961832063</v>
      </c>
      <c r="I235">
        <f ca="1">Referencia_Hoy-Master_ventas[[#This Row],[Order Date]]</f>
        <v>1173</v>
      </c>
      <c r="J235" t="str">
        <f>UPPER(Master_ventas[[#This Row],[Product Name]])</f>
        <v>SMARTWATCH</v>
      </c>
      <c r="K235" t="str">
        <f>UPPER(Master_ventas[[#This Row],[Category]])</f>
        <v>ELECTRONICS</v>
      </c>
      <c r="L235">
        <f>YEAR(Master_ventas[[#This Row],[Order Date]])</f>
        <v>2023</v>
      </c>
      <c r="M235" t="str">
        <f>CONCATENATE(LEFT(Master_ventas[[#This Row],[ProdUpper]],3),RIGHT(Master_ventas[[#This Row],[Ext-Year]],2),"-",MID(Master_ventas[[#This Row],[Category]],1,1))</f>
        <v>SMA23-E</v>
      </c>
      <c r="N235" t="str">
        <f>MID(Master_ventas[[#This Row],[ProdUpper]],1,3)</f>
        <v>SMA</v>
      </c>
      <c r="O235" t="str">
        <f>UPPER(IF(Master_ventas[[#This Row],[Profit]]&gt;500,"High","Std"))</f>
        <v>STD</v>
      </c>
      <c r="P235">
        <v>234</v>
      </c>
    </row>
    <row r="236" spans="1:16" x14ac:dyDescent="0.3">
      <c r="A236" s="1">
        <v>44578</v>
      </c>
      <c r="B236" t="s">
        <v>7</v>
      </c>
      <c r="C236" t="s">
        <v>8</v>
      </c>
      <c r="D236" t="s">
        <v>16</v>
      </c>
      <c r="E236">
        <v>2</v>
      </c>
      <c r="F236" s="3">
        <v>2238</v>
      </c>
      <c r="G236" s="2">
        <v>294.54000000000002</v>
      </c>
      <c r="H236">
        <f>Master_ventas[[#This Row],[Profit]]/Master_ventas[[#This Row],[Sales]]</f>
        <v>0.13160857908847187</v>
      </c>
      <c r="I236">
        <f ca="1">Referencia_Hoy-Master_ventas[[#This Row],[Order Date]]</f>
        <v>1745</v>
      </c>
      <c r="J236" t="str">
        <f>UPPER(Master_ventas[[#This Row],[Product Name]])</f>
        <v>PRINTER</v>
      </c>
      <c r="K236" t="str">
        <f>UPPER(Master_ventas[[#This Row],[Category]])</f>
        <v>OFFICE</v>
      </c>
      <c r="L236">
        <f>YEAR(Master_ventas[[#This Row],[Order Date]])</f>
        <v>2022</v>
      </c>
      <c r="M236" t="str">
        <f>CONCATENATE(LEFT(Master_ventas[[#This Row],[ProdUpper]],3),RIGHT(Master_ventas[[#This Row],[Ext-Year]],2),"-",MID(Master_ventas[[#This Row],[Category]],1,1))</f>
        <v>PRI22-O</v>
      </c>
      <c r="N236" t="str">
        <f>MID(Master_ventas[[#This Row],[ProdUpper]],1,3)</f>
        <v>PRI</v>
      </c>
      <c r="O236" t="str">
        <f>UPPER(IF(Master_ventas[[#This Row],[Profit]]&gt;500,"High","Std"))</f>
        <v>STD</v>
      </c>
      <c r="P236">
        <v>235</v>
      </c>
    </row>
    <row r="237" spans="1:16" x14ac:dyDescent="0.3">
      <c r="A237" s="1">
        <v>45028</v>
      </c>
      <c r="B237" t="s">
        <v>21</v>
      </c>
      <c r="C237" t="s">
        <v>14</v>
      </c>
      <c r="D237" t="s">
        <v>15</v>
      </c>
      <c r="E237">
        <v>8</v>
      </c>
      <c r="F237" s="3">
        <v>3312</v>
      </c>
      <c r="G237" s="2">
        <v>811.31</v>
      </c>
      <c r="H237">
        <f>Master_ventas[[#This Row],[Profit]]/Master_ventas[[#This Row],[Sales]]</f>
        <v>0.24496074879227051</v>
      </c>
      <c r="I237">
        <f ca="1">Referencia_Hoy-Master_ventas[[#This Row],[Order Date]]</f>
        <v>1295</v>
      </c>
      <c r="J237" t="str">
        <f>UPPER(Master_ventas[[#This Row],[Product Name]])</f>
        <v>SMARTPHONE</v>
      </c>
      <c r="K237" t="str">
        <f>UPPER(Master_ventas[[#This Row],[Category]])</f>
        <v>ELECTRONICS</v>
      </c>
      <c r="L237">
        <f>YEAR(Master_ventas[[#This Row],[Order Date]])</f>
        <v>2023</v>
      </c>
      <c r="M237" t="str">
        <f>CONCATENATE(LEFT(Master_ventas[[#This Row],[ProdUpper]],3),RIGHT(Master_ventas[[#This Row],[Ext-Year]],2),"-",MID(Master_ventas[[#This Row],[Category]],1,1))</f>
        <v>SMA23-E</v>
      </c>
      <c r="N237" t="str">
        <f>MID(Master_ventas[[#This Row],[ProdUpper]],1,3)</f>
        <v>SMA</v>
      </c>
      <c r="O237" t="str">
        <f>UPPER(IF(Master_ventas[[#This Row],[Profit]]&gt;500,"High","Std"))</f>
        <v>HIGH</v>
      </c>
      <c r="P237">
        <v>236</v>
      </c>
    </row>
    <row r="238" spans="1:16" x14ac:dyDescent="0.3">
      <c r="A238" s="1">
        <v>45133</v>
      </c>
      <c r="B238" t="s">
        <v>7</v>
      </c>
      <c r="C238" t="s">
        <v>8</v>
      </c>
      <c r="D238" t="s">
        <v>12</v>
      </c>
      <c r="E238">
        <v>9</v>
      </c>
      <c r="F238" s="3">
        <v>9387</v>
      </c>
      <c r="G238" s="2">
        <v>1271.6400000000001</v>
      </c>
      <c r="H238">
        <f>Master_ventas[[#This Row],[Profit]]/Master_ventas[[#This Row],[Sales]]</f>
        <v>0.13546820070310003</v>
      </c>
      <c r="I238">
        <f ca="1">Referencia_Hoy-Master_ventas[[#This Row],[Order Date]]</f>
        <v>1190</v>
      </c>
      <c r="J238" t="str">
        <f>UPPER(Master_ventas[[#This Row],[Product Name]])</f>
        <v>PRINTER</v>
      </c>
      <c r="K238" t="str">
        <f>UPPER(Master_ventas[[#This Row],[Category]])</f>
        <v>OFFICE</v>
      </c>
      <c r="L238">
        <f>YEAR(Master_ventas[[#This Row],[Order Date]])</f>
        <v>2023</v>
      </c>
      <c r="M238" t="str">
        <f>CONCATENATE(LEFT(Master_ventas[[#This Row],[ProdUpper]],3),RIGHT(Master_ventas[[#This Row],[Ext-Year]],2),"-",MID(Master_ventas[[#This Row],[Category]],1,1))</f>
        <v>PRI23-O</v>
      </c>
      <c r="N238" t="str">
        <f>MID(Master_ventas[[#This Row],[ProdUpper]],1,3)</f>
        <v>PRI</v>
      </c>
      <c r="O238" t="str">
        <f>UPPER(IF(Master_ventas[[#This Row],[Profit]]&gt;500,"High","Std"))</f>
        <v>HIGH</v>
      </c>
      <c r="P238">
        <v>237</v>
      </c>
    </row>
    <row r="239" spans="1:16" x14ac:dyDescent="0.3">
      <c r="A239" s="1">
        <v>45292</v>
      </c>
      <c r="B239" t="s">
        <v>10</v>
      </c>
      <c r="C239" t="s">
        <v>11</v>
      </c>
      <c r="D239" t="s">
        <v>16</v>
      </c>
      <c r="E239">
        <v>6</v>
      </c>
      <c r="F239" s="3">
        <v>5790</v>
      </c>
      <c r="G239" s="2">
        <v>1285.21</v>
      </c>
      <c r="H239">
        <f>Master_ventas[[#This Row],[Profit]]/Master_ventas[[#This Row],[Sales]]</f>
        <v>0.22197063903281519</v>
      </c>
      <c r="I239">
        <f ca="1">Referencia_Hoy-Master_ventas[[#This Row],[Order Date]]</f>
        <v>1031</v>
      </c>
      <c r="J239" t="str">
        <f>UPPER(Master_ventas[[#This Row],[Product Name]])</f>
        <v>MOUSE</v>
      </c>
      <c r="K239" t="str">
        <f>UPPER(Master_ventas[[#This Row],[Category]])</f>
        <v>ACCESSORIES</v>
      </c>
      <c r="L239">
        <f>YEAR(Master_ventas[[#This Row],[Order Date]])</f>
        <v>2024</v>
      </c>
      <c r="M239" t="str">
        <f>CONCATENATE(LEFT(Master_ventas[[#This Row],[ProdUpper]],3),RIGHT(Master_ventas[[#This Row],[Ext-Year]],2),"-",MID(Master_ventas[[#This Row],[Category]],1,1))</f>
        <v>MOU24-A</v>
      </c>
      <c r="N239" t="str">
        <f>MID(Master_ventas[[#This Row],[ProdUpper]],1,3)</f>
        <v>MOU</v>
      </c>
      <c r="O239" t="str">
        <f>UPPER(IF(Master_ventas[[#This Row],[Profit]]&gt;500,"High","Std"))</f>
        <v>HIGH</v>
      </c>
      <c r="P239">
        <v>238</v>
      </c>
    </row>
    <row r="240" spans="1:16" x14ac:dyDescent="0.3">
      <c r="A240" s="1">
        <v>45266</v>
      </c>
      <c r="B240" t="s">
        <v>23</v>
      </c>
      <c r="C240" t="s">
        <v>14</v>
      </c>
      <c r="D240" t="s">
        <v>15</v>
      </c>
      <c r="E240">
        <v>6</v>
      </c>
      <c r="F240" s="3">
        <v>2700</v>
      </c>
      <c r="G240" s="2">
        <v>527.97</v>
      </c>
      <c r="H240">
        <f>Master_ventas[[#This Row],[Profit]]/Master_ventas[[#This Row],[Sales]]</f>
        <v>0.19554444444444447</v>
      </c>
      <c r="I240">
        <f ca="1">Referencia_Hoy-Master_ventas[[#This Row],[Order Date]]</f>
        <v>1057</v>
      </c>
      <c r="J240" t="str">
        <f>UPPER(Master_ventas[[#This Row],[Product Name]])</f>
        <v>LAPTOP</v>
      </c>
      <c r="K240" t="str">
        <f>UPPER(Master_ventas[[#This Row],[Category]])</f>
        <v>ELECTRONICS</v>
      </c>
      <c r="L240">
        <f>YEAR(Master_ventas[[#This Row],[Order Date]])</f>
        <v>2023</v>
      </c>
      <c r="M240" t="str">
        <f>CONCATENATE(LEFT(Master_ventas[[#This Row],[ProdUpper]],3),RIGHT(Master_ventas[[#This Row],[Ext-Year]],2),"-",MID(Master_ventas[[#This Row],[Category]],1,1))</f>
        <v>LAP23-E</v>
      </c>
      <c r="N240" t="str">
        <f>MID(Master_ventas[[#This Row],[ProdUpper]],1,3)</f>
        <v>LAP</v>
      </c>
      <c r="O240" t="str">
        <f>UPPER(IF(Master_ventas[[#This Row],[Profit]]&gt;500,"High","Std"))</f>
        <v>HIGH</v>
      </c>
      <c r="P240">
        <v>239</v>
      </c>
    </row>
    <row r="241" spans="1:16" x14ac:dyDescent="0.3">
      <c r="A241" s="1">
        <v>45265</v>
      </c>
      <c r="B241" t="s">
        <v>19</v>
      </c>
      <c r="C241" t="s">
        <v>14</v>
      </c>
      <c r="D241" t="s">
        <v>12</v>
      </c>
      <c r="E241">
        <v>8</v>
      </c>
      <c r="F241" s="3">
        <v>2072</v>
      </c>
      <c r="G241" s="2">
        <v>555.05999999999995</v>
      </c>
      <c r="H241">
        <f>Master_ventas[[#This Row],[Profit]]/Master_ventas[[#This Row],[Sales]]</f>
        <v>0.26788610038610033</v>
      </c>
      <c r="I241">
        <f ca="1">Referencia_Hoy-Master_ventas[[#This Row],[Order Date]]</f>
        <v>1058</v>
      </c>
      <c r="J241" t="str">
        <f>UPPER(Master_ventas[[#This Row],[Product Name]])</f>
        <v>SMARTWATCH</v>
      </c>
      <c r="K241" t="str">
        <f>UPPER(Master_ventas[[#This Row],[Category]])</f>
        <v>ELECTRONICS</v>
      </c>
      <c r="L241">
        <f>YEAR(Master_ventas[[#This Row],[Order Date]])</f>
        <v>2023</v>
      </c>
      <c r="M241" t="str">
        <f>CONCATENATE(LEFT(Master_ventas[[#This Row],[ProdUpper]],3),RIGHT(Master_ventas[[#This Row],[Ext-Year]],2),"-",MID(Master_ventas[[#This Row],[Category]],1,1))</f>
        <v>SMA23-E</v>
      </c>
      <c r="N241" t="str">
        <f>MID(Master_ventas[[#This Row],[ProdUpper]],1,3)</f>
        <v>SMA</v>
      </c>
      <c r="O241" t="str">
        <f>UPPER(IF(Master_ventas[[#This Row],[Profit]]&gt;500,"High","Std"))</f>
        <v>HIGH</v>
      </c>
      <c r="P241">
        <v>240</v>
      </c>
    </row>
    <row r="242" spans="1:16" x14ac:dyDescent="0.3">
      <c r="A242" s="1">
        <v>45592</v>
      </c>
      <c r="B242" t="s">
        <v>22</v>
      </c>
      <c r="C242" t="s">
        <v>11</v>
      </c>
      <c r="D242" t="s">
        <v>9</v>
      </c>
      <c r="E242">
        <v>3</v>
      </c>
      <c r="F242" s="3">
        <v>2991</v>
      </c>
      <c r="G242" s="2">
        <v>716.54</v>
      </c>
      <c r="H242">
        <f>Master_ventas[[#This Row],[Profit]]/Master_ventas[[#This Row],[Sales]]</f>
        <v>0.23956536275493145</v>
      </c>
      <c r="I242">
        <f ca="1">Referencia_Hoy-Master_ventas[[#This Row],[Order Date]]</f>
        <v>731</v>
      </c>
      <c r="J242" t="str">
        <f>UPPER(Master_ventas[[#This Row],[Product Name]])</f>
        <v>KEYBOARD</v>
      </c>
      <c r="K242" t="str">
        <f>UPPER(Master_ventas[[#This Row],[Category]])</f>
        <v>ACCESSORIES</v>
      </c>
      <c r="L242">
        <f>YEAR(Master_ventas[[#This Row],[Order Date]])</f>
        <v>2024</v>
      </c>
      <c r="M242" t="str">
        <f>CONCATENATE(LEFT(Master_ventas[[#This Row],[ProdUpper]],3),RIGHT(Master_ventas[[#This Row],[Ext-Year]],2),"-",MID(Master_ventas[[#This Row],[Category]],1,1))</f>
        <v>KEY24-A</v>
      </c>
      <c r="N242" t="str">
        <f>MID(Master_ventas[[#This Row],[ProdUpper]],1,3)</f>
        <v>KEY</v>
      </c>
      <c r="O242" t="str">
        <f>UPPER(IF(Master_ventas[[#This Row],[Profit]]&gt;500,"High","Std"))</f>
        <v>HIGH</v>
      </c>
      <c r="P242">
        <v>241</v>
      </c>
    </row>
    <row r="243" spans="1:16" x14ac:dyDescent="0.3">
      <c r="A243" s="1">
        <v>45508</v>
      </c>
      <c r="B243" t="s">
        <v>23</v>
      </c>
      <c r="C243" t="s">
        <v>14</v>
      </c>
      <c r="D243" t="s">
        <v>12</v>
      </c>
      <c r="E243">
        <v>6</v>
      </c>
      <c r="F243" s="3">
        <v>5568</v>
      </c>
      <c r="G243" s="2">
        <v>958.59</v>
      </c>
      <c r="H243">
        <f>Master_ventas[[#This Row],[Profit]]/Master_ventas[[#This Row],[Sales]]</f>
        <v>0.1721605603448276</v>
      </c>
      <c r="I243">
        <f ca="1">Referencia_Hoy-Master_ventas[[#This Row],[Order Date]]</f>
        <v>815</v>
      </c>
      <c r="J243" t="str">
        <f>UPPER(Master_ventas[[#This Row],[Product Name]])</f>
        <v>LAPTOP</v>
      </c>
      <c r="K243" t="str">
        <f>UPPER(Master_ventas[[#This Row],[Category]])</f>
        <v>ELECTRONICS</v>
      </c>
      <c r="L243">
        <f>YEAR(Master_ventas[[#This Row],[Order Date]])</f>
        <v>2024</v>
      </c>
      <c r="M243" t="str">
        <f>CONCATENATE(LEFT(Master_ventas[[#This Row],[ProdUpper]],3),RIGHT(Master_ventas[[#This Row],[Ext-Year]],2),"-",MID(Master_ventas[[#This Row],[Category]],1,1))</f>
        <v>LAP24-E</v>
      </c>
      <c r="N243" t="str">
        <f>MID(Master_ventas[[#This Row],[ProdUpper]],1,3)</f>
        <v>LAP</v>
      </c>
      <c r="O243" t="str">
        <f>UPPER(IF(Master_ventas[[#This Row],[Profit]]&gt;500,"High","Std"))</f>
        <v>HIGH</v>
      </c>
      <c r="P243">
        <v>242</v>
      </c>
    </row>
    <row r="244" spans="1:16" x14ac:dyDescent="0.3">
      <c r="A244" s="1">
        <v>44958</v>
      </c>
      <c r="B244" t="s">
        <v>19</v>
      </c>
      <c r="C244" t="s">
        <v>14</v>
      </c>
      <c r="D244" t="s">
        <v>9</v>
      </c>
      <c r="E244">
        <v>7</v>
      </c>
      <c r="F244" s="3">
        <v>5509</v>
      </c>
      <c r="G244" s="2">
        <v>1648.74</v>
      </c>
      <c r="H244">
        <f>Master_ventas[[#This Row],[Profit]]/Master_ventas[[#This Row],[Sales]]</f>
        <v>0.29928117625703393</v>
      </c>
      <c r="I244">
        <f ca="1">Referencia_Hoy-Master_ventas[[#This Row],[Order Date]]</f>
        <v>1365</v>
      </c>
      <c r="J244" t="str">
        <f>UPPER(Master_ventas[[#This Row],[Product Name]])</f>
        <v>SMARTWATCH</v>
      </c>
      <c r="K244" t="str">
        <f>UPPER(Master_ventas[[#This Row],[Category]])</f>
        <v>ELECTRONICS</v>
      </c>
      <c r="L244">
        <f>YEAR(Master_ventas[[#This Row],[Order Date]])</f>
        <v>2023</v>
      </c>
      <c r="M244" t="str">
        <f>CONCATENATE(LEFT(Master_ventas[[#This Row],[ProdUpper]],3),RIGHT(Master_ventas[[#This Row],[Ext-Year]],2),"-",MID(Master_ventas[[#This Row],[Category]],1,1))</f>
        <v>SMA23-E</v>
      </c>
      <c r="N244" t="str">
        <f>MID(Master_ventas[[#This Row],[ProdUpper]],1,3)</f>
        <v>SMA</v>
      </c>
      <c r="O244" t="str">
        <f>UPPER(IF(Master_ventas[[#This Row],[Profit]]&gt;500,"High","Std"))</f>
        <v>HIGH</v>
      </c>
      <c r="P244">
        <v>243</v>
      </c>
    </row>
    <row r="245" spans="1:16" x14ac:dyDescent="0.3">
      <c r="A245" s="1">
        <v>45445</v>
      </c>
      <c r="B245" t="s">
        <v>7</v>
      </c>
      <c r="C245" t="s">
        <v>8</v>
      </c>
      <c r="D245" t="s">
        <v>16</v>
      </c>
      <c r="E245">
        <v>7</v>
      </c>
      <c r="F245" s="3">
        <v>5922</v>
      </c>
      <c r="G245" s="2">
        <v>1323.1</v>
      </c>
      <c r="H245">
        <f>Master_ventas[[#This Row],[Profit]]/Master_ventas[[#This Row],[Sales]]</f>
        <v>0.22342114150624787</v>
      </c>
      <c r="I245">
        <f ca="1">Referencia_Hoy-Master_ventas[[#This Row],[Order Date]]</f>
        <v>878</v>
      </c>
      <c r="J245" t="str">
        <f>UPPER(Master_ventas[[#This Row],[Product Name]])</f>
        <v>PRINTER</v>
      </c>
      <c r="K245" t="str">
        <f>UPPER(Master_ventas[[#This Row],[Category]])</f>
        <v>OFFICE</v>
      </c>
      <c r="L245">
        <f>YEAR(Master_ventas[[#This Row],[Order Date]])</f>
        <v>2024</v>
      </c>
      <c r="M245" t="str">
        <f>CONCATENATE(LEFT(Master_ventas[[#This Row],[ProdUpper]],3),RIGHT(Master_ventas[[#This Row],[Ext-Year]],2),"-",MID(Master_ventas[[#This Row],[Category]],1,1))</f>
        <v>PRI24-O</v>
      </c>
      <c r="N245" t="str">
        <f>MID(Master_ventas[[#This Row],[ProdUpper]],1,3)</f>
        <v>PRI</v>
      </c>
      <c r="O245" t="str">
        <f>UPPER(IF(Master_ventas[[#This Row],[Profit]]&gt;500,"High","Std"))</f>
        <v>HIGH</v>
      </c>
      <c r="P245">
        <v>244</v>
      </c>
    </row>
    <row r="246" spans="1:16" x14ac:dyDescent="0.3">
      <c r="A246" s="1">
        <v>45410</v>
      </c>
      <c r="B246" t="s">
        <v>21</v>
      </c>
      <c r="C246" t="s">
        <v>14</v>
      </c>
      <c r="D246" t="s">
        <v>15</v>
      </c>
      <c r="E246">
        <v>4</v>
      </c>
      <c r="F246" s="3">
        <v>4380</v>
      </c>
      <c r="G246" s="2">
        <v>362.81</v>
      </c>
      <c r="H246">
        <f>Master_ventas[[#This Row],[Profit]]/Master_ventas[[#This Row],[Sales]]</f>
        <v>8.2833333333333328E-2</v>
      </c>
      <c r="I246">
        <f ca="1">Referencia_Hoy-Master_ventas[[#This Row],[Order Date]]</f>
        <v>913</v>
      </c>
      <c r="J246" t="str">
        <f>UPPER(Master_ventas[[#This Row],[Product Name]])</f>
        <v>SMARTPHONE</v>
      </c>
      <c r="K246" t="str">
        <f>UPPER(Master_ventas[[#This Row],[Category]])</f>
        <v>ELECTRONICS</v>
      </c>
      <c r="L246">
        <f>YEAR(Master_ventas[[#This Row],[Order Date]])</f>
        <v>2024</v>
      </c>
      <c r="M246" t="str">
        <f>CONCATENATE(LEFT(Master_ventas[[#This Row],[ProdUpper]],3),RIGHT(Master_ventas[[#This Row],[Ext-Year]],2),"-",MID(Master_ventas[[#This Row],[Category]],1,1))</f>
        <v>SMA24-E</v>
      </c>
      <c r="N246" t="str">
        <f>MID(Master_ventas[[#This Row],[ProdUpper]],1,3)</f>
        <v>SMA</v>
      </c>
      <c r="O246" t="str">
        <f>UPPER(IF(Master_ventas[[#This Row],[Profit]]&gt;500,"High","Std"))</f>
        <v>STD</v>
      </c>
      <c r="P246">
        <v>245</v>
      </c>
    </row>
    <row r="247" spans="1:16" x14ac:dyDescent="0.3">
      <c r="A247" s="1">
        <v>44645</v>
      </c>
      <c r="B247" t="s">
        <v>13</v>
      </c>
      <c r="C247" t="s">
        <v>14</v>
      </c>
      <c r="D247" t="s">
        <v>15</v>
      </c>
      <c r="E247">
        <v>5</v>
      </c>
      <c r="F247" s="3">
        <v>1760</v>
      </c>
      <c r="G247" s="2">
        <v>272.68</v>
      </c>
      <c r="H247">
        <f>Master_ventas[[#This Row],[Profit]]/Master_ventas[[#This Row],[Sales]]</f>
        <v>0.1549318181818182</v>
      </c>
      <c r="I247">
        <f ca="1">Referencia_Hoy-Master_ventas[[#This Row],[Order Date]]</f>
        <v>1678</v>
      </c>
      <c r="J247" t="str">
        <f>UPPER(Master_ventas[[#This Row],[Product Name]])</f>
        <v>TABLET</v>
      </c>
      <c r="K247" t="str">
        <f>UPPER(Master_ventas[[#This Row],[Category]])</f>
        <v>ELECTRONICS</v>
      </c>
      <c r="L247">
        <f>YEAR(Master_ventas[[#This Row],[Order Date]])</f>
        <v>2022</v>
      </c>
      <c r="M247" t="str">
        <f>CONCATENATE(LEFT(Master_ventas[[#This Row],[ProdUpper]],3),RIGHT(Master_ventas[[#This Row],[Ext-Year]],2),"-",MID(Master_ventas[[#This Row],[Category]],1,1))</f>
        <v>TAB22-E</v>
      </c>
      <c r="N247" t="str">
        <f>MID(Master_ventas[[#This Row],[ProdUpper]],1,3)</f>
        <v>TAB</v>
      </c>
      <c r="O247" t="str">
        <f>UPPER(IF(Master_ventas[[#This Row],[Profit]]&gt;500,"High","Std"))</f>
        <v>STD</v>
      </c>
      <c r="P247">
        <v>246</v>
      </c>
    </row>
    <row r="248" spans="1:16" x14ac:dyDescent="0.3">
      <c r="A248" s="1">
        <v>45570</v>
      </c>
      <c r="B248" t="s">
        <v>18</v>
      </c>
      <c r="C248" t="s">
        <v>11</v>
      </c>
      <c r="D248" t="s">
        <v>9</v>
      </c>
      <c r="E248">
        <v>9</v>
      </c>
      <c r="F248" s="3">
        <v>5571</v>
      </c>
      <c r="G248" s="2">
        <v>1523.81</v>
      </c>
      <c r="H248">
        <f>Master_ventas[[#This Row],[Profit]]/Master_ventas[[#This Row],[Sales]]</f>
        <v>0.27352539938969661</v>
      </c>
      <c r="I248">
        <f ca="1">Referencia_Hoy-Master_ventas[[#This Row],[Order Date]]</f>
        <v>753</v>
      </c>
      <c r="J248" t="str">
        <f>UPPER(Master_ventas[[#This Row],[Product Name]])</f>
        <v>HEADPHONES</v>
      </c>
      <c r="K248" t="str">
        <f>UPPER(Master_ventas[[#This Row],[Category]])</f>
        <v>ACCESSORIES</v>
      </c>
      <c r="L248">
        <f>YEAR(Master_ventas[[#This Row],[Order Date]])</f>
        <v>2024</v>
      </c>
      <c r="M248" t="str">
        <f>CONCATENATE(LEFT(Master_ventas[[#This Row],[ProdUpper]],3),RIGHT(Master_ventas[[#This Row],[Ext-Year]],2),"-",MID(Master_ventas[[#This Row],[Category]],1,1))</f>
        <v>HEA24-A</v>
      </c>
      <c r="N248" t="str">
        <f>MID(Master_ventas[[#This Row],[ProdUpper]],1,3)</f>
        <v>HEA</v>
      </c>
      <c r="O248" t="str">
        <f>UPPER(IF(Master_ventas[[#This Row],[Profit]]&gt;500,"High","Std"))</f>
        <v>HIGH</v>
      </c>
      <c r="P248">
        <v>247</v>
      </c>
    </row>
    <row r="249" spans="1:16" x14ac:dyDescent="0.3">
      <c r="A249" s="1">
        <v>45645</v>
      </c>
      <c r="B249" t="s">
        <v>13</v>
      </c>
      <c r="C249" t="s">
        <v>14</v>
      </c>
      <c r="D249" t="s">
        <v>15</v>
      </c>
      <c r="E249">
        <v>2</v>
      </c>
      <c r="F249" s="3">
        <v>1082</v>
      </c>
      <c r="G249" s="2">
        <v>182.1</v>
      </c>
      <c r="H249">
        <f>Master_ventas[[#This Row],[Profit]]/Master_ventas[[#This Row],[Sales]]</f>
        <v>0.16829944547134934</v>
      </c>
      <c r="I249">
        <f ca="1">Referencia_Hoy-Master_ventas[[#This Row],[Order Date]]</f>
        <v>678</v>
      </c>
      <c r="J249" t="str">
        <f>UPPER(Master_ventas[[#This Row],[Product Name]])</f>
        <v>TABLET</v>
      </c>
      <c r="K249" t="str">
        <f>UPPER(Master_ventas[[#This Row],[Category]])</f>
        <v>ELECTRONICS</v>
      </c>
      <c r="L249">
        <f>YEAR(Master_ventas[[#This Row],[Order Date]])</f>
        <v>2024</v>
      </c>
      <c r="M249" t="str">
        <f>CONCATENATE(LEFT(Master_ventas[[#This Row],[ProdUpper]],3),RIGHT(Master_ventas[[#This Row],[Ext-Year]],2),"-",MID(Master_ventas[[#This Row],[Category]],1,1))</f>
        <v>TAB24-E</v>
      </c>
      <c r="N249" t="str">
        <f>MID(Master_ventas[[#This Row],[ProdUpper]],1,3)</f>
        <v>TAB</v>
      </c>
      <c r="O249" t="str">
        <f>UPPER(IF(Master_ventas[[#This Row],[Profit]]&gt;500,"High","Std"))</f>
        <v>STD</v>
      </c>
      <c r="P249">
        <v>248</v>
      </c>
    </row>
    <row r="250" spans="1:16" x14ac:dyDescent="0.3">
      <c r="A250" s="1">
        <v>44760</v>
      </c>
      <c r="B250" t="s">
        <v>17</v>
      </c>
      <c r="C250" t="s">
        <v>14</v>
      </c>
      <c r="D250" t="s">
        <v>12</v>
      </c>
      <c r="E250">
        <v>1</v>
      </c>
      <c r="F250" s="3">
        <v>569</v>
      </c>
      <c r="G250" s="2">
        <v>138.11000000000001</v>
      </c>
      <c r="H250">
        <f>Master_ventas[[#This Row],[Profit]]/Master_ventas[[#This Row],[Sales]]</f>
        <v>0.24272407732864676</v>
      </c>
      <c r="I250">
        <f ca="1">Referencia_Hoy-Master_ventas[[#This Row],[Order Date]]</f>
        <v>1563</v>
      </c>
      <c r="J250" t="str">
        <f>UPPER(Master_ventas[[#This Row],[Product Name]])</f>
        <v>CAMERA</v>
      </c>
      <c r="K250" t="str">
        <f>UPPER(Master_ventas[[#This Row],[Category]])</f>
        <v>ELECTRONICS</v>
      </c>
      <c r="L250">
        <f>YEAR(Master_ventas[[#This Row],[Order Date]])</f>
        <v>2022</v>
      </c>
      <c r="M250" t="str">
        <f>CONCATENATE(LEFT(Master_ventas[[#This Row],[ProdUpper]],3),RIGHT(Master_ventas[[#This Row],[Ext-Year]],2),"-",MID(Master_ventas[[#This Row],[Category]],1,1))</f>
        <v>CAM22-E</v>
      </c>
      <c r="N250" t="str">
        <f>MID(Master_ventas[[#This Row],[ProdUpper]],1,3)</f>
        <v>CAM</v>
      </c>
      <c r="O250" t="str">
        <f>UPPER(IF(Master_ventas[[#This Row],[Profit]]&gt;500,"High","Std"))</f>
        <v>STD</v>
      </c>
      <c r="P250">
        <v>249</v>
      </c>
    </row>
    <row r="251" spans="1:16" x14ac:dyDescent="0.3">
      <c r="A251" s="1">
        <v>45088</v>
      </c>
      <c r="B251" t="s">
        <v>10</v>
      </c>
      <c r="C251" t="s">
        <v>11</v>
      </c>
      <c r="D251" t="s">
        <v>9</v>
      </c>
      <c r="E251">
        <v>8</v>
      </c>
      <c r="F251" s="3">
        <v>3416</v>
      </c>
      <c r="G251" s="2">
        <v>697.42</v>
      </c>
      <c r="H251">
        <f>Master_ventas[[#This Row],[Profit]]/Master_ventas[[#This Row],[Sales]]</f>
        <v>0.20416276346604215</v>
      </c>
      <c r="I251">
        <f ca="1">Referencia_Hoy-Master_ventas[[#This Row],[Order Date]]</f>
        <v>1235</v>
      </c>
      <c r="J251" t="str">
        <f>UPPER(Master_ventas[[#This Row],[Product Name]])</f>
        <v>MOUSE</v>
      </c>
      <c r="K251" t="str">
        <f>UPPER(Master_ventas[[#This Row],[Category]])</f>
        <v>ACCESSORIES</v>
      </c>
      <c r="L251">
        <f>YEAR(Master_ventas[[#This Row],[Order Date]])</f>
        <v>2023</v>
      </c>
      <c r="M251" t="str">
        <f>CONCATENATE(LEFT(Master_ventas[[#This Row],[ProdUpper]],3),RIGHT(Master_ventas[[#This Row],[Ext-Year]],2),"-",MID(Master_ventas[[#This Row],[Category]],1,1))</f>
        <v>MOU23-A</v>
      </c>
      <c r="N251" t="str">
        <f>MID(Master_ventas[[#This Row],[ProdUpper]],1,3)</f>
        <v>MOU</v>
      </c>
      <c r="O251" t="str">
        <f>UPPER(IF(Master_ventas[[#This Row],[Profit]]&gt;500,"High","Std"))</f>
        <v>HIGH</v>
      </c>
      <c r="P251">
        <v>250</v>
      </c>
    </row>
    <row r="252" spans="1:16" x14ac:dyDescent="0.3">
      <c r="A252" s="1">
        <v>45578</v>
      </c>
      <c r="B252" t="s">
        <v>7</v>
      </c>
      <c r="C252" t="s">
        <v>8</v>
      </c>
      <c r="D252" t="s">
        <v>16</v>
      </c>
      <c r="E252">
        <v>1</v>
      </c>
      <c r="F252" s="3">
        <v>570</v>
      </c>
      <c r="G252" s="2">
        <v>57.07</v>
      </c>
      <c r="H252">
        <f>Master_ventas[[#This Row],[Profit]]/Master_ventas[[#This Row],[Sales]]</f>
        <v>0.10012280701754386</v>
      </c>
      <c r="I252">
        <f ca="1">Referencia_Hoy-Master_ventas[[#This Row],[Order Date]]</f>
        <v>745</v>
      </c>
      <c r="J252" t="str">
        <f>UPPER(Master_ventas[[#This Row],[Product Name]])</f>
        <v>PRINTER</v>
      </c>
      <c r="K252" t="str">
        <f>UPPER(Master_ventas[[#This Row],[Category]])</f>
        <v>OFFICE</v>
      </c>
      <c r="L252">
        <f>YEAR(Master_ventas[[#This Row],[Order Date]])</f>
        <v>2024</v>
      </c>
      <c r="M252" t="str">
        <f>CONCATENATE(LEFT(Master_ventas[[#This Row],[ProdUpper]],3),RIGHT(Master_ventas[[#This Row],[Ext-Year]],2),"-",MID(Master_ventas[[#This Row],[Category]],1,1))</f>
        <v>PRI24-O</v>
      </c>
      <c r="N252" t="str">
        <f>MID(Master_ventas[[#This Row],[ProdUpper]],1,3)</f>
        <v>PRI</v>
      </c>
      <c r="O252" t="str">
        <f>UPPER(IF(Master_ventas[[#This Row],[Profit]]&gt;500,"High","Std"))</f>
        <v>STD</v>
      </c>
      <c r="P252">
        <v>251</v>
      </c>
    </row>
    <row r="253" spans="1:16" x14ac:dyDescent="0.3">
      <c r="A253" s="1">
        <v>45145</v>
      </c>
      <c r="B253" t="s">
        <v>20</v>
      </c>
      <c r="C253" t="s">
        <v>11</v>
      </c>
      <c r="D253" t="s">
        <v>12</v>
      </c>
      <c r="E253">
        <v>6</v>
      </c>
      <c r="F253" s="3">
        <v>3300</v>
      </c>
      <c r="G253" s="2">
        <v>386.92</v>
      </c>
      <c r="H253">
        <f>Master_ventas[[#This Row],[Profit]]/Master_ventas[[#This Row],[Sales]]</f>
        <v>0.11724848484848485</v>
      </c>
      <c r="I253">
        <f ca="1">Referencia_Hoy-Master_ventas[[#This Row],[Order Date]]</f>
        <v>1178</v>
      </c>
      <c r="J253" t="str">
        <f>UPPER(Master_ventas[[#This Row],[Product Name]])</f>
        <v>MONITOR</v>
      </c>
      <c r="K253" t="str">
        <f>UPPER(Master_ventas[[#This Row],[Category]])</f>
        <v>ACCESSORIES</v>
      </c>
      <c r="L253">
        <f>YEAR(Master_ventas[[#This Row],[Order Date]])</f>
        <v>2023</v>
      </c>
      <c r="M253" t="str">
        <f>CONCATENATE(LEFT(Master_ventas[[#This Row],[ProdUpper]],3),RIGHT(Master_ventas[[#This Row],[Ext-Year]],2),"-",MID(Master_ventas[[#This Row],[Category]],1,1))</f>
        <v>MON23-A</v>
      </c>
      <c r="N253" t="str">
        <f>MID(Master_ventas[[#This Row],[ProdUpper]],1,3)</f>
        <v>MON</v>
      </c>
      <c r="O253" t="str">
        <f>UPPER(IF(Master_ventas[[#This Row],[Profit]]&gt;500,"High","Std"))</f>
        <v>STD</v>
      </c>
      <c r="P253">
        <v>252</v>
      </c>
    </row>
    <row r="254" spans="1:16" x14ac:dyDescent="0.3">
      <c r="A254" s="1">
        <v>44899</v>
      </c>
      <c r="B254" t="s">
        <v>23</v>
      </c>
      <c r="C254" t="s">
        <v>14</v>
      </c>
      <c r="D254" t="s">
        <v>15</v>
      </c>
      <c r="E254">
        <v>8</v>
      </c>
      <c r="F254" s="3">
        <v>2584</v>
      </c>
      <c r="G254" s="2">
        <v>568.77</v>
      </c>
      <c r="H254">
        <f>Master_ventas[[#This Row],[Profit]]/Master_ventas[[#This Row],[Sales]]</f>
        <v>0.22011222910216718</v>
      </c>
      <c r="I254">
        <f ca="1">Referencia_Hoy-Master_ventas[[#This Row],[Order Date]]</f>
        <v>1424</v>
      </c>
      <c r="J254" t="str">
        <f>UPPER(Master_ventas[[#This Row],[Product Name]])</f>
        <v>LAPTOP</v>
      </c>
      <c r="K254" t="str">
        <f>UPPER(Master_ventas[[#This Row],[Category]])</f>
        <v>ELECTRONICS</v>
      </c>
      <c r="L254">
        <f>YEAR(Master_ventas[[#This Row],[Order Date]])</f>
        <v>2022</v>
      </c>
      <c r="M254" t="str">
        <f>CONCATENATE(LEFT(Master_ventas[[#This Row],[ProdUpper]],3),RIGHT(Master_ventas[[#This Row],[Ext-Year]],2),"-",MID(Master_ventas[[#This Row],[Category]],1,1))</f>
        <v>LAP22-E</v>
      </c>
      <c r="N254" t="str">
        <f>MID(Master_ventas[[#This Row],[ProdUpper]],1,3)</f>
        <v>LAP</v>
      </c>
      <c r="O254" t="str">
        <f>UPPER(IF(Master_ventas[[#This Row],[Profit]]&gt;500,"High","Std"))</f>
        <v>HIGH</v>
      </c>
      <c r="P254">
        <v>253</v>
      </c>
    </row>
    <row r="255" spans="1:16" x14ac:dyDescent="0.3">
      <c r="A255" s="1">
        <v>45340</v>
      </c>
      <c r="B255" t="s">
        <v>20</v>
      </c>
      <c r="C255" t="s">
        <v>11</v>
      </c>
      <c r="D255" t="s">
        <v>15</v>
      </c>
      <c r="E255">
        <v>9</v>
      </c>
      <c r="F255" s="3">
        <v>7650</v>
      </c>
      <c r="G255" s="2">
        <v>2204.44</v>
      </c>
      <c r="H255">
        <f>Master_ventas[[#This Row],[Profit]]/Master_ventas[[#This Row],[Sales]]</f>
        <v>0.28816209150326799</v>
      </c>
      <c r="I255">
        <f ca="1">Referencia_Hoy-Master_ventas[[#This Row],[Order Date]]</f>
        <v>983</v>
      </c>
      <c r="J255" t="str">
        <f>UPPER(Master_ventas[[#This Row],[Product Name]])</f>
        <v>MONITOR</v>
      </c>
      <c r="K255" t="str">
        <f>UPPER(Master_ventas[[#This Row],[Category]])</f>
        <v>ACCESSORIES</v>
      </c>
      <c r="L255">
        <f>YEAR(Master_ventas[[#This Row],[Order Date]])</f>
        <v>2024</v>
      </c>
      <c r="M255" t="str">
        <f>CONCATENATE(LEFT(Master_ventas[[#This Row],[ProdUpper]],3),RIGHT(Master_ventas[[#This Row],[Ext-Year]],2),"-",MID(Master_ventas[[#This Row],[Category]],1,1))</f>
        <v>MON24-A</v>
      </c>
      <c r="N255" t="str">
        <f>MID(Master_ventas[[#This Row],[ProdUpper]],1,3)</f>
        <v>MON</v>
      </c>
      <c r="O255" t="str">
        <f>UPPER(IF(Master_ventas[[#This Row],[Profit]]&gt;500,"High","Std"))</f>
        <v>HIGH</v>
      </c>
      <c r="P255">
        <v>254</v>
      </c>
    </row>
    <row r="256" spans="1:16" x14ac:dyDescent="0.3">
      <c r="A256" s="1">
        <v>45631</v>
      </c>
      <c r="B256" t="s">
        <v>18</v>
      </c>
      <c r="C256" t="s">
        <v>11</v>
      </c>
      <c r="D256" t="s">
        <v>16</v>
      </c>
      <c r="E256">
        <v>8</v>
      </c>
      <c r="F256" s="3">
        <v>3600</v>
      </c>
      <c r="G256" s="2">
        <v>272.51</v>
      </c>
      <c r="H256">
        <f>Master_ventas[[#This Row],[Profit]]/Master_ventas[[#This Row],[Sales]]</f>
        <v>7.5697222222222221E-2</v>
      </c>
      <c r="I256">
        <f ca="1">Referencia_Hoy-Master_ventas[[#This Row],[Order Date]]</f>
        <v>692</v>
      </c>
      <c r="J256" t="str">
        <f>UPPER(Master_ventas[[#This Row],[Product Name]])</f>
        <v>HEADPHONES</v>
      </c>
      <c r="K256" t="str">
        <f>UPPER(Master_ventas[[#This Row],[Category]])</f>
        <v>ACCESSORIES</v>
      </c>
      <c r="L256">
        <f>YEAR(Master_ventas[[#This Row],[Order Date]])</f>
        <v>2024</v>
      </c>
      <c r="M256" t="str">
        <f>CONCATENATE(LEFT(Master_ventas[[#This Row],[ProdUpper]],3),RIGHT(Master_ventas[[#This Row],[Ext-Year]],2),"-",MID(Master_ventas[[#This Row],[Category]],1,1))</f>
        <v>HEA24-A</v>
      </c>
      <c r="N256" t="str">
        <f>MID(Master_ventas[[#This Row],[ProdUpper]],1,3)</f>
        <v>HEA</v>
      </c>
      <c r="O256" t="str">
        <f>UPPER(IF(Master_ventas[[#This Row],[Profit]]&gt;500,"High","Std"))</f>
        <v>STD</v>
      </c>
      <c r="P256">
        <v>255</v>
      </c>
    </row>
    <row r="257" spans="1:16" x14ac:dyDescent="0.3">
      <c r="A257" s="1">
        <v>45275</v>
      </c>
      <c r="B257" t="s">
        <v>20</v>
      </c>
      <c r="C257" t="s">
        <v>11</v>
      </c>
      <c r="D257" t="s">
        <v>16</v>
      </c>
      <c r="E257">
        <v>6</v>
      </c>
      <c r="F257" s="3">
        <v>846</v>
      </c>
      <c r="G257" s="2">
        <v>190.87</v>
      </c>
      <c r="H257">
        <f>Master_ventas[[#This Row],[Profit]]/Master_ventas[[#This Row],[Sales]]</f>
        <v>0.22561465721040189</v>
      </c>
      <c r="I257">
        <f ca="1">Referencia_Hoy-Master_ventas[[#This Row],[Order Date]]</f>
        <v>1048</v>
      </c>
      <c r="J257" t="str">
        <f>UPPER(Master_ventas[[#This Row],[Product Name]])</f>
        <v>MONITOR</v>
      </c>
      <c r="K257" t="str">
        <f>UPPER(Master_ventas[[#This Row],[Category]])</f>
        <v>ACCESSORIES</v>
      </c>
      <c r="L257">
        <f>YEAR(Master_ventas[[#This Row],[Order Date]])</f>
        <v>2023</v>
      </c>
      <c r="M257" t="str">
        <f>CONCATENATE(LEFT(Master_ventas[[#This Row],[ProdUpper]],3),RIGHT(Master_ventas[[#This Row],[Ext-Year]],2),"-",MID(Master_ventas[[#This Row],[Category]],1,1))</f>
        <v>MON23-A</v>
      </c>
      <c r="N257" t="str">
        <f>MID(Master_ventas[[#This Row],[ProdUpper]],1,3)</f>
        <v>MON</v>
      </c>
      <c r="O257" t="str">
        <f>UPPER(IF(Master_ventas[[#This Row],[Profit]]&gt;500,"High","Std"))</f>
        <v>STD</v>
      </c>
      <c r="P257">
        <v>256</v>
      </c>
    </row>
    <row r="258" spans="1:16" x14ac:dyDescent="0.3">
      <c r="A258" s="1">
        <v>45150</v>
      </c>
      <c r="B258" t="s">
        <v>21</v>
      </c>
      <c r="C258" t="s">
        <v>14</v>
      </c>
      <c r="D258" t="s">
        <v>16</v>
      </c>
      <c r="E258">
        <v>1</v>
      </c>
      <c r="F258" s="3">
        <v>51</v>
      </c>
      <c r="G258" s="2">
        <v>9.36</v>
      </c>
      <c r="H258">
        <f>Master_ventas[[#This Row],[Profit]]/Master_ventas[[#This Row],[Sales]]</f>
        <v>0.18352941176470586</v>
      </c>
      <c r="I258">
        <f ca="1">Referencia_Hoy-Master_ventas[[#This Row],[Order Date]]</f>
        <v>1173</v>
      </c>
      <c r="J258" t="str">
        <f>UPPER(Master_ventas[[#This Row],[Product Name]])</f>
        <v>SMARTPHONE</v>
      </c>
      <c r="K258" t="str">
        <f>UPPER(Master_ventas[[#This Row],[Category]])</f>
        <v>ELECTRONICS</v>
      </c>
      <c r="L258">
        <f>YEAR(Master_ventas[[#This Row],[Order Date]])</f>
        <v>2023</v>
      </c>
      <c r="M258" t="str">
        <f>CONCATENATE(LEFT(Master_ventas[[#This Row],[ProdUpper]],3),RIGHT(Master_ventas[[#This Row],[Ext-Year]],2),"-",MID(Master_ventas[[#This Row],[Category]],1,1))</f>
        <v>SMA23-E</v>
      </c>
      <c r="N258" t="str">
        <f>MID(Master_ventas[[#This Row],[ProdUpper]],1,3)</f>
        <v>SMA</v>
      </c>
      <c r="O258" t="str">
        <f>UPPER(IF(Master_ventas[[#This Row],[Profit]]&gt;500,"High","Std"))</f>
        <v>STD</v>
      </c>
      <c r="P258">
        <v>257</v>
      </c>
    </row>
    <row r="259" spans="1:16" x14ac:dyDescent="0.3">
      <c r="A259" s="1">
        <v>45432</v>
      </c>
      <c r="B259" t="s">
        <v>19</v>
      </c>
      <c r="C259" t="s">
        <v>14</v>
      </c>
      <c r="D259" t="s">
        <v>15</v>
      </c>
      <c r="E259">
        <v>6</v>
      </c>
      <c r="F259" s="3">
        <v>7056</v>
      </c>
      <c r="G259" s="2">
        <v>586.91</v>
      </c>
      <c r="H259">
        <f>Master_ventas[[#This Row],[Profit]]/Master_ventas[[#This Row],[Sales]]</f>
        <v>8.3178854875283439E-2</v>
      </c>
      <c r="I259">
        <f ca="1">Referencia_Hoy-Master_ventas[[#This Row],[Order Date]]</f>
        <v>891</v>
      </c>
      <c r="J259" t="str">
        <f>UPPER(Master_ventas[[#This Row],[Product Name]])</f>
        <v>SMARTWATCH</v>
      </c>
      <c r="K259" t="str">
        <f>UPPER(Master_ventas[[#This Row],[Category]])</f>
        <v>ELECTRONICS</v>
      </c>
      <c r="L259">
        <f>YEAR(Master_ventas[[#This Row],[Order Date]])</f>
        <v>2024</v>
      </c>
      <c r="M259" t="str">
        <f>CONCATENATE(LEFT(Master_ventas[[#This Row],[ProdUpper]],3),RIGHT(Master_ventas[[#This Row],[Ext-Year]],2),"-",MID(Master_ventas[[#This Row],[Category]],1,1))</f>
        <v>SMA24-E</v>
      </c>
      <c r="N259" t="str">
        <f>MID(Master_ventas[[#This Row],[ProdUpper]],1,3)</f>
        <v>SMA</v>
      </c>
      <c r="O259" t="str">
        <f>UPPER(IF(Master_ventas[[#This Row],[Profit]]&gt;500,"High","Std"))</f>
        <v>HIGH</v>
      </c>
      <c r="P259">
        <v>258</v>
      </c>
    </row>
    <row r="260" spans="1:16" x14ac:dyDescent="0.3">
      <c r="A260" s="1">
        <v>45448</v>
      </c>
      <c r="B260" t="s">
        <v>19</v>
      </c>
      <c r="C260" t="s">
        <v>14</v>
      </c>
      <c r="D260" t="s">
        <v>16</v>
      </c>
      <c r="E260">
        <v>2</v>
      </c>
      <c r="F260" s="3">
        <v>384</v>
      </c>
      <c r="G260" s="2">
        <v>38.409999999999997</v>
      </c>
      <c r="H260">
        <f>Master_ventas[[#This Row],[Profit]]/Master_ventas[[#This Row],[Sales]]</f>
        <v>0.10002604166666666</v>
      </c>
      <c r="I260">
        <f ca="1">Referencia_Hoy-Master_ventas[[#This Row],[Order Date]]</f>
        <v>875</v>
      </c>
      <c r="J260" t="str">
        <f>UPPER(Master_ventas[[#This Row],[Product Name]])</f>
        <v>SMARTWATCH</v>
      </c>
      <c r="K260" t="str">
        <f>UPPER(Master_ventas[[#This Row],[Category]])</f>
        <v>ELECTRONICS</v>
      </c>
      <c r="L260">
        <f>YEAR(Master_ventas[[#This Row],[Order Date]])</f>
        <v>2024</v>
      </c>
      <c r="M260" t="str">
        <f>CONCATENATE(LEFT(Master_ventas[[#This Row],[ProdUpper]],3),RIGHT(Master_ventas[[#This Row],[Ext-Year]],2),"-",MID(Master_ventas[[#This Row],[Category]],1,1))</f>
        <v>SMA24-E</v>
      </c>
      <c r="N260" t="str">
        <f>MID(Master_ventas[[#This Row],[ProdUpper]],1,3)</f>
        <v>SMA</v>
      </c>
      <c r="O260" t="str">
        <f>UPPER(IF(Master_ventas[[#This Row],[Profit]]&gt;500,"High","Std"))</f>
        <v>STD</v>
      </c>
      <c r="P260">
        <v>259</v>
      </c>
    </row>
    <row r="261" spans="1:16" x14ac:dyDescent="0.3">
      <c r="A261" s="1">
        <v>44570</v>
      </c>
      <c r="B261" t="s">
        <v>23</v>
      </c>
      <c r="C261" t="s">
        <v>14</v>
      </c>
      <c r="D261" t="s">
        <v>15</v>
      </c>
      <c r="E261">
        <v>8</v>
      </c>
      <c r="F261" s="3">
        <v>2928</v>
      </c>
      <c r="G261" s="2">
        <v>663.54</v>
      </c>
      <c r="H261">
        <f>Master_ventas[[#This Row],[Profit]]/Master_ventas[[#This Row],[Sales]]</f>
        <v>0.22661885245901639</v>
      </c>
      <c r="I261">
        <f ca="1">Referencia_Hoy-Master_ventas[[#This Row],[Order Date]]</f>
        <v>1753</v>
      </c>
      <c r="J261" t="str">
        <f>UPPER(Master_ventas[[#This Row],[Product Name]])</f>
        <v>LAPTOP</v>
      </c>
      <c r="K261" t="str">
        <f>UPPER(Master_ventas[[#This Row],[Category]])</f>
        <v>ELECTRONICS</v>
      </c>
      <c r="L261">
        <f>YEAR(Master_ventas[[#This Row],[Order Date]])</f>
        <v>2022</v>
      </c>
      <c r="M261" t="str">
        <f>CONCATENATE(LEFT(Master_ventas[[#This Row],[ProdUpper]],3),RIGHT(Master_ventas[[#This Row],[Ext-Year]],2),"-",MID(Master_ventas[[#This Row],[Category]],1,1))</f>
        <v>LAP22-E</v>
      </c>
      <c r="N261" t="str">
        <f>MID(Master_ventas[[#This Row],[ProdUpper]],1,3)</f>
        <v>LAP</v>
      </c>
      <c r="O261" t="str">
        <f>UPPER(IF(Master_ventas[[#This Row],[Profit]]&gt;500,"High","Std"))</f>
        <v>HIGH</v>
      </c>
      <c r="P261">
        <v>260</v>
      </c>
    </row>
    <row r="262" spans="1:16" x14ac:dyDescent="0.3">
      <c r="A262" s="1">
        <v>45277</v>
      </c>
      <c r="B262" t="s">
        <v>17</v>
      </c>
      <c r="C262" t="s">
        <v>14</v>
      </c>
      <c r="D262" t="s">
        <v>16</v>
      </c>
      <c r="E262">
        <v>7</v>
      </c>
      <c r="F262" s="3">
        <v>1904</v>
      </c>
      <c r="G262" s="2">
        <v>352.86</v>
      </c>
      <c r="H262">
        <f>Master_ventas[[#This Row],[Profit]]/Master_ventas[[#This Row],[Sales]]</f>
        <v>0.18532563025210086</v>
      </c>
      <c r="I262">
        <f ca="1">Referencia_Hoy-Master_ventas[[#This Row],[Order Date]]</f>
        <v>1046</v>
      </c>
      <c r="J262" t="str">
        <f>UPPER(Master_ventas[[#This Row],[Product Name]])</f>
        <v>CAMERA</v>
      </c>
      <c r="K262" t="str">
        <f>UPPER(Master_ventas[[#This Row],[Category]])</f>
        <v>ELECTRONICS</v>
      </c>
      <c r="L262">
        <f>YEAR(Master_ventas[[#This Row],[Order Date]])</f>
        <v>2023</v>
      </c>
      <c r="M262" t="str">
        <f>CONCATENATE(LEFT(Master_ventas[[#This Row],[ProdUpper]],3),RIGHT(Master_ventas[[#This Row],[Ext-Year]],2),"-",MID(Master_ventas[[#This Row],[Category]],1,1))</f>
        <v>CAM23-E</v>
      </c>
      <c r="N262" t="str">
        <f>MID(Master_ventas[[#This Row],[ProdUpper]],1,3)</f>
        <v>CAM</v>
      </c>
      <c r="O262" t="str">
        <f>UPPER(IF(Master_ventas[[#This Row],[Profit]]&gt;500,"High","Std"))</f>
        <v>STD</v>
      </c>
      <c r="P262">
        <v>261</v>
      </c>
    </row>
    <row r="263" spans="1:16" x14ac:dyDescent="0.3">
      <c r="A263" s="1">
        <v>44812</v>
      </c>
      <c r="B263" t="s">
        <v>13</v>
      </c>
      <c r="C263" t="s">
        <v>14</v>
      </c>
      <c r="D263" t="s">
        <v>12</v>
      </c>
      <c r="E263">
        <v>2</v>
      </c>
      <c r="F263" s="3">
        <v>2314</v>
      </c>
      <c r="G263" s="2">
        <v>312.07</v>
      </c>
      <c r="H263">
        <f>Master_ventas[[#This Row],[Profit]]/Master_ventas[[#This Row],[Sales]]</f>
        <v>0.13486171132238547</v>
      </c>
      <c r="I263">
        <f ca="1">Referencia_Hoy-Master_ventas[[#This Row],[Order Date]]</f>
        <v>1511</v>
      </c>
      <c r="J263" t="str">
        <f>UPPER(Master_ventas[[#This Row],[Product Name]])</f>
        <v>TABLET</v>
      </c>
      <c r="K263" t="str">
        <f>UPPER(Master_ventas[[#This Row],[Category]])</f>
        <v>ELECTRONICS</v>
      </c>
      <c r="L263">
        <f>YEAR(Master_ventas[[#This Row],[Order Date]])</f>
        <v>2022</v>
      </c>
      <c r="M263" t="str">
        <f>CONCATENATE(LEFT(Master_ventas[[#This Row],[ProdUpper]],3),RIGHT(Master_ventas[[#This Row],[Ext-Year]],2),"-",MID(Master_ventas[[#This Row],[Category]],1,1))</f>
        <v>TAB22-E</v>
      </c>
      <c r="N263" t="str">
        <f>MID(Master_ventas[[#This Row],[ProdUpper]],1,3)</f>
        <v>TAB</v>
      </c>
      <c r="O263" t="str">
        <f>UPPER(IF(Master_ventas[[#This Row],[Profit]]&gt;500,"High","Std"))</f>
        <v>STD</v>
      </c>
      <c r="P263">
        <v>262</v>
      </c>
    </row>
    <row r="264" spans="1:16" x14ac:dyDescent="0.3">
      <c r="A264" s="1">
        <v>44583</v>
      </c>
      <c r="B264" t="s">
        <v>7</v>
      </c>
      <c r="C264" t="s">
        <v>8</v>
      </c>
      <c r="D264" t="s">
        <v>15</v>
      </c>
      <c r="E264">
        <v>4</v>
      </c>
      <c r="F264" s="3">
        <v>1028</v>
      </c>
      <c r="G264" s="2">
        <v>192.13</v>
      </c>
      <c r="H264">
        <f>Master_ventas[[#This Row],[Profit]]/Master_ventas[[#This Row],[Sales]]</f>
        <v>0.18689688715953306</v>
      </c>
      <c r="I264">
        <f ca="1">Referencia_Hoy-Master_ventas[[#This Row],[Order Date]]</f>
        <v>1740</v>
      </c>
      <c r="J264" t="str">
        <f>UPPER(Master_ventas[[#This Row],[Product Name]])</f>
        <v>PRINTER</v>
      </c>
      <c r="K264" t="str">
        <f>UPPER(Master_ventas[[#This Row],[Category]])</f>
        <v>OFFICE</v>
      </c>
      <c r="L264">
        <f>YEAR(Master_ventas[[#This Row],[Order Date]])</f>
        <v>2022</v>
      </c>
      <c r="M264" t="str">
        <f>CONCATENATE(LEFT(Master_ventas[[#This Row],[ProdUpper]],3),RIGHT(Master_ventas[[#This Row],[Ext-Year]],2),"-",MID(Master_ventas[[#This Row],[Category]],1,1))</f>
        <v>PRI22-O</v>
      </c>
      <c r="N264" t="str">
        <f>MID(Master_ventas[[#This Row],[ProdUpper]],1,3)</f>
        <v>PRI</v>
      </c>
      <c r="O264" t="str">
        <f>UPPER(IF(Master_ventas[[#This Row],[Profit]]&gt;500,"High","Std"))</f>
        <v>STD</v>
      </c>
      <c r="P264">
        <v>263</v>
      </c>
    </row>
    <row r="265" spans="1:16" x14ac:dyDescent="0.3">
      <c r="A265" s="1">
        <v>45539</v>
      </c>
      <c r="B265" t="s">
        <v>18</v>
      </c>
      <c r="C265" t="s">
        <v>11</v>
      </c>
      <c r="D265" t="s">
        <v>15</v>
      </c>
      <c r="E265">
        <v>9</v>
      </c>
      <c r="F265" s="3">
        <v>8307</v>
      </c>
      <c r="G265" s="2">
        <v>1326.23</v>
      </c>
      <c r="H265">
        <f>Master_ventas[[#This Row],[Profit]]/Master_ventas[[#This Row],[Sales]]</f>
        <v>0.15965210063801613</v>
      </c>
      <c r="I265">
        <f ca="1">Referencia_Hoy-Master_ventas[[#This Row],[Order Date]]</f>
        <v>784</v>
      </c>
      <c r="J265" t="str">
        <f>UPPER(Master_ventas[[#This Row],[Product Name]])</f>
        <v>HEADPHONES</v>
      </c>
      <c r="K265" t="str">
        <f>UPPER(Master_ventas[[#This Row],[Category]])</f>
        <v>ACCESSORIES</v>
      </c>
      <c r="L265">
        <f>YEAR(Master_ventas[[#This Row],[Order Date]])</f>
        <v>2024</v>
      </c>
      <c r="M265" t="str">
        <f>CONCATENATE(LEFT(Master_ventas[[#This Row],[ProdUpper]],3),RIGHT(Master_ventas[[#This Row],[Ext-Year]],2),"-",MID(Master_ventas[[#This Row],[Category]],1,1))</f>
        <v>HEA24-A</v>
      </c>
      <c r="N265" t="str">
        <f>MID(Master_ventas[[#This Row],[ProdUpper]],1,3)</f>
        <v>HEA</v>
      </c>
      <c r="O265" t="str">
        <f>UPPER(IF(Master_ventas[[#This Row],[Profit]]&gt;500,"High","Std"))</f>
        <v>HIGH</v>
      </c>
      <c r="P265">
        <v>264</v>
      </c>
    </row>
    <row r="266" spans="1:16" x14ac:dyDescent="0.3">
      <c r="A266" s="1">
        <v>45311</v>
      </c>
      <c r="B266" t="s">
        <v>7</v>
      </c>
      <c r="C266" t="s">
        <v>8</v>
      </c>
      <c r="D266" t="s">
        <v>16</v>
      </c>
      <c r="E266">
        <v>9</v>
      </c>
      <c r="F266" s="3">
        <v>1539</v>
      </c>
      <c r="G266" s="2">
        <v>203.54</v>
      </c>
      <c r="H266">
        <f>Master_ventas[[#This Row],[Profit]]/Master_ventas[[#This Row],[Sales]]</f>
        <v>0.13225471085120208</v>
      </c>
      <c r="I266">
        <f ca="1">Referencia_Hoy-Master_ventas[[#This Row],[Order Date]]</f>
        <v>1012</v>
      </c>
      <c r="J266" t="str">
        <f>UPPER(Master_ventas[[#This Row],[Product Name]])</f>
        <v>PRINTER</v>
      </c>
      <c r="K266" t="str">
        <f>UPPER(Master_ventas[[#This Row],[Category]])</f>
        <v>OFFICE</v>
      </c>
      <c r="L266">
        <f>YEAR(Master_ventas[[#This Row],[Order Date]])</f>
        <v>2024</v>
      </c>
      <c r="M266" t="str">
        <f>CONCATENATE(LEFT(Master_ventas[[#This Row],[ProdUpper]],3),RIGHT(Master_ventas[[#This Row],[Ext-Year]],2),"-",MID(Master_ventas[[#This Row],[Category]],1,1))</f>
        <v>PRI24-O</v>
      </c>
      <c r="N266" t="str">
        <f>MID(Master_ventas[[#This Row],[ProdUpper]],1,3)</f>
        <v>PRI</v>
      </c>
      <c r="O266" t="str">
        <f>UPPER(IF(Master_ventas[[#This Row],[Profit]]&gt;500,"High","Std"))</f>
        <v>STD</v>
      </c>
      <c r="P266">
        <v>265</v>
      </c>
    </row>
    <row r="267" spans="1:16" x14ac:dyDescent="0.3">
      <c r="A267" s="1">
        <v>44868</v>
      </c>
      <c r="B267" t="s">
        <v>13</v>
      </c>
      <c r="C267" t="s">
        <v>14</v>
      </c>
      <c r="D267" t="s">
        <v>16</v>
      </c>
      <c r="E267">
        <v>7</v>
      </c>
      <c r="F267" s="3">
        <v>2506</v>
      </c>
      <c r="G267" s="2">
        <v>537.98</v>
      </c>
      <c r="H267">
        <f>Master_ventas[[#This Row],[Profit]]/Master_ventas[[#This Row],[Sales]]</f>
        <v>0.21467677573822827</v>
      </c>
      <c r="I267">
        <f ca="1">Referencia_Hoy-Master_ventas[[#This Row],[Order Date]]</f>
        <v>1455</v>
      </c>
      <c r="J267" t="str">
        <f>UPPER(Master_ventas[[#This Row],[Product Name]])</f>
        <v>TABLET</v>
      </c>
      <c r="K267" t="str">
        <f>UPPER(Master_ventas[[#This Row],[Category]])</f>
        <v>ELECTRONICS</v>
      </c>
      <c r="L267">
        <f>YEAR(Master_ventas[[#This Row],[Order Date]])</f>
        <v>2022</v>
      </c>
      <c r="M267" t="str">
        <f>CONCATENATE(LEFT(Master_ventas[[#This Row],[ProdUpper]],3),RIGHT(Master_ventas[[#This Row],[Ext-Year]],2),"-",MID(Master_ventas[[#This Row],[Category]],1,1))</f>
        <v>TAB22-E</v>
      </c>
      <c r="N267" t="str">
        <f>MID(Master_ventas[[#This Row],[ProdUpper]],1,3)</f>
        <v>TAB</v>
      </c>
      <c r="O267" t="str">
        <f>UPPER(IF(Master_ventas[[#This Row],[Profit]]&gt;500,"High","Std"))</f>
        <v>HIGH</v>
      </c>
      <c r="P267">
        <v>266</v>
      </c>
    </row>
    <row r="268" spans="1:16" x14ac:dyDescent="0.3">
      <c r="A268" s="1">
        <v>45110</v>
      </c>
      <c r="B268" t="s">
        <v>21</v>
      </c>
      <c r="C268" t="s">
        <v>14</v>
      </c>
      <c r="D268" t="s">
        <v>16</v>
      </c>
      <c r="E268">
        <v>6</v>
      </c>
      <c r="F268" s="3">
        <v>5778</v>
      </c>
      <c r="G268" s="2">
        <v>1232.54</v>
      </c>
      <c r="H268">
        <f>Master_ventas[[#This Row],[Profit]]/Master_ventas[[#This Row],[Sales]]</f>
        <v>0.21331602630668051</v>
      </c>
      <c r="I268">
        <f ca="1">Referencia_Hoy-Master_ventas[[#This Row],[Order Date]]</f>
        <v>1213</v>
      </c>
      <c r="J268" t="str">
        <f>UPPER(Master_ventas[[#This Row],[Product Name]])</f>
        <v>SMARTPHONE</v>
      </c>
      <c r="K268" t="str">
        <f>UPPER(Master_ventas[[#This Row],[Category]])</f>
        <v>ELECTRONICS</v>
      </c>
      <c r="L268">
        <f>YEAR(Master_ventas[[#This Row],[Order Date]])</f>
        <v>2023</v>
      </c>
      <c r="M268" t="str">
        <f>CONCATENATE(LEFT(Master_ventas[[#This Row],[ProdUpper]],3),RIGHT(Master_ventas[[#This Row],[Ext-Year]],2),"-",MID(Master_ventas[[#This Row],[Category]],1,1))</f>
        <v>SMA23-E</v>
      </c>
      <c r="N268" t="str">
        <f>MID(Master_ventas[[#This Row],[ProdUpper]],1,3)</f>
        <v>SMA</v>
      </c>
      <c r="O268" t="str">
        <f>UPPER(IF(Master_ventas[[#This Row],[Profit]]&gt;500,"High","Std"))</f>
        <v>HIGH</v>
      </c>
      <c r="P268">
        <v>267</v>
      </c>
    </row>
    <row r="269" spans="1:16" x14ac:dyDescent="0.3">
      <c r="A269" s="1">
        <v>45316</v>
      </c>
      <c r="B269" t="s">
        <v>13</v>
      </c>
      <c r="C269" t="s">
        <v>14</v>
      </c>
      <c r="D269" t="s">
        <v>12</v>
      </c>
      <c r="E269">
        <v>9</v>
      </c>
      <c r="F269" s="3">
        <v>10188</v>
      </c>
      <c r="G269" s="2">
        <v>2165.7800000000002</v>
      </c>
      <c r="H269">
        <f>Master_ventas[[#This Row],[Profit]]/Master_ventas[[#This Row],[Sales]]</f>
        <v>0.21258146839418926</v>
      </c>
      <c r="I269">
        <f ca="1">Referencia_Hoy-Master_ventas[[#This Row],[Order Date]]</f>
        <v>1007</v>
      </c>
      <c r="J269" t="str">
        <f>UPPER(Master_ventas[[#This Row],[Product Name]])</f>
        <v>TABLET</v>
      </c>
      <c r="K269" t="str">
        <f>UPPER(Master_ventas[[#This Row],[Category]])</f>
        <v>ELECTRONICS</v>
      </c>
      <c r="L269">
        <f>YEAR(Master_ventas[[#This Row],[Order Date]])</f>
        <v>2024</v>
      </c>
      <c r="M269" t="str">
        <f>CONCATENATE(LEFT(Master_ventas[[#This Row],[ProdUpper]],3),RIGHT(Master_ventas[[#This Row],[Ext-Year]],2),"-",MID(Master_ventas[[#This Row],[Category]],1,1))</f>
        <v>TAB24-E</v>
      </c>
      <c r="N269" t="str">
        <f>MID(Master_ventas[[#This Row],[ProdUpper]],1,3)</f>
        <v>TAB</v>
      </c>
      <c r="O269" t="str">
        <f>UPPER(IF(Master_ventas[[#This Row],[Profit]]&gt;500,"High","Std"))</f>
        <v>HIGH</v>
      </c>
      <c r="P269">
        <v>268</v>
      </c>
    </row>
    <row r="270" spans="1:16" x14ac:dyDescent="0.3">
      <c r="A270" s="1">
        <v>45423</v>
      </c>
      <c r="B270" t="s">
        <v>20</v>
      </c>
      <c r="C270" t="s">
        <v>11</v>
      </c>
      <c r="D270" t="s">
        <v>9</v>
      </c>
      <c r="E270">
        <v>1</v>
      </c>
      <c r="F270" s="3">
        <v>952</v>
      </c>
      <c r="G270" s="2">
        <v>157.69999999999999</v>
      </c>
      <c r="H270">
        <f>Master_ventas[[#This Row],[Profit]]/Master_ventas[[#This Row],[Sales]]</f>
        <v>0.16565126050420168</v>
      </c>
      <c r="I270">
        <f ca="1">Referencia_Hoy-Master_ventas[[#This Row],[Order Date]]</f>
        <v>900</v>
      </c>
      <c r="J270" t="str">
        <f>UPPER(Master_ventas[[#This Row],[Product Name]])</f>
        <v>MONITOR</v>
      </c>
      <c r="K270" t="str">
        <f>UPPER(Master_ventas[[#This Row],[Category]])</f>
        <v>ACCESSORIES</v>
      </c>
      <c r="L270">
        <f>YEAR(Master_ventas[[#This Row],[Order Date]])</f>
        <v>2024</v>
      </c>
      <c r="M270" t="str">
        <f>CONCATENATE(LEFT(Master_ventas[[#This Row],[ProdUpper]],3),RIGHT(Master_ventas[[#This Row],[Ext-Year]],2),"-",MID(Master_ventas[[#This Row],[Category]],1,1))</f>
        <v>MON24-A</v>
      </c>
      <c r="N270" t="str">
        <f>MID(Master_ventas[[#This Row],[ProdUpper]],1,3)</f>
        <v>MON</v>
      </c>
      <c r="O270" t="str">
        <f>UPPER(IF(Master_ventas[[#This Row],[Profit]]&gt;500,"High","Std"))</f>
        <v>STD</v>
      </c>
      <c r="P270">
        <v>269</v>
      </c>
    </row>
    <row r="271" spans="1:16" x14ac:dyDescent="0.3">
      <c r="A271" s="1">
        <v>45293</v>
      </c>
      <c r="B271" t="s">
        <v>19</v>
      </c>
      <c r="C271" t="s">
        <v>14</v>
      </c>
      <c r="D271" t="s">
        <v>16</v>
      </c>
      <c r="E271">
        <v>8</v>
      </c>
      <c r="F271" s="3">
        <v>3624</v>
      </c>
      <c r="G271" s="2">
        <v>750.86</v>
      </c>
      <c r="H271">
        <f>Master_ventas[[#This Row],[Profit]]/Master_ventas[[#This Row],[Sales]]</f>
        <v>0.20719094922737308</v>
      </c>
      <c r="I271">
        <f ca="1">Referencia_Hoy-Master_ventas[[#This Row],[Order Date]]</f>
        <v>1030</v>
      </c>
      <c r="J271" t="str">
        <f>UPPER(Master_ventas[[#This Row],[Product Name]])</f>
        <v>SMARTWATCH</v>
      </c>
      <c r="K271" t="str">
        <f>UPPER(Master_ventas[[#This Row],[Category]])</f>
        <v>ELECTRONICS</v>
      </c>
      <c r="L271">
        <f>YEAR(Master_ventas[[#This Row],[Order Date]])</f>
        <v>2024</v>
      </c>
      <c r="M271" t="str">
        <f>CONCATENATE(LEFT(Master_ventas[[#This Row],[ProdUpper]],3),RIGHT(Master_ventas[[#This Row],[Ext-Year]],2),"-",MID(Master_ventas[[#This Row],[Category]],1,1))</f>
        <v>SMA24-E</v>
      </c>
      <c r="N271" t="str">
        <f>MID(Master_ventas[[#This Row],[ProdUpper]],1,3)</f>
        <v>SMA</v>
      </c>
      <c r="O271" t="str">
        <f>UPPER(IF(Master_ventas[[#This Row],[Profit]]&gt;500,"High","Std"))</f>
        <v>HIGH</v>
      </c>
      <c r="P271">
        <v>270</v>
      </c>
    </row>
    <row r="272" spans="1:16" x14ac:dyDescent="0.3">
      <c r="A272" s="1">
        <v>44981</v>
      </c>
      <c r="B272" t="s">
        <v>22</v>
      </c>
      <c r="C272" t="s">
        <v>11</v>
      </c>
      <c r="D272" t="s">
        <v>15</v>
      </c>
      <c r="E272">
        <v>8</v>
      </c>
      <c r="F272" s="3">
        <v>7968</v>
      </c>
      <c r="G272" s="2">
        <v>1551.12</v>
      </c>
      <c r="H272">
        <f>Master_ventas[[#This Row],[Profit]]/Master_ventas[[#This Row],[Sales]]</f>
        <v>0.19466867469879517</v>
      </c>
      <c r="I272">
        <f ca="1">Referencia_Hoy-Master_ventas[[#This Row],[Order Date]]</f>
        <v>1342</v>
      </c>
      <c r="J272" t="str">
        <f>UPPER(Master_ventas[[#This Row],[Product Name]])</f>
        <v>KEYBOARD</v>
      </c>
      <c r="K272" t="str">
        <f>UPPER(Master_ventas[[#This Row],[Category]])</f>
        <v>ACCESSORIES</v>
      </c>
      <c r="L272">
        <f>YEAR(Master_ventas[[#This Row],[Order Date]])</f>
        <v>2023</v>
      </c>
      <c r="M272" t="str">
        <f>CONCATENATE(LEFT(Master_ventas[[#This Row],[ProdUpper]],3),RIGHT(Master_ventas[[#This Row],[Ext-Year]],2),"-",MID(Master_ventas[[#This Row],[Category]],1,1))</f>
        <v>KEY23-A</v>
      </c>
      <c r="N272" t="str">
        <f>MID(Master_ventas[[#This Row],[ProdUpper]],1,3)</f>
        <v>KEY</v>
      </c>
      <c r="O272" t="str">
        <f>UPPER(IF(Master_ventas[[#This Row],[Profit]]&gt;500,"High","Std"))</f>
        <v>HIGH</v>
      </c>
      <c r="P272">
        <v>271</v>
      </c>
    </row>
    <row r="273" spans="1:16" x14ac:dyDescent="0.3">
      <c r="A273" s="1">
        <v>45493</v>
      </c>
      <c r="B273" t="s">
        <v>10</v>
      </c>
      <c r="C273" t="s">
        <v>11</v>
      </c>
      <c r="D273" t="s">
        <v>15</v>
      </c>
      <c r="E273">
        <v>2</v>
      </c>
      <c r="F273" s="3">
        <v>1254</v>
      </c>
      <c r="G273" s="2">
        <v>250.09</v>
      </c>
      <c r="H273">
        <f>Master_ventas[[#This Row],[Profit]]/Master_ventas[[#This Row],[Sales]]</f>
        <v>0.19943381180223285</v>
      </c>
      <c r="I273">
        <f ca="1">Referencia_Hoy-Master_ventas[[#This Row],[Order Date]]</f>
        <v>830</v>
      </c>
      <c r="J273" t="str">
        <f>UPPER(Master_ventas[[#This Row],[Product Name]])</f>
        <v>MOUSE</v>
      </c>
      <c r="K273" t="str">
        <f>UPPER(Master_ventas[[#This Row],[Category]])</f>
        <v>ACCESSORIES</v>
      </c>
      <c r="L273">
        <f>YEAR(Master_ventas[[#This Row],[Order Date]])</f>
        <v>2024</v>
      </c>
      <c r="M273" t="str">
        <f>CONCATENATE(LEFT(Master_ventas[[#This Row],[ProdUpper]],3),RIGHT(Master_ventas[[#This Row],[Ext-Year]],2),"-",MID(Master_ventas[[#This Row],[Category]],1,1))</f>
        <v>MOU24-A</v>
      </c>
      <c r="N273" t="str">
        <f>MID(Master_ventas[[#This Row],[ProdUpper]],1,3)</f>
        <v>MOU</v>
      </c>
      <c r="O273" t="str">
        <f>UPPER(IF(Master_ventas[[#This Row],[Profit]]&gt;500,"High","Std"))</f>
        <v>STD</v>
      </c>
      <c r="P273">
        <v>272</v>
      </c>
    </row>
    <row r="274" spans="1:16" x14ac:dyDescent="0.3">
      <c r="A274" s="1">
        <v>45091</v>
      </c>
      <c r="B274" t="s">
        <v>7</v>
      </c>
      <c r="C274" t="s">
        <v>8</v>
      </c>
      <c r="D274" t="s">
        <v>16</v>
      </c>
      <c r="E274">
        <v>3</v>
      </c>
      <c r="F274" s="3">
        <v>705</v>
      </c>
      <c r="G274" s="2">
        <v>196.05</v>
      </c>
      <c r="H274">
        <f>Master_ventas[[#This Row],[Profit]]/Master_ventas[[#This Row],[Sales]]</f>
        <v>0.27808510638297873</v>
      </c>
      <c r="I274">
        <f ca="1">Referencia_Hoy-Master_ventas[[#This Row],[Order Date]]</f>
        <v>1232</v>
      </c>
      <c r="J274" t="str">
        <f>UPPER(Master_ventas[[#This Row],[Product Name]])</f>
        <v>PRINTER</v>
      </c>
      <c r="K274" t="str">
        <f>UPPER(Master_ventas[[#This Row],[Category]])</f>
        <v>OFFICE</v>
      </c>
      <c r="L274">
        <f>YEAR(Master_ventas[[#This Row],[Order Date]])</f>
        <v>2023</v>
      </c>
      <c r="M274" t="str">
        <f>CONCATENATE(LEFT(Master_ventas[[#This Row],[ProdUpper]],3),RIGHT(Master_ventas[[#This Row],[Ext-Year]],2),"-",MID(Master_ventas[[#This Row],[Category]],1,1))</f>
        <v>PRI23-O</v>
      </c>
      <c r="N274" t="str">
        <f>MID(Master_ventas[[#This Row],[ProdUpper]],1,3)</f>
        <v>PRI</v>
      </c>
      <c r="O274" t="str">
        <f>UPPER(IF(Master_ventas[[#This Row],[Profit]]&gt;500,"High","Std"))</f>
        <v>STD</v>
      </c>
      <c r="P274">
        <v>273</v>
      </c>
    </row>
    <row r="275" spans="1:16" x14ac:dyDescent="0.3">
      <c r="A275" s="1">
        <v>44661</v>
      </c>
      <c r="B275" t="s">
        <v>10</v>
      </c>
      <c r="C275" t="s">
        <v>11</v>
      </c>
      <c r="D275" t="s">
        <v>16</v>
      </c>
      <c r="E275">
        <v>1</v>
      </c>
      <c r="F275" s="3">
        <v>916</v>
      </c>
      <c r="G275" s="2">
        <v>223.5</v>
      </c>
      <c r="H275">
        <f>Master_ventas[[#This Row],[Profit]]/Master_ventas[[#This Row],[Sales]]</f>
        <v>0.24399563318777293</v>
      </c>
      <c r="I275">
        <f ca="1">Referencia_Hoy-Master_ventas[[#This Row],[Order Date]]</f>
        <v>1662</v>
      </c>
      <c r="J275" t="str">
        <f>UPPER(Master_ventas[[#This Row],[Product Name]])</f>
        <v>MOUSE</v>
      </c>
      <c r="K275" t="str">
        <f>UPPER(Master_ventas[[#This Row],[Category]])</f>
        <v>ACCESSORIES</v>
      </c>
      <c r="L275">
        <f>YEAR(Master_ventas[[#This Row],[Order Date]])</f>
        <v>2022</v>
      </c>
      <c r="M275" t="str">
        <f>CONCATENATE(LEFT(Master_ventas[[#This Row],[ProdUpper]],3),RIGHT(Master_ventas[[#This Row],[Ext-Year]],2),"-",MID(Master_ventas[[#This Row],[Category]],1,1))</f>
        <v>MOU22-A</v>
      </c>
      <c r="N275" t="str">
        <f>MID(Master_ventas[[#This Row],[ProdUpper]],1,3)</f>
        <v>MOU</v>
      </c>
      <c r="O275" t="str">
        <f>UPPER(IF(Master_ventas[[#This Row],[Profit]]&gt;500,"High","Std"))</f>
        <v>STD</v>
      </c>
      <c r="P275">
        <v>274</v>
      </c>
    </row>
    <row r="276" spans="1:16" x14ac:dyDescent="0.3">
      <c r="A276" s="1">
        <v>45566</v>
      </c>
      <c r="B276" t="s">
        <v>7</v>
      </c>
      <c r="C276" t="s">
        <v>8</v>
      </c>
      <c r="D276" t="s">
        <v>9</v>
      </c>
      <c r="E276">
        <v>2</v>
      </c>
      <c r="F276" s="3">
        <v>848</v>
      </c>
      <c r="G276" s="2">
        <v>129.96</v>
      </c>
      <c r="H276">
        <f>Master_ventas[[#This Row],[Profit]]/Master_ventas[[#This Row],[Sales]]</f>
        <v>0.15325471698113208</v>
      </c>
      <c r="I276">
        <f ca="1">Referencia_Hoy-Master_ventas[[#This Row],[Order Date]]</f>
        <v>757</v>
      </c>
      <c r="J276" t="str">
        <f>UPPER(Master_ventas[[#This Row],[Product Name]])</f>
        <v>PRINTER</v>
      </c>
      <c r="K276" t="str">
        <f>UPPER(Master_ventas[[#This Row],[Category]])</f>
        <v>OFFICE</v>
      </c>
      <c r="L276">
        <f>YEAR(Master_ventas[[#This Row],[Order Date]])</f>
        <v>2024</v>
      </c>
      <c r="M276" t="str">
        <f>CONCATENATE(LEFT(Master_ventas[[#This Row],[ProdUpper]],3),RIGHT(Master_ventas[[#This Row],[Ext-Year]],2),"-",MID(Master_ventas[[#This Row],[Category]],1,1))</f>
        <v>PRI24-O</v>
      </c>
      <c r="N276" t="str">
        <f>MID(Master_ventas[[#This Row],[ProdUpper]],1,3)</f>
        <v>PRI</v>
      </c>
      <c r="O276" t="str">
        <f>UPPER(IF(Master_ventas[[#This Row],[Profit]]&gt;500,"High","Std"))</f>
        <v>STD</v>
      </c>
      <c r="P276">
        <v>275</v>
      </c>
    </row>
    <row r="277" spans="1:16" x14ac:dyDescent="0.3">
      <c r="A277" s="1">
        <v>44691</v>
      </c>
      <c r="B277" t="s">
        <v>20</v>
      </c>
      <c r="C277" t="s">
        <v>11</v>
      </c>
      <c r="D277" t="s">
        <v>12</v>
      </c>
      <c r="E277">
        <v>8</v>
      </c>
      <c r="F277" s="3">
        <v>2240</v>
      </c>
      <c r="G277" s="2">
        <v>313.17</v>
      </c>
      <c r="H277">
        <f>Master_ventas[[#This Row],[Profit]]/Master_ventas[[#This Row],[Sales]]</f>
        <v>0.13980803571428571</v>
      </c>
      <c r="I277">
        <f ca="1">Referencia_Hoy-Master_ventas[[#This Row],[Order Date]]</f>
        <v>1632</v>
      </c>
      <c r="J277" t="str">
        <f>UPPER(Master_ventas[[#This Row],[Product Name]])</f>
        <v>MONITOR</v>
      </c>
      <c r="K277" t="str">
        <f>UPPER(Master_ventas[[#This Row],[Category]])</f>
        <v>ACCESSORIES</v>
      </c>
      <c r="L277">
        <f>YEAR(Master_ventas[[#This Row],[Order Date]])</f>
        <v>2022</v>
      </c>
      <c r="M277" t="str">
        <f>CONCATENATE(LEFT(Master_ventas[[#This Row],[ProdUpper]],3),RIGHT(Master_ventas[[#This Row],[Ext-Year]],2),"-",MID(Master_ventas[[#This Row],[Category]],1,1))</f>
        <v>MON22-A</v>
      </c>
      <c r="N277" t="str">
        <f>MID(Master_ventas[[#This Row],[ProdUpper]],1,3)</f>
        <v>MON</v>
      </c>
      <c r="O277" t="str">
        <f>UPPER(IF(Master_ventas[[#This Row],[Profit]]&gt;500,"High","Std"))</f>
        <v>STD</v>
      </c>
      <c r="P277">
        <v>276</v>
      </c>
    </row>
    <row r="278" spans="1:16" x14ac:dyDescent="0.3">
      <c r="A278" s="1">
        <v>44589</v>
      </c>
      <c r="B278" t="s">
        <v>20</v>
      </c>
      <c r="C278" t="s">
        <v>11</v>
      </c>
      <c r="D278" t="s">
        <v>15</v>
      </c>
      <c r="E278">
        <v>1</v>
      </c>
      <c r="F278" s="3">
        <v>940</v>
      </c>
      <c r="G278" s="2">
        <v>120.35</v>
      </c>
      <c r="H278">
        <f>Master_ventas[[#This Row],[Profit]]/Master_ventas[[#This Row],[Sales]]</f>
        <v>0.12803191489361701</v>
      </c>
      <c r="I278">
        <f ca="1">Referencia_Hoy-Master_ventas[[#This Row],[Order Date]]</f>
        <v>1734</v>
      </c>
      <c r="J278" t="str">
        <f>UPPER(Master_ventas[[#This Row],[Product Name]])</f>
        <v>MONITOR</v>
      </c>
      <c r="K278" t="str">
        <f>UPPER(Master_ventas[[#This Row],[Category]])</f>
        <v>ACCESSORIES</v>
      </c>
      <c r="L278">
        <f>YEAR(Master_ventas[[#This Row],[Order Date]])</f>
        <v>2022</v>
      </c>
      <c r="M278" t="str">
        <f>CONCATENATE(LEFT(Master_ventas[[#This Row],[ProdUpper]],3),RIGHT(Master_ventas[[#This Row],[Ext-Year]],2),"-",MID(Master_ventas[[#This Row],[Category]],1,1))</f>
        <v>MON22-A</v>
      </c>
      <c r="N278" t="str">
        <f>MID(Master_ventas[[#This Row],[ProdUpper]],1,3)</f>
        <v>MON</v>
      </c>
      <c r="O278" t="str">
        <f>UPPER(IF(Master_ventas[[#This Row],[Profit]]&gt;500,"High","Std"))</f>
        <v>STD</v>
      </c>
      <c r="P278">
        <v>277</v>
      </c>
    </row>
    <row r="279" spans="1:16" x14ac:dyDescent="0.3">
      <c r="A279" s="1">
        <v>45021</v>
      </c>
      <c r="B279" t="s">
        <v>18</v>
      </c>
      <c r="C279" t="s">
        <v>11</v>
      </c>
      <c r="D279" t="s">
        <v>16</v>
      </c>
      <c r="E279">
        <v>5</v>
      </c>
      <c r="F279" s="3">
        <v>1550</v>
      </c>
      <c r="G279" s="2">
        <v>203.51</v>
      </c>
      <c r="H279">
        <f>Master_ventas[[#This Row],[Profit]]/Master_ventas[[#This Row],[Sales]]</f>
        <v>0.13129677419354838</v>
      </c>
      <c r="I279">
        <f ca="1">Referencia_Hoy-Master_ventas[[#This Row],[Order Date]]</f>
        <v>1302</v>
      </c>
      <c r="J279" t="str">
        <f>UPPER(Master_ventas[[#This Row],[Product Name]])</f>
        <v>HEADPHONES</v>
      </c>
      <c r="K279" t="str">
        <f>UPPER(Master_ventas[[#This Row],[Category]])</f>
        <v>ACCESSORIES</v>
      </c>
      <c r="L279">
        <f>YEAR(Master_ventas[[#This Row],[Order Date]])</f>
        <v>2023</v>
      </c>
      <c r="M279" t="str">
        <f>CONCATENATE(LEFT(Master_ventas[[#This Row],[ProdUpper]],3),RIGHT(Master_ventas[[#This Row],[Ext-Year]],2),"-",MID(Master_ventas[[#This Row],[Category]],1,1))</f>
        <v>HEA23-A</v>
      </c>
      <c r="N279" t="str">
        <f>MID(Master_ventas[[#This Row],[ProdUpper]],1,3)</f>
        <v>HEA</v>
      </c>
      <c r="O279" t="str">
        <f>UPPER(IF(Master_ventas[[#This Row],[Profit]]&gt;500,"High","Std"))</f>
        <v>STD</v>
      </c>
      <c r="P279">
        <v>278</v>
      </c>
    </row>
    <row r="280" spans="1:16" x14ac:dyDescent="0.3">
      <c r="A280" s="1">
        <v>45191</v>
      </c>
      <c r="B280" t="s">
        <v>22</v>
      </c>
      <c r="C280" t="s">
        <v>11</v>
      </c>
      <c r="D280" t="s">
        <v>15</v>
      </c>
      <c r="E280">
        <v>7</v>
      </c>
      <c r="F280" s="3">
        <v>2352</v>
      </c>
      <c r="G280" s="2">
        <v>256.39999999999998</v>
      </c>
      <c r="H280">
        <f>Master_ventas[[#This Row],[Profit]]/Master_ventas[[#This Row],[Sales]]</f>
        <v>0.10901360544217686</v>
      </c>
      <c r="I280">
        <f ca="1">Referencia_Hoy-Master_ventas[[#This Row],[Order Date]]</f>
        <v>1132</v>
      </c>
      <c r="J280" t="str">
        <f>UPPER(Master_ventas[[#This Row],[Product Name]])</f>
        <v>KEYBOARD</v>
      </c>
      <c r="K280" t="str">
        <f>UPPER(Master_ventas[[#This Row],[Category]])</f>
        <v>ACCESSORIES</v>
      </c>
      <c r="L280">
        <f>YEAR(Master_ventas[[#This Row],[Order Date]])</f>
        <v>2023</v>
      </c>
      <c r="M280" t="str">
        <f>CONCATENATE(LEFT(Master_ventas[[#This Row],[ProdUpper]],3),RIGHT(Master_ventas[[#This Row],[Ext-Year]],2),"-",MID(Master_ventas[[#This Row],[Category]],1,1))</f>
        <v>KEY23-A</v>
      </c>
      <c r="N280" t="str">
        <f>MID(Master_ventas[[#This Row],[ProdUpper]],1,3)</f>
        <v>KEY</v>
      </c>
      <c r="O280" t="str">
        <f>UPPER(IF(Master_ventas[[#This Row],[Profit]]&gt;500,"High","Std"))</f>
        <v>STD</v>
      </c>
      <c r="P280">
        <v>279</v>
      </c>
    </row>
    <row r="281" spans="1:16" x14ac:dyDescent="0.3">
      <c r="A281" s="1">
        <v>45533</v>
      </c>
      <c r="B281" t="s">
        <v>19</v>
      </c>
      <c r="C281" t="s">
        <v>14</v>
      </c>
      <c r="D281" t="s">
        <v>9</v>
      </c>
      <c r="E281">
        <v>9</v>
      </c>
      <c r="F281" s="3">
        <v>1638</v>
      </c>
      <c r="G281" s="2">
        <v>183.75</v>
      </c>
      <c r="H281">
        <f>Master_ventas[[#This Row],[Profit]]/Master_ventas[[#This Row],[Sales]]</f>
        <v>0.11217948717948718</v>
      </c>
      <c r="I281">
        <f ca="1">Referencia_Hoy-Master_ventas[[#This Row],[Order Date]]</f>
        <v>790</v>
      </c>
      <c r="J281" t="str">
        <f>UPPER(Master_ventas[[#This Row],[Product Name]])</f>
        <v>SMARTWATCH</v>
      </c>
      <c r="K281" t="str">
        <f>UPPER(Master_ventas[[#This Row],[Category]])</f>
        <v>ELECTRONICS</v>
      </c>
      <c r="L281">
        <f>YEAR(Master_ventas[[#This Row],[Order Date]])</f>
        <v>2024</v>
      </c>
      <c r="M281" t="str">
        <f>CONCATENATE(LEFT(Master_ventas[[#This Row],[ProdUpper]],3),RIGHT(Master_ventas[[#This Row],[Ext-Year]],2),"-",MID(Master_ventas[[#This Row],[Category]],1,1))</f>
        <v>SMA24-E</v>
      </c>
      <c r="N281" t="str">
        <f>MID(Master_ventas[[#This Row],[ProdUpper]],1,3)</f>
        <v>SMA</v>
      </c>
      <c r="O281" t="str">
        <f>UPPER(IF(Master_ventas[[#This Row],[Profit]]&gt;500,"High","Std"))</f>
        <v>STD</v>
      </c>
      <c r="P281">
        <v>280</v>
      </c>
    </row>
    <row r="282" spans="1:16" x14ac:dyDescent="0.3">
      <c r="A282" s="1">
        <v>45248</v>
      </c>
      <c r="B282" t="s">
        <v>17</v>
      </c>
      <c r="C282" t="s">
        <v>14</v>
      </c>
      <c r="D282" t="s">
        <v>9</v>
      </c>
      <c r="E282">
        <v>6</v>
      </c>
      <c r="F282" s="3">
        <v>7164</v>
      </c>
      <c r="G282" s="2">
        <v>1442.72</v>
      </c>
      <c r="H282">
        <f>Master_ventas[[#This Row],[Profit]]/Master_ventas[[#This Row],[Sales]]</f>
        <v>0.20138470128419877</v>
      </c>
      <c r="I282">
        <f ca="1">Referencia_Hoy-Master_ventas[[#This Row],[Order Date]]</f>
        <v>1075</v>
      </c>
      <c r="J282" t="str">
        <f>UPPER(Master_ventas[[#This Row],[Product Name]])</f>
        <v>CAMERA</v>
      </c>
      <c r="K282" t="str">
        <f>UPPER(Master_ventas[[#This Row],[Category]])</f>
        <v>ELECTRONICS</v>
      </c>
      <c r="L282">
        <f>YEAR(Master_ventas[[#This Row],[Order Date]])</f>
        <v>2023</v>
      </c>
      <c r="M282" t="str">
        <f>CONCATENATE(LEFT(Master_ventas[[#This Row],[ProdUpper]],3),RIGHT(Master_ventas[[#This Row],[Ext-Year]],2),"-",MID(Master_ventas[[#This Row],[Category]],1,1))</f>
        <v>CAM23-E</v>
      </c>
      <c r="N282" t="str">
        <f>MID(Master_ventas[[#This Row],[ProdUpper]],1,3)</f>
        <v>CAM</v>
      </c>
      <c r="O282" t="str">
        <f>UPPER(IF(Master_ventas[[#This Row],[Profit]]&gt;500,"High","Std"))</f>
        <v>HIGH</v>
      </c>
      <c r="P282">
        <v>281</v>
      </c>
    </row>
    <row r="283" spans="1:16" x14ac:dyDescent="0.3">
      <c r="A283" s="1">
        <v>45181</v>
      </c>
      <c r="B283" t="s">
        <v>10</v>
      </c>
      <c r="C283" t="s">
        <v>11</v>
      </c>
      <c r="D283" t="s">
        <v>12</v>
      </c>
      <c r="E283">
        <v>1</v>
      </c>
      <c r="F283" s="3">
        <v>205</v>
      </c>
      <c r="G283" s="2">
        <v>54.54</v>
      </c>
      <c r="H283">
        <f>Master_ventas[[#This Row],[Profit]]/Master_ventas[[#This Row],[Sales]]</f>
        <v>0.26604878048780489</v>
      </c>
      <c r="I283">
        <f ca="1">Referencia_Hoy-Master_ventas[[#This Row],[Order Date]]</f>
        <v>1142</v>
      </c>
      <c r="J283" t="str">
        <f>UPPER(Master_ventas[[#This Row],[Product Name]])</f>
        <v>MOUSE</v>
      </c>
      <c r="K283" t="str">
        <f>UPPER(Master_ventas[[#This Row],[Category]])</f>
        <v>ACCESSORIES</v>
      </c>
      <c r="L283">
        <f>YEAR(Master_ventas[[#This Row],[Order Date]])</f>
        <v>2023</v>
      </c>
      <c r="M283" t="str">
        <f>CONCATENATE(LEFT(Master_ventas[[#This Row],[ProdUpper]],3),RIGHT(Master_ventas[[#This Row],[Ext-Year]],2),"-",MID(Master_ventas[[#This Row],[Category]],1,1))</f>
        <v>MOU23-A</v>
      </c>
      <c r="N283" t="str">
        <f>MID(Master_ventas[[#This Row],[ProdUpper]],1,3)</f>
        <v>MOU</v>
      </c>
      <c r="O283" t="str">
        <f>UPPER(IF(Master_ventas[[#This Row],[Profit]]&gt;500,"High","Std"))</f>
        <v>STD</v>
      </c>
      <c r="P283">
        <v>282</v>
      </c>
    </row>
    <row r="284" spans="1:16" x14ac:dyDescent="0.3">
      <c r="A284" s="1">
        <v>45072</v>
      </c>
      <c r="B284" t="s">
        <v>22</v>
      </c>
      <c r="C284" t="s">
        <v>11</v>
      </c>
      <c r="D284" t="s">
        <v>9</v>
      </c>
      <c r="E284">
        <v>2</v>
      </c>
      <c r="F284" s="3">
        <v>766</v>
      </c>
      <c r="G284" s="2">
        <v>49.23</v>
      </c>
      <c r="H284">
        <f>Master_ventas[[#This Row],[Profit]]/Master_ventas[[#This Row],[Sales]]</f>
        <v>6.4268929503916439E-2</v>
      </c>
      <c r="I284">
        <f ca="1">Referencia_Hoy-Master_ventas[[#This Row],[Order Date]]</f>
        <v>1251</v>
      </c>
      <c r="J284" t="str">
        <f>UPPER(Master_ventas[[#This Row],[Product Name]])</f>
        <v>KEYBOARD</v>
      </c>
      <c r="K284" t="str">
        <f>UPPER(Master_ventas[[#This Row],[Category]])</f>
        <v>ACCESSORIES</v>
      </c>
      <c r="L284">
        <f>YEAR(Master_ventas[[#This Row],[Order Date]])</f>
        <v>2023</v>
      </c>
      <c r="M284" t="str">
        <f>CONCATENATE(LEFT(Master_ventas[[#This Row],[ProdUpper]],3),RIGHT(Master_ventas[[#This Row],[Ext-Year]],2),"-",MID(Master_ventas[[#This Row],[Category]],1,1))</f>
        <v>KEY23-A</v>
      </c>
      <c r="N284" t="str">
        <f>MID(Master_ventas[[#This Row],[ProdUpper]],1,3)</f>
        <v>KEY</v>
      </c>
      <c r="O284" t="str">
        <f>UPPER(IF(Master_ventas[[#This Row],[Profit]]&gt;500,"High","Std"))</f>
        <v>STD</v>
      </c>
      <c r="P284">
        <v>283</v>
      </c>
    </row>
    <row r="285" spans="1:16" x14ac:dyDescent="0.3">
      <c r="A285" s="1">
        <v>45046</v>
      </c>
      <c r="B285" t="s">
        <v>22</v>
      </c>
      <c r="C285" t="s">
        <v>11</v>
      </c>
      <c r="D285" t="s">
        <v>9</v>
      </c>
      <c r="E285">
        <v>1</v>
      </c>
      <c r="F285" s="3">
        <v>168</v>
      </c>
      <c r="G285" s="2">
        <v>17.84</v>
      </c>
      <c r="H285">
        <f>Master_ventas[[#This Row],[Profit]]/Master_ventas[[#This Row],[Sales]]</f>
        <v>0.1061904761904762</v>
      </c>
      <c r="I285">
        <f ca="1">Referencia_Hoy-Master_ventas[[#This Row],[Order Date]]</f>
        <v>1277</v>
      </c>
      <c r="J285" t="str">
        <f>UPPER(Master_ventas[[#This Row],[Product Name]])</f>
        <v>KEYBOARD</v>
      </c>
      <c r="K285" t="str">
        <f>UPPER(Master_ventas[[#This Row],[Category]])</f>
        <v>ACCESSORIES</v>
      </c>
      <c r="L285">
        <f>YEAR(Master_ventas[[#This Row],[Order Date]])</f>
        <v>2023</v>
      </c>
      <c r="M285" t="str">
        <f>CONCATENATE(LEFT(Master_ventas[[#This Row],[ProdUpper]],3),RIGHT(Master_ventas[[#This Row],[Ext-Year]],2),"-",MID(Master_ventas[[#This Row],[Category]],1,1))</f>
        <v>KEY23-A</v>
      </c>
      <c r="N285" t="str">
        <f>MID(Master_ventas[[#This Row],[ProdUpper]],1,3)</f>
        <v>KEY</v>
      </c>
      <c r="O285" t="str">
        <f>UPPER(IF(Master_ventas[[#This Row],[Profit]]&gt;500,"High","Std"))</f>
        <v>STD</v>
      </c>
      <c r="P285">
        <v>284</v>
      </c>
    </row>
    <row r="286" spans="1:16" x14ac:dyDescent="0.3">
      <c r="A286" s="1">
        <v>45597</v>
      </c>
      <c r="B286" t="s">
        <v>10</v>
      </c>
      <c r="C286" t="s">
        <v>11</v>
      </c>
      <c r="D286" t="s">
        <v>15</v>
      </c>
      <c r="E286">
        <v>1</v>
      </c>
      <c r="F286" s="3">
        <v>1058</v>
      </c>
      <c r="G286" s="2">
        <v>207.55</v>
      </c>
      <c r="H286">
        <f>Master_ventas[[#This Row],[Profit]]/Master_ventas[[#This Row],[Sales]]</f>
        <v>0.19617202268431003</v>
      </c>
      <c r="I286">
        <f ca="1">Referencia_Hoy-Master_ventas[[#This Row],[Order Date]]</f>
        <v>726</v>
      </c>
      <c r="J286" t="str">
        <f>UPPER(Master_ventas[[#This Row],[Product Name]])</f>
        <v>MOUSE</v>
      </c>
      <c r="K286" t="str">
        <f>UPPER(Master_ventas[[#This Row],[Category]])</f>
        <v>ACCESSORIES</v>
      </c>
      <c r="L286">
        <f>YEAR(Master_ventas[[#This Row],[Order Date]])</f>
        <v>2024</v>
      </c>
      <c r="M286" t="str">
        <f>CONCATENATE(LEFT(Master_ventas[[#This Row],[ProdUpper]],3),RIGHT(Master_ventas[[#This Row],[Ext-Year]],2),"-",MID(Master_ventas[[#This Row],[Category]],1,1))</f>
        <v>MOU24-A</v>
      </c>
      <c r="N286" t="str">
        <f>MID(Master_ventas[[#This Row],[ProdUpper]],1,3)</f>
        <v>MOU</v>
      </c>
      <c r="O286" t="str">
        <f>UPPER(IF(Master_ventas[[#This Row],[Profit]]&gt;500,"High","Std"))</f>
        <v>STD</v>
      </c>
      <c r="P286">
        <v>285</v>
      </c>
    </row>
    <row r="287" spans="1:16" x14ac:dyDescent="0.3">
      <c r="A287" s="1">
        <v>44687</v>
      </c>
      <c r="B287" t="s">
        <v>22</v>
      </c>
      <c r="C287" t="s">
        <v>11</v>
      </c>
      <c r="D287" t="s">
        <v>15</v>
      </c>
      <c r="E287">
        <v>5</v>
      </c>
      <c r="F287" s="3">
        <v>1455</v>
      </c>
      <c r="G287" s="2">
        <v>423.81</v>
      </c>
      <c r="H287">
        <f>Master_ventas[[#This Row],[Profit]]/Master_ventas[[#This Row],[Sales]]</f>
        <v>0.29127835051546391</v>
      </c>
      <c r="I287">
        <f ca="1">Referencia_Hoy-Master_ventas[[#This Row],[Order Date]]</f>
        <v>1636</v>
      </c>
      <c r="J287" t="str">
        <f>UPPER(Master_ventas[[#This Row],[Product Name]])</f>
        <v>KEYBOARD</v>
      </c>
      <c r="K287" t="str">
        <f>UPPER(Master_ventas[[#This Row],[Category]])</f>
        <v>ACCESSORIES</v>
      </c>
      <c r="L287">
        <f>YEAR(Master_ventas[[#This Row],[Order Date]])</f>
        <v>2022</v>
      </c>
      <c r="M287" t="str">
        <f>CONCATENATE(LEFT(Master_ventas[[#This Row],[ProdUpper]],3),RIGHT(Master_ventas[[#This Row],[Ext-Year]],2),"-",MID(Master_ventas[[#This Row],[Category]],1,1))</f>
        <v>KEY22-A</v>
      </c>
      <c r="N287" t="str">
        <f>MID(Master_ventas[[#This Row],[ProdUpper]],1,3)</f>
        <v>KEY</v>
      </c>
      <c r="O287" t="str">
        <f>UPPER(IF(Master_ventas[[#This Row],[Profit]]&gt;500,"High","Std"))</f>
        <v>STD</v>
      </c>
      <c r="P287">
        <v>286</v>
      </c>
    </row>
    <row r="288" spans="1:16" x14ac:dyDescent="0.3">
      <c r="A288" s="1">
        <v>45056</v>
      </c>
      <c r="B288" t="s">
        <v>17</v>
      </c>
      <c r="C288" t="s">
        <v>14</v>
      </c>
      <c r="D288" t="s">
        <v>12</v>
      </c>
      <c r="E288">
        <v>2</v>
      </c>
      <c r="F288" s="3">
        <v>2224</v>
      </c>
      <c r="G288" s="2">
        <v>364.04</v>
      </c>
      <c r="H288">
        <f>Master_ventas[[#This Row],[Profit]]/Master_ventas[[#This Row],[Sales]]</f>
        <v>0.16368705035971223</v>
      </c>
      <c r="I288">
        <f ca="1">Referencia_Hoy-Master_ventas[[#This Row],[Order Date]]</f>
        <v>1267</v>
      </c>
      <c r="J288" t="str">
        <f>UPPER(Master_ventas[[#This Row],[Product Name]])</f>
        <v>CAMERA</v>
      </c>
      <c r="K288" t="str">
        <f>UPPER(Master_ventas[[#This Row],[Category]])</f>
        <v>ELECTRONICS</v>
      </c>
      <c r="L288">
        <f>YEAR(Master_ventas[[#This Row],[Order Date]])</f>
        <v>2023</v>
      </c>
      <c r="M288" t="str">
        <f>CONCATENATE(LEFT(Master_ventas[[#This Row],[ProdUpper]],3),RIGHT(Master_ventas[[#This Row],[Ext-Year]],2),"-",MID(Master_ventas[[#This Row],[Category]],1,1))</f>
        <v>CAM23-E</v>
      </c>
      <c r="N288" t="str">
        <f>MID(Master_ventas[[#This Row],[ProdUpper]],1,3)</f>
        <v>CAM</v>
      </c>
      <c r="O288" t="str">
        <f>UPPER(IF(Master_ventas[[#This Row],[Profit]]&gt;500,"High","Std"))</f>
        <v>STD</v>
      </c>
      <c r="P288">
        <v>287</v>
      </c>
    </row>
    <row r="289" spans="1:16" x14ac:dyDescent="0.3">
      <c r="A289" s="1">
        <v>44869</v>
      </c>
      <c r="B289" t="s">
        <v>21</v>
      </c>
      <c r="C289" t="s">
        <v>14</v>
      </c>
      <c r="D289" t="s">
        <v>16</v>
      </c>
      <c r="E289">
        <v>7</v>
      </c>
      <c r="F289" s="3">
        <v>1400</v>
      </c>
      <c r="G289" s="2">
        <v>80.489999999999995</v>
      </c>
      <c r="H289">
        <f>Master_ventas[[#This Row],[Profit]]/Master_ventas[[#This Row],[Sales]]</f>
        <v>5.7492857142857137E-2</v>
      </c>
      <c r="I289">
        <f ca="1">Referencia_Hoy-Master_ventas[[#This Row],[Order Date]]</f>
        <v>1454</v>
      </c>
      <c r="J289" t="str">
        <f>UPPER(Master_ventas[[#This Row],[Product Name]])</f>
        <v>SMARTPHONE</v>
      </c>
      <c r="K289" t="str">
        <f>UPPER(Master_ventas[[#This Row],[Category]])</f>
        <v>ELECTRONICS</v>
      </c>
      <c r="L289">
        <f>YEAR(Master_ventas[[#This Row],[Order Date]])</f>
        <v>2022</v>
      </c>
      <c r="M289" t="str">
        <f>CONCATENATE(LEFT(Master_ventas[[#This Row],[ProdUpper]],3),RIGHT(Master_ventas[[#This Row],[Ext-Year]],2),"-",MID(Master_ventas[[#This Row],[Category]],1,1))</f>
        <v>SMA22-E</v>
      </c>
      <c r="N289" t="str">
        <f>MID(Master_ventas[[#This Row],[ProdUpper]],1,3)</f>
        <v>SMA</v>
      </c>
      <c r="O289" t="str">
        <f>UPPER(IF(Master_ventas[[#This Row],[Profit]]&gt;500,"High","Std"))</f>
        <v>STD</v>
      </c>
      <c r="P289">
        <v>288</v>
      </c>
    </row>
    <row r="290" spans="1:16" x14ac:dyDescent="0.3">
      <c r="A290" s="1">
        <v>44690</v>
      </c>
      <c r="B290" t="s">
        <v>21</v>
      </c>
      <c r="C290" t="s">
        <v>14</v>
      </c>
      <c r="D290" t="s">
        <v>12</v>
      </c>
      <c r="E290">
        <v>7</v>
      </c>
      <c r="F290" s="3">
        <v>7567</v>
      </c>
      <c r="G290" s="2">
        <v>2213.1799999999998</v>
      </c>
      <c r="H290">
        <f>Master_ventas[[#This Row],[Profit]]/Master_ventas[[#This Row],[Sales]]</f>
        <v>0.29247786441125939</v>
      </c>
      <c r="I290">
        <f ca="1">Referencia_Hoy-Master_ventas[[#This Row],[Order Date]]</f>
        <v>1633</v>
      </c>
      <c r="J290" t="str">
        <f>UPPER(Master_ventas[[#This Row],[Product Name]])</f>
        <v>SMARTPHONE</v>
      </c>
      <c r="K290" t="str">
        <f>UPPER(Master_ventas[[#This Row],[Category]])</f>
        <v>ELECTRONICS</v>
      </c>
      <c r="L290">
        <f>YEAR(Master_ventas[[#This Row],[Order Date]])</f>
        <v>2022</v>
      </c>
      <c r="M290" t="str">
        <f>CONCATENATE(LEFT(Master_ventas[[#This Row],[ProdUpper]],3),RIGHT(Master_ventas[[#This Row],[Ext-Year]],2),"-",MID(Master_ventas[[#This Row],[Category]],1,1))</f>
        <v>SMA22-E</v>
      </c>
      <c r="N290" t="str">
        <f>MID(Master_ventas[[#This Row],[ProdUpper]],1,3)</f>
        <v>SMA</v>
      </c>
      <c r="O290" t="str">
        <f>UPPER(IF(Master_ventas[[#This Row],[Profit]]&gt;500,"High","Std"))</f>
        <v>HIGH</v>
      </c>
      <c r="P290">
        <v>289</v>
      </c>
    </row>
    <row r="291" spans="1:16" x14ac:dyDescent="0.3">
      <c r="A291" s="1">
        <v>44872</v>
      </c>
      <c r="B291" t="s">
        <v>13</v>
      </c>
      <c r="C291" t="s">
        <v>14</v>
      </c>
      <c r="D291" t="s">
        <v>12</v>
      </c>
      <c r="E291">
        <v>6</v>
      </c>
      <c r="F291" s="3">
        <v>3396</v>
      </c>
      <c r="G291" s="2">
        <v>987.68</v>
      </c>
      <c r="H291">
        <f>Master_ventas[[#This Row],[Profit]]/Master_ventas[[#This Row],[Sales]]</f>
        <v>0.29083627797408712</v>
      </c>
      <c r="I291">
        <f ca="1">Referencia_Hoy-Master_ventas[[#This Row],[Order Date]]</f>
        <v>1451</v>
      </c>
      <c r="J291" t="str">
        <f>UPPER(Master_ventas[[#This Row],[Product Name]])</f>
        <v>TABLET</v>
      </c>
      <c r="K291" t="str">
        <f>UPPER(Master_ventas[[#This Row],[Category]])</f>
        <v>ELECTRONICS</v>
      </c>
      <c r="L291">
        <f>YEAR(Master_ventas[[#This Row],[Order Date]])</f>
        <v>2022</v>
      </c>
      <c r="M291" t="str">
        <f>CONCATENATE(LEFT(Master_ventas[[#This Row],[ProdUpper]],3),RIGHT(Master_ventas[[#This Row],[Ext-Year]],2),"-",MID(Master_ventas[[#This Row],[Category]],1,1))</f>
        <v>TAB22-E</v>
      </c>
      <c r="N291" t="str">
        <f>MID(Master_ventas[[#This Row],[ProdUpper]],1,3)</f>
        <v>TAB</v>
      </c>
      <c r="O291" t="str">
        <f>UPPER(IF(Master_ventas[[#This Row],[Profit]]&gt;500,"High","Std"))</f>
        <v>HIGH</v>
      </c>
      <c r="P291">
        <v>290</v>
      </c>
    </row>
    <row r="292" spans="1:16" x14ac:dyDescent="0.3">
      <c r="A292" s="1">
        <v>45149</v>
      </c>
      <c r="B292" t="s">
        <v>19</v>
      </c>
      <c r="C292" t="s">
        <v>14</v>
      </c>
      <c r="D292" t="s">
        <v>12</v>
      </c>
      <c r="E292">
        <v>2</v>
      </c>
      <c r="F292" s="3">
        <v>704</v>
      </c>
      <c r="G292" s="2">
        <v>135.63</v>
      </c>
      <c r="H292">
        <f>Master_ventas[[#This Row],[Profit]]/Master_ventas[[#This Row],[Sales]]</f>
        <v>0.19265625</v>
      </c>
      <c r="I292">
        <f ca="1">Referencia_Hoy-Master_ventas[[#This Row],[Order Date]]</f>
        <v>1174</v>
      </c>
      <c r="J292" t="str">
        <f>UPPER(Master_ventas[[#This Row],[Product Name]])</f>
        <v>SMARTWATCH</v>
      </c>
      <c r="K292" t="str">
        <f>UPPER(Master_ventas[[#This Row],[Category]])</f>
        <v>ELECTRONICS</v>
      </c>
      <c r="L292">
        <f>YEAR(Master_ventas[[#This Row],[Order Date]])</f>
        <v>2023</v>
      </c>
      <c r="M292" t="str">
        <f>CONCATENATE(LEFT(Master_ventas[[#This Row],[ProdUpper]],3),RIGHT(Master_ventas[[#This Row],[Ext-Year]],2),"-",MID(Master_ventas[[#This Row],[Category]],1,1))</f>
        <v>SMA23-E</v>
      </c>
      <c r="N292" t="str">
        <f>MID(Master_ventas[[#This Row],[ProdUpper]],1,3)</f>
        <v>SMA</v>
      </c>
      <c r="O292" t="str">
        <f>UPPER(IF(Master_ventas[[#This Row],[Profit]]&gt;500,"High","Std"))</f>
        <v>STD</v>
      </c>
      <c r="P292">
        <v>291</v>
      </c>
    </row>
    <row r="293" spans="1:16" x14ac:dyDescent="0.3">
      <c r="A293" s="1">
        <v>45586</v>
      </c>
      <c r="B293" t="s">
        <v>13</v>
      </c>
      <c r="C293" t="s">
        <v>14</v>
      </c>
      <c r="D293" t="s">
        <v>12</v>
      </c>
      <c r="E293">
        <v>9</v>
      </c>
      <c r="F293" s="3">
        <v>7767</v>
      </c>
      <c r="G293" s="2">
        <v>2172.19</v>
      </c>
      <c r="H293">
        <f>Master_ventas[[#This Row],[Profit]]/Master_ventas[[#This Row],[Sales]]</f>
        <v>0.27966911291360885</v>
      </c>
      <c r="I293">
        <f ca="1">Referencia_Hoy-Master_ventas[[#This Row],[Order Date]]</f>
        <v>737</v>
      </c>
      <c r="J293" t="str">
        <f>UPPER(Master_ventas[[#This Row],[Product Name]])</f>
        <v>TABLET</v>
      </c>
      <c r="K293" t="str">
        <f>UPPER(Master_ventas[[#This Row],[Category]])</f>
        <v>ELECTRONICS</v>
      </c>
      <c r="L293">
        <f>YEAR(Master_ventas[[#This Row],[Order Date]])</f>
        <v>2024</v>
      </c>
      <c r="M293" t="str">
        <f>CONCATENATE(LEFT(Master_ventas[[#This Row],[ProdUpper]],3),RIGHT(Master_ventas[[#This Row],[Ext-Year]],2),"-",MID(Master_ventas[[#This Row],[Category]],1,1))</f>
        <v>TAB24-E</v>
      </c>
      <c r="N293" t="str">
        <f>MID(Master_ventas[[#This Row],[ProdUpper]],1,3)</f>
        <v>TAB</v>
      </c>
      <c r="O293" t="str">
        <f>UPPER(IF(Master_ventas[[#This Row],[Profit]]&gt;500,"High","Std"))</f>
        <v>HIGH</v>
      </c>
      <c r="P293">
        <v>292</v>
      </c>
    </row>
    <row r="294" spans="1:16" x14ac:dyDescent="0.3">
      <c r="A294" s="1">
        <v>45571</v>
      </c>
      <c r="B294" t="s">
        <v>10</v>
      </c>
      <c r="C294" t="s">
        <v>11</v>
      </c>
      <c r="D294" t="s">
        <v>16</v>
      </c>
      <c r="E294">
        <v>5</v>
      </c>
      <c r="F294" s="3">
        <v>2050</v>
      </c>
      <c r="G294" s="2">
        <v>157.13</v>
      </c>
      <c r="H294">
        <f>Master_ventas[[#This Row],[Profit]]/Master_ventas[[#This Row],[Sales]]</f>
        <v>7.664878048780488E-2</v>
      </c>
      <c r="I294">
        <f ca="1">Referencia_Hoy-Master_ventas[[#This Row],[Order Date]]</f>
        <v>752</v>
      </c>
      <c r="J294" t="str">
        <f>UPPER(Master_ventas[[#This Row],[Product Name]])</f>
        <v>MOUSE</v>
      </c>
      <c r="K294" t="str">
        <f>UPPER(Master_ventas[[#This Row],[Category]])</f>
        <v>ACCESSORIES</v>
      </c>
      <c r="L294">
        <f>YEAR(Master_ventas[[#This Row],[Order Date]])</f>
        <v>2024</v>
      </c>
      <c r="M294" t="str">
        <f>CONCATENATE(LEFT(Master_ventas[[#This Row],[ProdUpper]],3),RIGHT(Master_ventas[[#This Row],[Ext-Year]],2),"-",MID(Master_ventas[[#This Row],[Category]],1,1))</f>
        <v>MOU24-A</v>
      </c>
      <c r="N294" t="str">
        <f>MID(Master_ventas[[#This Row],[ProdUpper]],1,3)</f>
        <v>MOU</v>
      </c>
      <c r="O294" t="str">
        <f>UPPER(IF(Master_ventas[[#This Row],[Profit]]&gt;500,"High","Std"))</f>
        <v>STD</v>
      </c>
      <c r="P294">
        <v>293</v>
      </c>
    </row>
    <row r="295" spans="1:16" x14ac:dyDescent="0.3">
      <c r="A295" s="1">
        <v>45146</v>
      </c>
      <c r="B295" t="s">
        <v>20</v>
      </c>
      <c r="C295" t="s">
        <v>11</v>
      </c>
      <c r="D295" t="s">
        <v>9</v>
      </c>
      <c r="E295">
        <v>9</v>
      </c>
      <c r="F295" s="3">
        <v>10458</v>
      </c>
      <c r="G295" s="2">
        <v>2799.48</v>
      </c>
      <c r="H295">
        <f>Master_ventas[[#This Row],[Profit]]/Master_ventas[[#This Row],[Sales]]</f>
        <v>0.26768789443488239</v>
      </c>
      <c r="I295">
        <f ca="1">Referencia_Hoy-Master_ventas[[#This Row],[Order Date]]</f>
        <v>1177</v>
      </c>
      <c r="J295" t="str">
        <f>UPPER(Master_ventas[[#This Row],[Product Name]])</f>
        <v>MONITOR</v>
      </c>
      <c r="K295" t="str">
        <f>UPPER(Master_ventas[[#This Row],[Category]])</f>
        <v>ACCESSORIES</v>
      </c>
      <c r="L295">
        <f>YEAR(Master_ventas[[#This Row],[Order Date]])</f>
        <v>2023</v>
      </c>
      <c r="M295" t="str">
        <f>CONCATENATE(LEFT(Master_ventas[[#This Row],[ProdUpper]],3),RIGHT(Master_ventas[[#This Row],[Ext-Year]],2),"-",MID(Master_ventas[[#This Row],[Category]],1,1))</f>
        <v>MON23-A</v>
      </c>
      <c r="N295" t="str">
        <f>MID(Master_ventas[[#This Row],[ProdUpper]],1,3)</f>
        <v>MON</v>
      </c>
      <c r="O295" t="str">
        <f>UPPER(IF(Master_ventas[[#This Row],[Profit]]&gt;500,"High","Std"))</f>
        <v>HIGH</v>
      </c>
      <c r="P295">
        <v>294</v>
      </c>
    </row>
    <row r="296" spans="1:16" x14ac:dyDescent="0.3">
      <c r="A296" s="1">
        <v>44580</v>
      </c>
      <c r="B296" t="s">
        <v>17</v>
      </c>
      <c r="C296" t="s">
        <v>14</v>
      </c>
      <c r="D296" t="s">
        <v>15</v>
      </c>
      <c r="E296">
        <v>4</v>
      </c>
      <c r="F296" s="3">
        <v>4700</v>
      </c>
      <c r="G296" s="2">
        <v>619.26</v>
      </c>
      <c r="H296">
        <f>Master_ventas[[#This Row],[Profit]]/Master_ventas[[#This Row],[Sales]]</f>
        <v>0.13175744680851065</v>
      </c>
      <c r="I296">
        <f ca="1">Referencia_Hoy-Master_ventas[[#This Row],[Order Date]]</f>
        <v>1743</v>
      </c>
      <c r="J296" t="str">
        <f>UPPER(Master_ventas[[#This Row],[Product Name]])</f>
        <v>CAMERA</v>
      </c>
      <c r="K296" t="str">
        <f>UPPER(Master_ventas[[#This Row],[Category]])</f>
        <v>ELECTRONICS</v>
      </c>
      <c r="L296">
        <f>YEAR(Master_ventas[[#This Row],[Order Date]])</f>
        <v>2022</v>
      </c>
      <c r="M296" t="str">
        <f>CONCATENATE(LEFT(Master_ventas[[#This Row],[ProdUpper]],3),RIGHT(Master_ventas[[#This Row],[Ext-Year]],2),"-",MID(Master_ventas[[#This Row],[Category]],1,1))</f>
        <v>CAM22-E</v>
      </c>
      <c r="N296" t="str">
        <f>MID(Master_ventas[[#This Row],[ProdUpper]],1,3)</f>
        <v>CAM</v>
      </c>
      <c r="O296" t="str">
        <f>UPPER(IF(Master_ventas[[#This Row],[Profit]]&gt;500,"High","Std"))</f>
        <v>HIGH</v>
      </c>
      <c r="P296">
        <v>295</v>
      </c>
    </row>
    <row r="297" spans="1:16" x14ac:dyDescent="0.3">
      <c r="A297" s="1">
        <v>45412</v>
      </c>
      <c r="B297" t="s">
        <v>21</v>
      </c>
      <c r="C297" t="s">
        <v>14</v>
      </c>
      <c r="D297" t="s">
        <v>9</v>
      </c>
      <c r="E297">
        <v>2</v>
      </c>
      <c r="F297" s="3">
        <v>892</v>
      </c>
      <c r="G297" s="2">
        <v>222.51</v>
      </c>
      <c r="H297">
        <f>Master_ventas[[#This Row],[Profit]]/Master_ventas[[#This Row],[Sales]]</f>
        <v>0.24945067264573989</v>
      </c>
      <c r="I297">
        <f ca="1">Referencia_Hoy-Master_ventas[[#This Row],[Order Date]]</f>
        <v>911</v>
      </c>
      <c r="J297" t="str">
        <f>UPPER(Master_ventas[[#This Row],[Product Name]])</f>
        <v>SMARTPHONE</v>
      </c>
      <c r="K297" t="str">
        <f>UPPER(Master_ventas[[#This Row],[Category]])</f>
        <v>ELECTRONICS</v>
      </c>
      <c r="L297">
        <f>YEAR(Master_ventas[[#This Row],[Order Date]])</f>
        <v>2024</v>
      </c>
      <c r="M297" t="str">
        <f>CONCATENATE(LEFT(Master_ventas[[#This Row],[ProdUpper]],3),RIGHT(Master_ventas[[#This Row],[Ext-Year]],2),"-",MID(Master_ventas[[#This Row],[Category]],1,1))</f>
        <v>SMA24-E</v>
      </c>
      <c r="N297" t="str">
        <f>MID(Master_ventas[[#This Row],[ProdUpper]],1,3)</f>
        <v>SMA</v>
      </c>
      <c r="O297" t="str">
        <f>UPPER(IF(Master_ventas[[#This Row],[Profit]]&gt;500,"High","Std"))</f>
        <v>STD</v>
      </c>
      <c r="P297">
        <v>296</v>
      </c>
    </row>
    <row r="298" spans="1:16" x14ac:dyDescent="0.3">
      <c r="A298" s="1">
        <v>45286</v>
      </c>
      <c r="B298" t="s">
        <v>23</v>
      </c>
      <c r="C298" t="s">
        <v>14</v>
      </c>
      <c r="D298" t="s">
        <v>12</v>
      </c>
      <c r="E298">
        <v>8</v>
      </c>
      <c r="F298" s="3">
        <v>6968</v>
      </c>
      <c r="G298" s="2">
        <v>1479.09</v>
      </c>
      <c r="H298">
        <f>Master_ventas[[#This Row],[Profit]]/Master_ventas[[#This Row],[Sales]]</f>
        <v>0.21226894374282432</v>
      </c>
      <c r="I298">
        <f ca="1">Referencia_Hoy-Master_ventas[[#This Row],[Order Date]]</f>
        <v>1037</v>
      </c>
      <c r="J298" t="str">
        <f>UPPER(Master_ventas[[#This Row],[Product Name]])</f>
        <v>LAPTOP</v>
      </c>
      <c r="K298" t="str">
        <f>UPPER(Master_ventas[[#This Row],[Category]])</f>
        <v>ELECTRONICS</v>
      </c>
      <c r="L298">
        <f>YEAR(Master_ventas[[#This Row],[Order Date]])</f>
        <v>2023</v>
      </c>
      <c r="M298" t="str">
        <f>CONCATENATE(LEFT(Master_ventas[[#This Row],[ProdUpper]],3),RIGHT(Master_ventas[[#This Row],[Ext-Year]],2),"-",MID(Master_ventas[[#This Row],[Category]],1,1))</f>
        <v>LAP23-E</v>
      </c>
      <c r="N298" t="str">
        <f>MID(Master_ventas[[#This Row],[ProdUpper]],1,3)</f>
        <v>LAP</v>
      </c>
      <c r="O298" t="str">
        <f>UPPER(IF(Master_ventas[[#This Row],[Profit]]&gt;500,"High","Std"))</f>
        <v>HIGH</v>
      </c>
      <c r="P298">
        <v>297</v>
      </c>
    </row>
    <row r="299" spans="1:16" x14ac:dyDescent="0.3">
      <c r="A299" s="1">
        <v>45389</v>
      </c>
      <c r="B299" t="s">
        <v>23</v>
      </c>
      <c r="C299" t="s">
        <v>14</v>
      </c>
      <c r="D299" t="s">
        <v>9</v>
      </c>
      <c r="E299">
        <v>7</v>
      </c>
      <c r="F299" s="3">
        <v>1344</v>
      </c>
      <c r="G299" s="2">
        <v>300.88</v>
      </c>
      <c r="H299">
        <f>Master_ventas[[#This Row],[Profit]]/Master_ventas[[#This Row],[Sales]]</f>
        <v>0.22386904761904761</v>
      </c>
      <c r="I299">
        <f ca="1">Referencia_Hoy-Master_ventas[[#This Row],[Order Date]]</f>
        <v>934</v>
      </c>
      <c r="J299" t="str">
        <f>UPPER(Master_ventas[[#This Row],[Product Name]])</f>
        <v>LAPTOP</v>
      </c>
      <c r="K299" t="str">
        <f>UPPER(Master_ventas[[#This Row],[Category]])</f>
        <v>ELECTRONICS</v>
      </c>
      <c r="L299">
        <f>YEAR(Master_ventas[[#This Row],[Order Date]])</f>
        <v>2024</v>
      </c>
      <c r="M299" t="str">
        <f>CONCATENATE(LEFT(Master_ventas[[#This Row],[ProdUpper]],3),RIGHT(Master_ventas[[#This Row],[Ext-Year]],2),"-",MID(Master_ventas[[#This Row],[Category]],1,1))</f>
        <v>LAP24-E</v>
      </c>
      <c r="N299" t="str">
        <f>MID(Master_ventas[[#This Row],[ProdUpper]],1,3)</f>
        <v>LAP</v>
      </c>
      <c r="O299" t="str">
        <f>UPPER(IF(Master_ventas[[#This Row],[Profit]]&gt;500,"High","Std"))</f>
        <v>STD</v>
      </c>
      <c r="P299">
        <v>298</v>
      </c>
    </row>
    <row r="300" spans="1:16" x14ac:dyDescent="0.3">
      <c r="A300" s="1">
        <v>44852</v>
      </c>
      <c r="B300" t="s">
        <v>17</v>
      </c>
      <c r="C300" t="s">
        <v>14</v>
      </c>
      <c r="D300" t="s">
        <v>16</v>
      </c>
      <c r="E300">
        <v>1</v>
      </c>
      <c r="F300" s="3">
        <v>354</v>
      </c>
      <c r="G300" s="2">
        <v>65.989999999999995</v>
      </c>
      <c r="H300">
        <f>Master_ventas[[#This Row],[Profit]]/Master_ventas[[#This Row],[Sales]]</f>
        <v>0.18641242937853106</v>
      </c>
      <c r="I300">
        <f ca="1">Referencia_Hoy-Master_ventas[[#This Row],[Order Date]]</f>
        <v>1471</v>
      </c>
      <c r="J300" t="str">
        <f>UPPER(Master_ventas[[#This Row],[Product Name]])</f>
        <v>CAMERA</v>
      </c>
      <c r="K300" t="str">
        <f>UPPER(Master_ventas[[#This Row],[Category]])</f>
        <v>ELECTRONICS</v>
      </c>
      <c r="L300">
        <f>YEAR(Master_ventas[[#This Row],[Order Date]])</f>
        <v>2022</v>
      </c>
      <c r="M300" t="str">
        <f>CONCATENATE(LEFT(Master_ventas[[#This Row],[ProdUpper]],3),RIGHT(Master_ventas[[#This Row],[Ext-Year]],2),"-",MID(Master_ventas[[#This Row],[Category]],1,1))</f>
        <v>CAM22-E</v>
      </c>
      <c r="N300" t="str">
        <f>MID(Master_ventas[[#This Row],[ProdUpper]],1,3)</f>
        <v>CAM</v>
      </c>
      <c r="O300" t="str">
        <f>UPPER(IF(Master_ventas[[#This Row],[Profit]]&gt;500,"High","Std"))</f>
        <v>STD</v>
      </c>
      <c r="P300">
        <v>299</v>
      </c>
    </row>
    <row r="301" spans="1:16" x14ac:dyDescent="0.3">
      <c r="A301" s="1">
        <v>45403</v>
      </c>
      <c r="B301" t="s">
        <v>20</v>
      </c>
      <c r="C301" t="s">
        <v>11</v>
      </c>
      <c r="D301" t="s">
        <v>15</v>
      </c>
      <c r="E301">
        <v>3</v>
      </c>
      <c r="F301" s="3">
        <v>3051</v>
      </c>
      <c r="G301" s="2">
        <v>662.23</v>
      </c>
      <c r="H301">
        <f>Master_ventas[[#This Row],[Profit]]/Master_ventas[[#This Row],[Sales]]</f>
        <v>0.21705342510652245</v>
      </c>
      <c r="I301">
        <f ca="1">Referencia_Hoy-Master_ventas[[#This Row],[Order Date]]</f>
        <v>920</v>
      </c>
      <c r="J301" t="str">
        <f>UPPER(Master_ventas[[#This Row],[Product Name]])</f>
        <v>MONITOR</v>
      </c>
      <c r="K301" t="str">
        <f>UPPER(Master_ventas[[#This Row],[Category]])</f>
        <v>ACCESSORIES</v>
      </c>
      <c r="L301">
        <f>YEAR(Master_ventas[[#This Row],[Order Date]])</f>
        <v>2024</v>
      </c>
      <c r="M301" t="str">
        <f>CONCATENATE(LEFT(Master_ventas[[#This Row],[ProdUpper]],3),RIGHT(Master_ventas[[#This Row],[Ext-Year]],2),"-",MID(Master_ventas[[#This Row],[Category]],1,1))</f>
        <v>MON24-A</v>
      </c>
      <c r="N301" t="str">
        <f>MID(Master_ventas[[#This Row],[ProdUpper]],1,3)</f>
        <v>MON</v>
      </c>
      <c r="O301" t="str">
        <f>UPPER(IF(Master_ventas[[#This Row],[Profit]]&gt;500,"High","Std"))</f>
        <v>HIGH</v>
      </c>
      <c r="P301">
        <v>300</v>
      </c>
    </row>
    <row r="302" spans="1:16" x14ac:dyDescent="0.3">
      <c r="A302" s="1">
        <v>45377</v>
      </c>
      <c r="B302" t="s">
        <v>17</v>
      </c>
      <c r="C302" t="s">
        <v>14</v>
      </c>
      <c r="D302" t="s">
        <v>15</v>
      </c>
      <c r="E302">
        <v>3</v>
      </c>
      <c r="F302" s="3">
        <v>402</v>
      </c>
      <c r="G302" s="2">
        <v>106.87</v>
      </c>
      <c r="H302">
        <f>Master_ventas[[#This Row],[Profit]]/Master_ventas[[#This Row],[Sales]]</f>
        <v>0.2658457711442786</v>
      </c>
      <c r="I302">
        <f ca="1">Referencia_Hoy-Master_ventas[[#This Row],[Order Date]]</f>
        <v>946</v>
      </c>
      <c r="J302" t="str">
        <f>UPPER(Master_ventas[[#This Row],[Product Name]])</f>
        <v>CAMERA</v>
      </c>
      <c r="K302" t="str">
        <f>UPPER(Master_ventas[[#This Row],[Category]])</f>
        <v>ELECTRONICS</v>
      </c>
      <c r="L302">
        <f>YEAR(Master_ventas[[#This Row],[Order Date]])</f>
        <v>2024</v>
      </c>
      <c r="M302" t="str">
        <f>CONCATENATE(LEFT(Master_ventas[[#This Row],[ProdUpper]],3),RIGHT(Master_ventas[[#This Row],[Ext-Year]],2),"-",MID(Master_ventas[[#This Row],[Category]],1,1))</f>
        <v>CAM24-E</v>
      </c>
      <c r="N302" t="str">
        <f>MID(Master_ventas[[#This Row],[ProdUpper]],1,3)</f>
        <v>CAM</v>
      </c>
      <c r="O302" t="str">
        <f>UPPER(IF(Master_ventas[[#This Row],[Profit]]&gt;500,"High","Std"))</f>
        <v>STD</v>
      </c>
      <c r="P302">
        <v>301</v>
      </c>
    </row>
    <row r="303" spans="1:16" x14ac:dyDescent="0.3">
      <c r="A303" s="1">
        <v>44865</v>
      </c>
      <c r="B303" t="s">
        <v>20</v>
      </c>
      <c r="C303" t="s">
        <v>11</v>
      </c>
      <c r="D303" t="s">
        <v>9</v>
      </c>
      <c r="E303">
        <v>5</v>
      </c>
      <c r="F303" s="3">
        <v>3570</v>
      </c>
      <c r="G303" s="2">
        <v>517.82000000000005</v>
      </c>
      <c r="H303">
        <f>Master_ventas[[#This Row],[Profit]]/Master_ventas[[#This Row],[Sales]]</f>
        <v>0.14504761904761906</v>
      </c>
      <c r="I303">
        <f ca="1">Referencia_Hoy-Master_ventas[[#This Row],[Order Date]]</f>
        <v>1458</v>
      </c>
      <c r="J303" t="str">
        <f>UPPER(Master_ventas[[#This Row],[Product Name]])</f>
        <v>MONITOR</v>
      </c>
      <c r="K303" t="str">
        <f>UPPER(Master_ventas[[#This Row],[Category]])</f>
        <v>ACCESSORIES</v>
      </c>
      <c r="L303">
        <f>YEAR(Master_ventas[[#This Row],[Order Date]])</f>
        <v>2022</v>
      </c>
      <c r="M303" t="str">
        <f>CONCATENATE(LEFT(Master_ventas[[#This Row],[ProdUpper]],3),RIGHT(Master_ventas[[#This Row],[Ext-Year]],2),"-",MID(Master_ventas[[#This Row],[Category]],1,1))</f>
        <v>MON22-A</v>
      </c>
      <c r="N303" t="str">
        <f>MID(Master_ventas[[#This Row],[ProdUpper]],1,3)</f>
        <v>MON</v>
      </c>
      <c r="O303" t="str">
        <f>UPPER(IF(Master_ventas[[#This Row],[Profit]]&gt;500,"High","Std"))</f>
        <v>HIGH</v>
      </c>
      <c r="P303">
        <v>302</v>
      </c>
    </row>
    <row r="304" spans="1:16" x14ac:dyDescent="0.3">
      <c r="A304" s="1">
        <v>44988</v>
      </c>
      <c r="B304" t="s">
        <v>22</v>
      </c>
      <c r="C304" t="s">
        <v>11</v>
      </c>
      <c r="D304" t="s">
        <v>9</v>
      </c>
      <c r="E304">
        <v>7</v>
      </c>
      <c r="F304" s="3">
        <v>3829</v>
      </c>
      <c r="G304" s="2">
        <v>876.35</v>
      </c>
      <c r="H304">
        <f>Master_ventas[[#This Row],[Profit]]/Master_ventas[[#This Row],[Sales]]</f>
        <v>0.22887176808566206</v>
      </c>
      <c r="I304">
        <f ca="1">Referencia_Hoy-Master_ventas[[#This Row],[Order Date]]</f>
        <v>1335</v>
      </c>
      <c r="J304" t="str">
        <f>UPPER(Master_ventas[[#This Row],[Product Name]])</f>
        <v>KEYBOARD</v>
      </c>
      <c r="K304" t="str">
        <f>UPPER(Master_ventas[[#This Row],[Category]])</f>
        <v>ACCESSORIES</v>
      </c>
      <c r="L304">
        <f>YEAR(Master_ventas[[#This Row],[Order Date]])</f>
        <v>2023</v>
      </c>
      <c r="M304" t="str">
        <f>CONCATENATE(LEFT(Master_ventas[[#This Row],[ProdUpper]],3),RIGHT(Master_ventas[[#This Row],[Ext-Year]],2),"-",MID(Master_ventas[[#This Row],[Category]],1,1))</f>
        <v>KEY23-A</v>
      </c>
      <c r="N304" t="str">
        <f>MID(Master_ventas[[#This Row],[ProdUpper]],1,3)</f>
        <v>KEY</v>
      </c>
      <c r="O304" t="str">
        <f>UPPER(IF(Master_ventas[[#This Row],[Profit]]&gt;500,"High","Std"))</f>
        <v>HIGH</v>
      </c>
      <c r="P304">
        <v>303</v>
      </c>
    </row>
    <row r="305" spans="1:16" x14ac:dyDescent="0.3">
      <c r="A305" s="1">
        <v>44960</v>
      </c>
      <c r="B305" t="s">
        <v>10</v>
      </c>
      <c r="C305" t="s">
        <v>11</v>
      </c>
      <c r="D305" t="s">
        <v>9</v>
      </c>
      <c r="E305">
        <v>7</v>
      </c>
      <c r="F305" s="3">
        <v>4676</v>
      </c>
      <c r="G305" s="2">
        <v>242.64</v>
      </c>
      <c r="H305">
        <f>Master_ventas[[#This Row],[Profit]]/Master_ventas[[#This Row],[Sales]]</f>
        <v>5.189050470487596E-2</v>
      </c>
      <c r="I305">
        <f ca="1">Referencia_Hoy-Master_ventas[[#This Row],[Order Date]]</f>
        <v>1363</v>
      </c>
      <c r="J305" t="str">
        <f>UPPER(Master_ventas[[#This Row],[Product Name]])</f>
        <v>MOUSE</v>
      </c>
      <c r="K305" t="str">
        <f>UPPER(Master_ventas[[#This Row],[Category]])</f>
        <v>ACCESSORIES</v>
      </c>
      <c r="L305">
        <f>YEAR(Master_ventas[[#This Row],[Order Date]])</f>
        <v>2023</v>
      </c>
      <c r="M305" t="str">
        <f>CONCATENATE(LEFT(Master_ventas[[#This Row],[ProdUpper]],3),RIGHT(Master_ventas[[#This Row],[Ext-Year]],2),"-",MID(Master_ventas[[#This Row],[Category]],1,1))</f>
        <v>MOU23-A</v>
      </c>
      <c r="N305" t="str">
        <f>MID(Master_ventas[[#This Row],[ProdUpper]],1,3)</f>
        <v>MOU</v>
      </c>
      <c r="O305" t="str">
        <f>UPPER(IF(Master_ventas[[#This Row],[Profit]]&gt;500,"High","Std"))</f>
        <v>STD</v>
      </c>
      <c r="P305">
        <v>304</v>
      </c>
    </row>
    <row r="306" spans="1:16" x14ac:dyDescent="0.3">
      <c r="A306" s="1">
        <v>45031</v>
      </c>
      <c r="B306" t="s">
        <v>22</v>
      </c>
      <c r="C306" t="s">
        <v>11</v>
      </c>
      <c r="D306" t="s">
        <v>12</v>
      </c>
      <c r="E306">
        <v>3</v>
      </c>
      <c r="F306" s="3">
        <v>1119</v>
      </c>
      <c r="G306" s="2">
        <v>317.36</v>
      </c>
      <c r="H306">
        <f>Master_ventas[[#This Row],[Profit]]/Master_ventas[[#This Row],[Sales]]</f>
        <v>0.28361036639857018</v>
      </c>
      <c r="I306">
        <f ca="1">Referencia_Hoy-Master_ventas[[#This Row],[Order Date]]</f>
        <v>1292</v>
      </c>
      <c r="J306" t="str">
        <f>UPPER(Master_ventas[[#This Row],[Product Name]])</f>
        <v>KEYBOARD</v>
      </c>
      <c r="K306" t="str">
        <f>UPPER(Master_ventas[[#This Row],[Category]])</f>
        <v>ACCESSORIES</v>
      </c>
      <c r="L306">
        <f>YEAR(Master_ventas[[#This Row],[Order Date]])</f>
        <v>2023</v>
      </c>
      <c r="M306" t="str">
        <f>CONCATENATE(LEFT(Master_ventas[[#This Row],[ProdUpper]],3),RIGHT(Master_ventas[[#This Row],[Ext-Year]],2),"-",MID(Master_ventas[[#This Row],[Category]],1,1))</f>
        <v>KEY23-A</v>
      </c>
      <c r="N306" t="str">
        <f>MID(Master_ventas[[#This Row],[ProdUpper]],1,3)</f>
        <v>KEY</v>
      </c>
      <c r="O306" t="str">
        <f>UPPER(IF(Master_ventas[[#This Row],[Profit]]&gt;500,"High","Std"))</f>
        <v>STD</v>
      </c>
      <c r="P306">
        <v>305</v>
      </c>
    </row>
    <row r="307" spans="1:16" x14ac:dyDescent="0.3">
      <c r="A307" s="1">
        <v>45055</v>
      </c>
      <c r="B307" t="s">
        <v>21</v>
      </c>
      <c r="C307" t="s">
        <v>14</v>
      </c>
      <c r="D307" t="s">
        <v>12</v>
      </c>
      <c r="E307">
        <v>4</v>
      </c>
      <c r="F307" s="3">
        <v>4228</v>
      </c>
      <c r="G307" s="2">
        <v>764.3</v>
      </c>
      <c r="H307">
        <f>Master_ventas[[#This Row],[Profit]]/Master_ventas[[#This Row],[Sales]]</f>
        <v>0.18077105014191105</v>
      </c>
      <c r="I307">
        <f ca="1">Referencia_Hoy-Master_ventas[[#This Row],[Order Date]]</f>
        <v>1268</v>
      </c>
      <c r="J307" t="str">
        <f>UPPER(Master_ventas[[#This Row],[Product Name]])</f>
        <v>SMARTPHONE</v>
      </c>
      <c r="K307" t="str">
        <f>UPPER(Master_ventas[[#This Row],[Category]])</f>
        <v>ELECTRONICS</v>
      </c>
      <c r="L307">
        <f>YEAR(Master_ventas[[#This Row],[Order Date]])</f>
        <v>2023</v>
      </c>
      <c r="M307" t="str">
        <f>CONCATENATE(LEFT(Master_ventas[[#This Row],[ProdUpper]],3),RIGHT(Master_ventas[[#This Row],[Ext-Year]],2),"-",MID(Master_ventas[[#This Row],[Category]],1,1))</f>
        <v>SMA23-E</v>
      </c>
      <c r="N307" t="str">
        <f>MID(Master_ventas[[#This Row],[ProdUpper]],1,3)</f>
        <v>SMA</v>
      </c>
      <c r="O307" t="str">
        <f>UPPER(IF(Master_ventas[[#This Row],[Profit]]&gt;500,"High","Std"))</f>
        <v>HIGH</v>
      </c>
      <c r="P307">
        <v>306</v>
      </c>
    </row>
    <row r="308" spans="1:16" x14ac:dyDescent="0.3">
      <c r="A308" s="1">
        <v>44563</v>
      </c>
      <c r="B308" t="s">
        <v>18</v>
      </c>
      <c r="C308" t="s">
        <v>11</v>
      </c>
      <c r="D308" t="s">
        <v>9</v>
      </c>
      <c r="E308">
        <v>8</v>
      </c>
      <c r="F308" s="3">
        <v>1240</v>
      </c>
      <c r="G308" s="2">
        <v>251.2</v>
      </c>
      <c r="H308">
        <f>Master_ventas[[#This Row],[Profit]]/Master_ventas[[#This Row],[Sales]]</f>
        <v>0.20258064516129032</v>
      </c>
      <c r="I308">
        <f ca="1">Referencia_Hoy-Master_ventas[[#This Row],[Order Date]]</f>
        <v>1760</v>
      </c>
      <c r="J308" t="str">
        <f>UPPER(Master_ventas[[#This Row],[Product Name]])</f>
        <v>HEADPHONES</v>
      </c>
      <c r="K308" t="str">
        <f>UPPER(Master_ventas[[#This Row],[Category]])</f>
        <v>ACCESSORIES</v>
      </c>
      <c r="L308">
        <f>YEAR(Master_ventas[[#This Row],[Order Date]])</f>
        <v>2022</v>
      </c>
      <c r="M308" t="str">
        <f>CONCATENATE(LEFT(Master_ventas[[#This Row],[ProdUpper]],3),RIGHT(Master_ventas[[#This Row],[Ext-Year]],2),"-",MID(Master_ventas[[#This Row],[Category]],1,1))</f>
        <v>HEA22-A</v>
      </c>
      <c r="N308" t="str">
        <f>MID(Master_ventas[[#This Row],[ProdUpper]],1,3)</f>
        <v>HEA</v>
      </c>
      <c r="O308" t="str">
        <f>UPPER(IF(Master_ventas[[#This Row],[Profit]]&gt;500,"High","Std"))</f>
        <v>STD</v>
      </c>
      <c r="P308">
        <v>307</v>
      </c>
    </row>
    <row r="309" spans="1:16" x14ac:dyDescent="0.3">
      <c r="A309" s="1">
        <v>45624</v>
      </c>
      <c r="B309" t="s">
        <v>22</v>
      </c>
      <c r="C309" t="s">
        <v>11</v>
      </c>
      <c r="D309" t="s">
        <v>9</v>
      </c>
      <c r="E309">
        <v>9</v>
      </c>
      <c r="F309" s="3">
        <v>3591</v>
      </c>
      <c r="G309" s="2">
        <v>342.18</v>
      </c>
      <c r="H309">
        <f>Master_ventas[[#This Row],[Profit]]/Master_ventas[[#This Row],[Sales]]</f>
        <v>9.528822055137845E-2</v>
      </c>
      <c r="I309">
        <f ca="1">Referencia_Hoy-Master_ventas[[#This Row],[Order Date]]</f>
        <v>699</v>
      </c>
      <c r="J309" t="str">
        <f>UPPER(Master_ventas[[#This Row],[Product Name]])</f>
        <v>KEYBOARD</v>
      </c>
      <c r="K309" t="str">
        <f>UPPER(Master_ventas[[#This Row],[Category]])</f>
        <v>ACCESSORIES</v>
      </c>
      <c r="L309">
        <f>YEAR(Master_ventas[[#This Row],[Order Date]])</f>
        <v>2024</v>
      </c>
      <c r="M309" t="str">
        <f>CONCATENATE(LEFT(Master_ventas[[#This Row],[ProdUpper]],3),RIGHT(Master_ventas[[#This Row],[Ext-Year]],2),"-",MID(Master_ventas[[#This Row],[Category]],1,1))</f>
        <v>KEY24-A</v>
      </c>
      <c r="N309" t="str">
        <f>MID(Master_ventas[[#This Row],[ProdUpper]],1,3)</f>
        <v>KEY</v>
      </c>
      <c r="O309" t="str">
        <f>UPPER(IF(Master_ventas[[#This Row],[Profit]]&gt;500,"High","Std"))</f>
        <v>STD</v>
      </c>
      <c r="P309">
        <v>308</v>
      </c>
    </row>
    <row r="310" spans="1:16" x14ac:dyDescent="0.3">
      <c r="A310" s="1">
        <v>44597</v>
      </c>
      <c r="B310" t="s">
        <v>7</v>
      </c>
      <c r="C310" t="s">
        <v>8</v>
      </c>
      <c r="D310" t="s">
        <v>16</v>
      </c>
      <c r="E310">
        <v>8</v>
      </c>
      <c r="F310" s="3">
        <v>3952</v>
      </c>
      <c r="G310" s="2">
        <v>451.08</v>
      </c>
      <c r="H310">
        <f>Master_ventas[[#This Row],[Profit]]/Master_ventas[[#This Row],[Sales]]</f>
        <v>0.11413967611336032</v>
      </c>
      <c r="I310">
        <f ca="1">Referencia_Hoy-Master_ventas[[#This Row],[Order Date]]</f>
        <v>1726</v>
      </c>
      <c r="J310" t="str">
        <f>UPPER(Master_ventas[[#This Row],[Product Name]])</f>
        <v>PRINTER</v>
      </c>
      <c r="K310" t="str">
        <f>UPPER(Master_ventas[[#This Row],[Category]])</f>
        <v>OFFICE</v>
      </c>
      <c r="L310">
        <f>YEAR(Master_ventas[[#This Row],[Order Date]])</f>
        <v>2022</v>
      </c>
      <c r="M310" t="str">
        <f>CONCATENATE(LEFT(Master_ventas[[#This Row],[ProdUpper]],3),RIGHT(Master_ventas[[#This Row],[Ext-Year]],2),"-",MID(Master_ventas[[#This Row],[Category]],1,1))</f>
        <v>PRI22-O</v>
      </c>
      <c r="N310" t="str">
        <f>MID(Master_ventas[[#This Row],[ProdUpper]],1,3)</f>
        <v>PRI</v>
      </c>
      <c r="O310" t="str">
        <f>UPPER(IF(Master_ventas[[#This Row],[Profit]]&gt;500,"High","Std"))</f>
        <v>STD</v>
      </c>
      <c r="P310">
        <v>309</v>
      </c>
    </row>
    <row r="311" spans="1:16" x14ac:dyDescent="0.3">
      <c r="A311" s="1">
        <v>45448</v>
      </c>
      <c r="B311" t="s">
        <v>22</v>
      </c>
      <c r="C311" t="s">
        <v>11</v>
      </c>
      <c r="D311" t="s">
        <v>15</v>
      </c>
      <c r="E311">
        <v>6</v>
      </c>
      <c r="F311" s="3">
        <v>3648</v>
      </c>
      <c r="G311" s="2">
        <v>1050.08</v>
      </c>
      <c r="H311">
        <f>Master_ventas[[#This Row],[Profit]]/Master_ventas[[#This Row],[Sales]]</f>
        <v>0.28785087719298241</v>
      </c>
      <c r="I311">
        <f ca="1">Referencia_Hoy-Master_ventas[[#This Row],[Order Date]]</f>
        <v>875</v>
      </c>
      <c r="J311" t="str">
        <f>UPPER(Master_ventas[[#This Row],[Product Name]])</f>
        <v>KEYBOARD</v>
      </c>
      <c r="K311" t="str">
        <f>UPPER(Master_ventas[[#This Row],[Category]])</f>
        <v>ACCESSORIES</v>
      </c>
      <c r="L311">
        <f>YEAR(Master_ventas[[#This Row],[Order Date]])</f>
        <v>2024</v>
      </c>
      <c r="M311" t="str">
        <f>CONCATENATE(LEFT(Master_ventas[[#This Row],[ProdUpper]],3),RIGHT(Master_ventas[[#This Row],[Ext-Year]],2),"-",MID(Master_ventas[[#This Row],[Category]],1,1))</f>
        <v>KEY24-A</v>
      </c>
      <c r="N311" t="str">
        <f>MID(Master_ventas[[#This Row],[ProdUpper]],1,3)</f>
        <v>KEY</v>
      </c>
      <c r="O311" t="str">
        <f>UPPER(IF(Master_ventas[[#This Row],[Profit]]&gt;500,"High","Std"))</f>
        <v>HIGH</v>
      </c>
      <c r="P311">
        <v>310</v>
      </c>
    </row>
    <row r="312" spans="1:16" x14ac:dyDescent="0.3">
      <c r="A312" s="1">
        <v>45611</v>
      </c>
      <c r="B312" t="s">
        <v>20</v>
      </c>
      <c r="C312" t="s">
        <v>11</v>
      </c>
      <c r="D312" t="s">
        <v>9</v>
      </c>
      <c r="E312">
        <v>5</v>
      </c>
      <c r="F312" s="3">
        <v>3875</v>
      </c>
      <c r="G312" s="2">
        <v>768.74</v>
      </c>
      <c r="H312">
        <f>Master_ventas[[#This Row],[Profit]]/Master_ventas[[#This Row],[Sales]]</f>
        <v>0.19838451612903227</v>
      </c>
      <c r="I312">
        <f ca="1">Referencia_Hoy-Master_ventas[[#This Row],[Order Date]]</f>
        <v>712</v>
      </c>
      <c r="J312" t="str">
        <f>UPPER(Master_ventas[[#This Row],[Product Name]])</f>
        <v>MONITOR</v>
      </c>
      <c r="K312" t="str">
        <f>UPPER(Master_ventas[[#This Row],[Category]])</f>
        <v>ACCESSORIES</v>
      </c>
      <c r="L312">
        <f>YEAR(Master_ventas[[#This Row],[Order Date]])</f>
        <v>2024</v>
      </c>
      <c r="M312" t="str">
        <f>CONCATENATE(LEFT(Master_ventas[[#This Row],[ProdUpper]],3),RIGHT(Master_ventas[[#This Row],[Ext-Year]],2),"-",MID(Master_ventas[[#This Row],[Category]],1,1))</f>
        <v>MON24-A</v>
      </c>
      <c r="N312" t="str">
        <f>MID(Master_ventas[[#This Row],[ProdUpper]],1,3)</f>
        <v>MON</v>
      </c>
      <c r="O312" t="str">
        <f>UPPER(IF(Master_ventas[[#This Row],[Profit]]&gt;500,"High","Std"))</f>
        <v>HIGH</v>
      </c>
      <c r="P312">
        <v>311</v>
      </c>
    </row>
    <row r="313" spans="1:16" x14ac:dyDescent="0.3">
      <c r="A313" s="1">
        <v>45243</v>
      </c>
      <c r="B313" t="s">
        <v>19</v>
      </c>
      <c r="C313" t="s">
        <v>14</v>
      </c>
      <c r="D313" t="s">
        <v>16</v>
      </c>
      <c r="E313">
        <v>8</v>
      </c>
      <c r="F313" s="3">
        <v>3416</v>
      </c>
      <c r="G313" s="2">
        <v>478.9</v>
      </c>
      <c r="H313">
        <f>Master_ventas[[#This Row],[Profit]]/Master_ventas[[#This Row],[Sales]]</f>
        <v>0.14019320843091335</v>
      </c>
      <c r="I313">
        <f ca="1">Referencia_Hoy-Master_ventas[[#This Row],[Order Date]]</f>
        <v>1080</v>
      </c>
      <c r="J313" t="str">
        <f>UPPER(Master_ventas[[#This Row],[Product Name]])</f>
        <v>SMARTWATCH</v>
      </c>
      <c r="K313" t="str">
        <f>UPPER(Master_ventas[[#This Row],[Category]])</f>
        <v>ELECTRONICS</v>
      </c>
      <c r="L313">
        <f>YEAR(Master_ventas[[#This Row],[Order Date]])</f>
        <v>2023</v>
      </c>
      <c r="M313" t="str">
        <f>CONCATENATE(LEFT(Master_ventas[[#This Row],[ProdUpper]],3),RIGHT(Master_ventas[[#This Row],[Ext-Year]],2),"-",MID(Master_ventas[[#This Row],[Category]],1,1))</f>
        <v>SMA23-E</v>
      </c>
      <c r="N313" t="str">
        <f>MID(Master_ventas[[#This Row],[ProdUpper]],1,3)</f>
        <v>SMA</v>
      </c>
      <c r="O313" t="str">
        <f>UPPER(IF(Master_ventas[[#This Row],[Profit]]&gt;500,"High","Std"))</f>
        <v>STD</v>
      </c>
      <c r="P313">
        <v>312</v>
      </c>
    </row>
    <row r="314" spans="1:16" x14ac:dyDescent="0.3">
      <c r="A314" s="1">
        <v>44611</v>
      </c>
      <c r="B314" t="s">
        <v>13</v>
      </c>
      <c r="C314" t="s">
        <v>14</v>
      </c>
      <c r="D314" t="s">
        <v>16</v>
      </c>
      <c r="E314">
        <v>1</v>
      </c>
      <c r="F314" s="3">
        <v>908</v>
      </c>
      <c r="G314" s="2">
        <v>222.58</v>
      </c>
      <c r="H314">
        <f>Master_ventas[[#This Row],[Profit]]/Master_ventas[[#This Row],[Sales]]</f>
        <v>0.24513215859030837</v>
      </c>
      <c r="I314">
        <f ca="1">Referencia_Hoy-Master_ventas[[#This Row],[Order Date]]</f>
        <v>1712</v>
      </c>
      <c r="J314" t="str">
        <f>UPPER(Master_ventas[[#This Row],[Product Name]])</f>
        <v>TABLET</v>
      </c>
      <c r="K314" t="str">
        <f>UPPER(Master_ventas[[#This Row],[Category]])</f>
        <v>ELECTRONICS</v>
      </c>
      <c r="L314">
        <f>YEAR(Master_ventas[[#This Row],[Order Date]])</f>
        <v>2022</v>
      </c>
      <c r="M314" t="str">
        <f>CONCATENATE(LEFT(Master_ventas[[#This Row],[ProdUpper]],3),RIGHT(Master_ventas[[#This Row],[Ext-Year]],2),"-",MID(Master_ventas[[#This Row],[Category]],1,1))</f>
        <v>TAB22-E</v>
      </c>
      <c r="N314" t="str">
        <f>MID(Master_ventas[[#This Row],[ProdUpper]],1,3)</f>
        <v>TAB</v>
      </c>
      <c r="O314" t="str">
        <f>UPPER(IF(Master_ventas[[#This Row],[Profit]]&gt;500,"High","Std"))</f>
        <v>STD</v>
      </c>
      <c r="P314">
        <v>313</v>
      </c>
    </row>
    <row r="315" spans="1:16" x14ac:dyDescent="0.3">
      <c r="A315" s="1">
        <v>45418</v>
      </c>
      <c r="B315" t="s">
        <v>18</v>
      </c>
      <c r="C315" t="s">
        <v>11</v>
      </c>
      <c r="D315" t="s">
        <v>15</v>
      </c>
      <c r="E315">
        <v>4</v>
      </c>
      <c r="F315" s="3">
        <v>4532</v>
      </c>
      <c r="G315" s="2">
        <v>987.32</v>
      </c>
      <c r="H315">
        <f>Master_ventas[[#This Row],[Profit]]/Master_ventas[[#This Row],[Sales]]</f>
        <v>0.21785525154457194</v>
      </c>
      <c r="I315">
        <f ca="1">Referencia_Hoy-Master_ventas[[#This Row],[Order Date]]</f>
        <v>905</v>
      </c>
      <c r="J315" t="str">
        <f>UPPER(Master_ventas[[#This Row],[Product Name]])</f>
        <v>HEADPHONES</v>
      </c>
      <c r="K315" t="str">
        <f>UPPER(Master_ventas[[#This Row],[Category]])</f>
        <v>ACCESSORIES</v>
      </c>
      <c r="L315">
        <f>YEAR(Master_ventas[[#This Row],[Order Date]])</f>
        <v>2024</v>
      </c>
      <c r="M315" t="str">
        <f>CONCATENATE(LEFT(Master_ventas[[#This Row],[ProdUpper]],3),RIGHT(Master_ventas[[#This Row],[Ext-Year]],2),"-",MID(Master_ventas[[#This Row],[Category]],1,1))</f>
        <v>HEA24-A</v>
      </c>
      <c r="N315" t="str">
        <f>MID(Master_ventas[[#This Row],[ProdUpper]],1,3)</f>
        <v>HEA</v>
      </c>
      <c r="O315" t="str">
        <f>UPPER(IF(Master_ventas[[#This Row],[Profit]]&gt;500,"High","Std"))</f>
        <v>HIGH</v>
      </c>
      <c r="P315">
        <v>314</v>
      </c>
    </row>
    <row r="316" spans="1:16" x14ac:dyDescent="0.3">
      <c r="A316" s="1">
        <v>45142</v>
      </c>
      <c r="B316" t="s">
        <v>18</v>
      </c>
      <c r="C316" t="s">
        <v>11</v>
      </c>
      <c r="D316" t="s">
        <v>12</v>
      </c>
      <c r="E316">
        <v>4</v>
      </c>
      <c r="F316" s="3">
        <v>4168</v>
      </c>
      <c r="G316" s="2">
        <v>650.15</v>
      </c>
      <c r="H316">
        <f>Master_ventas[[#This Row],[Profit]]/Master_ventas[[#This Row],[Sales]]</f>
        <v>0.15598608445297504</v>
      </c>
      <c r="I316">
        <f ca="1">Referencia_Hoy-Master_ventas[[#This Row],[Order Date]]</f>
        <v>1181</v>
      </c>
      <c r="J316" t="str">
        <f>UPPER(Master_ventas[[#This Row],[Product Name]])</f>
        <v>HEADPHONES</v>
      </c>
      <c r="K316" t="str">
        <f>UPPER(Master_ventas[[#This Row],[Category]])</f>
        <v>ACCESSORIES</v>
      </c>
      <c r="L316">
        <f>YEAR(Master_ventas[[#This Row],[Order Date]])</f>
        <v>2023</v>
      </c>
      <c r="M316" t="str">
        <f>CONCATENATE(LEFT(Master_ventas[[#This Row],[ProdUpper]],3),RIGHT(Master_ventas[[#This Row],[Ext-Year]],2),"-",MID(Master_ventas[[#This Row],[Category]],1,1))</f>
        <v>HEA23-A</v>
      </c>
      <c r="N316" t="str">
        <f>MID(Master_ventas[[#This Row],[ProdUpper]],1,3)</f>
        <v>HEA</v>
      </c>
      <c r="O316" t="str">
        <f>UPPER(IF(Master_ventas[[#This Row],[Profit]]&gt;500,"High","Std"))</f>
        <v>HIGH</v>
      </c>
      <c r="P316">
        <v>315</v>
      </c>
    </row>
    <row r="317" spans="1:16" x14ac:dyDescent="0.3">
      <c r="A317" s="1">
        <v>45192</v>
      </c>
      <c r="B317" t="s">
        <v>23</v>
      </c>
      <c r="C317" t="s">
        <v>14</v>
      </c>
      <c r="D317" t="s">
        <v>9</v>
      </c>
      <c r="E317">
        <v>3</v>
      </c>
      <c r="F317" s="3">
        <v>3543</v>
      </c>
      <c r="G317" s="2">
        <v>941.37</v>
      </c>
      <c r="H317">
        <f>Master_ventas[[#This Row],[Profit]]/Master_ventas[[#This Row],[Sales]]</f>
        <v>0.26569856054191365</v>
      </c>
      <c r="I317">
        <f ca="1">Referencia_Hoy-Master_ventas[[#This Row],[Order Date]]</f>
        <v>1131</v>
      </c>
      <c r="J317" t="str">
        <f>UPPER(Master_ventas[[#This Row],[Product Name]])</f>
        <v>LAPTOP</v>
      </c>
      <c r="K317" t="str">
        <f>UPPER(Master_ventas[[#This Row],[Category]])</f>
        <v>ELECTRONICS</v>
      </c>
      <c r="L317">
        <f>YEAR(Master_ventas[[#This Row],[Order Date]])</f>
        <v>2023</v>
      </c>
      <c r="M317" t="str">
        <f>CONCATENATE(LEFT(Master_ventas[[#This Row],[ProdUpper]],3),RIGHT(Master_ventas[[#This Row],[Ext-Year]],2),"-",MID(Master_ventas[[#This Row],[Category]],1,1))</f>
        <v>LAP23-E</v>
      </c>
      <c r="N317" t="str">
        <f>MID(Master_ventas[[#This Row],[ProdUpper]],1,3)</f>
        <v>LAP</v>
      </c>
      <c r="O317" t="str">
        <f>UPPER(IF(Master_ventas[[#This Row],[Profit]]&gt;500,"High","Std"))</f>
        <v>HIGH</v>
      </c>
      <c r="P317">
        <v>316</v>
      </c>
    </row>
    <row r="318" spans="1:16" x14ac:dyDescent="0.3">
      <c r="A318" s="1">
        <v>45549</v>
      </c>
      <c r="B318" t="s">
        <v>23</v>
      </c>
      <c r="C318" t="s">
        <v>14</v>
      </c>
      <c r="D318" t="s">
        <v>12</v>
      </c>
      <c r="E318">
        <v>6</v>
      </c>
      <c r="F318" s="3">
        <v>5124</v>
      </c>
      <c r="G318" s="2">
        <v>1078.57</v>
      </c>
      <c r="H318">
        <f>Master_ventas[[#This Row],[Profit]]/Master_ventas[[#This Row],[Sales]]</f>
        <v>0.21049375487900077</v>
      </c>
      <c r="I318">
        <f ca="1">Referencia_Hoy-Master_ventas[[#This Row],[Order Date]]</f>
        <v>774</v>
      </c>
      <c r="J318" t="str">
        <f>UPPER(Master_ventas[[#This Row],[Product Name]])</f>
        <v>LAPTOP</v>
      </c>
      <c r="K318" t="str">
        <f>UPPER(Master_ventas[[#This Row],[Category]])</f>
        <v>ELECTRONICS</v>
      </c>
      <c r="L318">
        <f>YEAR(Master_ventas[[#This Row],[Order Date]])</f>
        <v>2024</v>
      </c>
      <c r="M318" t="str">
        <f>CONCATENATE(LEFT(Master_ventas[[#This Row],[ProdUpper]],3),RIGHT(Master_ventas[[#This Row],[Ext-Year]],2),"-",MID(Master_ventas[[#This Row],[Category]],1,1))</f>
        <v>LAP24-E</v>
      </c>
      <c r="N318" t="str">
        <f>MID(Master_ventas[[#This Row],[ProdUpper]],1,3)</f>
        <v>LAP</v>
      </c>
      <c r="O318" t="str">
        <f>UPPER(IF(Master_ventas[[#This Row],[Profit]]&gt;500,"High","Std"))</f>
        <v>HIGH</v>
      </c>
      <c r="P318">
        <v>317</v>
      </c>
    </row>
    <row r="319" spans="1:16" x14ac:dyDescent="0.3">
      <c r="A319" s="1">
        <v>45002</v>
      </c>
      <c r="B319" t="s">
        <v>19</v>
      </c>
      <c r="C319" t="s">
        <v>14</v>
      </c>
      <c r="D319" t="s">
        <v>15</v>
      </c>
      <c r="E319">
        <v>9</v>
      </c>
      <c r="F319" s="3">
        <v>5751</v>
      </c>
      <c r="G319" s="2">
        <v>1196.23</v>
      </c>
      <c r="H319">
        <f>Master_ventas[[#This Row],[Profit]]/Master_ventas[[#This Row],[Sales]]</f>
        <v>0.20800382542166579</v>
      </c>
      <c r="I319">
        <f ca="1">Referencia_Hoy-Master_ventas[[#This Row],[Order Date]]</f>
        <v>1321</v>
      </c>
      <c r="J319" t="str">
        <f>UPPER(Master_ventas[[#This Row],[Product Name]])</f>
        <v>SMARTWATCH</v>
      </c>
      <c r="K319" t="str">
        <f>UPPER(Master_ventas[[#This Row],[Category]])</f>
        <v>ELECTRONICS</v>
      </c>
      <c r="L319">
        <f>YEAR(Master_ventas[[#This Row],[Order Date]])</f>
        <v>2023</v>
      </c>
      <c r="M319" t="str">
        <f>CONCATENATE(LEFT(Master_ventas[[#This Row],[ProdUpper]],3),RIGHT(Master_ventas[[#This Row],[Ext-Year]],2),"-",MID(Master_ventas[[#This Row],[Category]],1,1))</f>
        <v>SMA23-E</v>
      </c>
      <c r="N319" t="str">
        <f>MID(Master_ventas[[#This Row],[ProdUpper]],1,3)</f>
        <v>SMA</v>
      </c>
      <c r="O319" t="str">
        <f>UPPER(IF(Master_ventas[[#This Row],[Profit]]&gt;500,"High","Std"))</f>
        <v>HIGH</v>
      </c>
      <c r="P319">
        <v>318</v>
      </c>
    </row>
    <row r="320" spans="1:16" x14ac:dyDescent="0.3">
      <c r="A320" s="1">
        <v>45198</v>
      </c>
      <c r="B320" t="s">
        <v>17</v>
      </c>
      <c r="C320" t="s">
        <v>14</v>
      </c>
      <c r="D320" t="s">
        <v>12</v>
      </c>
      <c r="E320">
        <v>2</v>
      </c>
      <c r="F320" s="3">
        <v>624</v>
      </c>
      <c r="G320" s="2">
        <v>139.63999999999999</v>
      </c>
      <c r="H320">
        <f>Master_ventas[[#This Row],[Profit]]/Master_ventas[[#This Row],[Sales]]</f>
        <v>0.22378205128205125</v>
      </c>
      <c r="I320">
        <f ca="1">Referencia_Hoy-Master_ventas[[#This Row],[Order Date]]</f>
        <v>1125</v>
      </c>
      <c r="J320" t="str">
        <f>UPPER(Master_ventas[[#This Row],[Product Name]])</f>
        <v>CAMERA</v>
      </c>
      <c r="K320" t="str">
        <f>UPPER(Master_ventas[[#This Row],[Category]])</f>
        <v>ELECTRONICS</v>
      </c>
      <c r="L320">
        <f>YEAR(Master_ventas[[#This Row],[Order Date]])</f>
        <v>2023</v>
      </c>
      <c r="M320" t="str">
        <f>CONCATENATE(LEFT(Master_ventas[[#This Row],[ProdUpper]],3),RIGHT(Master_ventas[[#This Row],[Ext-Year]],2),"-",MID(Master_ventas[[#This Row],[Category]],1,1))</f>
        <v>CAM23-E</v>
      </c>
      <c r="N320" t="str">
        <f>MID(Master_ventas[[#This Row],[ProdUpper]],1,3)</f>
        <v>CAM</v>
      </c>
      <c r="O320" t="str">
        <f>UPPER(IF(Master_ventas[[#This Row],[Profit]]&gt;500,"High","Std"))</f>
        <v>STD</v>
      </c>
      <c r="P320">
        <v>319</v>
      </c>
    </row>
    <row r="321" spans="1:16" x14ac:dyDescent="0.3">
      <c r="A321" s="1">
        <v>45261</v>
      </c>
      <c r="B321" t="s">
        <v>17</v>
      </c>
      <c r="C321" t="s">
        <v>14</v>
      </c>
      <c r="D321" t="s">
        <v>15</v>
      </c>
      <c r="E321">
        <v>1</v>
      </c>
      <c r="F321" s="3">
        <v>508</v>
      </c>
      <c r="G321" s="2">
        <v>151.29</v>
      </c>
      <c r="H321">
        <f>Master_ventas[[#This Row],[Profit]]/Master_ventas[[#This Row],[Sales]]</f>
        <v>0.29781496062992124</v>
      </c>
      <c r="I321">
        <f ca="1">Referencia_Hoy-Master_ventas[[#This Row],[Order Date]]</f>
        <v>1062</v>
      </c>
      <c r="J321" t="str">
        <f>UPPER(Master_ventas[[#This Row],[Product Name]])</f>
        <v>CAMERA</v>
      </c>
      <c r="K321" t="str">
        <f>UPPER(Master_ventas[[#This Row],[Category]])</f>
        <v>ELECTRONICS</v>
      </c>
      <c r="L321">
        <f>YEAR(Master_ventas[[#This Row],[Order Date]])</f>
        <v>2023</v>
      </c>
      <c r="M321" t="str">
        <f>CONCATENATE(LEFT(Master_ventas[[#This Row],[ProdUpper]],3),RIGHT(Master_ventas[[#This Row],[Ext-Year]],2),"-",MID(Master_ventas[[#This Row],[Category]],1,1))</f>
        <v>CAM23-E</v>
      </c>
      <c r="N321" t="str">
        <f>MID(Master_ventas[[#This Row],[ProdUpper]],1,3)</f>
        <v>CAM</v>
      </c>
      <c r="O321" t="str">
        <f>UPPER(IF(Master_ventas[[#This Row],[Profit]]&gt;500,"High","Std"))</f>
        <v>STD</v>
      </c>
      <c r="P321">
        <v>320</v>
      </c>
    </row>
    <row r="322" spans="1:16" x14ac:dyDescent="0.3">
      <c r="A322" s="1">
        <v>45182</v>
      </c>
      <c r="B322" t="s">
        <v>18</v>
      </c>
      <c r="C322" t="s">
        <v>11</v>
      </c>
      <c r="D322" t="s">
        <v>15</v>
      </c>
      <c r="E322">
        <v>4</v>
      </c>
      <c r="F322" s="3">
        <v>4700</v>
      </c>
      <c r="G322" s="2">
        <v>914.6</v>
      </c>
      <c r="H322">
        <f>Master_ventas[[#This Row],[Profit]]/Master_ventas[[#This Row],[Sales]]</f>
        <v>0.19459574468085106</v>
      </c>
      <c r="I322">
        <f ca="1">Referencia_Hoy-Master_ventas[[#This Row],[Order Date]]</f>
        <v>1141</v>
      </c>
      <c r="J322" t="str">
        <f>UPPER(Master_ventas[[#This Row],[Product Name]])</f>
        <v>HEADPHONES</v>
      </c>
      <c r="K322" t="str">
        <f>UPPER(Master_ventas[[#This Row],[Category]])</f>
        <v>ACCESSORIES</v>
      </c>
      <c r="L322">
        <f>YEAR(Master_ventas[[#This Row],[Order Date]])</f>
        <v>2023</v>
      </c>
      <c r="M322" t="str">
        <f>CONCATENATE(LEFT(Master_ventas[[#This Row],[ProdUpper]],3),RIGHT(Master_ventas[[#This Row],[Ext-Year]],2),"-",MID(Master_ventas[[#This Row],[Category]],1,1))</f>
        <v>HEA23-A</v>
      </c>
      <c r="N322" t="str">
        <f>MID(Master_ventas[[#This Row],[ProdUpper]],1,3)</f>
        <v>HEA</v>
      </c>
      <c r="O322" t="str">
        <f>UPPER(IF(Master_ventas[[#This Row],[Profit]]&gt;500,"High","Std"))</f>
        <v>HIGH</v>
      </c>
      <c r="P322">
        <v>321</v>
      </c>
    </row>
    <row r="323" spans="1:16" x14ac:dyDescent="0.3">
      <c r="A323" s="1">
        <v>44634</v>
      </c>
      <c r="B323" t="s">
        <v>22</v>
      </c>
      <c r="C323" t="s">
        <v>11</v>
      </c>
      <c r="D323" t="s">
        <v>16</v>
      </c>
      <c r="E323">
        <v>8</v>
      </c>
      <c r="F323" s="3">
        <v>3216</v>
      </c>
      <c r="G323" s="2">
        <v>639.78</v>
      </c>
      <c r="H323">
        <f>Master_ventas[[#This Row],[Profit]]/Master_ventas[[#This Row],[Sales]]</f>
        <v>0.1989365671641791</v>
      </c>
      <c r="I323">
        <f ca="1">Referencia_Hoy-Master_ventas[[#This Row],[Order Date]]</f>
        <v>1689</v>
      </c>
      <c r="J323" t="str">
        <f>UPPER(Master_ventas[[#This Row],[Product Name]])</f>
        <v>KEYBOARD</v>
      </c>
      <c r="K323" t="str">
        <f>UPPER(Master_ventas[[#This Row],[Category]])</f>
        <v>ACCESSORIES</v>
      </c>
      <c r="L323">
        <f>YEAR(Master_ventas[[#This Row],[Order Date]])</f>
        <v>2022</v>
      </c>
      <c r="M323" t="str">
        <f>CONCATENATE(LEFT(Master_ventas[[#This Row],[ProdUpper]],3),RIGHT(Master_ventas[[#This Row],[Ext-Year]],2),"-",MID(Master_ventas[[#This Row],[Category]],1,1))</f>
        <v>KEY22-A</v>
      </c>
      <c r="N323" t="str">
        <f>MID(Master_ventas[[#This Row],[ProdUpper]],1,3)</f>
        <v>KEY</v>
      </c>
      <c r="O323" t="str">
        <f>UPPER(IF(Master_ventas[[#This Row],[Profit]]&gt;500,"High","Std"))</f>
        <v>HIGH</v>
      </c>
      <c r="P323">
        <v>322</v>
      </c>
    </row>
    <row r="324" spans="1:16" x14ac:dyDescent="0.3">
      <c r="A324" s="1">
        <v>45122</v>
      </c>
      <c r="B324" t="s">
        <v>23</v>
      </c>
      <c r="C324" t="s">
        <v>14</v>
      </c>
      <c r="D324" t="s">
        <v>16</v>
      </c>
      <c r="E324">
        <v>6</v>
      </c>
      <c r="F324" s="3">
        <v>2844</v>
      </c>
      <c r="G324" s="2">
        <v>581</v>
      </c>
      <c r="H324">
        <f>Master_ventas[[#This Row],[Profit]]/Master_ventas[[#This Row],[Sales]]</f>
        <v>0.20428973277074544</v>
      </c>
      <c r="I324">
        <f ca="1">Referencia_Hoy-Master_ventas[[#This Row],[Order Date]]</f>
        <v>1201</v>
      </c>
      <c r="J324" t="str">
        <f>UPPER(Master_ventas[[#This Row],[Product Name]])</f>
        <v>LAPTOP</v>
      </c>
      <c r="K324" t="str">
        <f>UPPER(Master_ventas[[#This Row],[Category]])</f>
        <v>ELECTRONICS</v>
      </c>
      <c r="L324">
        <f>YEAR(Master_ventas[[#This Row],[Order Date]])</f>
        <v>2023</v>
      </c>
      <c r="M324" t="str">
        <f>CONCATENATE(LEFT(Master_ventas[[#This Row],[ProdUpper]],3),RIGHT(Master_ventas[[#This Row],[Ext-Year]],2),"-",MID(Master_ventas[[#This Row],[Category]],1,1))</f>
        <v>LAP23-E</v>
      </c>
      <c r="N324" t="str">
        <f>MID(Master_ventas[[#This Row],[ProdUpper]],1,3)</f>
        <v>LAP</v>
      </c>
      <c r="O324" t="str">
        <f>UPPER(IF(Master_ventas[[#This Row],[Profit]]&gt;500,"High","Std"))</f>
        <v>HIGH</v>
      </c>
      <c r="P324">
        <v>323</v>
      </c>
    </row>
    <row r="325" spans="1:16" x14ac:dyDescent="0.3">
      <c r="A325" s="1">
        <v>44710</v>
      </c>
      <c r="B325" t="s">
        <v>21</v>
      </c>
      <c r="C325" t="s">
        <v>14</v>
      </c>
      <c r="D325" t="s">
        <v>16</v>
      </c>
      <c r="E325">
        <v>5</v>
      </c>
      <c r="F325" s="3">
        <v>2385</v>
      </c>
      <c r="G325" s="2">
        <v>258.60000000000002</v>
      </c>
      <c r="H325">
        <f>Master_ventas[[#This Row],[Profit]]/Master_ventas[[#This Row],[Sales]]</f>
        <v>0.10842767295597486</v>
      </c>
      <c r="I325">
        <f ca="1">Referencia_Hoy-Master_ventas[[#This Row],[Order Date]]</f>
        <v>1613</v>
      </c>
      <c r="J325" t="str">
        <f>UPPER(Master_ventas[[#This Row],[Product Name]])</f>
        <v>SMARTPHONE</v>
      </c>
      <c r="K325" t="str">
        <f>UPPER(Master_ventas[[#This Row],[Category]])</f>
        <v>ELECTRONICS</v>
      </c>
      <c r="L325">
        <f>YEAR(Master_ventas[[#This Row],[Order Date]])</f>
        <v>2022</v>
      </c>
      <c r="M325" t="str">
        <f>CONCATENATE(LEFT(Master_ventas[[#This Row],[ProdUpper]],3),RIGHT(Master_ventas[[#This Row],[Ext-Year]],2),"-",MID(Master_ventas[[#This Row],[Category]],1,1))</f>
        <v>SMA22-E</v>
      </c>
      <c r="N325" t="str">
        <f>MID(Master_ventas[[#This Row],[ProdUpper]],1,3)</f>
        <v>SMA</v>
      </c>
      <c r="O325" t="str">
        <f>UPPER(IF(Master_ventas[[#This Row],[Profit]]&gt;500,"High","Std"))</f>
        <v>STD</v>
      </c>
      <c r="P325">
        <v>324</v>
      </c>
    </row>
    <row r="326" spans="1:16" x14ac:dyDescent="0.3">
      <c r="A326" s="1">
        <v>44942</v>
      </c>
      <c r="B326" t="s">
        <v>20</v>
      </c>
      <c r="C326" t="s">
        <v>11</v>
      </c>
      <c r="D326" t="s">
        <v>15</v>
      </c>
      <c r="E326">
        <v>8</v>
      </c>
      <c r="F326" s="3">
        <v>928</v>
      </c>
      <c r="G326" s="2">
        <v>170.05</v>
      </c>
      <c r="H326">
        <f>Master_ventas[[#This Row],[Profit]]/Master_ventas[[#This Row],[Sales]]</f>
        <v>0.18324353448275862</v>
      </c>
      <c r="I326">
        <f ca="1">Referencia_Hoy-Master_ventas[[#This Row],[Order Date]]</f>
        <v>1381</v>
      </c>
      <c r="J326" t="str">
        <f>UPPER(Master_ventas[[#This Row],[Product Name]])</f>
        <v>MONITOR</v>
      </c>
      <c r="K326" t="str">
        <f>UPPER(Master_ventas[[#This Row],[Category]])</f>
        <v>ACCESSORIES</v>
      </c>
      <c r="L326">
        <f>YEAR(Master_ventas[[#This Row],[Order Date]])</f>
        <v>2023</v>
      </c>
      <c r="M326" t="str">
        <f>CONCATENATE(LEFT(Master_ventas[[#This Row],[ProdUpper]],3),RIGHT(Master_ventas[[#This Row],[Ext-Year]],2),"-",MID(Master_ventas[[#This Row],[Category]],1,1))</f>
        <v>MON23-A</v>
      </c>
      <c r="N326" t="str">
        <f>MID(Master_ventas[[#This Row],[ProdUpper]],1,3)</f>
        <v>MON</v>
      </c>
      <c r="O326" t="str">
        <f>UPPER(IF(Master_ventas[[#This Row],[Profit]]&gt;500,"High","Std"))</f>
        <v>STD</v>
      </c>
      <c r="P326">
        <v>325</v>
      </c>
    </row>
    <row r="327" spans="1:16" x14ac:dyDescent="0.3">
      <c r="A327" s="1">
        <v>45175</v>
      </c>
      <c r="B327" t="s">
        <v>18</v>
      </c>
      <c r="C327" t="s">
        <v>11</v>
      </c>
      <c r="D327" t="s">
        <v>9</v>
      </c>
      <c r="E327">
        <v>6</v>
      </c>
      <c r="F327" s="3">
        <v>4656</v>
      </c>
      <c r="G327" s="2">
        <v>673.35</v>
      </c>
      <c r="H327">
        <f>Master_ventas[[#This Row],[Profit]]/Master_ventas[[#This Row],[Sales]]</f>
        <v>0.14461984536082476</v>
      </c>
      <c r="I327">
        <f ca="1">Referencia_Hoy-Master_ventas[[#This Row],[Order Date]]</f>
        <v>1148</v>
      </c>
      <c r="J327" t="str">
        <f>UPPER(Master_ventas[[#This Row],[Product Name]])</f>
        <v>HEADPHONES</v>
      </c>
      <c r="K327" t="str">
        <f>UPPER(Master_ventas[[#This Row],[Category]])</f>
        <v>ACCESSORIES</v>
      </c>
      <c r="L327">
        <f>YEAR(Master_ventas[[#This Row],[Order Date]])</f>
        <v>2023</v>
      </c>
      <c r="M327" t="str">
        <f>CONCATENATE(LEFT(Master_ventas[[#This Row],[ProdUpper]],3),RIGHT(Master_ventas[[#This Row],[Ext-Year]],2),"-",MID(Master_ventas[[#This Row],[Category]],1,1))</f>
        <v>HEA23-A</v>
      </c>
      <c r="N327" t="str">
        <f>MID(Master_ventas[[#This Row],[ProdUpper]],1,3)</f>
        <v>HEA</v>
      </c>
      <c r="O327" t="str">
        <f>UPPER(IF(Master_ventas[[#This Row],[Profit]]&gt;500,"High","Std"))</f>
        <v>HIGH</v>
      </c>
      <c r="P327">
        <v>326</v>
      </c>
    </row>
    <row r="328" spans="1:16" x14ac:dyDescent="0.3">
      <c r="A328" s="1">
        <v>45014</v>
      </c>
      <c r="B328" t="s">
        <v>18</v>
      </c>
      <c r="C328" t="s">
        <v>11</v>
      </c>
      <c r="D328" t="s">
        <v>9</v>
      </c>
      <c r="E328">
        <v>2</v>
      </c>
      <c r="F328" s="3">
        <v>330</v>
      </c>
      <c r="G328" s="2">
        <v>21.46</v>
      </c>
      <c r="H328">
        <f>Master_ventas[[#This Row],[Profit]]/Master_ventas[[#This Row],[Sales]]</f>
        <v>6.5030303030303035E-2</v>
      </c>
      <c r="I328">
        <f ca="1">Referencia_Hoy-Master_ventas[[#This Row],[Order Date]]</f>
        <v>1309</v>
      </c>
      <c r="J328" t="str">
        <f>UPPER(Master_ventas[[#This Row],[Product Name]])</f>
        <v>HEADPHONES</v>
      </c>
      <c r="K328" t="str">
        <f>UPPER(Master_ventas[[#This Row],[Category]])</f>
        <v>ACCESSORIES</v>
      </c>
      <c r="L328">
        <f>YEAR(Master_ventas[[#This Row],[Order Date]])</f>
        <v>2023</v>
      </c>
      <c r="M328" t="str">
        <f>CONCATENATE(LEFT(Master_ventas[[#This Row],[ProdUpper]],3),RIGHT(Master_ventas[[#This Row],[Ext-Year]],2),"-",MID(Master_ventas[[#This Row],[Category]],1,1))</f>
        <v>HEA23-A</v>
      </c>
      <c r="N328" t="str">
        <f>MID(Master_ventas[[#This Row],[ProdUpper]],1,3)</f>
        <v>HEA</v>
      </c>
      <c r="O328" t="str">
        <f>UPPER(IF(Master_ventas[[#This Row],[Profit]]&gt;500,"High","Std"))</f>
        <v>STD</v>
      </c>
      <c r="P328">
        <v>327</v>
      </c>
    </row>
    <row r="329" spans="1:16" x14ac:dyDescent="0.3">
      <c r="A329" s="1">
        <v>45231</v>
      </c>
      <c r="B329" t="s">
        <v>17</v>
      </c>
      <c r="C329" t="s">
        <v>14</v>
      </c>
      <c r="D329" t="s">
        <v>9</v>
      </c>
      <c r="E329">
        <v>7</v>
      </c>
      <c r="F329" s="3">
        <v>1799</v>
      </c>
      <c r="G329" s="2">
        <v>274.11</v>
      </c>
      <c r="H329">
        <f>Master_ventas[[#This Row],[Profit]]/Master_ventas[[#This Row],[Sales]]</f>
        <v>0.15236798221234019</v>
      </c>
      <c r="I329">
        <f ca="1">Referencia_Hoy-Master_ventas[[#This Row],[Order Date]]</f>
        <v>1092</v>
      </c>
      <c r="J329" t="str">
        <f>UPPER(Master_ventas[[#This Row],[Product Name]])</f>
        <v>CAMERA</v>
      </c>
      <c r="K329" t="str">
        <f>UPPER(Master_ventas[[#This Row],[Category]])</f>
        <v>ELECTRONICS</v>
      </c>
      <c r="L329">
        <f>YEAR(Master_ventas[[#This Row],[Order Date]])</f>
        <v>2023</v>
      </c>
      <c r="M329" t="str">
        <f>CONCATENATE(LEFT(Master_ventas[[#This Row],[ProdUpper]],3),RIGHT(Master_ventas[[#This Row],[Ext-Year]],2),"-",MID(Master_ventas[[#This Row],[Category]],1,1))</f>
        <v>CAM23-E</v>
      </c>
      <c r="N329" t="str">
        <f>MID(Master_ventas[[#This Row],[ProdUpper]],1,3)</f>
        <v>CAM</v>
      </c>
      <c r="O329" t="str">
        <f>UPPER(IF(Master_ventas[[#This Row],[Profit]]&gt;500,"High","Std"))</f>
        <v>STD</v>
      </c>
      <c r="P329">
        <v>328</v>
      </c>
    </row>
    <row r="330" spans="1:16" x14ac:dyDescent="0.3">
      <c r="A330" s="1">
        <v>44798</v>
      </c>
      <c r="B330" t="s">
        <v>7</v>
      </c>
      <c r="C330" t="s">
        <v>8</v>
      </c>
      <c r="D330" t="s">
        <v>12</v>
      </c>
      <c r="E330">
        <v>1</v>
      </c>
      <c r="F330" s="3">
        <v>1029</v>
      </c>
      <c r="G330" s="2">
        <v>173.61</v>
      </c>
      <c r="H330">
        <f>Master_ventas[[#This Row],[Profit]]/Master_ventas[[#This Row],[Sales]]</f>
        <v>0.16871720116618077</v>
      </c>
      <c r="I330">
        <f ca="1">Referencia_Hoy-Master_ventas[[#This Row],[Order Date]]</f>
        <v>1525</v>
      </c>
      <c r="J330" t="str">
        <f>UPPER(Master_ventas[[#This Row],[Product Name]])</f>
        <v>PRINTER</v>
      </c>
      <c r="K330" t="str">
        <f>UPPER(Master_ventas[[#This Row],[Category]])</f>
        <v>OFFICE</v>
      </c>
      <c r="L330">
        <f>YEAR(Master_ventas[[#This Row],[Order Date]])</f>
        <v>2022</v>
      </c>
      <c r="M330" t="str">
        <f>CONCATENATE(LEFT(Master_ventas[[#This Row],[ProdUpper]],3),RIGHT(Master_ventas[[#This Row],[Ext-Year]],2),"-",MID(Master_ventas[[#This Row],[Category]],1,1))</f>
        <v>PRI22-O</v>
      </c>
      <c r="N330" t="str">
        <f>MID(Master_ventas[[#This Row],[ProdUpper]],1,3)</f>
        <v>PRI</v>
      </c>
      <c r="O330" t="str">
        <f>UPPER(IF(Master_ventas[[#This Row],[Profit]]&gt;500,"High","Std"))</f>
        <v>STD</v>
      </c>
      <c r="P330">
        <v>329</v>
      </c>
    </row>
    <row r="331" spans="1:16" x14ac:dyDescent="0.3">
      <c r="A331" s="1">
        <v>44925</v>
      </c>
      <c r="B331" t="s">
        <v>18</v>
      </c>
      <c r="C331" t="s">
        <v>11</v>
      </c>
      <c r="D331" t="s">
        <v>9</v>
      </c>
      <c r="E331">
        <v>8</v>
      </c>
      <c r="F331" s="3">
        <v>5432</v>
      </c>
      <c r="G331" s="2">
        <v>1619.39</v>
      </c>
      <c r="H331">
        <f>Master_ventas[[#This Row],[Profit]]/Master_ventas[[#This Row],[Sales]]</f>
        <v>0.29812039764359355</v>
      </c>
      <c r="I331">
        <f ca="1">Referencia_Hoy-Master_ventas[[#This Row],[Order Date]]</f>
        <v>1398</v>
      </c>
      <c r="J331" t="str">
        <f>UPPER(Master_ventas[[#This Row],[Product Name]])</f>
        <v>HEADPHONES</v>
      </c>
      <c r="K331" t="str">
        <f>UPPER(Master_ventas[[#This Row],[Category]])</f>
        <v>ACCESSORIES</v>
      </c>
      <c r="L331">
        <f>YEAR(Master_ventas[[#This Row],[Order Date]])</f>
        <v>2022</v>
      </c>
      <c r="M331" t="str">
        <f>CONCATENATE(LEFT(Master_ventas[[#This Row],[ProdUpper]],3),RIGHT(Master_ventas[[#This Row],[Ext-Year]],2),"-",MID(Master_ventas[[#This Row],[Category]],1,1))</f>
        <v>HEA22-A</v>
      </c>
      <c r="N331" t="str">
        <f>MID(Master_ventas[[#This Row],[ProdUpper]],1,3)</f>
        <v>HEA</v>
      </c>
      <c r="O331" t="str">
        <f>UPPER(IF(Master_ventas[[#This Row],[Profit]]&gt;500,"High","Std"))</f>
        <v>HIGH</v>
      </c>
      <c r="P331">
        <v>330</v>
      </c>
    </row>
    <row r="332" spans="1:16" x14ac:dyDescent="0.3">
      <c r="A332" s="1">
        <v>45539</v>
      </c>
      <c r="B332" t="s">
        <v>17</v>
      </c>
      <c r="C332" t="s">
        <v>14</v>
      </c>
      <c r="D332" t="s">
        <v>16</v>
      </c>
      <c r="E332">
        <v>5</v>
      </c>
      <c r="F332" s="3">
        <v>5785</v>
      </c>
      <c r="G332" s="2">
        <v>1191.1099999999999</v>
      </c>
      <c r="H332">
        <f>Master_ventas[[#This Row],[Profit]]/Master_ventas[[#This Row],[Sales]]</f>
        <v>0.20589628349178909</v>
      </c>
      <c r="I332">
        <f ca="1">Referencia_Hoy-Master_ventas[[#This Row],[Order Date]]</f>
        <v>784</v>
      </c>
      <c r="J332" t="str">
        <f>UPPER(Master_ventas[[#This Row],[Product Name]])</f>
        <v>CAMERA</v>
      </c>
      <c r="K332" t="str">
        <f>UPPER(Master_ventas[[#This Row],[Category]])</f>
        <v>ELECTRONICS</v>
      </c>
      <c r="L332">
        <f>YEAR(Master_ventas[[#This Row],[Order Date]])</f>
        <v>2024</v>
      </c>
      <c r="M332" t="str">
        <f>CONCATENATE(LEFT(Master_ventas[[#This Row],[ProdUpper]],3),RIGHT(Master_ventas[[#This Row],[Ext-Year]],2),"-",MID(Master_ventas[[#This Row],[Category]],1,1))</f>
        <v>CAM24-E</v>
      </c>
      <c r="N332" t="str">
        <f>MID(Master_ventas[[#This Row],[ProdUpper]],1,3)</f>
        <v>CAM</v>
      </c>
      <c r="O332" t="str">
        <f>UPPER(IF(Master_ventas[[#This Row],[Profit]]&gt;500,"High","Std"))</f>
        <v>HIGH</v>
      </c>
      <c r="P332">
        <v>331</v>
      </c>
    </row>
    <row r="333" spans="1:16" x14ac:dyDescent="0.3">
      <c r="A333" s="1">
        <v>45299</v>
      </c>
      <c r="B333" t="s">
        <v>7</v>
      </c>
      <c r="C333" t="s">
        <v>8</v>
      </c>
      <c r="D333" t="s">
        <v>9</v>
      </c>
      <c r="E333">
        <v>1</v>
      </c>
      <c r="F333" s="3">
        <v>1062</v>
      </c>
      <c r="G333" s="2">
        <v>272.42</v>
      </c>
      <c r="H333">
        <f>Master_ventas[[#This Row],[Profit]]/Master_ventas[[#This Row],[Sales]]</f>
        <v>0.25651600753295672</v>
      </c>
      <c r="I333">
        <f ca="1">Referencia_Hoy-Master_ventas[[#This Row],[Order Date]]</f>
        <v>1024</v>
      </c>
      <c r="J333" t="str">
        <f>UPPER(Master_ventas[[#This Row],[Product Name]])</f>
        <v>PRINTER</v>
      </c>
      <c r="K333" t="str">
        <f>UPPER(Master_ventas[[#This Row],[Category]])</f>
        <v>OFFICE</v>
      </c>
      <c r="L333">
        <f>YEAR(Master_ventas[[#This Row],[Order Date]])</f>
        <v>2024</v>
      </c>
      <c r="M333" t="str">
        <f>CONCATENATE(LEFT(Master_ventas[[#This Row],[ProdUpper]],3),RIGHT(Master_ventas[[#This Row],[Ext-Year]],2),"-",MID(Master_ventas[[#This Row],[Category]],1,1))</f>
        <v>PRI24-O</v>
      </c>
      <c r="N333" t="str">
        <f>MID(Master_ventas[[#This Row],[ProdUpper]],1,3)</f>
        <v>PRI</v>
      </c>
      <c r="O333" t="str">
        <f>UPPER(IF(Master_ventas[[#This Row],[Profit]]&gt;500,"High","Std"))</f>
        <v>STD</v>
      </c>
      <c r="P333">
        <v>332</v>
      </c>
    </row>
    <row r="334" spans="1:16" x14ac:dyDescent="0.3">
      <c r="A334" s="1">
        <v>44922</v>
      </c>
      <c r="B334" t="s">
        <v>22</v>
      </c>
      <c r="C334" t="s">
        <v>11</v>
      </c>
      <c r="D334" t="s">
        <v>9</v>
      </c>
      <c r="E334">
        <v>1</v>
      </c>
      <c r="F334" s="3">
        <v>163</v>
      </c>
      <c r="G334" s="2">
        <v>22.07</v>
      </c>
      <c r="H334">
        <f>Master_ventas[[#This Row],[Profit]]/Master_ventas[[#This Row],[Sales]]</f>
        <v>0.13539877300613498</v>
      </c>
      <c r="I334">
        <f ca="1">Referencia_Hoy-Master_ventas[[#This Row],[Order Date]]</f>
        <v>1401</v>
      </c>
      <c r="J334" t="str">
        <f>UPPER(Master_ventas[[#This Row],[Product Name]])</f>
        <v>KEYBOARD</v>
      </c>
      <c r="K334" t="str">
        <f>UPPER(Master_ventas[[#This Row],[Category]])</f>
        <v>ACCESSORIES</v>
      </c>
      <c r="L334">
        <f>YEAR(Master_ventas[[#This Row],[Order Date]])</f>
        <v>2022</v>
      </c>
      <c r="M334" t="str">
        <f>CONCATENATE(LEFT(Master_ventas[[#This Row],[ProdUpper]],3),RIGHT(Master_ventas[[#This Row],[Ext-Year]],2),"-",MID(Master_ventas[[#This Row],[Category]],1,1))</f>
        <v>KEY22-A</v>
      </c>
      <c r="N334" t="str">
        <f>MID(Master_ventas[[#This Row],[ProdUpper]],1,3)</f>
        <v>KEY</v>
      </c>
      <c r="O334" t="str">
        <f>UPPER(IF(Master_ventas[[#This Row],[Profit]]&gt;500,"High","Std"))</f>
        <v>STD</v>
      </c>
      <c r="P334">
        <v>333</v>
      </c>
    </row>
    <row r="335" spans="1:16" x14ac:dyDescent="0.3">
      <c r="A335" s="1">
        <v>45396</v>
      </c>
      <c r="B335" t="s">
        <v>21</v>
      </c>
      <c r="C335" t="s">
        <v>14</v>
      </c>
      <c r="D335" t="s">
        <v>16</v>
      </c>
      <c r="E335">
        <v>9</v>
      </c>
      <c r="F335" s="3">
        <v>9162</v>
      </c>
      <c r="G335" s="2">
        <v>1625.62</v>
      </c>
      <c r="H335">
        <f>Master_ventas[[#This Row],[Profit]]/Master_ventas[[#This Row],[Sales]]</f>
        <v>0.17743069198864875</v>
      </c>
      <c r="I335">
        <f ca="1">Referencia_Hoy-Master_ventas[[#This Row],[Order Date]]</f>
        <v>927</v>
      </c>
      <c r="J335" t="str">
        <f>UPPER(Master_ventas[[#This Row],[Product Name]])</f>
        <v>SMARTPHONE</v>
      </c>
      <c r="K335" t="str">
        <f>UPPER(Master_ventas[[#This Row],[Category]])</f>
        <v>ELECTRONICS</v>
      </c>
      <c r="L335">
        <f>YEAR(Master_ventas[[#This Row],[Order Date]])</f>
        <v>2024</v>
      </c>
      <c r="M335" t="str">
        <f>CONCATENATE(LEFT(Master_ventas[[#This Row],[ProdUpper]],3),RIGHT(Master_ventas[[#This Row],[Ext-Year]],2),"-",MID(Master_ventas[[#This Row],[Category]],1,1))</f>
        <v>SMA24-E</v>
      </c>
      <c r="N335" t="str">
        <f>MID(Master_ventas[[#This Row],[ProdUpper]],1,3)</f>
        <v>SMA</v>
      </c>
      <c r="O335" t="str">
        <f>UPPER(IF(Master_ventas[[#This Row],[Profit]]&gt;500,"High","Std"))</f>
        <v>HIGH</v>
      </c>
      <c r="P335">
        <v>334</v>
      </c>
    </row>
    <row r="336" spans="1:16" x14ac:dyDescent="0.3">
      <c r="A336" s="1">
        <v>44967</v>
      </c>
      <c r="B336" t="s">
        <v>7</v>
      </c>
      <c r="C336" t="s">
        <v>8</v>
      </c>
      <c r="D336" t="s">
        <v>12</v>
      </c>
      <c r="E336">
        <v>4</v>
      </c>
      <c r="F336" s="3">
        <v>1440</v>
      </c>
      <c r="G336" s="2">
        <v>130.24</v>
      </c>
      <c r="H336">
        <f>Master_ventas[[#This Row],[Profit]]/Master_ventas[[#This Row],[Sales]]</f>
        <v>9.0444444444444452E-2</v>
      </c>
      <c r="I336">
        <f ca="1">Referencia_Hoy-Master_ventas[[#This Row],[Order Date]]</f>
        <v>1356</v>
      </c>
      <c r="J336" t="str">
        <f>UPPER(Master_ventas[[#This Row],[Product Name]])</f>
        <v>PRINTER</v>
      </c>
      <c r="K336" t="str">
        <f>UPPER(Master_ventas[[#This Row],[Category]])</f>
        <v>OFFICE</v>
      </c>
      <c r="L336">
        <f>YEAR(Master_ventas[[#This Row],[Order Date]])</f>
        <v>2023</v>
      </c>
      <c r="M336" t="str">
        <f>CONCATENATE(LEFT(Master_ventas[[#This Row],[ProdUpper]],3),RIGHT(Master_ventas[[#This Row],[Ext-Year]],2),"-",MID(Master_ventas[[#This Row],[Category]],1,1))</f>
        <v>PRI23-O</v>
      </c>
      <c r="N336" t="str">
        <f>MID(Master_ventas[[#This Row],[ProdUpper]],1,3)</f>
        <v>PRI</v>
      </c>
      <c r="O336" t="str">
        <f>UPPER(IF(Master_ventas[[#This Row],[Profit]]&gt;500,"High","Std"))</f>
        <v>STD</v>
      </c>
      <c r="P336">
        <v>335</v>
      </c>
    </row>
    <row r="337" spans="1:16" x14ac:dyDescent="0.3">
      <c r="A337" s="1">
        <v>45122</v>
      </c>
      <c r="B337" t="s">
        <v>20</v>
      </c>
      <c r="C337" t="s">
        <v>11</v>
      </c>
      <c r="D337" t="s">
        <v>15</v>
      </c>
      <c r="E337">
        <v>5</v>
      </c>
      <c r="F337" s="3">
        <v>1465</v>
      </c>
      <c r="G337" s="2">
        <v>149.62</v>
      </c>
      <c r="H337">
        <f>Master_ventas[[#This Row],[Profit]]/Master_ventas[[#This Row],[Sales]]</f>
        <v>0.1021296928327645</v>
      </c>
      <c r="I337">
        <f ca="1">Referencia_Hoy-Master_ventas[[#This Row],[Order Date]]</f>
        <v>1201</v>
      </c>
      <c r="J337" t="str">
        <f>UPPER(Master_ventas[[#This Row],[Product Name]])</f>
        <v>MONITOR</v>
      </c>
      <c r="K337" t="str">
        <f>UPPER(Master_ventas[[#This Row],[Category]])</f>
        <v>ACCESSORIES</v>
      </c>
      <c r="L337">
        <f>YEAR(Master_ventas[[#This Row],[Order Date]])</f>
        <v>2023</v>
      </c>
      <c r="M337" t="str">
        <f>CONCATENATE(LEFT(Master_ventas[[#This Row],[ProdUpper]],3),RIGHT(Master_ventas[[#This Row],[Ext-Year]],2),"-",MID(Master_ventas[[#This Row],[Category]],1,1))</f>
        <v>MON23-A</v>
      </c>
      <c r="N337" t="str">
        <f>MID(Master_ventas[[#This Row],[ProdUpper]],1,3)</f>
        <v>MON</v>
      </c>
      <c r="O337" t="str">
        <f>UPPER(IF(Master_ventas[[#This Row],[Profit]]&gt;500,"High","Std"))</f>
        <v>STD</v>
      </c>
      <c r="P337">
        <v>336</v>
      </c>
    </row>
    <row r="338" spans="1:16" x14ac:dyDescent="0.3">
      <c r="A338" s="1">
        <v>45592</v>
      </c>
      <c r="B338" t="s">
        <v>20</v>
      </c>
      <c r="C338" t="s">
        <v>11</v>
      </c>
      <c r="D338" t="s">
        <v>16</v>
      </c>
      <c r="E338">
        <v>2</v>
      </c>
      <c r="F338" s="3">
        <v>366</v>
      </c>
      <c r="G338" s="2">
        <v>31.23</v>
      </c>
      <c r="H338">
        <f>Master_ventas[[#This Row],[Profit]]/Master_ventas[[#This Row],[Sales]]</f>
        <v>8.5327868852459021E-2</v>
      </c>
      <c r="I338">
        <f ca="1">Referencia_Hoy-Master_ventas[[#This Row],[Order Date]]</f>
        <v>731</v>
      </c>
      <c r="J338" t="str">
        <f>UPPER(Master_ventas[[#This Row],[Product Name]])</f>
        <v>MONITOR</v>
      </c>
      <c r="K338" t="str">
        <f>UPPER(Master_ventas[[#This Row],[Category]])</f>
        <v>ACCESSORIES</v>
      </c>
      <c r="L338">
        <f>YEAR(Master_ventas[[#This Row],[Order Date]])</f>
        <v>2024</v>
      </c>
      <c r="M338" t="str">
        <f>CONCATENATE(LEFT(Master_ventas[[#This Row],[ProdUpper]],3),RIGHT(Master_ventas[[#This Row],[Ext-Year]],2),"-",MID(Master_ventas[[#This Row],[Category]],1,1))</f>
        <v>MON24-A</v>
      </c>
      <c r="N338" t="str">
        <f>MID(Master_ventas[[#This Row],[ProdUpper]],1,3)</f>
        <v>MON</v>
      </c>
      <c r="O338" t="str">
        <f>UPPER(IF(Master_ventas[[#This Row],[Profit]]&gt;500,"High","Std"))</f>
        <v>STD</v>
      </c>
      <c r="P338">
        <v>337</v>
      </c>
    </row>
    <row r="339" spans="1:16" x14ac:dyDescent="0.3">
      <c r="A339" s="1">
        <v>45492</v>
      </c>
      <c r="B339" t="s">
        <v>17</v>
      </c>
      <c r="C339" t="s">
        <v>14</v>
      </c>
      <c r="D339" t="s">
        <v>15</v>
      </c>
      <c r="E339">
        <v>5</v>
      </c>
      <c r="F339" s="3">
        <v>3135</v>
      </c>
      <c r="G339" s="2">
        <v>277.27999999999997</v>
      </c>
      <c r="H339">
        <f>Master_ventas[[#This Row],[Profit]]/Master_ventas[[#This Row],[Sales]]</f>
        <v>8.8446570972886759E-2</v>
      </c>
      <c r="I339">
        <f ca="1">Referencia_Hoy-Master_ventas[[#This Row],[Order Date]]</f>
        <v>831</v>
      </c>
      <c r="J339" t="str">
        <f>UPPER(Master_ventas[[#This Row],[Product Name]])</f>
        <v>CAMERA</v>
      </c>
      <c r="K339" t="str">
        <f>UPPER(Master_ventas[[#This Row],[Category]])</f>
        <v>ELECTRONICS</v>
      </c>
      <c r="L339">
        <f>YEAR(Master_ventas[[#This Row],[Order Date]])</f>
        <v>2024</v>
      </c>
      <c r="M339" t="str">
        <f>CONCATENATE(LEFT(Master_ventas[[#This Row],[ProdUpper]],3),RIGHT(Master_ventas[[#This Row],[Ext-Year]],2),"-",MID(Master_ventas[[#This Row],[Category]],1,1))</f>
        <v>CAM24-E</v>
      </c>
      <c r="N339" t="str">
        <f>MID(Master_ventas[[#This Row],[ProdUpper]],1,3)</f>
        <v>CAM</v>
      </c>
      <c r="O339" t="str">
        <f>UPPER(IF(Master_ventas[[#This Row],[Profit]]&gt;500,"High","Std"))</f>
        <v>STD</v>
      </c>
      <c r="P339">
        <v>338</v>
      </c>
    </row>
    <row r="340" spans="1:16" x14ac:dyDescent="0.3">
      <c r="A340" s="1">
        <v>45354</v>
      </c>
      <c r="B340" t="s">
        <v>22</v>
      </c>
      <c r="C340" t="s">
        <v>11</v>
      </c>
      <c r="D340" t="s">
        <v>9</v>
      </c>
      <c r="E340">
        <v>2</v>
      </c>
      <c r="F340" s="3">
        <v>630</v>
      </c>
      <c r="G340" s="2">
        <v>161.04</v>
      </c>
      <c r="H340">
        <f>Master_ventas[[#This Row],[Profit]]/Master_ventas[[#This Row],[Sales]]</f>
        <v>0.25561904761904758</v>
      </c>
      <c r="I340">
        <f ca="1">Referencia_Hoy-Master_ventas[[#This Row],[Order Date]]</f>
        <v>969</v>
      </c>
      <c r="J340" t="str">
        <f>UPPER(Master_ventas[[#This Row],[Product Name]])</f>
        <v>KEYBOARD</v>
      </c>
      <c r="K340" t="str">
        <f>UPPER(Master_ventas[[#This Row],[Category]])</f>
        <v>ACCESSORIES</v>
      </c>
      <c r="L340">
        <f>YEAR(Master_ventas[[#This Row],[Order Date]])</f>
        <v>2024</v>
      </c>
      <c r="M340" t="str">
        <f>CONCATENATE(LEFT(Master_ventas[[#This Row],[ProdUpper]],3),RIGHT(Master_ventas[[#This Row],[Ext-Year]],2),"-",MID(Master_ventas[[#This Row],[Category]],1,1))</f>
        <v>KEY24-A</v>
      </c>
      <c r="N340" t="str">
        <f>MID(Master_ventas[[#This Row],[ProdUpper]],1,3)</f>
        <v>KEY</v>
      </c>
      <c r="O340" t="str">
        <f>UPPER(IF(Master_ventas[[#This Row],[Profit]]&gt;500,"High","Std"))</f>
        <v>STD</v>
      </c>
      <c r="P340">
        <v>339</v>
      </c>
    </row>
    <row r="341" spans="1:16" x14ac:dyDescent="0.3">
      <c r="A341" s="1">
        <v>45394</v>
      </c>
      <c r="B341" t="s">
        <v>20</v>
      </c>
      <c r="C341" t="s">
        <v>11</v>
      </c>
      <c r="D341" t="s">
        <v>15</v>
      </c>
      <c r="E341">
        <v>1</v>
      </c>
      <c r="F341" s="3">
        <v>213</v>
      </c>
      <c r="G341" s="2">
        <v>42.94</v>
      </c>
      <c r="H341">
        <f>Master_ventas[[#This Row],[Profit]]/Master_ventas[[#This Row],[Sales]]</f>
        <v>0.20159624413145538</v>
      </c>
      <c r="I341">
        <f ca="1">Referencia_Hoy-Master_ventas[[#This Row],[Order Date]]</f>
        <v>929</v>
      </c>
      <c r="J341" t="str">
        <f>UPPER(Master_ventas[[#This Row],[Product Name]])</f>
        <v>MONITOR</v>
      </c>
      <c r="K341" t="str">
        <f>UPPER(Master_ventas[[#This Row],[Category]])</f>
        <v>ACCESSORIES</v>
      </c>
      <c r="L341">
        <f>YEAR(Master_ventas[[#This Row],[Order Date]])</f>
        <v>2024</v>
      </c>
      <c r="M341" t="str">
        <f>CONCATENATE(LEFT(Master_ventas[[#This Row],[ProdUpper]],3),RIGHT(Master_ventas[[#This Row],[Ext-Year]],2),"-",MID(Master_ventas[[#This Row],[Category]],1,1))</f>
        <v>MON24-A</v>
      </c>
      <c r="N341" t="str">
        <f>MID(Master_ventas[[#This Row],[ProdUpper]],1,3)</f>
        <v>MON</v>
      </c>
      <c r="O341" t="str">
        <f>UPPER(IF(Master_ventas[[#This Row],[Profit]]&gt;500,"High","Std"))</f>
        <v>STD</v>
      </c>
      <c r="P341">
        <v>340</v>
      </c>
    </row>
    <row r="342" spans="1:16" x14ac:dyDescent="0.3">
      <c r="A342" s="1">
        <v>45463</v>
      </c>
      <c r="B342" t="s">
        <v>20</v>
      </c>
      <c r="C342" t="s">
        <v>11</v>
      </c>
      <c r="D342" t="s">
        <v>9</v>
      </c>
      <c r="E342">
        <v>4</v>
      </c>
      <c r="F342" s="3">
        <v>3792</v>
      </c>
      <c r="G342" s="2">
        <v>1092.8499999999999</v>
      </c>
      <c r="H342">
        <f>Master_ventas[[#This Row],[Profit]]/Master_ventas[[#This Row],[Sales]]</f>
        <v>0.28819883966244725</v>
      </c>
      <c r="I342">
        <f ca="1">Referencia_Hoy-Master_ventas[[#This Row],[Order Date]]</f>
        <v>860</v>
      </c>
      <c r="J342" t="str">
        <f>UPPER(Master_ventas[[#This Row],[Product Name]])</f>
        <v>MONITOR</v>
      </c>
      <c r="K342" t="str">
        <f>UPPER(Master_ventas[[#This Row],[Category]])</f>
        <v>ACCESSORIES</v>
      </c>
      <c r="L342">
        <f>YEAR(Master_ventas[[#This Row],[Order Date]])</f>
        <v>2024</v>
      </c>
      <c r="M342" t="str">
        <f>CONCATENATE(LEFT(Master_ventas[[#This Row],[ProdUpper]],3),RIGHT(Master_ventas[[#This Row],[Ext-Year]],2),"-",MID(Master_ventas[[#This Row],[Category]],1,1))</f>
        <v>MON24-A</v>
      </c>
      <c r="N342" t="str">
        <f>MID(Master_ventas[[#This Row],[ProdUpper]],1,3)</f>
        <v>MON</v>
      </c>
      <c r="O342" t="str">
        <f>UPPER(IF(Master_ventas[[#This Row],[Profit]]&gt;500,"High","Std"))</f>
        <v>HIGH</v>
      </c>
      <c r="P342">
        <v>341</v>
      </c>
    </row>
    <row r="343" spans="1:16" x14ac:dyDescent="0.3">
      <c r="A343" s="1">
        <v>45098</v>
      </c>
      <c r="B343" t="s">
        <v>10</v>
      </c>
      <c r="C343" t="s">
        <v>11</v>
      </c>
      <c r="D343" t="s">
        <v>12</v>
      </c>
      <c r="E343">
        <v>2</v>
      </c>
      <c r="F343" s="3">
        <v>1932</v>
      </c>
      <c r="G343" s="2">
        <v>109.07</v>
      </c>
      <c r="H343">
        <f>Master_ventas[[#This Row],[Profit]]/Master_ventas[[#This Row],[Sales]]</f>
        <v>5.6454451345755691E-2</v>
      </c>
      <c r="I343">
        <f ca="1">Referencia_Hoy-Master_ventas[[#This Row],[Order Date]]</f>
        <v>1225</v>
      </c>
      <c r="J343" t="str">
        <f>UPPER(Master_ventas[[#This Row],[Product Name]])</f>
        <v>MOUSE</v>
      </c>
      <c r="K343" t="str">
        <f>UPPER(Master_ventas[[#This Row],[Category]])</f>
        <v>ACCESSORIES</v>
      </c>
      <c r="L343">
        <f>YEAR(Master_ventas[[#This Row],[Order Date]])</f>
        <v>2023</v>
      </c>
      <c r="M343" t="str">
        <f>CONCATENATE(LEFT(Master_ventas[[#This Row],[ProdUpper]],3),RIGHT(Master_ventas[[#This Row],[Ext-Year]],2),"-",MID(Master_ventas[[#This Row],[Category]],1,1))</f>
        <v>MOU23-A</v>
      </c>
      <c r="N343" t="str">
        <f>MID(Master_ventas[[#This Row],[ProdUpper]],1,3)</f>
        <v>MOU</v>
      </c>
      <c r="O343" t="str">
        <f>UPPER(IF(Master_ventas[[#This Row],[Profit]]&gt;500,"High","Std"))</f>
        <v>STD</v>
      </c>
      <c r="P343">
        <v>342</v>
      </c>
    </row>
    <row r="344" spans="1:16" x14ac:dyDescent="0.3">
      <c r="A344" s="1">
        <v>44951</v>
      </c>
      <c r="B344" t="s">
        <v>22</v>
      </c>
      <c r="C344" t="s">
        <v>11</v>
      </c>
      <c r="D344" t="s">
        <v>16</v>
      </c>
      <c r="E344">
        <v>4</v>
      </c>
      <c r="F344" s="3">
        <v>4152</v>
      </c>
      <c r="G344" s="2">
        <v>317.27999999999997</v>
      </c>
      <c r="H344">
        <f>Master_ventas[[#This Row],[Profit]]/Master_ventas[[#This Row],[Sales]]</f>
        <v>7.6416184971098255E-2</v>
      </c>
      <c r="I344">
        <f ca="1">Referencia_Hoy-Master_ventas[[#This Row],[Order Date]]</f>
        <v>1372</v>
      </c>
      <c r="J344" t="str">
        <f>UPPER(Master_ventas[[#This Row],[Product Name]])</f>
        <v>KEYBOARD</v>
      </c>
      <c r="K344" t="str">
        <f>UPPER(Master_ventas[[#This Row],[Category]])</f>
        <v>ACCESSORIES</v>
      </c>
      <c r="L344">
        <f>YEAR(Master_ventas[[#This Row],[Order Date]])</f>
        <v>2023</v>
      </c>
      <c r="M344" t="str">
        <f>CONCATENATE(LEFT(Master_ventas[[#This Row],[ProdUpper]],3),RIGHT(Master_ventas[[#This Row],[Ext-Year]],2),"-",MID(Master_ventas[[#This Row],[Category]],1,1))</f>
        <v>KEY23-A</v>
      </c>
      <c r="N344" t="str">
        <f>MID(Master_ventas[[#This Row],[ProdUpper]],1,3)</f>
        <v>KEY</v>
      </c>
      <c r="O344" t="str">
        <f>UPPER(IF(Master_ventas[[#This Row],[Profit]]&gt;500,"High","Std"))</f>
        <v>STD</v>
      </c>
      <c r="P344">
        <v>343</v>
      </c>
    </row>
    <row r="345" spans="1:16" x14ac:dyDescent="0.3">
      <c r="A345" s="1">
        <v>45339</v>
      </c>
      <c r="B345" t="s">
        <v>21</v>
      </c>
      <c r="C345" t="s">
        <v>14</v>
      </c>
      <c r="D345" t="s">
        <v>9</v>
      </c>
      <c r="E345">
        <v>7</v>
      </c>
      <c r="F345" s="3">
        <v>3612</v>
      </c>
      <c r="G345" s="2">
        <v>529.57000000000005</v>
      </c>
      <c r="H345">
        <f>Master_ventas[[#This Row],[Profit]]/Master_ventas[[#This Row],[Sales]]</f>
        <v>0.14661406423034332</v>
      </c>
      <c r="I345">
        <f ca="1">Referencia_Hoy-Master_ventas[[#This Row],[Order Date]]</f>
        <v>984</v>
      </c>
      <c r="J345" t="str">
        <f>UPPER(Master_ventas[[#This Row],[Product Name]])</f>
        <v>SMARTPHONE</v>
      </c>
      <c r="K345" t="str">
        <f>UPPER(Master_ventas[[#This Row],[Category]])</f>
        <v>ELECTRONICS</v>
      </c>
      <c r="L345">
        <f>YEAR(Master_ventas[[#This Row],[Order Date]])</f>
        <v>2024</v>
      </c>
      <c r="M345" t="str">
        <f>CONCATENATE(LEFT(Master_ventas[[#This Row],[ProdUpper]],3),RIGHT(Master_ventas[[#This Row],[Ext-Year]],2),"-",MID(Master_ventas[[#This Row],[Category]],1,1))</f>
        <v>SMA24-E</v>
      </c>
      <c r="N345" t="str">
        <f>MID(Master_ventas[[#This Row],[ProdUpper]],1,3)</f>
        <v>SMA</v>
      </c>
      <c r="O345" t="str">
        <f>UPPER(IF(Master_ventas[[#This Row],[Profit]]&gt;500,"High","Std"))</f>
        <v>HIGH</v>
      </c>
      <c r="P345">
        <v>344</v>
      </c>
    </row>
    <row r="346" spans="1:16" x14ac:dyDescent="0.3">
      <c r="A346" s="1">
        <v>45544</v>
      </c>
      <c r="B346" t="s">
        <v>21</v>
      </c>
      <c r="C346" t="s">
        <v>14</v>
      </c>
      <c r="D346" t="s">
        <v>12</v>
      </c>
      <c r="E346">
        <v>2</v>
      </c>
      <c r="F346" s="3">
        <v>2258</v>
      </c>
      <c r="G346" s="2">
        <v>280.76</v>
      </c>
      <c r="H346">
        <f>Master_ventas[[#This Row],[Profit]]/Master_ventas[[#This Row],[Sales]]</f>
        <v>0.12434012400354295</v>
      </c>
      <c r="I346">
        <f ca="1">Referencia_Hoy-Master_ventas[[#This Row],[Order Date]]</f>
        <v>779</v>
      </c>
      <c r="J346" t="str">
        <f>UPPER(Master_ventas[[#This Row],[Product Name]])</f>
        <v>SMARTPHONE</v>
      </c>
      <c r="K346" t="str">
        <f>UPPER(Master_ventas[[#This Row],[Category]])</f>
        <v>ELECTRONICS</v>
      </c>
      <c r="L346">
        <f>YEAR(Master_ventas[[#This Row],[Order Date]])</f>
        <v>2024</v>
      </c>
      <c r="M346" t="str">
        <f>CONCATENATE(LEFT(Master_ventas[[#This Row],[ProdUpper]],3),RIGHT(Master_ventas[[#This Row],[Ext-Year]],2),"-",MID(Master_ventas[[#This Row],[Category]],1,1))</f>
        <v>SMA24-E</v>
      </c>
      <c r="N346" t="str">
        <f>MID(Master_ventas[[#This Row],[ProdUpper]],1,3)</f>
        <v>SMA</v>
      </c>
      <c r="O346" t="str">
        <f>UPPER(IF(Master_ventas[[#This Row],[Profit]]&gt;500,"High","Std"))</f>
        <v>STD</v>
      </c>
      <c r="P346">
        <v>345</v>
      </c>
    </row>
    <row r="347" spans="1:16" x14ac:dyDescent="0.3">
      <c r="A347" s="1">
        <v>44751</v>
      </c>
      <c r="B347" t="s">
        <v>17</v>
      </c>
      <c r="C347" t="s">
        <v>14</v>
      </c>
      <c r="D347" t="s">
        <v>15</v>
      </c>
      <c r="E347">
        <v>3</v>
      </c>
      <c r="F347" s="3">
        <v>594</v>
      </c>
      <c r="G347" s="2">
        <v>47.73</v>
      </c>
      <c r="H347">
        <f>Master_ventas[[#This Row],[Profit]]/Master_ventas[[#This Row],[Sales]]</f>
        <v>8.0353535353535344E-2</v>
      </c>
      <c r="I347">
        <f ca="1">Referencia_Hoy-Master_ventas[[#This Row],[Order Date]]</f>
        <v>1572</v>
      </c>
      <c r="J347" t="str">
        <f>UPPER(Master_ventas[[#This Row],[Product Name]])</f>
        <v>CAMERA</v>
      </c>
      <c r="K347" t="str">
        <f>UPPER(Master_ventas[[#This Row],[Category]])</f>
        <v>ELECTRONICS</v>
      </c>
      <c r="L347">
        <f>YEAR(Master_ventas[[#This Row],[Order Date]])</f>
        <v>2022</v>
      </c>
      <c r="M347" t="str">
        <f>CONCATENATE(LEFT(Master_ventas[[#This Row],[ProdUpper]],3),RIGHT(Master_ventas[[#This Row],[Ext-Year]],2),"-",MID(Master_ventas[[#This Row],[Category]],1,1))</f>
        <v>CAM22-E</v>
      </c>
      <c r="N347" t="str">
        <f>MID(Master_ventas[[#This Row],[ProdUpper]],1,3)</f>
        <v>CAM</v>
      </c>
      <c r="O347" t="str">
        <f>UPPER(IF(Master_ventas[[#This Row],[Profit]]&gt;500,"High","Std"))</f>
        <v>STD</v>
      </c>
      <c r="P347">
        <v>346</v>
      </c>
    </row>
    <row r="348" spans="1:16" x14ac:dyDescent="0.3">
      <c r="A348" s="1">
        <v>45170</v>
      </c>
      <c r="B348" t="s">
        <v>18</v>
      </c>
      <c r="C348" t="s">
        <v>11</v>
      </c>
      <c r="D348" t="s">
        <v>16</v>
      </c>
      <c r="E348">
        <v>7</v>
      </c>
      <c r="F348" s="3">
        <v>8071</v>
      </c>
      <c r="G348" s="2">
        <v>1799.06</v>
      </c>
      <c r="H348">
        <f>Master_ventas[[#This Row],[Profit]]/Master_ventas[[#This Row],[Sales]]</f>
        <v>0.22290422500309751</v>
      </c>
      <c r="I348">
        <f ca="1">Referencia_Hoy-Master_ventas[[#This Row],[Order Date]]</f>
        <v>1153</v>
      </c>
      <c r="J348" t="str">
        <f>UPPER(Master_ventas[[#This Row],[Product Name]])</f>
        <v>HEADPHONES</v>
      </c>
      <c r="K348" t="str">
        <f>UPPER(Master_ventas[[#This Row],[Category]])</f>
        <v>ACCESSORIES</v>
      </c>
      <c r="L348">
        <f>YEAR(Master_ventas[[#This Row],[Order Date]])</f>
        <v>2023</v>
      </c>
      <c r="M348" t="str">
        <f>CONCATENATE(LEFT(Master_ventas[[#This Row],[ProdUpper]],3),RIGHT(Master_ventas[[#This Row],[Ext-Year]],2),"-",MID(Master_ventas[[#This Row],[Category]],1,1))</f>
        <v>HEA23-A</v>
      </c>
      <c r="N348" t="str">
        <f>MID(Master_ventas[[#This Row],[ProdUpper]],1,3)</f>
        <v>HEA</v>
      </c>
      <c r="O348" t="str">
        <f>UPPER(IF(Master_ventas[[#This Row],[Profit]]&gt;500,"High","Std"))</f>
        <v>HIGH</v>
      </c>
      <c r="P348">
        <v>347</v>
      </c>
    </row>
    <row r="349" spans="1:16" x14ac:dyDescent="0.3">
      <c r="A349" s="1">
        <v>45381</v>
      </c>
      <c r="B349" t="s">
        <v>22</v>
      </c>
      <c r="C349" t="s">
        <v>11</v>
      </c>
      <c r="D349" t="s">
        <v>9</v>
      </c>
      <c r="E349">
        <v>7</v>
      </c>
      <c r="F349" s="3">
        <v>5838</v>
      </c>
      <c r="G349" s="2">
        <v>631.45000000000005</v>
      </c>
      <c r="H349">
        <f>Master_ventas[[#This Row],[Profit]]/Master_ventas[[#This Row],[Sales]]</f>
        <v>0.10816204179513533</v>
      </c>
      <c r="I349">
        <f ca="1">Referencia_Hoy-Master_ventas[[#This Row],[Order Date]]</f>
        <v>942</v>
      </c>
      <c r="J349" t="str">
        <f>UPPER(Master_ventas[[#This Row],[Product Name]])</f>
        <v>KEYBOARD</v>
      </c>
      <c r="K349" t="str">
        <f>UPPER(Master_ventas[[#This Row],[Category]])</f>
        <v>ACCESSORIES</v>
      </c>
      <c r="L349">
        <f>YEAR(Master_ventas[[#This Row],[Order Date]])</f>
        <v>2024</v>
      </c>
      <c r="M349" t="str">
        <f>CONCATENATE(LEFT(Master_ventas[[#This Row],[ProdUpper]],3),RIGHT(Master_ventas[[#This Row],[Ext-Year]],2),"-",MID(Master_ventas[[#This Row],[Category]],1,1))</f>
        <v>KEY24-A</v>
      </c>
      <c r="N349" t="str">
        <f>MID(Master_ventas[[#This Row],[ProdUpper]],1,3)</f>
        <v>KEY</v>
      </c>
      <c r="O349" t="str">
        <f>UPPER(IF(Master_ventas[[#This Row],[Profit]]&gt;500,"High","Std"))</f>
        <v>HIGH</v>
      </c>
      <c r="P349">
        <v>348</v>
      </c>
    </row>
    <row r="350" spans="1:16" x14ac:dyDescent="0.3">
      <c r="A350" s="1">
        <v>45648</v>
      </c>
      <c r="B350" t="s">
        <v>22</v>
      </c>
      <c r="C350" t="s">
        <v>11</v>
      </c>
      <c r="D350" t="s">
        <v>9</v>
      </c>
      <c r="E350">
        <v>4</v>
      </c>
      <c r="F350" s="3">
        <v>692</v>
      </c>
      <c r="G350" s="2">
        <v>181.31</v>
      </c>
      <c r="H350">
        <f>Master_ventas[[#This Row],[Profit]]/Master_ventas[[#This Row],[Sales]]</f>
        <v>0.26200867052023119</v>
      </c>
      <c r="I350">
        <f ca="1">Referencia_Hoy-Master_ventas[[#This Row],[Order Date]]</f>
        <v>675</v>
      </c>
      <c r="J350" t="str">
        <f>UPPER(Master_ventas[[#This Row],[Product Name]])</f>
        <v>KEYBOARD</v>
      </c>
      <c r="K350" t="str">
        <f>UPPER(Master_ventas[[#This Row],[Category]])</f>
        <v>ACCESSORIES</v>
      </c>
      <c r="L350">
        <f>YEAR(Master_ventas[[#This Row],[Order Date]])</f>
        <v>2024</v>
      </c>
      <c r="M350" t="str">
        <f>CONCATENATE(LEFT(Master_ventas[[#This Row],[ProdUpper]],3),RIGHT(Master_ventas[[#This Row],[Ext-Year]],2),"-",MID(Master_ventas[[#This Row],[Category]],1,1))</f>
        <v>KEY24-A</v>
      </c>
      <c r="N350" t="str">
        <f>MID(Master_ventas[[#This Row],[ProdUpper]],1,3)</f>
        <v>KEY</v>
      </c>
      <c r="O350" t="str">
        <f>UPPER(IF(Master_ventas[[#This Row],[Profit]]&gt;500,"High","Std"))</f>
        <v>STD</v>
      </c>
      <c r="P350">
        <v>349</v>
      </c>
    </row>
    <row r="351" spans="1:16" x14ac:dyDescent="0.3">
      <c r="A351" s="1">
        <v>45543</v>
      </c>
      <c r="B351" t="s">
        <v>22</v>
      </c>
      <c r="C351" t="s">
        <v>11</v>
      </c>
      <c r="D351" t="s">
        <v>15</v>
      </c>
      <c r="E351">
        <v>3</v>
      </c>
      <c r="F351" s="3">
        <v>1704</v>
      </c>
      <c r="G351" s="2">
        <v>309.06</v>
      </c>
      <c r="H351">
        <f>Master_ventas[[#This Row],[Profit]]/Master_ventas[[#This Row],[Sales]]</f>
        <v>0.18137323943661973</v>
      </c>
      <c r="I351">
        <f ca="1">Referencia_Hoy-Master_ventas[[#This Row],[Order Date]]</f>
        <v>780</v>
      </c>
      <c r="J351" t="str">
        <f>UPPER(Master_ventas[[#This Row],[Product Name]])</f>
        <v>KEYBOARD</v>
      </c>
      <c r="K351" t="str">
        <f>UPPER(Master_ventas[[#This Row],[Category]])</f>
        <v>ACCESSORIES</v>
      </c>
      <c r="L351">
        <f>YEAR(Master_ventas[[#This Row],[Order Date]])</f>
        <v>2024</v>
      </c>
      <c r="M351" t="str">
        <f>CONCATENATE(LEFT(Master_ventas[[#This Row],[ProdUpper]],3),RIGHT(Master_ventas[[#This Row],[Ext-Year]],2),"-",MID(Master_ventas[[#This Row],[Category]],1,1))</f>
        <v>KEY24-A</v>
      </c>
      <c r="N351" t="str">
        <f>MID(Master_ventas[[#This Row],[ProdUpper]],1,3)</f>
        <v>KEY</v>
      </c>
      <c r="O351" t="str">
        <f>UPPER(IF(Master_ventas[[#This Row],[Profit]]&gt;500,"High","Std"))</f>
        <v>STD</v>
      </c>
      <c r="P351">
        <v>350</v>
      </c>
    </row>
    <row r="352" spans="1:16" x14ac:dyDescent="0.3">
      <c r="A352" s="1">
        <v>44947</v>
      </c>
      <c r="B352" t="s">
        <v>7</v>
      </c>
      <c r="C352" t="s">
        <v>8</v>
      </c>
      <c r="D352" t="s">
        <v>15</v>
      </c>
      <c r="E352">
        <v>5</v>
      </c>
      <c r="F352" s="3">
        <v>3235</v>
      </c>
      <c r="G352" s="2">
        <v>941.24</v>
      </c>
      <c r="H352">
        <f>Master_ventas[[#This Row],[Profit]]/Master_ventas[[#This Row],[Sales]]</f>
        <v>0.29095517774343121</v>
      </c>
      <c r="I352">
        <f ca="1">Referencia_Hoy-Master_ventas[[#This Row],[Order Date]]</f>
        <v>1376</v>
      </c>
      <c r="J352" t="str">
        <f>UPPER(Master_ventas[[#This Row],[Product Name]])</f>
        <v>PRINTER</v>
      </c>
      <c r="K352" t="str">
        <f>UPPER(Master_ventas[[#This Row],[Category]])</f>
        <v>OFFICE</v>
      </c>
      <c r="L352">
        <f>YEAR(Master_ventas[[#This Row],[Order Date]])</f>
        <v>2023</v>
      </c>
      <c r="M352" t="str">
        <f>CONCATENATE(LEFT(Master_ventas[[#This Row],[ProdUpper]],3),RIGHT(Master_ventas[[#This Row],[Ext-Year]],2),"-",MID(Master_ventas[[#This Row],[Category]],1,1))</f>
        <v>PRI23-O</v>
      </c>
      <c r="N352" t="str">
        <f>MID(Master_ventas[[#This Row],[ProdUpper]],1,3)</f>
        <v>PRI</v>
      </c>
      <c r="O352" t="str">
        <f>UPPER(IF(Master_ventas[[#This Row],[Profit]]&gt;500,"High","Std"))</f>
        <v>HIGH</v>
      </c>
      <c r="P352">
        <v>351</v>
      </c>
    </row>
    <row r="353" spans="1:16" x14ac:dyDescent="0.3">
      <c r="A353" s="1">
        <v>45211</v>
      </c>
      <c r="B353" t="s">
        <v>10</v>
      </c>
      <c r="C353" t="s">
        <v>11</v>
      </c>
      <c r="D353" t="s">
        <v>12</v>
      </c>
      <c r="E353">
        <v>6</v>
      </c>
      <c r="F353" s="3">
        <v>4746</v>
      </c>
      <c r="G353" s="2">
        <v>545.57000000000005</v>
      </c>
      <c r="H353">
        <f>Master_ventas[[#This Row],[Profit]]/Master_ventas[[#This Row],[Sales]]</f>
        <v>0.11495364517488413</v>
      </c>
      <c r="I353">
        <f ca="1">Referencia_Hoy-Master_ventas[[#This Row],[Order Date]]</f>
        <v>1112</v>
      </c>
      <c r="J353" t="str">
        <f>UPPER(Master_ventas[[#This Row],[Product Name]])</f>
        <v>MOUSE</v>
      </c>
      <c r="K353" t="str">
        <f>UPPER(Master_ventas[[#This Row],[Category]])</f>
        <v>ACCESSORIES</v>
      </c>
      <c r="L353">
        <f>YEAR(Master_ventas[[#This Row],[Order Date]])</f>
        <v>2023</v>
      </c>
      <c r="M353" t="str">
        <f>CONCATENATE(LEFT(Master_ventas[[#This Row],[ProdUpper]],3),RIGHT(Master_ventas[[#This Row],[Ext-Year]],2),"-",MID(Master_ventas[[#This Row],[Category]],1,1))</f>
        <v>MOU23-A</v>
      </c>
      <c r="N353" t="str">
        <f>MID(Master_ventas[[#This Row],[ProdUpper]],1,3)</f>
        <v>MOU</v>
      </c>
      <c r="O353" t="str">
        <f>UPPER(IF(Master_ventas[[#This Row],[Profit]]&gt;500,"High","Std"))</f>
        <v>HIGH</v>
      </c>
      <c r="P353">
        <v>352</v>
      </c>
    </row>
    <row r="354" spans="1:16" x14ac:dyDescent="0.3">
      <c r="A354" s="1">
        <v>44774</v>
      </c>
      <c r="B354" t="s">
        <v>19</v>
      </c>
      <c r="C354" t="s">
        <v>14</v>
      </c>
      <c r="D354" t="s">
        <v>15</v>
      </c>
      <c r="E354">
        <v>8</v>
      </c>
      <c r="F354" s="3">
        <v>7600</v>
      </c>
      <c r="G354" s="2">
        <v>788.88</v>
      </c>
      <c r="H354">
        <f>Master_ventas[[#This Row],[Profit]]/Master_ventas[[#This Row],[Sales]]</f>
        <v>0.1038</v>
      </c>
      <c r="I354">
        <f ca="1">Referencia_Hoy-Master_ventas[[#This Row],[Order Date]]</f>
        <v>1549</v>
      </c>
      <c r="J354" t="str">
        <f>UPPER(Master_ventas[[#This Row],[Product Name]])</f>
        <v>SMARTWATCH</v>
      </c>
      <c r="K354" t="str">
        <f>UPPER(Master_ventas[[#This Row],[Category]])</f>
        <v>ELECTRONICS</v>
      </c>
      <c r="L354">
        <f>YEAR(Master_ventas[[#This Row],[Order Date]])</f>
        <v>2022</v>
      </c>
      <c r="M354" t="str">
        <f>CONCATENATE(LEFT(Master_ventas[[#This Row],[ProdUpper]],3),RIGHT(Master_ventas[[#This Row],[Ext-Year]],2),"-",MID(Master_ventas[[#This Row],[Category]],1,1))</f>
        <v>SMA22-E</v>
      </c>
      <c r="N354" t="str">
        <f>MID(Master_ventas[[#This Row],[ProdUpper]],1,3)</f>
        <v>SMA</v>
      </c>
      <c r="O354" t="str">
        <f>UPPER(IF(Master_ventas[[#This Row],[Profit]]&gt;500,"High","Std"))</f>
        <v>HIGH</v>
      </c>
      <c r="P354">
        <v>353</v>
      </c>
    </row>
    <row r="355" spans="1:16" x14ac:dyDescent="0.3">
      <c r="A355" s="1">
        <v>45233</v>
      </c>
      <c r="B355" t="s">
        <v>21</v>
      </c>
      <c r="C355" t="s">
        <v>14</v>
      </c>
      <c r="D355" t="s">
        <v>16</v>
      </c>
      <c r="E355">
        <v>5</v>
      </c>
      <c r="F355" s="3">
        <v>1935</v>
      </c>
      <c r="G355" s="2">
        <v>128.01</v>
      </c>
      <c r="H355">
        <f>Master_ventas[[#This Row],[Profit]]/Master_ventas[[#This Row],[Sales]]</f>
        <v>6.6155038759689921E-2</v>
      </c>
      <c r="I355">
        <f ca="1">Referencia_Hoy-Master_ventas[[#This Row],[Order Date]]</f>
        <v>1090</v>
      </c>
      <c r="J355" t="str">
        <f>UPPER(Master_ventas[[#This Row],[Product Name]])</f>
        <v>SMARTPHONE</v>
      </c>
      <c r="K355" t="str">
        <f>UPPER(Master_ventas[[#This Row],[Category]])</f>
        <v>ELECTRONICS</v>
      </c>
      <c r="L355">
        <f>YEAR(Master_ventas[[#This Row],[Order Date]])</f>
        <v>2023</v>
      </c>
      <c r="M355" t="str">
        <f>CONCATENATE(LEFT(Master_ventas[[#This Row],[ProdUpper]],3),RIGHT(Master_ventas[[#This Row],[Ext-Year]],2),"-",MID(Master_ventas[[#This Row],[Category]],1,1))</f>
        <v>SMA23-E</v>
      </c>
      <c r="N355" t="str">
        <f>MID(Master_ventas[[#This Row],[ProdUpper]],1,3)</f>
        <v>SMA</v>
      </c>
      <c r="O355" t="str">
        <f>UPPER(IF(Master_ventas[[#This Row],[Profit]]&gt;500,"High","Std"))</f>
        <v>STD</v>
      </c>
      <c r="P355">
        <v>354</v>
      </c>
    </row>
    <row r="356" spans="1:16" x14ac:dyDescent="0.3">
      <c r="A356" s="1">
        <v>45264</v>
      </c>
      <c r="B356" t="s">
        <v>23</v>
      </c>
      <c r="C356" t="s">
        <v>14</v>
      </c>
      <c r="D356" t="s">
        <v>9</v>
      </c>
      <c r="E356">
        <v>3</v>
      </c>
      <c r="F356" s="3">
        <v>1638</v>
      </c>
      <c r="G356" s="2">
        <v>306.29000000000002</v>
      </c>
      <c r="H356">
        <f>Master_ventas[[#This Row],[Profit]]/Master_ventas[[#This Row],[Sales]]</f>
        <v>0.18699023199023201</v>
      </c>
      <c r="I356">
        <f ca="1">Referencia_Hoy-Master_ventas[[#This Row],[Order Date]]</f>
        <v>1059</v>
      </c>
      <c r="J356" t="str">
        <f>UPPER(Master_ventas[[#This Row],[Product Name]])</f>
        <v>LAPTOP</v>
      </c>
      <c r="K356" t="str">
        <f>UPPER(Master_ventas[[#This Row],[Category]])</f>
        <v>ELECTRONICS</v>
      </c>
      <c r="L356">
        <f>YEAR(Master_ventas[[#This Row],[Order Date]])</f>
        <v>2023</v>
      </c>
      <c r="M356" t="str">
        <f>CONCATENATE(LEFT(Master_ventas[[#This Row],[ProdUpper]],3),RIGHT(Master_ventas[[#This Row],[Ext-Year]],2),"-",MID(Master_ventas[[#This Row],[Category]],1,1))</f>
        <v>LAP23-E</v>
      </c>
      <c r="N356" t="str">
        <f>MID(Master_ventas[[#This Row],[ProdUpper]],1,3)</f>
        <v>LAP</v>
      </c>
      <c r="O356" t="str">
        <f>UPPER(IF(Master_ventas[[#This Row],[Profit]]&gt;500,"High","Std"))</f>
        <v>STD</v>
      </c>
      <c r="P356">
        <v>355</v>
      </c>
    </row>
    <row r="357" spans="1:16" x14ac:dyDescent="0.3">
      <c r="A357" s="1">
        <v>45107</v>
      </c>
      <c r="B357" t="s">
        <v>22</v>
      </c>
      <c r="C357" t="s">
        <v>11</v>
      </c>
      <c r="D357" t="s">
        <v>16</v>
      </c>
      <c r="E357">
        <v>7</v>
      </c>
      <c r="F357" s="3">
        <v>4746</v>
      </c>
      <c r="G357" s="2">
        <v>816.6</v>
      </c>
      <c r="H357">
        <f>Master_ventas[[#This Row],[Profit]]/Master_ventas[[#This Row],[Sales]]</f>
        <v>0.17206068268015171</v>
      </c>
      <c r="I357">
        <f ca="1">Referencia_Hoy-Master_ventas[[#This Row],[Order Date]]</f>
        <v>1216</v>
      </c>
      <c r="J357" t="str">
        <f>UPPER(Master_ventas[[#This Row],[Product Name]])</f>
        <v>KEYBOARD</v>
      </c>
      <c r="K357" t="str">
        <f>UPPER(Master_ventas[[#This Row],[Category]])</f>
        <v>ACCESSORIES</v>
      </c>
      <c r="L357">
        <f>YEAR(Master_ventas[[#This Row],[Order Date]])</f>
        <v>2023</v>
      </c>
      <c r="M357" t="str">
        <f>CONCATENATE(LEFT(Master_ventas[[#This Row],[ProdUpper]],3),RIGHT(Master_ventas[[#This Row],[Ext-Year]],2),"-",MID(Master_ventas[[#This Row],[Category]],1,1))</f>
        <v>KEY23-A</v>
      </c>
      <c r="N357" t="str">
        <f>MID(Master_ventas[[#This Row],[ProdUpper]],1,3)</f>
        <v>KEY</v>
      </c>
      <c r="O357" t="str">
        <f>UPPER(IF(Master_ventas[[#This Row],[Profit]]&gt;500,"High","Std"))</f>
        <v>HIGH</v>
      </c>
      <c r="P357">
        <v>356</v>
      </c>
    </row>
    <row r="358" spans="1:16" x14ac:dyDescent="0.3">
      <c r="A358" s="1">
        <v>44958</v>
      </c>
      <c r="B358" t="s">
        <v>21</v>
      </c>
      <c r="C358" t="s">
        <v>14</v>
      </c>
      <c r="D358" t="s">
        <v>9</v>
      </c>
      <c r="E358">
        <v>8</v>
      </c>
      <c r="F358" s="3">
        <v>4824</v>
      </c>
      <c r="G358" s="2">
        <v>1187.93</v>
      </c>
      <c r="H358">
        <f>Master_ventas[[#This Row],[Profit]]/Master_ventas[[#This Row],[Sales]]</f>
        <v>0.24625414593698178</v>
      </c>
      <c r="I358">
        <f ca="1">Referencia_Hoy-Master_ventas[[#This Row],[Order Date]]</f>
        <v>1365</v>
      </c>
      <c r="J358" t="str">
        <f>UPPER(Master_ventas[[#This Row],[Product Name]])</f>
        <v>SMARTPHONE</v>
      </c>
      <c r="K358" t="str">
        <f>UPPER(Master_ventas[[#This Row],[Category]])</f>
        <v>ELECTRONICS</v>
      </c>
      <c r="L358">
        <f>YEAR(Master_ventas[[#This Row],[Order Date]])</f>
        <v>2023</v>
      </c>
      <c r="M358" t="str">
        <f>CONCATENATE(LEFT(Master_ventas[[#This Row],[ProdUpper]],3),RIGHT(Master_ventas[[#This Row],[Ext-Year]],2),"-",MID(Master_ventas[[#This Row],[Category]],1,1))</f>
        <v>SMA23-E</v>
      </c>
      <c r="N358" t="str">
        <f>MID(Master_ventas[[#This Row],[ProdUpper]],1,3)</f>
        <v>SMA</v>
      </c>
      <c r="O358" t="str">
        <f>UPPER(IF(Master_ventas[[#This Row],[Profit]]&gt;500,"High","Std"))</f>
        <v>HIGH</v>
      </c>
      <c r="P358">
        <v>357</v>
      </c>
    </row>
    <row r="359" spans="1:16" x14ac:dyDescent="0.3">
      <c r="A359" s="1">
        <v>44690</v>
      </c>
      <c r="B359" t="s">
        <v>17</v>
      </c>
      <c r="C359" t="s">
        <v>14</v>
      </c>
      <c r="D359" t="s">
        <v>15</v>
      </c>
      <c r="E359">
        <v>1</v>
      </c>
      <c r="F359" s="3">
        <v>1193</v>
      </c>
      <c r="G359" s="2">
        <v>153.72</v>
      </c>
      <c r="H359">
        <f>Master_ventas[[#This Row],[Profit]]/Master_ventas[[#This Row],[Sales]]</f>
        <v>0.12885163453478626</v>
      </c>
      <c r="I359">
        <f ca="1">Referencia_Hoy-Master_ventas[[#This Row],[Order Date]]</f>
        <v>1633</v>
      </c>
      <c r="J359" t="str">
        <f>UPPER(Master_ventas[[#This Row],[Product Name]])</f>
        <v>CAMERA</v>
      </c>
      <c r="K359" t="str">
        <f>UPPER(Master_ventas[[#This Row],[Category]])</f>
        <v>ELECTRONICS</v>
      </c>
      <c r="L359">
        <f>YEAR(Master_ventas[[#This Row],[Order Date]])</f>
        <v>2022</v>
      </c>
      <c r="M359" t="str">
        <f>CONCATENATE(LEFT(Master_ventas[[#This Row],[ProdUpper]],3),RIGHT(Master_ventas[[#This Row],[Ext-Year]],2),"-",MID(Master_ventas[[#This Row],[Category]],1,1))</f>
        <v>CAM22-E</v>
      </c>
      <c r="N359" t="str">
        <f>MID(Master_ventas[[#This Row],[ProdUpper]],1,3)</f>
        <v>CAM</v>
      </c>
      <c r="O359" t="str">
        <f>UPPER(IF(Master_ventas[[#This Row],[Profit]]&gt;500,"High","Std"))</f>
        <v>STD</v>
      </c>
      <c r="P359">
        <v>358</v>
      </c>
    </row>
    <row r="360" spans="1:16" x14ac:dyDescent="0.3">
      <c r="A360" s="1">
        <v>45276</v>
      </c>
      <c r="B360" t="s">
        <v>23</v>
      </c>
      <c r="C360" t="s">
        <v>14</v>
      </c>
      <c r="D360" t="s">
        <v>12</v>
      </c>
      <c r="E360">
        <v>2</v>
      </c>
      <c r="F360" s="3">
        <v>562</v>
      </c>
      <c r="G360" s="2">
        <v>92.94</v>
      </c>
      <c r="H360">
        <f>Master_ventas[[#This Row],[Profit]]/Master_ventas[[#This Row],[Sales]]</f>
        <v>0.16537366548042703</v>
      </c>
      <c r="I360">
        <f ca="1">Referencia_Hoy-Master_ventas[[#This Row],[Order Date]]</f>
        <v>1047</v>
      </c>
      <c r="J360" t="str">
        <f>UPPER(Master_ventas[[#This Row],[Product Name]])</f>
        <v>LAPTOP</v>
      </c>
      <c r="K360" t="str">
        <f>UPPER(Master_ventas[[#This Row],[Category]])</f>
        <v>ELECTRONICS</v>
      </c>
      <c r="L360">
        <f>YEAR(Master_ventas[[#This Row],[Order Date]])</f>
        <v>2023</v>
      </c>
      <c r="M360" t="str">
        <f>CONCATENATE(LEFT(Master_ventas[[#This Row],[ProdUpper]],3),RIGHT(Master_ventas[[#This Row],[Ext-Year]],2),"-",MID(Master_ventas[[#This Row],[Category]],1,1))</f>
        <v>LAP23-E</v>
      </c>
      <c r="N360" t="str">
        <f>MID(Master_ventas[[#This Row],[ProdUpper]],1,3)</f>
        <v>LAP</v>
      </c>
      <c r="O360" t="str">
        <f>UPPER(IF(Master_ventas[[#This Row],[Profit]]&gt;500,"High","Std"))</f>
        <v>STD</v>
      </c>
      <c r="P360">
        <v>359</v>
      </c>
    </row>
    <row r="361" spans="1:16" x14ac:dyDescent="0.3">
      <c r="A361" s="1">
        <v>44640</v>
      </c>
      <c r="B361" t="s">
        <v>21</v>
      </c>
      <c r="C361" t="s">
        <v>14</v>
      </c>
      <c r="D361" t="s">
        <v>9</v>
      </c>
      <c r="E361">
        <v>8</v>
      </c>
      <c r="F361" s="3">
        <v>6200</v>
      </c>
      <c r="G361" s="2">
        <v>1296.8399999999999</v>
      </c>
      <c r="H361">
        <f>Master_ventas[[#This Row],[Profit]]/Master_ventas[[#This Row],[Sales]]</f>
        <v>0.20916774193548385</v>
      </c>
      <c r="I361">
        <f ca="1">Referencia_Hoy-Master_ventas[[#This Row],[Order Date]]</f>
        <v>1683</v>
      </c>
      <c r="J361" t="str">
        <f>UPPER(Master_ventas[[#This Row],[Product Name]])</f>
        <v>SMARTPHONE</v>
      </c>
      <c r="K361" t="str">
        <f>UPPER(Master_ventas[[#This Row],[Category]])</f>
        <v>ELECTRONICS</v>
      </c>
      <c r="L361">
        <f>YEAR(Master_ventas[[#This Row],[Order Date]])</f>
        <v>2022</v>
      </c>
      <c r="M361" t="str">
        <f>CONCATENATE(LEFT(Master_ventas[[#This Row],[ProdUpper]],3),RIGHT(Master_ventas[[#This Row],[Ext-Year]],2),"-",MID(Master_ventas[[#This Row],[Category]],1,1))</f>
        <v>SMA22-E</v>
      </c>
      <c r="N361" t="str">
        <f>MID(Master_ventas[[#This Row],[ProdUpper]],1,3)</f>
        <v>SMA</v>
      </c>
      <c r="O361" t="str">
        <f>UPPER(IF(Master_ventas[[#This Row],[Profit]]&gt;500,"High","Std"))</f>
        <v>HIGH</v>
      </c>
      <c r="P361">
        <v>360</v>
      </c>
    </row>
    <row r="362" spans="1:16" x14ac:dyDescent="0.3">
      <c r="A362" s="1">
        <v>45501</v>
      </c>
      <c r="B362" t="s">
        <v>7</v>
      </c>
      <c r="C362" t="s">
        <v>8</v>
      </c>
      <c r="D362" t="s">
        <v>9</v>
      </c>
      <c r="E362">
        <v>8</v>
      </c>
      <c r="F362" s="3">
        <v>4128</v>
      </c>
      <c r="G362" s="2">
        <v>315.48</v>
      </c>
      <c r="H362">
        <f>Master_ventas[[#This Row],[Profit]]/Master_ventas[[#This Row],[Sales]]</f>
        <v>7.642441860465117E-2</v>
      </c>
      <c r="I362">
        <f ca="1">Referencia_Hoy-Master_ventas[[#This Row],[Order Date]]</f>
        <v>822</v>
      </c>
      <c r="J362" t="str">
        <f>UPPER(Master_ventas[[#This Row],[Product Name]])</f>
        <v>PRINTER</v>
      </c>
      <c r="K362" t="str">
        <f>UPPER(Master_ventas[[#This Row],[Category]])</f>
        <v>OFFICE</v>
      </c>
      <c r="L362">
        <f>YEAR(Master_ventas[[#This Row],[Order Date]])</f>
        <v>2024</v>
      </c>
      <c r="M362" t="str">
        <f>CONCATENATE(LEFT(Master_ventas[[#This Row],[ProdUpper]],3),RIGHT(Master_ventas[[#This Row],[Ext-Year]],2),"-",MID(Master_ventas[[#This Row],[Category]],1,1))</f>
        <v>PRI24-O</v>
      </c>
      <c r="N362" t="str">
        <f>MID(Master_ventas[[#This Row],[ProdUpper]],1,3)</f>
        <v>PRI</v>
      </c>
      <c r="O362" t="str">
        <f>UPPER(IF(Master_ventas[[#This Row],[Profit]]&gt;500,"High","Std"))</f>
        <v>STD</v>
      </c>
      <c r="P362">
        <v>361</v>
      </c>
    </row>
    <row r="363" spans="1:16" x14ac:dyDescent="0.3">
      <c r="A363" s="1">
        <v>44648</v>
      </c>
      <c r="B363" t="s">
        <v>7</v>
      </c>
      <c r="C363" t="s">
        <v>8</v>
      </c>
      <c r="D363" t="s">
        <v>12</v>
      </c>
      <c r="E363">
        <v>5</v>
      </c>
      <c r="F363" s="3">
        <v>5405</v>
      </c>
      <c r="G363" s="2">
        <v>326.56</v>
      </c>
      <c r="H363">
        <f>Master_ventas[[#This Row],[Profit]]/Master_ventas[[#This Row],[Sales]]</f>
        <v>6.0418131359851988E-2</v>
      </c>
      <c r="I363">
        <f ca="1">Referencia_Hoy-Master_ventas[[#This Row],[Order Date]]</f>
        <v>1675</v>
      </c>
      <c r="J363" t="str">
        <f>UPPER(Master_ventas[[#This Row],[Product Name]])</f>
        <v>PRINTER</v>
      </c>
      <c r="K363" t="str">
        <f>UPPER(Master_ventas[[#This Row],[Category]])</f>
        <v>OFFICE</v>
      </c>
      <c r="L363">
        <f>YEAR(Master_ventas[[#This Row],[Order Date]])</f>
        <v>2022</v>
      </c>
      <c r="M363" t="str">
        <f>CONCATENATE(LEFT(Master_ventas[[#This Row],[ProdUpper]],3),RIGHT(Master_ventas[[#This Row],[Ext-Year]],2),"-",MID(Master_ventas[[#This Row],[Category]],1,1))</f>
        <v>PRI22-O</v>
      </c>
      <c r="N363" t="str">
        <f>MID(Master_ventas[[#This Row],[ProdUpper]],1,3)</f>
        <v>PRI</v>
      </c>
      <c r="O363" t="str">
        <f>UPPER(IF(Master_ventas[[#This Row],[Profit]]&gt;500,"High","Std"))</f>
        <v>STD</v>
      </c>
      <c r="P363">
        <v>362</v>
      </c>
    </row>
    <row r="364" spans="1:16" x14ac:dyDescent="0.3">
      <c r="A364" s="1">
        <v>45602</v>
      </c>
      <c r="B364" t="s">
        <v>23</v>
      </c>
      <c r="C364" t="s">
        <v>14</v>
      </c>
      <c r="D364" t="s">
        <v>9</v>
      </c>
      <c r="E364">
        <v>3</v>
      </c>
      <c r="F364" s="3">
        <v>1371</v>
      </c>
      <c r="G364" s="2">
        <v>104.66</v>
      </c>
      <c r="H364">
        <f>Master_ventas[[#This Row],[Profit]]/Master_ventas[[#This Row],[Sales]]</f>
        <v>7.6338439095550686E-2</v>
      </c>
      <c r="I364">
        <f ca="1">Referencia_Hoy-Master_ventas[[#This Row],[Order Date]]</f>
        <v>721</v>
      </c>
      <c r="J364" t="str">
        <f>UPPER(Master_ventas[[#This Row],[Product Name]])</f>
        <v>LAPTOP</v>
      </c>
      <c r="K364" t="str">
        <f>UPPER(Master_ventas[[#This Row],[Category]])</f>
        <v>ELECTRONICS</v>
      </c>
      <c r="L364">
        <f>YEAR(Master_ventas[[#This Row],[Order Date]])</f>
        <v>2024</v>
      </c>
      <c r="M364" t="str">
        <f>CONCATENATE(LEFT(Master_ventas[[#This Row],[ProdUpper]],3),RIGHT(Master_ventas[[#This Row],[Ext-Year]],2),"-",MID(Master_ventas[[#This Row],[Category]],1,1))</f>
        <v>LAP24-E</v>
      </c>
      <c r="N364" t="str">
        <f>MID(Master_ventas[[#This Row],[ProdUpper]],1,3)</f>
        <v>LAP</v>
      </c>
      <c r="O364" t="str">
        <f>UPPER(IF(Master_ventas[[#This Row],[Profit]]&gt;500,"High","Std"))</f>
        <v>STD</v>
      </c>
      <c r="P364">
        <v>363</v>
      </c>
    </row>
    <row r="365" spans="1:16" x14ac:dyDescent="0.3">
      <c r="A365" s="1">
        <v>44927</v>
      </c>
      <c r="B365" t="s">
        <v>22</v>
      </c>
      <c r="C365" t="s">
        <v>11</v>
      </c>
      <c r="D365" t="s">
        <v>16</v>
      </c>
      <c r="E365">
        <v>5</v>
      </c>
      <c r="F365" s="3">
        <v>1405</v>
      </c>
      <c r="G365" s="2">
        <v>194.33</v>
      </c>
      <c r="H365">
        <f>Master_ventas[[#This Row],[Profit]]/Master_ventas[[#This Row],[Sales]]</f>
        <v>0.13831316725978648</v>
      </c>
      <c r="I365">
        <f ca="1">Referencia_Hoy-Master_ventas[[#This Row],[Order Date]]</f>
        <v>1396</v>
      </c>
      <c r="J365" t="str">
        <f>UPPER(Master_ventas[[#This Row],[Product Name]])</f>
        <v>KEYBOARD</v>
      </c>
      <c r="K365" t="str">
        <f>UPPER(Master_ventas[[#This Row],[Category]])</f>
        <v>ACCESSORIES</v>
      </c>
      <c r="L365">
        <f>YEAR(Master_ventas[[#This Row],[Order Date]])</f>
        <v>2023</v>
      </c>
      <c r="M365" t="str">
        <f>CONCATENATE(LEFT(Master_ventas[[#This Row],[ProdUpper]],3),RIGHT(Master_ventas[[#This Row],[Ext-Year]],2),"-",MID(Master_ventas[[#This Row],[Category]],1,1))</f>
        <v>KEY23-A</v>
      </c>
      <c r="N365" t="str">
        <f>MID(Master_ventas[[#This Row],[ProdUpper]],1,3)</f>
        <v>KEY</v>
      </c>
      <c r="O365" t="str">
        <f>UPPER(IF(Master_ventas[[#This Row],[Profit]]&gt;500,"High","Std"))</f>
        <v>STD</v>
      </c>
      <c r="P365">
        <v>364</v>
      </c>
    </row>
    <row r="366" spans="1:16" x14ac:dyDescent="0.3">
      <c r="A366" s="1">
        <v>45003</v>
      </c>
      <c r="B366" t="s">
        <v>22</v>
      </c>
      <c r="C366" t="s">
        <v>11</v>
      </c>
      <c r="D366" t="s">
        <v>9</v>
      </c>
      <c r="E366">
        <v>3</v>
      </c>
      <c r="F366" s="3">
        <v>1644</v>
      </c>
      <c r="G366" s="2">
        <v>158.32</v>
      </c>
      <c r="H366">
        <f>Master_ventas[[#This Row],[Profit]]/Master_ventas[[#This Row],[Sales]]</f>
        <v>9.6301703163017033E-2</v>
      </c>
      <c r="I366">
        <f ca="1">Referencia_Hoy-Master_ventas[[#This Row],[Order Date]]</f>
        <v>1320</v>
      </c>
      <c r="J366" t="str">
        <f>UPPER(Master_ventas[[#This Row],[Product Name]])</f>
        <v>KEYBOARD</v>
      </c>
      <c r="K366" t="str">
        <f>UPPER(Master_ventas[[#This Row],[Category]])</f>
        <v>ACCESSORIES</v>
      </c>
      <c r="L366">
        <f>YEAR(Master_ventas[[#This Row],[Order Date]])</f>
        <v>2023</v>
      </c>
      <c r="M366" t="str">
        <f>CONCATENATE(LEFT(Master_ventas[[#This Row],[ProdUpper]],3),RIGHT(Master_ventas[[#This Row],[Ext-Year]],2),"-",MID(Master_ventas[[#This Row],[Category]],1,1))</f>
        <v>KEY23-A</v>
      </c>
      <c r="N366" t="str">
        <f>MID(Master_ventas[[#This Row],[ProdUpper]],1,3)</f>
        <v>KEY</v>
      </c>
      <c r="O366" t="str">
        <f>UPPER(IF(Master_ventas[[#This Row],[Profit]]&gt;500,"High","Std"))</f>
        <v>STD</v>
      </c>
      <c r="P366">
        <v>365</v>
      </c>
    </row>
    <row r="367" spans="1:16" x14ac:dyDescent="0.3">
      <c r="A367" s="1">
        <v>45553</v>
      </c>
      <c r="B367" t="s">
        <v>10</v>
      </c>
      <c r="C367" t="s">
        <v>11</v>
      </c>
      <c r="D367" t="s">
        <v>16</v>
      </c>
      <c r="E367">
        <v>6</v>
      </c>
      <c r="F367" s="3">
        <v>3414</v>
      </c>
      <c r="G367" s="2">
        <v>396.92</v>
      </c>
      <c r="H367">
        <f>Master_ventas[[#This Row],[Profit]]/Master_ventas[[#This Row],[Sales]]</f>
        <v>0.11626244874048038</v>
      </c>
      <c r="I367">
        <f ca="1">Referencia_Hoy-Master_ventas[[#This Row],[Order Date]]</f>
        <v>770</v>
      </c>
      <c r="J367" t="str">
        <f>UPPER(Master_ventas[[#This Row],[Product Name]])</f>
        <v>MOUSE</v>
      </c>
      <c r="K367" t="str">
        <f>UPPER(Master_ventas[[#This Row],[Category]])</f>
        <v>ACCESSORIES</v>
      </c>
      <c r="L367">
        <f>YEAR(Master_ventas[[#This Row],[Order Date]])</f>
        <v>2024</v>
      </c>
      <c r="M367" t="str">
        <f>CONCATENATE(LEFT(Master_ventas[[#This Row],[ProdUpper]],3),RIGHT(Master_ventas[[#This Row],[Ext-Year]],2),"-",MID(Master_ventas[[#This Row],[Category]],1,1))</f>
        <v>MOU24-A</v>
      </c>
      <c r="N367" t="str">
        <f>MID(Master_ventas[[#This Row],[ProdUpper]],1,3)</f>
        <v>MOU</v>
      </c>
      <c r="O367" t="str">
        <f>UPPER(IF(Master_ventas[[#This Row],[Profit]]&gt;500,"High","Std"))</f>
        <v>STD</v>
      </c>
      <c r="P367">
        <v>366</v>
      </c>
    </row>
    <row r="368" spans="1:16" x14ac:dyDescent="0.3">
      <c r="A368" s="1">
        <v>45523</v>
      </c>
      <c r="B368" t="s">
        <v>23</v>
      </c>
      <c r="C368" t="s">
        <v>14</v>
      </c>
      <c r="D368" t="s">
        <v>12</v>
      </c>
      <c r="E368">
        <v>8</v>
      </c>
      <c r="F368" s="3">
        <v>3272</v>
      </c>
      <c r="G368" s="2">
        <v>674.57</v>
      </c>
      <c r="H368">
        <f>Master_ventas[[#This Row],[Profit]]/Master_ventas[[#This Row],[Sales]]</f>
        <v>0.20616442542787289</v>
      </c>
      <c r="I368">
        <f ca="1">Referencia_Hoy-Master_ventas[[#This Row],[Order Date]]</f>
        <v>800</v>
      </c>
      <c r="J368" t="str">
        <f>UPPER(Master_ventas[[#This Row],[Product Name]])</f>
        <v>LAPTOP</v>
      </c>
      <c r="K368" t="str">
        <f>UPPER(Master_ventas[[#This Row],[Category]])</f>
        <v>ELECTRONICS</v>
      </c>
      <c r="L368">
        <f>YEAR(Master_ventas[[#This Row],[Order Date]])</f>
        <v>2024</v>
      </c>
      <c r="M368" t="str">
        <f>CONCATENATE(LEFT(Master_ventas[[#This Row],[ProdUpper]],3),RIGHT(Master_ventas[[#This Row],[Ext-Year]],2),"-",MID(Master_ventas[[#This Row],[Category]],1,1))</f>
        <v>LAP24-E</v>
      </c>
      <c r="N368" t="str">
        <f>MID(Master_ventas[[#This Row],[ProdUpper]],1,3)</f>
        <v>LAP</v>
      </c>
      <c r="O368" t="str">
        <f>UPPER(IF(Master_ventas[[#This Row],[Profit]]&gt;500,"High","Std"))</f>
        <v>HIGH</v>
      </c>
      <c r="P368">
        <v>367</v>
      </c>
    </row>
    <row r="369" spans="1:16" x14ac:dyDescent="0.3">
      <c r="A369" s="1">
        <v>44730</v>
      </c>
      <c r="B369" t="s">
        <v>21</v>
      </c>
      <c r="C369" t="s">
        <v>14</v>
      </c>
      <c r="D369" t="s">
        <v>9</v>
      </c>
      <c r="E369">
        <v>3</v>
      </c>
      <c r="F369" s="3">
        <v>2655</v>
      </c>
      <c r="G369" s="2">
        <v>646.91</v>
      </c>
      <c r="H369">
        <f>Master_ventas[[#This Row],[Profit]]/Master_ventas[[#This Row],[Sales]]</f>
        <v>0.24365725047080977</v>
      </c>
      <c r="I369">
        <f ca="1">Referencia_Hoy-Master_ventas[[#This Row],[Order Date]]</f>
        <v>1593</v>
      </c>
      <c r="J369" t="str">
        <f>UPPER(Master_ventas[[#This Row],[Product Name]])</f>
        <v>SMARTPHONE</v>
      </c>
      <c r="K369" t="str">
        <f>UPPER(Master_ventas[[#This Row],[Category]])</f>
        <v>ELECTRONICS</v>
      </c>
      <c r="L369">
        <f>YEAR(Master_ventas[[#This Row],[Order Date]])</f>
        <v>2022</v>
      </c>
      <c r="M369" t="str">
        <f>CONCATENATE(LEFT(Master_ventas[[#This Row],[ProdUpper]],3),RIGHT(Master_ventas[[#This Row],[Ext-Year]],2),"-",MID(Master_ventas[[#This Row],[Category]],1,1))</f>
        <v>SMA22-E</v>
      </c>
      <c r="N369" t="str">
        <f>MID(Master_ventas[[#This Row],[ProdUpper]],1,3)</f>
        <v>SMA</v>
      </c>
      <c r="O369" t="str">
        <f>UPPER(IF(Master_ventas[[#This Row],[Profit]]&gt;500,"High","Std"))</f>
        <v>HIGH</v>
      </c>
      <c r="P369">
        <v>368</v>
      </c>
    </row>
    <row r="370" spans="1:16" x14ac:dyDescent="0.3">
      <c r="A370" s="1">
        <v>44710</v>
      </c>
      <c r="B370" t="s">
        <v>19</v>
      </c>
      <c r="C370" t="s">
        <v>14</v>
      </c>
      <c r="D370" t="s">
        <v>16</v>
      </c>
      <c r="E370">
        <v>7</v>
      </c>
      <c r="F370" s="3">
        <v>1673</v>
      </c>
      <c r="G370" s="2">
        <v>458.32</v>
      </c>
      <c r="H370">
        <f>Master_ventas[[#This Row],[Profit]]/Master_ventas[[#This Row],[Sales]]</f>
        <v>0.27395098625224146</v>
      </c>
      <c r="I370">
        <f ca="1">Referencia_Hoy-Master_ventas[[#This Row],[Order Date]]</f>
        <v>1613</v>
      </c>
      <c r="J370" t="str">
        <f>UPPER(Master_ventas[[#This Row],[Product Name]])</f>
        <v>SMARTWATCH</v>
      </c>
      <c r="K370" t="str">
        <f>UPPER(Master_ventas[[#This Row],[Category]])</f>
        <v>ELECTRONICS</v>
      </c>
      <c r="L370">
        <f>YEAR(Master_ventas[[#This Row],[Order Date]])</f>
        <v>2022</v>
      </c>
      <c r="M370" t="str">
        <f>CONCATENATE(LEFT(Master_ventas[[#This Row],[ProdUpper]],3),RIGHT(Master_ventas[[#This Row],[Ext-Year]],2),"-",MID(Master_ventas[[#This Row],[Category]],1,1))</f>
        <v>SMA22-E</v>
      </c>
      <c r="N370" t="str">
        <f>MID(Master_ventas[[#This Row],[ProdUpper]],1,3)</f>
        <v>SMA</v>
      </c>
      <c r="O370" t="str">
        <f>UPPER(IF(Master_ventas[[#This Row],[Profit]]&gt;500,"High","Std"))</f>
        <v>STD</v>
      </c>
      <c r="P370">
        <v>369</v>
      </c>
    </row>
    <row r="371" spans="1:16" x14ac:dyDescent="0.3">
      <c r="A371" s="1">
        <v>44721</v>
      </c>
      <c r="B371" t="s">
        <v>13</v>
      </c>
      <c r="C371" t="s">
        <v>14</v>
      </c>
      <c r="D371" t="s">
        <v>12</v>
      </c>
      <c r="E371">
        <v>2</v>
      </c>
      <c r="F371" s="3">
        <v>846</v>
      </c>
      <c r="G371" s="2">
        <v>145.09</v>
      </c>
      <c r="H371">
        <f>Master_ventas[[#This Row],[Profit]]/Master_ventas[[#This Row],[Sales]]</f>
        <v>0.17150118203309694</v>
      </c>
      <c r="I371">
        <f ca="1">Referencia_Hoy-Master_ventas[[#This Row],[Order Date]]</f>
        <v>1602</v>
      </c>
      <c r="J371" t="str">
        <f>UPPER(Master_ventas[[#This Row],[Product Name]])</f>
        <v>TABLET</v>
      </c>
      <c r="K371" t="str">
        <f>UPPER(Master_ventas[[#This Row],[Category]])</f>
        <v>ELECTRONICS</v>
      </c>
      <c r="L371">
        <f>YEAR(Master_ventas[[#This Row],[Order Date]])</f>
        <v>2022</v>
      </c>
      <c r="M371" t="str">
        <f>CONCATENATE(LEFT(Master_ventas[[#This Row],[ProdUpper]],3),RIGHT(Master_ventas[[#This Row],[Ext-Year]],2),"-",MID(Master_ventas[[#This Row],[Category]],1,1))</f>
        <v>TAB22-E</v>
      </c>
      <c r="N371" t="str">
        <f>MID(Master_ventas[[#This Row],[ProdUpper]],1,3)</f>
        <v>TAB</v>
      </c>
      <c r="O371" t="str">
        <f>UPPER(IF(Master_ventas[[#This Row],[Profit]]&gt;500,"High","Std"))</f>
        <v>STD</v>
      </c>
      <c r="P371">
        <v>370</v>
      </c>
    </row>
    <row r="372" spans="1:16" x14ac:dyDescent="0.3">
      <c r="A372" s="1">
        <v>45049</v>
      </c>
      <c r="B372" t="s">
        <v>21</v>
      </c>
      <c r="C372" t="s">
        <v>14</v>
      </c>
      <c r="D372" t="s">
        <v>12</v>
      </c>
      <c r="E372">
        <v>1</v>
      </c>
      <c r="F372" s="3">
        <v>985</v>
      </c>
      <c r="G372" s="2">
        <v>196.64</v>
      </c>
      <c r="H372">
        <f>Master_ventas[[#This Row],[Profit]]/Master_ventas[[#This Row],[Sales]]</f>
        <v>0.19963451776649746</v>
      </c>
      <c r="I372">
        <f ca="1">Referencia_Hoy-Master_ventas[[#This Row],[Order Date]]</f>
        <v>1274</v>
      </c>
      <c r="J372" t="str">
        <f>UPPER(Master_ventas[[#This Row],[Product Name]])</f>
        <v>SMARTPHONE</v>
      </c>
      <c r="K372" t="str">
        <f>UPPER(Master_ventas[[#This Row],[Category]])</f>
        <v>ELECTRONICS</v>
      </c>
      <c r="L372">
        <f>YEAR(Master_ventas[[#This Row],[Order Date]])</f>
        <v>2023</v>
      </c>
      <c r="M372" t="str">
        <f>CONCATENATE(LEFT(Master_ventas[[#This Row],[ProdUpper]],3),RIGHT(Master_ventas[[#This Row],[Ext-Year]],2),"-",MID(Master_ventas[[#This Row],[Category]],1,1))</f>
        <v>SMA23-E</v>
      </c>
      <c r="N372" t="str">
        <f>MID(Master_ventas[[#This Row],[ProdUpper]],1,3)</f>
        <v>SMA</v>
      </c>
      <c r="O372" t="str">
        <f>UPPER(IF(Master_ventas[[#This Row],[Profit]]&gt;500,"High","Std"))</f>
        <v>STD</v>
      </c>
      <c r="P372">
        <v>371</v>
      </c>
    </row>
    <row r="373" spans="1:16" x14ac:dyDescent="0.3">
      <c r="A373" s="1">
        <v>45247</v>
      </c>
      <c r="B373" t="s">
        <v>19</v>
      </c>
      <c r="C373" t="s">
        <v>14</v>
      </c>
      <c r="D373" t="s">
        <v>9</v>
      </c>
      <c r="E373">
        <v>9</v>
      </c>
      <c r="F373" s="3">
        <v>7551</v>
      </c>
      <c r="G373" s="2">
        <v>894.4</v>
      </c>
      <c r="H373">
        <f>Master_ventas[[#This Row],[Profit]]/Master_ventas[[#This Row],[Sales]]</f>
        <v>0.11844788769699377</v>
      </c>
      <c r="I373">
        <f ca="1">Referencia_Hoy-Master_ventas[[#This Row],[Order Date]]</f>
        <v>1076</v>
      </c>
      <c r="J373" t="str">
        <f>UPPER(Master_ventas[[#This Row],[Product Name]])</f>
        <v>SMARTWATCH</v>
      </c>
      <c r="K373" t="str">
        <f>UPPER(Master_ventas[[#This Row],[Category]])</f>
        <v>ELECTRONICS</v>
      </c>
      <c r="L373">
        <f>YEAR(Master_ventas[[#This Row],[Order Date]])</f>
        <v>2023</v>
      </c>
      <c r="M373" t="str">
        <f>CONCATENATE(LEFT(Master_ventas[[#This Row],[ProdUpper]],3),RIGHT(Master_ventas[[#This Row],[Ext-Year]],2),"-",MID(Master_ventas[[#This Row],[Category]],1,1))</f>
        <v>SMA23-E</v>
      </c>
      <c r="N373" t="str">
        <f>MID(Master_ventas[[#This Row],[ProdUpper]],1,3)</f>
        <v>SMA</v>
      </c>
      <c r="O373" t="str">
        <f>UPPER(IF(Master_ventas[[#This Row],[Profit]]&gt;500,"High","Std"))</f>
        <v>HIGH</v>
      </c>
      <c r="P373">
        <v>372</v>
      </c>
    </row>
    <row r="374" spans="1:16" x14ac:dyDescent="0.3">
      <c r="A374" s="1">
        <v>44600</v>
      </c>
      <c r="B374" t="s">
        <v>13</v>
      </c>
      <c r="C374" t="s">
        <v>14</v>
      </c>
      <c r="D374" t="s">
        <v>9</v>
      </c>
      <c r="E374">
        <v>5</v>
      </c>
      <c r="F374" s="3">
        <v>855</v>
      </c>
      <c r="G374" s="2">
        <v>217.16</v>
      </c>
      <c r="H374">
        <f>Master_ventas[[#This Row],[Profit]]/Master_ventas[[#This Row],[Sales]]</f>
        <v>0.25398830409356726</v>
      </c>
      <c r="I374">
        <f ca="1">Referencia_Hoy-Master_ventas[[#This Row],[Order Date]]</f>
        <v>1723</v>
      </c>
      <c r="J374" t="str">
        <f>UPPER(Master_ventas[[#This Row],[Product Name]])</f>
        <v>TABLET</v>
      </c>
      <c r="K374" t="str">
        <f>UPPER(Master_ventas[[#This Row],[Category]])</f>
        <v>ELECTRONICS</v>
      </c>
      <c r="L374">
        <f>YEAR(Master_ventas[[#This Row],[Order Date]])</f>
        <v>2022</v>
      </c>
      <c r="M374" t="str">
        <f>CONCATENATE(LEFT(Master_ventas[[#This Row],[ProdUpper]],3),RIGHT(Master_ventas[[#This Row],[Ext-Year]],2),"-",MID(Master_ventas[[#This Row],[Category]],1,1))</f>
        <v>TAB22-E</v>
      </c>
      <c r="N374" t="str">
        <f>MID(Master_ventas[[#This Row],[ProdUpper]],1,3)</f>
        <v>TAB</v>
      </c>
      <c r="O374" t="str">
        <f>UPPER(IF(Master_ventas[[#This Row],[Profit]]&gt;500,"High","Std"))</f>
        <v>STD</v>
      </c>
      <c r="P374">
        <v>373</v>
      </c>
    </row>
    <row r="375" spans="1:16" x14ac:dyDescent="0.3">
      <c r="A375" s="1">
        <v>45222</v>
      </c>
      <c r="B375" t="s">
        <v>17</v>
      </c>
      <c r="C375" t="s">
        <v>14</v>
      </c>
      <c r="D375" t="s">
        <v>15</v>
      </c>
      <c r="E375">
        <v>2</v>
      </c>
      <c r="F375" s="3">
        <v>396</v>
      </c>
      <c r="G375" s="2">
        <v>94.55</v>
      </c>
      <c r="H375">
        <f>Master_ventas[[#This Row],[Profit]]/Master_ventas[[#This Row],[Sales]]</f>
        <v>0.23876262626262626</v>
      </c>
      <c r="I375">
        <f ca="1">Referencia_Hoy-Master_ventas[[#This Row],[Order Date]]</f>
        <v>1101</v>
      </c>
      <c r="J375" t="str">
        <f>UPPER(Master_ventas[[#This Row],[Product Name]])</f>
        <v>CAMERA</v>
      </c>
      <c r="K375" t="str">
        <f>UPPER(Master_ventas[[#This Row],[Category]])</f>
        <v>ELECTRONICS</v>
      </c>
      <c r="L375">
        <f>YEAR(Master_ventas[[#This Row],[Order Date]])</f>
        <v>2023</v>
      </c>
      <c r="M375" t="str">
        <f>CONCATENATE(LEFT(Master_ventas[[#This Row],[ProdUpper]],3),RIGHT(Master_ventas[[#This Row],[Ext-Year]],2),"-",MID(Master_ventas[[#This Row],[Category]],1,1))</f>
        <v>CAM23-E</v>
      </c>
      <c r="N375" t="str">
        <f>MID(Master_ventas[[#This Row],[ProdUpper]],1,3)</f>
        <v>CAM</v>
      </c>
      <c r="O375" t="str">
        <f>UPPER(IF(Master_ventas[[#This Row],[Profit]]&gt;500,"High","Std"))</f>
        <v>STD</v>
      </c>
      <c r="P375">
        <v>374</v>
      </c>
    </row>
    <row r="376" spans="1:16" x14ac:dyDescent="0.3">
      <c r="A376" s="1">
        <v>44797</v>
      </c>
      <c r="B376" t="s">
        <v>13</v>
      </c>
      <c r="C376" t="s">
        <v>14</v>
      </c>
      <c r="D376" t="s">
        <v>16</v>
      </c>
      <c r="E376">
        <v>8</v>
      </c>
      <c r="F376" s="3">
        <v>2296</v>
      </c>
      <c r="G376" s="2">
        <v>560.48</v>
      </c>
      <c r="H376">
        <f>Master_ventas[[#This Row],[Profit]]/Master_ventas[[#This Row],[Sales]]</f>
        <v>0.24411149825783973</v>
      </c>
      <c r="I376">
        <f ca="1">Referencia_Hoy-Master_ventas[[#This Row],[Order Date]]</f>
        <v>1526</v>
      </c>
      <c r="J376" t="str">
        <f>UPPER(Master_ventas[[#This Row],[Product Name]])</f>
        <v>TABLET</v>
      </c>
      <c r="K376" t="str">
        <f>UPPER(Master_ventas[[#This Row],[Category]])</f>
        <v>ELECTRONICS</v>
      </c>
      <c r="L376">
        <f>YEAR(Master_ventas[[#This Row],[Order Date]])</f>
        <v>2022</v>
      </c>
      <c r="M376" t="str">
        <f>CONCATENATE(LEFT(Master_ventas[[#This Row],[ProdUpper]],3),RIGHT(Master_ventas[[#This Row],[Ext-Year]],2),"-",MID(Master_ventas[[#This Row],[Category]],1,1))</f>
        <v>TAB22-E</v>
      </c>
      <c r="N376" t="str">
        <f>MID(Master_ventas[[#This Row],[ProdUpper]],1,3)</f>
        <v>TAB</v>
      </c>
      <c r="O376" t="str">
        <f>UPPER(IF(Master_ventas[[#This Row],[Profit]]&gt;500,"High","Std"))</f>
        <v>HIGH</v>
      </c>
      <c r="P376">
        <v>375</v>
      </c>
    </row>
    <row r="377" spans="1:16" x14ac:dyDescent="0.3">
      <c r="A377" s="1">
        <v>45421</v>
      </c>
      <c r="B377" t="s">
        <v>20</v>
      </c>
      <c r="C377" t="s">
        <v>11</v>
      </c>
      <c r="D377" t="s">
        <v>9</v>
      </c>
      <c r="E377">
        <v>6</v>
      </c>
      <c r="F377" s="3">
        <v>1704</v>
      </c>
      <c r="G377" s="2">
        <v>199.94</v>
      </c>
      <c r="H377">
        <f>Master_ventas[[#This Row],[Profit]]/Master_ventas[[#This Row],[Sales]]</f>
        <v>0.1173356807511737</v>
      </c>
      <c r="I377">
        <f ca="1">Referencia_Hoy-Master_ventas[[#This Row],[Order Date]]</f>
        <v>902</v>
      </c>
      <c r="J377" t="str">
        <f>UPPER(Master_ventas[[#This Row],[Product Name]])</f>
        <v>MONITOR</v>
      </c>
      <c r="K377" t="str">
        <f>UPPER(Master_ventas[[#This Row],[Category]])</f>
        <v>ACCESSORIES</v>
      </c>
      <c r="L377">
        <f>YEAR(Master_ventas[[#This Row],[Order Date]])</f>
        <v>2024</v>
      </c>
      <c r="M377" t="str">
        <f>CONCATENATE(LEFT(Master_ventas[[#This Row],[ProdUpper]],3),RIGHT(Master_ventas[[#This Row],[Ext-Year]],2),"-",MID(Master_ventas[[#This Row],[Category]],1,1))</f>
        <v>MON24-A</v>
      </c>
      <c r="N377" t="str">
        <f>MID(Master_ventas[[#This Row],[ProdUpper]],1,3)</f>
        <v>MON</v>
      </c>
      <c r="O377" t="str">
        <f>UPPER(IF(Master_ventas[[#This Row],[Profit]]&gt;500,"High","Std"))</f>
        <v>STD</v>
      </c>
      <c r="P377">
        <v>376</v>
      </c>
    </row>
    <row r="378" spans="1:16" x14ac:dyDescent="0.3">
      <c r="A378" s="1">
        <v>44997</v>
      </c>
      <c r="B378" t="s">
        <v>21</v>
      </c>
      <c r="C378" t="s">
        <v>14</v>
      </c>
      <c r="D378" t="s">
        <v>12</v>
      </c>
      <c r="E378">
        <v>2</v>
      </c>
      <c r="F378" s="3">
        <v>1180</v>
      </c>
      <c r="G378" s="2">
        <v>261.16000000000003</v>
      </c>
      <c r="H378">
        <f>Master_ventas[[#This Row],[Profit]]/Master_ventas[[#This Row],[Sales]]</f>
        <v>0.2213220338983051</v>
      </c>
      <c r="I378">
        <f ca="1">Referencia_Hoy-Master_ventas[[#This Row],[Order Date]]</f>
        <v>1326</v>
      </c>
      <c r="J378" t="str">
        <f>UPPER(Master_ventas[[#This Row],[Product Name]])</f>
        <v>SMARTPHONE</v>
      </c>
      <c r="K378" t="str">
        <f>UPPER(Master_ventas[[#This Row],[Category]])</f>
        <v>ELECTRONICS</v>
      </c>
      <c r="L378">
        <f>YEAR(Master_ventas[[#This Row],[Order Date]])</f>
        <v>2023</v>
      </c>
      <c r="M378" t="str">
        <f>CONCATENATE(LEFT(Master_ventas[[#This Row],[ProdUpper]],3),RIGHT(Master_ventas[[#This Row],[Ext-Year]],2),"-",MID(Master_ventas[[#This Row],[Category]],1,1))</f>
        <v>SMA23-E</v>
      </c>
      <c r="N378" t="str">
        <f>MID(Master_ventas[[#This Row],[ProdUpper]],1,3)</f>
        <v>SMA</v>
      </c>
      <c r="O378" t="str">
        <f>UPPER(IF(Master_ventas[[#This Row],[Profit]]&gt;500,"High","Std"))</f>
        <v>STD</v>
      </c>
      <c r="P378">
        <v>377</v>
      </c>
    </row>
    <row r="379" spans="1:16" x14ac:dyDescent="0.3">
      <c r="A379" s="1">
        <v>44839</v>
      </c>
      <c r="B379" t="s">
        <v>21</v>
      </c>
      <c r="C379" t="s">
        <v>14</v>
      </c>
      <c r="D379" t="s">
        <v>12</v>
      </c>
      <c r="E379">
        <v>3</v>
      </c>
      <c r="F379" s="3">
        <v>411</v>
      </c>
      <c r="G379" s="2">
        <v>55.73</v>
      </c>
      <c r="H379">
        <f>Master_ventas[[#This Row],[Profit]]/Master_ventas[[#This Row],[Sales]]</f>
        <v>0.13559610705596106</v>
      </c>
      <c r="I379">
        <f ca="1">Referencia_Hoy-Master_ventas[[#This Row],[Order Date]]</f>
        <v>1484</v>
      </c>
      <c r="J379" t="str">
        <f>UPPER(Master_ventas[[#This Row],[Product Name]])</f>
        <v>SMARTPHONE</v>
      </c>
      <c r="K379" t="str">
        <f>UPPER(Master_ventas[[#This Row],[Category]])</f>
        <v>ELECTRONICS</v>
      </c>
      <c r="L379">
        <f>YEAR(Master_ventas[[#This Row],[Order Date]])</f>
        <v>2022</v>
      </c>
      <c r="M379" t="str">
        <f>CONCATENATE(LEFT(Master_ventas[[#This Row],[ProdUpper]],3),RIGHT(Master_ventas[[#This Row],[Ext-Year]],2),"-",MID(Master_ventas[[#This Row],[Category]],1,1))</f>
        <v>SMA22-E</v>
      </c>
      <c r="N379" t="str">
        <f>MID(Master_ventas[[#This Row],[ProdUpper]],1,3)</f>
        <v>SMA</v>
      </c>
      <c r="O379" t="str">
        <f>UPPER(IF(Master_ventas[[#This Row],[Profit]]&gt;500,"High","Std"))</f>
        <v>STD</v>
      </c>
      <c r="P379">
        <v>378</v>
      </c>
    </row>
    <row r="380" spans="1:16" x14ac:dyDescent="0.3">
      <c r="A380" s="1">
        <v>44580</v>
      </c>
      <c r="B380" t="s">
        <v>10</v>
      </c>
      <c r="C380" t="s">
        <v>11</v>
      </c>
      <c r="D380" t="s">
        <v>12</v>
      </c>
      <c r="E380">
        <v>1</v>
      </c>
      <c r="F380" s="3">
        <v>745</v>
      </c>
      <c r="G380" s="2">
        <v>151.22</v>
      </c>
      <c r="H380">
        <f>Master_ventas[[#This Row],[Profit]]/Master_ventas[[#This Row],[Sales]]</f>
        <v>0.20297986577181207</v>
      </c>
      <c r="I380">
        <f ca="1">Referencia_Hoy-Master_ventas[[#This Row],[Order Date]]</f>
        <v>1743</v>
      </c>
      <c r="J380" t="str">
        <f>UPPER(Master_ventas[[#This Row],[Product Name]])</f>
        <v>MOUSE</v>
      </c>
      <c r="K380" t="str">
        <f>UPPER(Master_ventas[[#This Row],[Category]])</f>
        <v>ACCESSORIES</v>
      </c>
      <c r="L380">
        <f>YEAR(Master_ventas[[#This Row],[Order Date]])</f>
        <v>2022</v>
      </c>
      <c r="M380" t="str">
        <f>CONCATENATE(LEFT(Master_ventas[[#This Row],[ProdUpper]],3),RIGHT(Master_ventas[[#This Row],[Ext-Year]],2),"-",MID(Master_ventas[[#This Row],[Category]],1,1))</f>
        <v>MOU22-A</v>
      </c>
      <c r="N380" t="str">
        <f>MID(Master_ventas[[#This Row],[ProdUpper]],1,3)</f>
        <v>MOU</v>
      </c>
      <c r="O380" t="str">
        <f>UPPER(IF(Master_ventas[[#This Row],[Profit]]&gt;500,"High","Std"))</f>
        <v>STD</v>
      </c>
      <c r="P380">
        <v>379</v>
      </c>
    </row>
    <row r="381" spans="1:16" x14ac:dyDescent="0.3">
      <c r="A381" s="1">
        <v>44690</v>
      </c>
      <c r="B381" t="s">
        <v>7</v>
      </c>
      <c r="C381" t="s">
        <v>8</v>
      </c>
      <c r="D381" t="s">
        <v>16</v>
      </c>
      <c r="E381">
        <v>9</v>
      </c>
      <c r="F381" s="3">
        <v>10656</v>
      </c>
      <c r="G381" s="2">
        <v>961.3</v>
      </c>
      <c r="H381">
        <f>Master_ventas[[#This Row],[Profit]]/Master_ventas[[#This Row],[Sales]]</f>
        <v>9.0212087087087084E-2</v>
      </c>
      <c r="I381">
        <f ca="1">Referencia_Hoy-Master_ventas[[#This Row],[Order Date]]</f>
        <v>1633</v>
      </c>
      <c r="J381" t="str">
        <f>UPPER(Master_ventas[[#This Row],[Product Name]])</f>
        <v>PRINTER</v>
      </c>
      <c r="K381" t="str">
        <f>UPPER(Master_ventas[[#This Row],[Category]])</f>
        <v>OFFICE</v>
      </c>
      <c r="L381">
        <f>YEAR(Master_ventas[[#This Row],[Order Date]])</f>
        <v>2022</v>
      </c>
      <c r="M381" t="str">
        <f>CONCATENATE(LEFT(Master_ventas[[#This Row],[ProdUpper]],3),RIGHT(Master_ventas[[#This Row],[Ext-Year]],2),"-",MID(Master_ventas[[#This Row],[Category]],1,1))</f>
        <v>PRI22-O</v>
      </c>
      <c r="N381" t="str">
        <f>MID(Master_ventas[[#This Row],[ProdUpper]],1,3)</f>
        <v>PRI</v>
      </c>
      <c r="O381" t="str">
        <f>UPPER(IF(Master_ventas[[#This Row],[Profit]]&gt;500,"High","Std"))</f>
        <v>HIGH</v>
      </c>
      <c r="P381">
        <v>380</v>
      </c>
    </row>
    <row r="382" spans="1:16" x14ac:dyDescent="0.3">
      <c r="A382" s="1">
        <v>45435</v>
      </c>
      <c r="B382" t="s">
        <v>10</v>
      </c>
      <c r="C382" t="s">
        <v>11</v>
      </c>
      <c r="D382" t="s">
        <v>15</v>
      </c>
      <c r="E382">
        <v>3</v>
      </c>
      <c r="F382" s="3">
        <v>1494</v>
      </c>
      <c r="G382" s="2">
        <v>178.5</v>
      </c>
      <c r="H382">
        <f>Master_ventas[[#This Row],[Profit]]/Master_ventas[[#This Row],[Sales]]</f>
        <v>0.11947791164658635</v>
      </c>
      <c r="I382">
        <f ca="1">Referencia_Hoy-Master_ventas[[#This Row],[Order Date]]</f>
        <v>888</v>
      </c>
      <c r="J382" t="str">
        <f>UPPER(Master_ventas[[#This Row],[Product Name]])</f>
        <v>MOUSE</v>
      </c>
      <c r="K382" t="str">
        <f>UPPER(Master_ventas[[#This Row],[Category]])</f>
        <v>ACCESSORIES</v>
      </c>
      <c r="L382">
        <f>YEAR(Master_ventas[[#This Row],[Order Date]])</f>
        <v>2024</v>
      </c>
      <c r="M382" t="str">
        <f>CONCATENATE(LEFT(Master_ventas[[#This Row],[ProdUpper]],3),RIGHT(Master_ventas[[#This Row],[Ext-Year]],2),"-",MID(Master_ventas[[#This Row],[Category]],1,1))</f>
        <v>MOU24-A</v>
      </c>
      <c r="N382" t="str">
        <f>MID(Master_ventas[[#This Row],[ProdUpper]],1,3)</f>
        <v>MOU</v>
      </c>
      <c r="O382" t="str">
        <f>UPPER(IF(Master_ventas[[#This Row],[Profit]]&gt;500,"High","Std"))</f>
        <v>STD</v>
      </c>
      <c r="P382">
        <v>381</v>
      </c>
    </row>
    <row r="383" spans="1:16" x14ac:dyDescent="0.3">
      <c r="A383" s="1">
        <v>45484</v>
      </c>
      <c r="B383" t="s">
        <v>17</v>
      </c>
      <c r="C383" t="s">
        <v>14</v>
      </c>
      <c r="D383" t="s">
        <v>15</v>
      </c>
      <c r="E383">
        <v>5</v>
      </c>
      <c r="F383" s="3">
        <v>1755</v>
      </c>
      <c r="G383" s="2">
        <v>358.01</v>
      </c>
      <c r="H383">
        <f>Master_ventas[[#This Row],[Profit]]/Master_ventas[[#This Row],[Sales]]</f>
        <v>0.20399430199430199</v>
      </c>
      <c r="I383">
        <f ca="1">Referencia_Hoy-Master_ventas[[#This Row],[Order Date]]</f>
        <v>839</v>
      </c>
      <c r="J383" t="str">
        <f>UPPER(Master_ventas[[#This Row],[Product Name]])</f>
        <v>CAMERA</v>
      </c>
      <c r="K383" t="str">
        <f>UPPER(Master_ventas[[#This Row],[Category]])</f>
        <v>ELECTRONICS</v>
      </c>
      <c r="L383">
        <f>YEAR(Master_ventas[[#This Row],[Order Date]])</f>
        <v>2024</v>
      </c>
      <c r="M383" t="str">
        <f>CONCATENATE(LEFT(Master_ventas[[#This Row],[ProdUpper]],3),RIGHT(Master_ventas[[#This Row],[Ext-Year]],2),"-",MID(Master_ventas[[#This Row],[Category]],1,1))</f>
        <v>CAM24-E</v>
      </c>
      <c r="N383" t="str">
        <f>MID(Master_ventas[[#This Row],[ProdUpper]],1,3)</f>
        <v>CAM</v>
      </c>
      <c r="O383" t="str">
        <f>UPPER(IF(Master_ventas[[#This Row],[Profit]]&gt;500,"High","Std"))</f>
        <v>STD</v>
      </c>
      <c r="P383">
        <v>382</v>
      </c>
    </row>
    <row r="384" spans="1:16" x14ac:dyDescent="0.3">
      <c r="A384" s="1">
        <v>44795</v>
      </c>
      <c r="B384" t="s">
        <v>17</v>
      </c>
      <c r="C384" t="s">
        <v>14</v>
      </c>
      <c r="D384" t="s">
        <v>15</v>
      </c>
      <c r="E384">
        <v>9</v>
      </c>
      <c r="F384" s="3">
        <v>4941</v>
      </c>
      <c r="G384" s="2">
        <v>894.52</v>
      </c>
      <c r="H384">
        <f>Master_ventas[[#This Row],[Profit]]/Master_ventas[[#This Row],[Sales]]</f>
        <v>0.18104027524792551</v>
      </c>
      <c r="I384">
        <f ca="1">Referencia_Hoy-Master_ventas[[#This Row],[Order Date]]</f>
        <v>1528</v>
      </c>
      <c r="J384" t="str">
        <f>UPPER(Master_ventas[[#This Row],[Product Name]])</f>
        <v>CAMERA</v>
      </c>
      <c r="K384" t="str">
        <f>UPPER(Master_ventas[[#This Row],[Category]])</f>
        <v>ELECTRONICS</v>
      </c>
      <c r="L384">
        <f>YEAR(Master_ventas[[#This Row],[Order Date]])</f>
        <v>2022</v>
      </c>
      <c r="M384" t="str">
        <f>CONCATENATE(LEFT(Master_ventas[[#This Row],[ProdUpper]],3),RIGHT(Master_ventas[[#This Row],[Ext-Year]],2),"-",MID(Master_ventas[[#This Row],[Category]],1,1))</f>
        <v>CAM22-E</v>
      </c>
      <c r="N384" t="str">
        <f>MID(Master_ventas[[#This Row],[ProdUpper]],1,3)</f>
        <v>CAM</v>
      </c>
      <c r="O384" t="str">
        <f>UPPER(IF(Master_ventas[[#This Row],[Profit]]&gt;500,"High","Std"))</f>
        <v>HIGH</v>
      </c>
      <c r="P384">
        <v>383</v>
      </c>
    </row>
    <row r="385" spans="1:16" x14ac:dyDescent="0.3">
      <c r="A385" s="1">
        <v>45599</v>
      </c>
      <c r="B385" t="s">
        <v>19</v>
      </c>
      <c r="C385" t="s">
        <v>14</v>
      </c>
      <c r="D385" t="s">
        <v>9</v>
      </c>
      <c r="E385">
        <v>6</v>
      </c>
      <c r="F385" s="3">
        <v>6510</v>
      </c>
      <c r="G385" s="2">
        <v>1539.18</v>
      </c>
      <c r="H385">
        <f>Master_ventas[[#This Row],[Profit]]/Master_ventas[[#This Row],[Sales]]</f>
        <v>0.23643317972350231</v>
      </c>
      <c r="I385">
        <f ca="1">Referencia_Hoy-Master_ventas[[#This Row],[Order Date]]</f>
        <v>724</v>
      </c>
      <c r="J385" t="str">
        <f>UPPER(Master_ventas[[#This Row],[Product Name]])</f>
        <v>SMARTWATCH</v>
      </c>
      <c r="K385" t="str">
        <f>UPPER(Master_ventas[[#This Row],[Category]])</f>
        <v>ELECTRONICS</v>
      </c>
      <c r="L385">
        <f>YEAR(Master_ventas[[#This Row],[Order Date]])</f>
        <v>2024</v>
      </c>
      <c r="M385" t="str">
        <f>CONCATENATE(LEFT(Master_ventas[[#This Row],[ProdUpper]],3),RIGHT(Master_ventas[[#This Row],[Ext-Year]],2),"-",MID(Master_ventas[[#This Row],[Category]],1,1))</f>
        <v>SMA24-E</v>
      </c>
      <c r="N385" t="str">
        <f>MID(Master_ventas[[#This Row],[ProdUpper]],1,3)</f>
        <v>SMA</v>
      </c>
      <c r="O385" t="str">
        <f>UPPER(IF(Master_ventas[[#This Row],[Profit]]&gt;500,"High","Std"))</f>
        <v>HIGH</v>
      </c>
      <c r="P385">
        <v>384</v>
      </c>
    </row>
    <row r="386" spans="1:16" x14ac:dyDescent="0.3">
      <c r="A386" s="1">
        <v>45576</v>
      </c>
      <c r="B386" t="s">
        <v>21</v>
      </c>
      <c r="C386" t="s">
        <v>14</v>
      </c>
      <c r="D386" t="s">
        <v>15</v>
      </c>
      <c r="E386">
        <v>5</v>
      </c>
      <c r="F386" s="3">
        <v>5465</v>
      </c>
      <c r="G386" s="2">
        <v>719.92</v>
      </c>
      <c r="H386">
        <f>Master_ventas[[#This Row],[Profit]]/Master_ventas[[#This Row],[Sales]]</f>
        <v>0.13173284537968893</v>
      </c>
      <c r="I386">
        <f ca="1">Referencia_Hoy-Master_ventas[[#This Row],[Order Date]]</f>
        <v>747</v>
      </c>
      <c r="J386" t="str">
        <f>UPPER(Master_ventas[[#This Row],[Product Name]])</f>
        <v>SMARTPHONE</v>
      </c>
      <c r="K386" t="str">
        <f>UPPER(Master_ventas[[#This Row],[Category]])</f>
        <v>ELECTRONICS</v>
      </c>
      <c r="L386">
        <f>YEAR(Master_ventas[[#This Row],[Order Date]])</f>
        <v>2024</v>
      </c>
      <c r="M386" t="str">
        <f>CONCATENATE(LEFT(Master_ventas[[#This Row],[ProdUpper]],3),RIGHT(Master_ventas[[#This Row],[Ext-Year]],2),"-",MID(Master_ventas[[#This Row],[Category]],1,1))</f>
        <v>SMA24-E</v>
      </c>
      <c r="N386" t="str">
        <f>MID(Master_ventas[[#This Row],[ProdUpper]],1,3)</f>
        <v>SMA</v>
      </c>
      <c r="O386" t="str">
        <f>UPPER(IF(Master_ventas[[#This Row],[Profit]]&gt;500,"High","Std"))</f>
        <v>HIGH</v>
      </c>
      <c r="P386">
        <v>385</v>
      </c>
    </row>
    <row r="387" spans="1:16" x14ac:dyDescent="0.3">
      <c r="A387" s="1">
        <v>45605</v>
      </c>
      <c r="B387" t="s">
        <v>13</v>
      </c>
      <c r="C387" t="s">
        <v>14</v>
      </c>
      <c r="D387" t="s">
        <v>15</v>
      </c>
      <c r="E387">
        <v>3</v>
      </c>
      <c r="F387" s="3">
        <v>3522</v>
      </c>
      <c r="G387" s="2">
        <v>285.91000000000003</v>
      </c>
      <c r="H387">
        <f>Master_ventas[[#This Row],[Profit]]/Master_ventas[[#This Row],[Sales]]</f>
        <v>8.1178307779670653E-2</v>
      </c>
      <c r="I387">
        <f ca="1">Referencia_Hoy-Master_ventas[[#This Row],[Order Date]]</f>
        <v>718</v>
      </c>
      <c r="J387" t="str">
        <f>UPPER(Master_ventas[[#This Row],[Product Name]])</f>
        <v>TABLET</v>
      </c>
      <c r="K387" t="str">
        <f>UPPER(Master_ventas[[#This Row],[Category]])</f>
        <v>ELECTRONICS</v>
      </c>
      <c r="L387">
        <f>YEAR(Master_ventas[[#This Row],[Order Date]])</f>
        <v>2024</v>
      </c>
      <c r="M387" t="str">
        <f>CONCATENATE(LEFT(Master_ventas[[#This Row],[ProdUpper]],3),RIGHT(Master_ventas[[#This Row],[Ext-Year]],2),"-",MID(Master_ventas[[#This Row],[Category]],1,1))</f>
        <v>TAB24-E</v>
      </c>
      <c r="N387" t="str">
        <f>MID(Master_ventas[[#This Row],[ProdUpper]],1,3)</f>
        <v>TAB</v>
      </c>
      <c r="O387" t="str">
        <f>UPPER(IF(Master_ventas[[#This Row],[Profit]]&gt;500,"High","Std"))</f>
        <v>STD</v>
      </c>
      <c r="P387">
        <v>386</v>
      </c>
    </row>
    <row r="388" spans="1:16" x14ac:dyDescent="0.3">
      <c r="A388" s="1">
        <v>45383</v>
      </c>
      <c r="B388" t="s">
        <v>13</v>
      </c>
      <c r="C388" t="s">
        <v>14</v>
      </c>
      <c r="D388" t="s">
        <v>16</v>
      </c>
      <c r="E388">
        <v>6</v>
      </c>
      <c r="F388" s="3">
        <v>1656</v>
      </c>
      <c r="G388" s="2">
        <v>139.86000000000001</v>
      </c>
      <c r="H388">
        <f>Master_ventas[[#This Row],[Profit]]/Master_ventas[[#This Row],[Sales]]</f>
        <v>8.4456521739130444E-2</v>
      </c>
      <c r="I388">
        <f ca="1">Referencia_Hoy-Master_ventas[[#This Row],[Order Date]]</f>
        <v>940</v>
      </c>
      <c r="J388" t="str">
        <f>UPPER(Master_ventas[[#This Row],[Product Name]])</f>
        <v>TABLET</v>
      </c>
      <c r="K388" t="str">
        <f>UPPER(Master_ventas[[#This Row],[Category]])</f>
        <v>ELECTRONICS</v>
      </c>
      <c r="L388">
        <f>YEAR(Master_ventas[[#This Row],[Order Date]])</f>
        <v>2024</v>
      </c>
      <c r="M388" t="str">
        <f>CONCATENATE(LEFT(Master_ventas[[#This Row],[ProdUpper]],3),RIGHT(Master_ventas[[#This Row],[Ext-Year]],2),"-",MID(Master_ventas[[#This Row],[Category]],1,1))</f>
        <v>TAB24-E</v>
      </c>
      <c r="N388" t="str">
        <f>MID(Master_ventas[[#This Row],[ProdUpper]],1,3)</f>
        <v>TAB</v>
      </c>
      <c r="O388" t="str">
        <f>UPPER(IF(Master_ventas[[#This Row],[Profit]]&gt;500,"High","Std"))</f>
        <v>STD</v>
      </c>
      <c r="P388">
        <v>387</v>
      </c>
    </row>
    <row r="389" spans="1:16" x14ac:dyDescent="0.3">
      <c r="A389" s="1">
        <v>44749</v>
      </c>
      <c r="B389" t="s">
        <v>7</v>
      </c>
      <c r="C389" t="s">
        <v>8</v>
      </c>
      <c r="D389" t="s">
        <v>9</v>
      </c>
      <c r="E389">
        <v>5</v>
      </c>
      <c r="F389" s="3">
        <v>1255</v>
      </c>
      <c r="G389" s="2">
        <v>257.14999999999998</v>
      </c>
      <c r="H389">
        <f>Master_ventas[[#This Row],[Profit]]/Master_ventas[[#This Row],[Sales]]</f>
        <v>0.20490039840637447</v>
      </c>
      <c r="I389">
        <f ca="1">Referencia_Hoy-Master_ventas[[#This Row],[Order Date]]</f>
        <v>1574</v>
      </c>
      <c r="J389" t="str">
        <f>UPPER(Master_ventas[[#This Row],[Product Name]])</f>
        <v>PRINTER</v>
      </c>
      <c r="K389" t="str">
        <f>UPPER(Master_ventas[[#This Row],[Category]])</f>
        <v>OFFICE</v>
      </c>
      <c r="L389">
        <f>YEAR(Master_ventas[[#This Row],[Order Date]])</f>
        <v>2022</v>
      </c>
      <c r="M389" t="str">
        <f>CONCATENATE(LEFT(Master_ventas[[#This Row],[ProdUpper]],3),RIGHT(Master_ventas[[#This Row],[Ext-Year]],2),"-",MID(Master_ventas[[#This Row],[Category]],1,1))</f>
        <v>PRI22-O</v>
      </c>
      <c r="N389" t="str">
        <f>MID(Master_ventas[[#This Row],[ProdUpper]],1,3)</f>
        <v>PRI</v>
      </c>
      <c r="O389" t="str">
        <f>UPPER(IF(Master_ventas[[#This Row],[Profit]]&gt;500,"High","Std"))</f>
        <v>STD</v>
      </c>
      <c r="P389">
        <v>388</v>
      </c>
    </row>
    <row r="390" spans="1:16" x14ac:dyDescent="0.3">
      <c r="A390" s="1">
        <v>45087</v>
      </c>
      <c r="B390" t="s">
        <v>22</v>
      </c>
      <c r="C390" t="s">
        <v>11</v>
      </c>
      <c r="D390" t="s">
        <v>12</v>
      </c>
      <c r="E390">
        <v>1</v>
      </c>
      <c r="F390" s="3">
        <v>1192</v>
      </c>
      <c r="G390" s="2">
        <v>320.13</v>
      </c>
      <c r="H390">
        <f>Master_ventas[[#This Row],[Profit]]/Master_ventas[[#This Row],[Sales]]</f>
        <v>0.26856543624161072</v>
      </c>
      <c r="I390">
        <f ca="1">Referencia_Hoy-Master_ventas[[#This Row],[Order Date]]</f>
        <v>1236</v>
      </c>
      <c r="J390" t="str">
        <f>UPPER(Master_ventas[[#This Row],[Product Name]])</f>
        <v>KEYBOARD</v>
      </c>
      <c r="K390" t="str">
        <f>UPPER(Master_ventas[[#This Row],[Category]])</f>
        <v>ACCESSORIES</v>
      </c>
      <c r="L390">
        <f>YEAR(Master_ventas[[#This Row],[Order Date]])</f>
        <v>2023</v>
      </c>
      <c r="M390" t="str">
        <f>CONCATENATE(LEFT(Master_ventas[[#This Row],[ProdUpper]],3),RIGHT(Master_ventas[[#This Row],[Ext-Year]],2),"-",MID(Master_ventas[[#This Row],[Category]],1,1))</f>
        <v>KEY23-A</v>
      </c>
      <c r="N390" t="str">
        <f>MID(Master_ventas[[#This Row],[ProdUpper]],1,3)</f>
        <v>KEY</v>
      </c>
      <c r="O390" t="str">
        <f>UPPER(IF(Master_ventas[[#This Row],[Profit]]&gt;500,"High","Std"))</f>
        <v>STD</v>
      </c>
      <c r="P390">
        <v>389</v>
      </c>
    </row>
    <row r="391" spans="1:16" x14ac:dyDescent="0.3">
      <c r="A391" s="1">
        <v>45061</v>
      </c>
      <c r="B391" t="s">
        <v>13</v>
      </c>
      <c r="C391" t="s">
        <v>14</v>
      </c>
      <c r="D391" t="s">
        <v>16</v>
      </c>
      <c r="E391">
        <v>5</v>
      </c>
      <c r="F391" s="3">
        <v>1925</v>
      </c>
      <c r="G391" s="2">
        <v>204.74</v>
      </c>
      <c r="H391">
        <f>Master_ventas[[#This Row],[Profit]]/Master_ventas[[#This Row],[Sales]]</f>
        <v>0.10635844155844157</v>
      </c>
      <c r="I391">
        <f ca="1">Referencia_Hoy-Master_ventas[[#This Row],[Order Date]]</f>
        <v>1262</v>
      </c>
      <c r="J391" t="str">
        <f>UPPER(Master_ventas[[#This Row],[Product Name]])</f>
        <v>TABLET</v>
      </c>
      <c r="K391" t="str">
        <f>UPPER(Master_ventas[[#This Row],[Category]])</f>
        <v>ELECTRONICS</v>
      </c>
      <c r="L391">
        <f>YEAR(Master_ventas[[#This Row],[Order Date]])</f>
        <v>2023</v>
      </c>
      <c r="M391" t="str">
        <f>CONCATENATE(LEFT(Master_ventas[[#This Row],[ProdUpper]],3),RIGHT(Master_ventas[[#This Row],[Ext-Year]],2),"-",MID(Master_ventas[[#This Row],[Category]],1,1))</f>
        <v>TAB23-E</v>
      </c>
      <c r="N391" t="str">
        <f>MID(Master_ventas[[#This Row],[ProdUpper]],1,3)</f>
        <v>TAB</v>
      </c>
      <c r="O391" t="str">
        <f>UPPER(IF(Master_ventas[[#This Row],[Profit]]&gt;500,"High","Std"))</f>
        <v>STD</v>
      </c>
      <c r="P391">
        <v>390</v>
      </c>
    </row>
    <row r="392" spans="1:16" x14ac:dyDescent="0.3">
      <c r="A392" s="1">
        <v>44720</v>
      </c>
      <c r="B392" t="s">
        <v>13</v>
      </c>
      <c r="C392" t="s">
        <v>14</v>
      </c>
      <c r="D392" t="s">
        <v>16</v>
      </c>
      <c r="E392">
        <v>8</v>
      </c>
      <c r="F392" s="3">
        <v>1688</v>
      </c>
      <c r="G392" s="2">
        <v>337.33</v>
      </c>
      <c r="H392">
        <f>Master_ventas[[#This Row],[Profit]]/Master_ventas[[#This Row],[Sales]]</f>
        <v>0.19984004739336492</v>
      </c>
      <c r="I392">
        <f ca="1">Referencia_Hoy-Master_ventas[[#This Row],[Order Date]]</f>
        <v>1603</v>
      </c>
      <c r="J392" t="str">
        <f>UPPER(Master_ventas[[#This Row],[Product Name]])</f>
        <v>TABLET</v>
      </c>
      <c r="K392" t="str">
        <f>UPPER(Master_ventas[[#This Row],[Category]])</f>
        <v>ELECTRONICS</v>
      </c>
      <c r="L392">
        <f>YEAR(Master_ventas[[#This Row],[Order Date]])</f>
        <v>2022</v>
      </c>
      <c r="M392" t="str">
        <f>CONCATENATE(LEFT(Master_ventas[[#This Row],[ProdUpper]],3),RIGHT(Master_ventas[[#This Row],[Ext-Year]],2),"-",MID(Master_ventas[[#This Row],[Category]],1,1))</f>
        <v>TAB22-E</v>
      </c>
      <c r="N392" t="str">
        <f>MID(Master_ventas[[#This Row],[ProdUpper]],1,3)</f>
        <v>TAB</v>
      </c>
      <c r="O392" t="str">
        <f>UPPER(IF(Master_ventas[[#This Row],[Profit]]&gt;500,"High","Std"))</f>
        <v>STD</v>
      </c>
      <c r="P392">
        <v>391</v>
      </c>
    </row>
    <row r="393" spans="1:16" x14ac:dyDescent="0.3">
      <c r="A393" s="1">
        <v>45103</v>
      </c>
      <c r="B393" t="s">
        <v>18</v>
      </c>
      <c r="C393" t="s">
        <v>11</v>
      </c>
      <c r="D393" t="s">
        <v>15</v>
      </c>
      <c r="E393">
        <v>1</v>
      </c>
      <c r="F393" s="3">
        <v>260</v>
      </c>
      <c r="G393" s="2">
        <v>16.809999999999999</v>
      </c>
      <c r="H393">
        <f>Master_ventas[[#This Row],[Profit]]/Master_ventas[[#This Row],[Sales]]</f>
        <v>6.4653846153846145E-2</v>
      </c>
      <c r="I393">
        <f ca="1">Referencia_Hoy-Master_ventas[[#This Row],[Order Date]]</f>
        <v>1220</v>
      </c>
      <c r="J393" t="str">
        <f>UPPER(Master_ventas[[#This Row],[Product Name]])</f>
        <v>HEADPHONES</v>
      </c>
      <c r="K393" t="str">
        <f>UPPER(Master_ventas[[#This Row],[Category]])</f>
        <v>ACCESSORIES</v>
      </c>
      <c r="L393">
        <f>YEAR(Master_ventas[[#This Row],[Order Date]])</f>
        <v>2023</v>
      </c>
      <c r="M393" t="str">
        <f>CONCATENATE(LEFT(Master_ventas[[#This Row],[ProdUpper]],3),RIGHT(Master_ventas[[#This Row],[Ext-Year]],2),"-",MID(Master_ventas[[#This Row],[Category]],1,1))</f>
        <v>HEA23-A</v>
      </c>
      <c r="N393" t="str">
        <f>MID(Master_ventas[[#This Row],[ProdUpper]],1,3)</f>
        <v>HEA</v>
      </c>
      <c r="O393" t="str">
        <f>UPPER(IF(Master_ventas[[#This Row],[Profit]]&gt;500,"High","Std"))</f>
        <v>STD</v>
      </c>
      <c r="P393">
        <v>392</v>
      </c>
    </row>
    <row r="394" spans="1:16" x14ac:dyDescent="0.3">
      <c r="A394" s="1">
        <v>44580</v>
      </c>
      <c r="B394" t="s">
        <v>20</v>
      </c>
      <c r="C394" t="s">
        <v>11</v>
      </c>
      <c r="D394" t="s">
        <v>16</v>
      </c>
      <c r="E394">
        <v>5</v>
      </c>
      <c r="F394" s="3">
        <v>4880</v>
      </c>
      <c r="G394" s="2">
        <v>1250.6600000000001</v>
      </c>
      <c r="H394">
        <f>Master_ventas[[#This Row],[Profit]]/Master_ventas[[#This Row],[Sales]]</f>
        <v>0.25628278688524592</v>
      </c>
      <c r="I394">
        <f ca="1">Referencia_Hoy-Master_ventas[[#This Row],[Order Date]]</f>
        <v>1743</v>
      </c>
      <c r="J394" t="str">
        <f>UPPER(Master_ventas[[#This Row],[Product Name]])</f>
        <v>MONITOR</v>
      </c>
      <c r="K394" t="str">
        <f>UPPER(Master_ventas[[#This Row],[Category]])</f>
        <v>ACCESSORIES</v>
      </c>
      <c r="L394">
        <f>YEAR(Master_ventas[[#This Row],[Order Date]])</f>
        <v>2022</v>
      </c>
      <c r="M394" t="str">
        <f>CONCATENATE(LEFT(Master_ventas[[#This Row],[ProdUpper]],3),RIGHT(Master_ventas[[#This Row],[Ext-Year]],2),"-",MID(Master_ventas[[#This Row],[Category]],1,1))</f>
        <v>MON22-A</v>
      </c>
      <c r="N394" t="str">
        <f>MID(Master_ventas[[#This Row],[ProdUpper]],1,3)</f>
        <v>MON</v>
      </c>
      <c r="O394" t="str">
        <f>UPPER(IF(Master_ventas[[#This Row],[Profit]]&gt;500,"High","Std"))</f>
        <v>HIGH</v>
      </c>
      <c r="P394">
        <v>393</v>
      </c>
    </row>
    <row r="395" spans="1:16" x14ac:dyDescent="0.3">
      <c r="A395" s="1">
        <v>45392</v>
      </c>
      <c r="B395" t="s">
        <v>22</v>
      </c>
      <c r="C395" t="s">
        <v>11</v>
      </c>
      <c r="D395" t="s">
        <v>16</v>
      </c>
      <c r="E395">
        <v>7</v>
      </c>
      <c r="F395" s="3">
        <v>1134</v>
      </c>
      <c r="G395" s="2">
        <v>179.74</v>
      </c>
      <c r="H395">
        <f>Master_ventas[[#This Row],[Profit]]/Master_ventas[[#This Row],[Sales]]</f>
        <v>0.15850088183421518</v>
      </c>
      <c r="I395">
        <f ca="1">Referencia_Hoy-Master_ventas[[#This Row],[Order Date]]</f>
        <v>931</v>
      </c>
      <c r="J395" t="str">
        <f>UPPER(Master_ventas[[#This Row],[Product Name]])</f>
        <v>KEYBOARD</v>
      </c>
      <c r="K395" t="str">
        <f>UPPER(Master_ventas[[#This Row],[Category]])</f>
        <v>ACCESSORIES</v>
      </c>
      <c r="L395">
        <f>YEAR(Master_ventas[[#This Row],[Order Date]])</f>
        <v>2024</v>
      </c>
      <c r="M395" t="str">
        <f>CONCATENATE(LEFT(Master_ventas[[#This Row],[ProdUpper]],3),RIGHT(Master_ventas[[#This Row],[Ext-Year]],2),"-",MID(Master_ventas[[#This Row],[Category]],1,1))</f>
        <v>KEY24-A</v>
      </c>
      <c r="N395" t="str">
        <f>MID(Master_ventas[[#This Row],[ProdUpper]],1,3)</f>
        <v>KEY</v>
      </c>
      <c r="O395" t="str">
        <f>UPPER(IF(Master_ventas[[#This Row],[Profit]]&gt;500,"High","Std"))</f>
        <v>STD</v>
      </c>
      <c r="P395">
        <v>394</v>
      </c>
    </row>
    <row r="396" spans="1:16" x14ac:dyDescent="0.3">
      <c r="A396" s="1">
        <v>44722</v>
      </c>
      <c r="B396" t="s">
        <v>23</v>
      </c>
      <c r="C396" t="s">
        <v>14</v>
      </c>
      <c r="D396" t="s">
        <v>9</v>
      </c>
      <c r="E396">
        <v>9</v>
      </c>
      <c r="F396" s="3">
        <v>9621</v>
      </c>
      <c r="G396" s="2">
        <v>1201.29</v>
      </c>
      <c r="H396">
        <f>Master_ventas[[#This Row],[Profit]]/Master_ventas[[#This Row],[Sales]]</f>
        <v>0.12486124103523542</v>
      </c>
      <c r="I396">
        <f ca="1">Referencia_Hoy-Master_ventas[[#This Row],[Order Date]]</f>
        <v>1601</v>
      </c>
      <c r="J396" t="str">
        <f>UPPER(Master_ventas[[#This Row],[Product Name]])</f>
        <v>LAPTOP</v>
      </c>
      <c r="K396" t="str">
        <f>UPPER(Master_ventas[[#This Row],[Category]])</f>
        <v>ELECTRONICS</v>
      </c>
      <c r="L396">
        <f>YEAR(Master_ventas[[#This Row],[Order Date]])</f>
        <v>2022</v>
      </c>
      <c r="M396" t="str">
        <f>CONCATENATE(LEFT(Master_ventas[[#This Row],[ProdUpper]],3),RIGHT(Master_ventas[[#This Row],[Ext-Year]],2),"-",MID(Master_ventas[[#This Row],[Category]],1,1))</f>
        <v>LAP22-E</v>
      </c>
      <c r="N396" t="str">
        <f>MID(Master_ventas[[#This Row],[ProdUpper]],1,3)</f>
        <v>LAP</v>
      </c>
      <c r="O396" t="str">
        <f>UPPER(IF(Master_ventas[[#This Row],[Profit]]&gt;500,"High","Std"))</f>
        <v>HIGH</v>
      </c>
      <c r="P396">
        <v>395</v>
      </c>
    </row>
    <row r="397" spans="1:16" x14ac:dyDescent="0.3">
      <c r="A397" s="1">
        <v>44960</v>
      </c>
      <c r="B397" t="s">
        <v>20</v>
      </c>
      <c r="C397" t="s">
        <v>11</v>
      </c>
      <c r="D397" t="s">
        <v>15</v>
      </c>
      <c r="E397">
        <v>4</v>
      </c>
      <c r="F397" s="3">
        <v>2836</v>
      </c>
      <c r="G397" s="2">
        <v>698.83</v>
      </c>
      <c r="H397">
        <f>Master_ventas[[#This Row],[Profit]]/Master_ventas[[#This Row],[Sales]]</f>
        <v>0.24641396332863189</v>
      </c>
      <c r="I397">
        <f ca="1">Referencia_Hoy-Master_ventas[[#This Row],[Order Date]]</f>
        <v>1363</v>
      </c>
      <c r="J397" t="str">
        <f>UPPER(Master_ventas[[#This Row],[Product Name]])</f>
        <v>MONITOR</v>
      </c>
      <c r="K397" t="str">
        <f>UPPER(Master_ventas[[#This Row],[Category]])</f>
        <v>ACCESSORIES</v>
      </c>
      <c r="L397">
        <f>YEAR(Master_ventas[[#This Row],[Order Date]])</f>
        <v>2023</v>
      </c>
      <c r="M397" t="str">
        <f>CONCATENATE(LEFT(Master_ventas[[#This Row],[ProdUpper]],3),RIGHT(Master_ventas[[#This Row],[Ext-Year]],2),"-",MID(Master_ventas[[#This Row],[Category]],1,1))</f>
        <v>MON23-A</v>
      </c>
      <c r="N397" t="str">
        <f>MID(Master_ventas[[#This Row],[ProdUpper]],1,3)</f>
        <v>MON</v>
      </c>
      <c r="O397" t="str">
        <f>UPPER(IF(Master_ventas[[#This Row],[Profit]]&gt;500,"High","Std"))</f>
        <v>HIGH</v>
      </c>
      <c r="P397">
        <v>396</v>
      </c>
    </row>
    <row r="398" spans="1:16" x14ac:dyDescent="0.3">
      <c r="A398" s="1">
        <v>45061</v>
      </c>
      <c r="B398" t="s">
        <v>7</v>
      </c>
      <c r="C398" t="s">
        <v>8</v>
      </c>
      <c r="D398" t="s">
        <v>9</v>
      </c>
      <c r="E398">
        <v>9</v>
      </c>
      <c r="F398" s="3">
        <v>5859</v>
      </c>
      <c r="G398" s="2">
        <v>1153.8900000000001</v>
      </c>
      <c r="H398">
        <f>Master_ventas[[#This Row],[Profit]]/Master_ventas[[#This Row],[Sales]]</f>
        <v>0.19694316436251921</v>
      </c>
      <c r="I398">
        <f ca="1">Referencia_Hoy-Master_ventas[[#This Row],[Order Date]]</f>
        <v>1262</v>
      </c>
      <c r="J398" t="str">
        <f>UPPER(Master_ventas[[#This Row],[Product Name]])</f>
        <v>PRINTER</v>
      </c>
      <c r="K398" t="str">
        <f>UPPER(Master_ventas[[#This Row],[Category]])</f>
        <v>OFFICE</v>
      </c>
      <c r="L398">
        <f>YEAR(Master_ventas[[#This Row],[Order Date]])</f>
        <v>2023</v>
      </c>
      <c r="M398" t="str">
        <f>CONCATENATE(LEFT(Master_ventas[[#This Row],[ProdUpper]],3),RIGHT(Master_ventas[[#This Row],[Ext-Year]],2),"-",MID(Master_ventas[[#This Row],[Category]],1,1))</f>
        <v>PRI23-O</v>
      </c>
      <c r="N398" t="str">
        <f>MID(Master_ventas[[#This Row],[ProdUpper]],1,3)</f>
        <v>PRI</v>
      </c>
      <c r="O398" t="str">
        <f>UPPER(IF(Master_ventas[[#This Row],[Profit]]&gt;500,"High","Std"))</f>
        <v>HIGH</v>
      </c>
      <c r="P398">
        <v>397</v>
      </c>
    </row>
    <row r="399" spans="1:16" x14ac:dyDescent="0.3">
      <c r="A399" s="1">
        <v>44815</v>
      </c>
      <c r="B399" t="s">
        <v>19</v>
      </c>
      <c r="C399" t="s">
        <v>14</v>
      </c>
      <c r="D399" t="s">
        <v>15</v>
      </c>
      <c r="E399">
        <v>2</v>
      </c>
      <c r="F399" s="3">
        <v>2044</v>
      </c>
      <c r="G399" s="2">
        <v>460.03</v>
      </c>
      <c r="H399">
        <f>Master_ventas[[#This Row],[Profit]]/Master_ventas[[#This Row],[Sales]]</f>
        <v>0.22506360078277884</v>
      </c>
      <c r="I399">
        <f ca="1">Referencia_Hoy-Master_ventas[[#This Row],[Order Date]]</f>
        <v>1508</v>
      </c>
      <c r="J399" t="str">
        <f>UPPER(Master_ventas[[#This Row],[Product Name]])</f>
        <v>SMARTWATCH</v>
      </c>
      <c r="K399" t="str">
        <f>UPPER(Master_ventas[[#This Row],[Category]])</f>
        <v>ELECTRONICS</v>
      </c>
      <c r="L399">
        <f>YEAR(Master_ventas[[#This Row],[Order Date]])</f>
        <v>2022</v>
      </c>
      <c r="M399" t="str">
        <f>CONCATENATE(LEFT(Master_ventas[[#This Row],[ProdUpper]],3),RIGHT(Master_ventas[[#This Row],[Ext-Year]],2),"-",MID(Master_ventas[[#This Row],[Category]],1,1))</f>
        <v>SMA22-E</v>
      </c>
      <c r="N399" t="str">
        <f>MID(Master_ventas[[#This Row],[ProdUpper]],1,3)</f>
        <v>SMA</v>
      </c>
      <c r="O399" t="str">
        <f>UPPER(IF(Master_ventas[[#This Row],[Profit]]&gt;500,"High","Std"))</f>
        <v>STD</v>
      </c>
      <c r="P399">
        <v>398</v>
      </c>
    </row>
    <row r="400" spans="1:16" x14ac:dyDescent="0.3">
      <c r="A400" s="1">
        <v>45108</v>
      </c>
      <c r="B400" t="s">
        <v>20</v>
      </c>
      <c r="C400" t="s">
        <v>11</v>
      </c>
      <c r="D400" t="s">
        <v>15</v>
      </c>
      <c r="E400">
        <v>1</v>
      </c>
      <c r="F400" s="3">
        <v>612</v>
      </c>
      <c r="G400" s="2">
        <v>174.52</v>
      </c>
      <c r="H400">
        <f>Master_ventas[[#This Row],[Profit]]/Master_ventas[[#This Row],[Sales]]</f>
        <v>0.28516339869281049</v>
      </c>
      <c r="I400">
        <f ca="1">Referencia_Hoy-Master_ventas[[#This Row],[Order Date]]</f>
        <v>1215</v>
      </c>
      <c r="J400" t="str">
        <f>UPPER(Master_ventas[[#This Row],[Product Name]])</f>
        <v>MONITOR</v>
      </c>
      <c r="K400" t="str">
        <f>UPPER(Master_ventas[[#This Row],[Category]])</f>
        <v>ACCESSORIES</v>
      </c>
      <c r="L400">
        <f>YEAR(Master_ventas[[#This Row],[Order Date]])</f>
        <v>2023</v>
      </c>
      <c r="M400" t="str">
        <f>CONCATENATE(LEFT(Master_ventas[[#This Row],[ProdUpper]],3),RIGHT(Master_ventas[[#This Row],[Ext-Year]],2),"-",MID(Master_ventas[[#This Row],[Category]],1,1))</f>
        <v>MON23-A</v>
      </c>
      <c r="N400" t="str">
        <f>MID(Master_ventas[[#This Row],[ProdUpper]],1,3)</f>
        <v>MON</v>
      </c>
      <c r="O400" t="str">
        <f>UPPER(IF(Master_ventas[[#This Row],[Profit]]&gt;500,"High","Std"))</f>
        <v>STD</v>
      </c>
      <c r="P400">
        <v>399</v>
      </c>
    </row>
    <row r="401" spans="1:16" x14ac:dyDescent="0.3">
      <c r="A401" s="1">
        <v>44610</v>
      </c>
      <c r="B401" t="s">
        <v>19</v>
      </c>
      <c r="C401" t="s">
        <v>14</v>
      </c>
      <c r="D401" t="s">
        <v>9</v>
      </c>
      <c r="E401">
        <v>3</v>
      </c>
      <c r="F401" s="3">
        <v>1890</v>
      </c>
      <c r="G401" s="2">
        <v>492.31</v>
      </c>
      <c r="H401">
        <f>Master_ventas[[#This Row],[Profit]]/Master_ventas[[#This Row],[Sales]]</f>
        <v>0.26048148148148148</v>
      </c>
      <c r="I401">
        <f ca="1">Referencia_Hoy-Master_ventas[[#This Row],[Order Date]]</f>
        <v>1713</v>
      </c>
      <c r="J401" t="str">
        <f>UPPER(Master_ventas[[#This Row],[Product Name]])</f>
        <v>SMARTWATCH</v>
      </c>
      <c r="K401" t="str">
        <f>UPPER(Master_ventas[[#This Row],[Category]])</f>
        <v>ELECTRONICS</v>
      </c>
      <c r="L401">
        <f>YEAR(Master_ventas[[#This Row],[Order Date]])</f>
        <v>2022</v>
      </c>
      <c r="M401" t="str">
        <f>CONCATENATE(LEFT(Master_ventas[[#This Row],[ProdUpper]],3),RIGHT(Master_ventas[[#This Row],[Ext-Year]],2),"-",MID(Master_ventas[[#This Row],[Category]],1,1))</f>
        <v>SMA22-E</v>
      </c>
      <c r="N401" t="str">
        <f>MID(Master_ventas[[#This Row],[ProdUpper]],1,3)</f>
        <v>SMA</v>
      </c>
      <c r="O401" t="str">
        <f>UPPER(IF(Master_ventas[[#This Row],[Profit]]&gt;500,"High","Std"))</f>
        <v>STD</v>
      </c>
      <c r="P401">
        <v>400</v>
      </c>
    </row>
    <row r="402" spans="1:16" x14ac:dyDescent="0.3">
      <c r="A402" s="1">
        <v>45199</v>
      </c>
      <c r="B402" t="s">
        <v>19</v>
      </c>
      <c r="C402" t="s">
        <v>14</v>
      </c>
      <c r="D402" t="s">
        <v>12</v>
      </c>
      <c r="E402">
        <v>5</v>
      </c>
      <c r="F402" s="3">
        <v>2025</v>
      </c>
      <c r="G402" s="2">
        <v>168.82</v>
      </c>
      <c r="H402">
        <f>Master_ventas[[#This Row],[Profit]]/Master_ventas[[#This Row],[Sales]]</f>
        <v>8.3367901234567901E-2</v>
      </c>
      <c r="I402">
        <f ca="1">Referencia_Hoy-Master_ventas[[#This Row],[Order Date]]</f>
        <v>1124</v>
      </c>
      <c r="J402" t="str">
        <f>UPPER(Master_ventas[[#This Row],[Product Name]])</f>
        <v>SMARTWATCH</v>
      </c>
      <c r="K402" t="str">
        <f>UPPER(Master_ventas[[#This Row],[Category]])</f>
        <v>ELECTRONICS</v>
      </c>
      <c r="L402">
        <f>YEAR(Master_ventas[[#This Row],[Order Date]])</f>
        <v>2023</v>
      </c>
      <c r="M402" t="str">
        <f>CONCATENATE(LEFT(Master_ventas[[#This Row],[ProdUpper]],3),RIGHT(Master_ventas[[#This Row],[Ext-Year]],2),"-",MID(Master_ventas[[#This Row],[Category]],1,1))</f>
        <v>SMA23-E</v>
      </c>
      <c r="N402" t="str">
        <f>MID(Master_ventas[[#This Row],[ProdUpper]],1,3)</f>
        <v>SMA</v>
      </c>
      <c r="O402" t="str">
        <f>UPPER(IF(Master_ventas[[#This Row],[Profit]]&gt;500,"High","Std"))</f>
        <v>STD</v>
      </c>
      <c r="P402">
        <v>401</v>
      </c>
    </row>
    <row r="403" spans="1:16" x14ac:dyDescent="0.3">
      <c r="A403" s="1">
        <v>45173</v>
      </c>
      <c r="B403" t="s">
        <v>7</v>
      </c>
      <c r="C403" t="s">
        <v>8</v>
      </c>
      <c r="D403" t="s">
        <v>15</v>
      </c>
      <c r="E403">
        <v>2</v>
      </c>
      <c r="F403" s="3">
        <v>1960</v>
      </c>
      <c r="G403" s="2">
        <v>312.06</v>
      </c>
      <c r="H403">
        <f>Master_ventas[[#This Row],[Profit]]/Master_ventas[[#This Row],[Sales]]</f>
        <v>0.15921428571428572</v>
      </c>
      <c r="I403">
        <f ca="1">Referencia_Hoy-Master_ventas[[#This Row],[Order Date]]</f>
        <v>1150</v>
      </c>
      <c r="J403" t="str">
        <f>UPPER(Master_ventas[[#This Row],[Product Name]])</f>
        <v>PRINTER</v>
      </c>
      <c r="K403" t="str">
        <f>UPPER(Master_ventas[[#This Row],[Category]])</f>
        <v>OFFICE</v>
      </c>
      <c r="L403">
        <f>YEAR(Master_ventas[[#This Row],[Order Date]])</f>
        <v>2023</v>
      </c>
      <c r="M403" t="str">
        <f>CONCATENATE(LEFT(Master_ventas[[#This Row],[ProdUpper]],3),RIGHT(Master_ventas[[#This Row],[Ext-Year]],2),"-",MID(Master_ventas[[#This Row],[Category]],1,1))</f>
        <v>PRI23-O</v>
      </c>
      <c r="N403" t="str">
        <f>MID(Master_ventas[[#This Row],[ProdUpper]],1,3)</f>
        <v>PRI</v>
      </c>
      <c r="O403" t="str">
        <f>UPPER(IF(Master_ventas[[#This Row],[Profit]]&gt;500,"High","Std"))</f>
        <v>STD</v>
      </c>
      <c r="P403">
        <v>402</v>
      </c>
    </row>
    <row r="404" spans="1:16" x14ac:dyDescent="0.3">
      <c r="A404" s="1">
        <v>44749</v>
      </c>
      <c r="B404" t="s">
        <v>17</v>
      </c>
      <c r="C404" t="s">
        <v>14</v>
      </c>
      <c r="D404" t="s">
        <v>9</v>
      </c>
      <c r="E404">
        <v>6</v>
      </c>
      <c r="F404" s="3">
        <v>4410</v>
      </c>
      <c r="G404" s="2">
        <v>893.27</v>
      </c>
      <c r="H404">
        <f>Master_ventas[[#This Row],[Profit]]/Master_ventas[[#This Row],[Sales]]</f>
        <v>0.20255555555555554</v>
      </c>
      <c r="I404">
        <f ca="1">Referencia_Hoy-Master_ventas[[#This Row],[Order Date]]</f>
        <v>1574</v>
      </c>
      <c r="J404" t="str">
        <f>UPPER(Master_ventas[[#This Row],[Product Name]])</f>
        <v>CAMERA</v>
      </c>
      <c r="K404" t="str">
        <f>UPPER(Master_ventas[[#This Row],[Category]])</f>
        <v>ELECTRONICS</v>
      </c>
      <c r="L404">
        <f>YEAR(Master_ventas[[#This Row],[Order Date]])</f>
        <v>2022</v>
      </c>
      <c r="M404" t="str">
        <f>CONCATENATE(LEFT(Master_ventas[[#This Row],[ProdUpper]],3),RIGHT(Master_ventas[[#This Row],[Ext-Year]],2),"-",MID(Master_ventas[[#This Row],[Category]],1,1))</f>
        <v>CAM22-E</v>
      </c>
      <c r="N404" t="str">
        <f>MID(Master_ventas[[#This Row],[ProdUpper]],1,3)</f>
        <v>CAM</v>
      </c>
      <c r="O404" t="str">
        <f>UPPER(IF(Master_ventas[[#This Row],[Profit]]&gt;500,"High","Std"))</f>
        <v>HIGH</v>
      </c>
      <c r="P404">
        <v>403</v>
      </c>
    </row>
    <row r="405" spans="1:16" x14ac:dyDescent="0.3">
      <c r="A405" s="1">
        <v>45487</v>
      </c>
      <c r="B405" t="s">
        <v>22</v>
      </c>
      <c r="C405" t="s">
        <v>11</v>
      </c>
      <c r="D405" t="s">
        <v>16</v>
      </c>
      <c r="E405">
        <v>8</v>
      </c>
      <c r="F405" s="3">
        <v>8272</v>
      </c>
      <c r="G405" s="2">
        <v>2391.88</v>
      </c>
      <c r="H405">
        <f>Master_ventas[[#This Row],[Profit]]/Master_ventas[[#This Row],[Sales]]</f>
        <v>0.28915377176015478</v>
      </c>
      <c r="I405">
        <f ca="1">Referencia_Hoy-Master_ventas[[#This Row],[Order Date]]</f>
        <v>836</v>
      </c>
      <c r="J405" t="str">
        <f>UPPER(Master_ventas[[#This Row],[Product Name]])</f>
        <v>KEYBOARD</v>
      </c>
      <c r="K405" t="str">
        <f>UPPER(Master_ventas[[#This Row],[Category]])</f>
        <v>ACCESSORIES</v>
      </c>
      <c r="L405">
        <f>YEAR(Master_ventas[[#This Row],[Order Date]])</f>
        <v>2024</v>
      </c>
      <c r="M405" t="str">
        <f>CONCATENATE(LEFT(Master_ventas[[#This Row],[ProdUpper]],3),RIGHT(Master_ventas[[#This Row],[Ext-Year]],2),"-",MID(Master_ventas[[#This Row],[Category]],1,1))</f>
        <v>KEY24-A</v>
      </c>
      <c r="N405" t="str">
        <f>MID(Master_ventas[[#This Row],[ProdUpper]],1,3)</f>
        <v>KEY</v>
      </c>
      <c r="O405" t="str">
        <f>UPPER(IF(Master_ventas[[#This Row],[Profit]]&gt;500,"High","Std"))</f>
        <v>HIGH</v>
      </c>
      <c r="P405">
        <v>404</v>
      </c>
    </row>
    <row r="406" spans="1:16" x14ac:dyDescent="0.3">
      <c r="A406" s="1">
        <v>44831</v>
      </c>
      <c r="B406" t="s">
        <v>19</v>
      </c>
      <c r="C406" t="s">
        <v>14</v>
      </c>
      <c r="D406" t="s">
        <v>16</v>
      </c>
      <c r="E406">
        <v>6</v>
      </c>
      <c r="F406" s="3">
        <v>5712</v>
      </c>
      <c r="G406" s="2">
        <v>638.29</v>
      </c>
      <c r="H406">
        <f>Master_ventas[[#This Row],[Profit]]/Master_ventas[[#This Row],[Sales]]</f>
        <v>0.11174544817927171</v>
      </c>
      <c r="I406">
        <f ca="1">Referencia_Hoy-Master_ventas[[#This Row],[Order Date]]</f>
        <v>1492</v>
      </c>
      <c r="J406" t="str">
        <f>UPPER(Master_ventas[[#This Row],[Product Name]])</f>
        <v>SMARTWATCH</v>
      </c>
      <c r="K406" t="str">
        <f>UPPER(Master_ventas[[#This Row],[Category]])</f>
        <v>ELECTRONICS</v>
      </c>
      <c r="L406">
        <f>YEAR(Master_ventas[[#This Row],[Order Date]])</f>
        <v>2022</v>
      </c>
      <c r="M406" t="str">
        <f>CONCATENATE(LEFT(Master_ventas[[#This Row],[ProdUpper]],3),RIGHT(Master_ventas[[#This Row],[Ext-Year]],2),"-",MID(Master_ventas[[#This Row],[Category]],1,1))</f>
        <v>SMA22-E</v>
      </c>
      <c r="N406" t="str">
        <f>MID(Master_ventas[[#This Row],[ProdUpper]],1,3)</f>
        <v>SMA</v>
      </c>
      <c r="O406" t="str">
        <f>UPPER(IF(Master_ventas[[#This Row],[Profit]]&gt;500,"High","Std"))</f>
        <v>HIGH</v>
      </c>
      <c r="P406">
        <v>405</v>
      </c>
    </row>
    <row r="407" spans="1:16" x14ac:dyDescent="0.3">
      <c r="A407" s="1">
        <v>45402</v>
      </c>
      <c r="B407" t="s">
        <v>19</v>
      </c>
      <c r="C407" t="s">
        <v>14</v>
      </c>
      <c r="D407" t="s">
        <v>9</v>
      </c>
      <c r="E407">
        <v>6</v>
      </c>
      <c r="F407" s="3">
        <v>1524</v>
      </c>
      <c r="G407" s="2">
        <v>178.36</v>
      </c>
      <c r="H407">
        <f>Master_ventas[[#This Row],[Profit]]/Master_ventas[[#This Row],[Sales]]</f>
        <v>0.11703412073490814</v>
      </c>
      <c r="I407">
        <f ca="1">Referencia_Hoy-Master_ventas[[#This Row],[Order Date]]</f>
        <v>921</v>
      </c>
      <c r="J407" t="str">
        <f>UPPER(Master_ventas[[#This Row],[Product Name]])</f>
        <v>SMARTWATCH</v>
      </c>
      <c r="K407" t="str">
        <f>UPPER(Master_ventas[[#This Row],[Category]])</f>
        <v>ELECTRONICS</v>
      </c>
      <c r="L407">
        <f>YEAR(Master_ventas[[#This Row],[Order Date]])</f>
        <v>2024</v>
      </c>
      <c r="M407" t="str">
        <f>CONCATENATE(LEFT(Master_ventas[[#This Row],[ProdUpper]],3),RIGHT(Master_ventas[[#This Row],[Ext-Year]],2),"-",MID(Master_ventas[[#This Row],[Category]],1,1))</f>
        <v>SMA24-E</v>
      </c>
      <c r="N407" t="str">
        <f>MID(Master_ventas[[#This Row],[ProdUpper]],1,3)</f>
        <v>SMA</v>
      </c>
      <c r="O407" t="str">
        <f>UPPER(IF(Master_ventas[[#This Row],[Profit]]&gt;500,"High","Std"))</f>
        <v>STD</v>
      </c>
      <c r="P407">
        <v>406</v>
      </c>
    </row>
    <row r="408" spans="1:16" x14ac:dyDescent="0.3">
      <c r="A408" s="1">
        <v>45436</v>
      </c>
      <c r="B408" t="s">
        <v>22</v>
      </c>
      <c r="C408" t="s">
        <v>11</v>
      </c>
      <c r="D408" t="s">
        <v>9</v>
      </c>
      <c r="E408">
        <v>8</v>
      </c>
      <c r="F408" s="3">
        <v>5160</v>
      </c>
      <c r="G408" s="2">
        <v>1057.4100000000001</v>
      </c>
      <c r="H408">
        <f>Master_ventas[[#This Row],[Profit]]/Master_ventas[[#This Row],[Sales]]</f>
        <v>0.20492441860465119</v>
      </c>
      <c r="I408">
        <f ca="1">Referencia_Hoy-Master_ventas[[#This Row],[Order Date]]</f>
        <v>887</v>
      </c>
      <c r="J408" t="str">
        <f>UPPER(Master_ventas[[#This Row],[Product Name]])</f>
        <v>KEYBOARD</v>
      </c>
      <c r="K408" t="str">
        <f>UPPER(Master_ventas[[#This Row],[Category]])</f>
        <v>ACCESSORIES</v>
      </c>
      <c r="L408">
        <f>YEAR(Master_ventas[[#This Row],[Order Date]])</f>
        <v>2024</v>
      </c>
      <c r="M408" t="str">
        <f>CONCATENATE(LEFT(Master_ventas[[#This Row],[ProdUpper]],3),RIGHT(Master_ventas[[#This Row],[Ext-Year]],2),"-",MID(Master_ventas[[#This Row],[Category]],1,1))</f>
        <v>KEY24-A</v>
      </c>
      <c r="N408" t="str">
        <f>MID(Master_ventas[[#This Row],[ProdUpper]],1,3)</f>
        <v>KEY</v>
      </c>
      <c r="O408" t="str">
        <f>UPPER(IF(Master_ventas[[#This Row],[Profit]]&gt;500,"High","Std"))</f>
        <v>HIGH</v>
      </c>
      <c r="P408">
        <v>407</v>
      </c>
    </row>
    <row r="409" spans="1:16" x14ac:dyDescent="0.3">
      <c r="A409" s="1">
        <v>45655</v>
      </c>
      <c r="B409" t="s">
        <v>10</v>
      </c>
      <c r="C409" t="s">
        <v>11</v>
      </c>
      <c r="D409" t="s">
        <v>12</v>
      </c>
      <c r="E409">
        <v>4</v>
      </c>
      <c r="F409" s="3">
        <v>2956</v>
      </c>
      <c r="G409" s="2">
        <v>451.6</v>
      </c>
      <c r="H409">
        <f>Master_ventas[[#This Row],[Profit]]/Master_ventas[[#This Row],[Sales]]</f>
        <v>0.15277401894451964</v>
      </c>
      <c r="I409">
        <f ca="1">Referencia_Hoy-Master_ventas[[#This Row],[Order Date]]</f>
        <v>668</v>
      </c>
      <c r="J409" t="str">
        <f>UPPER(Master_ventas[[#This Row],[Product Name]])</f>
        <v>MOUSE</v>
      </c>
      <c r="K409" t="str">
        <f>UPPER(Master_ventas[[#This Row],[Category]])</f>
        <v>ACCESSORIES</v>
      </c>
      <c r="L409">
        <f>YEAR(Master_ventas[[#This Row],[Order Date]])</f>
        <v>2024</v>
      </c>
      <c r="M409" t="str">
        <f>CONCATENATE(LEFT(Master_ventas[[#This Row],[ProdUpper]],3),RIGHT(Master_ventas[[#This Row],[Ext-Year]],2),"-",MID(Master_ventas[[#This Row],[Category]],1,1))</f>
        <v>MOU24-A</v>
      </c>
      <c r="N409" t="str">
        <f>MID(Master_ventas[[#This Row],[ProdUpper]],1,3)</f>
        <v>MOU</v>
      </c>
      <c r="O409" t="str">
        <f>UPPER(IF(Master_ventas[[#This Row],[Profit]]&gt;500,"High","Std"))</f>
        <v>STD</v>
      </c>
      <c r="P409">
        <v>408</v>
      </c>
    </row>
    <row r="410" spans="1:16" x14ac:dyDescent="0.3">
      <c r="A410" s="1">
        <v>45053</v>
      </c>
      <c r="B410" t="s">
        <v>21</v>
      </c>
      <c r="C410" t="s">
        <v>14</v>
      </c>
      <c r="D410" t="s">
        <v>16</v>
      </c>
      <c r="E410">
        <v>8</v>
      </c>
      <c r="F410" s="3">
        <v>7944</v>
      </c>
      <c r="G410" s="2">
        <v>2257.73</v>
      </c>
      <c r="H410">
        <f>Master_ventas[[#This Row],[Profit]]/Master_ventas[[#This Row],[Sales]]</f>
        <v>0.28420568982880162</v>
      </c>
      <c r="I410">
        <f ca="1">Referencia_Hoy-Master_ventas[[#This Row],[Order Date]]</f>
        <v>1270</v>
      </c>
      <c r="J410" t="str">
        <f>UPPER(Master_ventas[[#This Row],[Product Name]])</f>
        <v>SMARTPHONE</v>
      </c>
      <c r="K410" t="str">
        <f>UPPER(Master_ventas[[#This Row],[Category]])</f>
        <v>ELECTRONICS</v>
      </c>
      <c r="L410">
        <f>YEAR(Master_ventas[[#This Row],[Order Date]])</f>
        <v>2023</v>
      </c>
      <c r="M410" t="str">
        <f>CONCATENATE(LEFT(Master_ventas[[#This Row],[ProdUpper]],3),RIGHT(Master_ventas[[#This Row],[Ext-Year]],2),"-",MID(Master_ventas[[#This Row],[Category]],1,1))</f>
        <v>SMA23-E</v>
      </c>
      <c r="N410" t="str">
        <f>MID(Master_ventas[[#This Row],[ProdUpper]],1,3)</f>
        <v>SMA</v>
      </c>
      <c r="O410" t="str">
        <f>UPPER(IF(Master_ventas[[#This Row],[Profit]]&gt;500,"High","Std"))</f>
        <v>HIGH</v>
      </c>
      <c r="P410">
        <v>409</v>
      </c>
    </row>
    <row r="411" spans="1:16" x14ac:dyDescent="0.3">
      <c r="A411" s="1">
        <v>45545</v>
      </c>
      <c r="B411" t="s">
        <v>17</v>
      </c>
      <c r="C411" t="s">
        <v>14</v>
      </c>
      <c r="D411" t="s">
        <v>9</v>
      </c>
      <c r="E411">
        <v>5</v>
      </c>
      <c r="F411" s="3">
        <v>1815</v>
      </c>
      <c r="G411" s="2">
        <v>535.22</v>
      </c>
      <c r="H411">
        <f>Master_ventas[[#This Row],[Profit]]/Master_ventas[[#This Row],[Sales]]</f>
        <v>0.29488705234159779</v>
      </c>
      <c r="I411">
        <f ca="1">Referencia_Hoy-Master_ventas[[#This Row],[Order Date]]</f>
        <v>778</v>
      </c>
      <c r="J411" t="str">
        <f>UPPER(Master_ventas[[#This Row],[Product Name]])</f>
        <v>CAMERA</v>
      </c>
      <c r="K411" t="str">
        <f>UPPER(Master_ventas[[#This Row],[Category]])</f>
        <v>ELECTRONICS</v>
      </c>
      <c r="L411">
        <f>YEAR(Master_ventas[[#This Row],[Order Date]])</f>
        <v>2024</v>
      </c>
      <c r="M411" t="str">
        <f>CONCATENATE(LEFT(Master_ventas[[#This Row],[ProdUpper]],3),RIGHT(Master_ventas[[#This Row],[Ext-Year]],2),"-",MID(Master_ventas[[#This Row],[Category]],1,1))</f>
        <v>CAM24-E</v>
      </c>
      <c r="N411" t="str">
        <f>MID(Master_ventas[[#This Row],[ProdUpper]],1,3)</f>
        <v>CAM</v>
      </c>
      <c r="O411" t="str">
        <f>UPPER(IF(Master_ventas[[#This Row],[Profit]]&gt;500,"High","Std"))</f>
        <v>HIGH</v>
      </c>
      <c r="P411">
        <v>410</v>
      </c>
    </row>
    <row r="412" spans="1:16" x14ac:dyDescent="0.3">
      <c r="A412" s="1">
        <v>45006</v>
      </c>
      <c r="B412" t="s">
        <v>18</v>
      </c>
      <c r="C412" t="s">
        <v>11</v>
      </c>
      <c r="D412" t="s">
        <v>9</v>
      </c>
      <c r="E412">
        <v>3</v>
      </c>
      <c r="F412" s="3">
        <v>2706</v>
      </c>
      <c r="G412" s="2">
        <v>546.97</v>
      </c>
      <c r="H412">
        <f>Master_ventas[[#This Row],[Profit]]/Master_ventas[[#This Row],[Sales]]</f>
        <v>0.20213229859571324</v>
      </c>
      <c r="I412">
        <f ca="1">Referencia_Hoy-Master_ventas[[#This Row],[Order Date]]</f>
        <v>1317</v>
      </c>
      <c r="J412" t="str">
        <f>UPPER(Master_ventas[[#This Row],[Product Name]])</f>
        <v>HEADPHONES</v>
      </c>
      <c r="K412" t="str">
        <f>UPPER(Master_ventas[[#This Row],[Category]])</f>
        <v>ACCESSORIES</v>
      </c>
      <c r="L412">
        <f>YEAR(Master_ventas[[#This Row],[Order Date]])</f>
        <v>2023</v>
      </c>
      <c r="M412" t="str">
        <f>CONCATENATE(LEFT(Master_ventas[[#This Row],[ProdUpper]],3),RIGHT(Master_ventas[[#This Row],[Ext-Year]],2),"-",MID(Master_ventas[[#This Row],[Category]],1,1))</f>
        <v>HEA23-A</v>
      </c>
      <c r="N412" t="str">
        <f>MID(Master_ventas[[#This Row],[ProdUpper]],1,3)</f>
        <v>HEA</v>
      </c>
      <c r="O412" t="str">
        <f>UPPER(IF(Master_ventas[[#This Row],[Profit]]&gt;500,"High","Std"))</f>
        <v>HIGH</v>
      </c>
      <c r="P412">
        <v>411</v>
      </c>
    </row>
    <row r="413" spans="1:16" x14ac:dyDescent="0.3">
      <c r="A413" s="1">
        <v>45051</v>
      </c>
      <c r="B413" t="s">
        <v>23</v>
      </c>
      <c r="C413" t="s">
        <v>14</v>
      </c>
      <c r="D413" t="s">
        <v>9</v>
      </c>
      <c r="E413">
        <v>2</v>
      </c>
      <c r="F413" s="3">
        <v>1356</v>
      </c>
      <c r="G413" s="2">
        <v>144.18</v>
      </c>
      <c r="H413">
        <f>Master_ventas[[#This Row],[Profit]]/Master_ventas[[#This Row],[Sales]]</f>
        <v>0.10632743362831859</v>
      </c>
      <c r="I413">
        <f ca="1">Referencia_Hoy-Master_ventas[[#This Row],[Order Date]]</f>
        <v>1272</v>
      </c>
      <c r="J413" t="str">
        <f>UPPER(Master_ventas[[#This Row],[Product Name]])</f>
        <v>LAPTOP</v>
      </c>
      <c r="K413" t="str">
        <f>UPPER(Master_ventas[[#This Row],[Category]])</f>
        <v>ELECTRONICS</v>
      </c>
      <c r="L413">
        <f>YEAR(Master_ventas[[#This Row],[Order Date]])</f>
        <v>2023</v>
      </c>
      <c r="M413" t="str">
        <f>CONCATENATE(LEFT(Master_ventas[[#This Row],[ProdUpper]],3),RIGHT(Master_ventas[[#This Row],[Ext-Year]],2),"-",MID(Master_ventas[[#This Row],[Category]],1,1))</f>
        <v>LAP23-E</v>
      </c>
      <c r="N413" t="str">
        <f>MID(Master_ventas[[#This Row],[ProdUpper]],1,3)</f>
        <v>LAP</v>
      </c>
      <c r="O413" t="str">
        <f>UPPER(IF(Master_ventas[[#This Row],[Profit]]&gt;500,"High","Std"))</f>
        <v>STD</v>
      </c>
      <c r="P413">
        <v>412</v>
      </c>
    </row>
    <row r="414" spans="1:16" x14ac:dyDescent="0.3">
      <c r="A414" s="1">
        <v>45134</v>
      </c>
      <c r="B414" t="s">
        <v>7</v>
      </c>
      <c r="C414" t="s">
        <v>8</v>
      </c>
      <c r="D414" t="s">
        <v>15</v>
      </c>
      <c r="E414">
        <v>6</v>
      </c>
      <c r="F414" s="3">
        <v>6384</v>
      </c>
      <c r="G414" s="2">
        <v>1189.19</v>
      </c>
      <c r="H414">
        <f>Master_ventas[[#This Row],[Profit]]/Master_ventas[[#This Row],[Sales]]</f>
        <v>0.18627662907268172</v>
      </c>
      <c r="I414">
        <f ca="1">Referencia_Hoy-Master_ventas[[#This Row],[Order Date]]</f>
        <v>1189</v>
      </c>
      <c r="J414" t="str">
        <f>UPPER(Master_ventas[[#This Row],[Product Name]])</f>
        <v>PRINTER</v>
      </c>
      <c r="K414" t="str">
        <f>UPPER(Master_ventas[[#This Row],[Category]])</f>
        <v>OFFICE</v>
      </c>
      <c r="L414">
        <f>YEAR(Master_ventas[[#This Row],[Order Date]])</f>
        <v>2023</v>
      </c>
      <c r="M414" t="str">
        <f>CONCATENATE(LEFT(Master_ventas[[#This Row],[ProdUpper]],3),RIGHT(Master_ventas[[#This Row],[Ext-Year]],2),"-",MID(Master_ventas[[#This Row],[Category]],1,1))</f>
        <v>PRI23-O</v>
      </c>
      <c r="N414" t="str">
        <f>MID(Master_ventas[[#This Row],[ProdUpper]],1,3)</f>
        <v>PRI</v>
      </c>
      <c r="O414" t="str">
        <f>UPPER(IF(Master_ventas[[#This Row],[Profit]]&gt;500,"High","Std"))</f>
        <v>HIGH</v>
      </c>
      <c r="P414">
        <v>413</v>
      </c>
    </row>
    <row r="415" spans="1:16" x14ac:dyDescent="0.3">
      <c r="A415" s="1">
        <v>45090</v>
      </c>
      <c r="B415" t="s">
        <v>19</v>
      </c>
      <c r="C415" t="s">
        <v>14</v>
      </c>
      <c r="D415" t="s">
        <v>15</v>
      </c>
      <c r="E415">
        <v>9</v>
      </c>
      <c r="F415" s="3">
        <v>4248</v>
      </c>
      <c r="G415" s="2">
        <v>964.12</v>
      </c>
      <c r="H415">
        <f>Master_ventas[[#This Row],[Profit]]/Master_ventas[[#This Row],[Sales]]</f>
        <v>0.22695856873822975</v>
      </c>
      <c r="I415">
        <f ca="1">Referencia_Hoy-Master_ventas[[#This Row],[Order Date]]</f>
        <v>1233</v>
      </c>
      <c r="J415" t="str">
        <f>UPPER(Master_ventas[[#This Row],[Product Name]])</f>
        <v>SMARTWATCH</v>
      </c>
      <c r="K415" t="str">
        <f>UPPER(Master_ventas[[#This Row],[Category]])</f>
        <v>ELECTRONICS</v>
      </c>
      <c r="L415">
        <f>YEAR(Master_ventas[[#This Row],[Order Date]])</f>
        <v>2023</v>
      </c>
      <c r="M415" t="str">
        <f>CONCATENATE(LEFT(Master_ventas[[#This Row],[ProdUpper]],3),RIGHT(Master_ventas[[#This Row],[Ext-Year]],2),"-",MID(Master_ventas[[#This Row],[Category]],1,1))</f>
        <v>SMA23-E</v>
      </c>
      <c r="N415" t="str">
        <f>MID(Master_ventas[[#This Row],[ProdUpper]],1,3)</f>
        <v>SMA</v>
      </c>
      <c r="O415" t="str">
        <f>UPPER(IF(Master_ventas[[#This Row],[Profit]]&gt;500,"High","Std"))</f>
        <v>HIGH</v>
      </c>
      <c r="P415">
        <v>414</v>
      </c>
    </row>
    <row r="416" spans="1:16" x14ac:dyDescent="0.3">
      <c r="A416" s="1">
        <v>45414</v>
      </c>
      <c r="B416" t="s">
        <v>20</v>
      </c>
      <c r="C416" t="s">
        <v>11</v>
      </c>
      <c r="D416" t="s">
        <v>9</v>
      </c>
      <c r="E416">
        <v>6</v>
      </c>
      <c r="F416" s="3">
        <v>3954</v>
      </c>
      <c r="G416" s="2">
        <v>676.82</v>
      </c>
      <c r="H416">
        <f>Master_ventas[[#This Row],[Profit]]/Master_ventas[[#This Row],[Sales]]</f>
        <v>0.17117349519473951</v>
      </c>
      <c r="I416">
        <f ca="1">Referencia_Hoy-Master_ventas[[#This Row],[Order Date]]</f>
        <v>909</v>
      </c>
      <c r="J416" t="str">
        <f>UPPER(Master_ventas[[#This Row],[Product Name]])</f>
        <v>MONITOR</v>
      </c>
      <c r="K416" t="str">
        <f>UPPER(Master_ventas[[#This Row],[Category]])</f>
        <v>ACCESSORIES</v>
      </c>
      <c r="L416">
        <f>YEAR(Master_ventas[[#This Row],[Order Date]])</f>
        <v>2024</v>
      </c>
      <c r="M416" t="str">
        <f>CONCATENATE(LEFT(Master_ventas[[#This Row],[ProdUpper]],3),RIGHT(Master_ventas[[#This Row],[Ext-Year]],2),"-",MID(Master_ventas[[#This Row],[Category]],1,1))</f>
        <v>MON24-A</v>
      </c>
      <c r="N416" t="str">
        <f>MID(Master_ventas[[#This Row],[ProdUpper]],1,3)</f>
        <v>MON</v>
      </c>
      <c r="O416" t="str">
        <f>UPPER(IF(Master_ventas[[#This Row],[Profit]]&gt;500,"High","Std"))</f>
        <v>HIGH</v>
      </c>
      <c r="P416">
        <v>415</v>
      </c>
    </row>
    <row r="417" spans="1:16" x14ac:dyDescent="0.3">
      <c r="A417" s="1">
        <v>45403</v>
      </c>
      <c r="B417" t="s">
        <v>21</v>
      </c>
      <c r="C417" t="s">
        <v>14</v>
      </c>
      <c r="D417" t="s">
        <v>15</v>
      </c>
      <c r="E417">
        <v>6</v>
      </c>
      <c r="F417" s="3">
        <v>7110</v>
      </c>
      <c r="G417" s="2">
        <v>739.6</v>
      </c>
      <c r="H417">
        <f>Master_ventas[[#This Row],[Profit]]/Master_ventas[[#This Row],[Sales]]</f>
        <v>0.10402250351617441</v>
      </c>
      <c r="I417">
        <f ca="1">Referencia_Hoy-Master_ventas[[#This Row],[Order Date]]</f>
        <v>920</v>
      </c>
      <c r="J417" t="str">
        <f>UPPER(Master_ventas[[#This Row],[Product Name]])</f>
        <v>SMARTPHONE</v>
      </c>
      <c r="K417" t="str">
        <f>UPPER(Master_ventas[[#This Row],[Category]])</f>
        <v>ELECTRONICS</v>
      </c>
      <c r="L417">
        <f>YEAR(Master_ventas[[#This Row],[Order Date]])</f>
        <v>2024</v>
      </c>
      <c r="M417" t="str">
        <f>CONCATENATE(LEFT(Master_ventas[[#This Row],[ProdUpper]],3),RIGHT(Master_ventas[[#This Row],[Ext-Year]],2),"-",MID(Master_ventas[[#This Row],[Category]],1,1))</f>
        <v>SMA24-E</v>
      </c>
      <c r="N417" t="str">
        <f>MID(Master_ventas[[#This Row],[ProdUpper]],1,3)</f>
        <v>SMA</v>
      </c>
      <c r="O417" t="str">
        <f>UPPER(IF(Master_ventas[[#This Row],[Profit]]&gt;500,"High","Std"))</f>
        <v>HIGH</v>
      </c>
      <c r="P417">
        <v>416</v>
      </c>
    </row>
    <row r="418" spans="1:16" x14ac:dyDescent="0.3">
      <c r="A418" s="1">
        <v>45132</v>
      </c>
      <c r="B418" t="s">
        <v>18</v>
      </c>
      <c r="C418" t="s">
        <v>11</v>
      </c>
      <c r="D418" t="s">
        <v>15</v>
      </c>
      <c r="E418">
        <v>7</v>
      </c>
      <c r="F418" s="3">
        <v>8113</v>
      </c>
      <c r="G418" s="2">
        <v>995.03</v>
      </c>
      <c r="H418">
        <f>Master_ventas[[#This Row],[Profit]]/Master_ventas[[#This Row],[Sales]]</f>
        <v>0.1226463700234192</v>
      </c>
      <c r="I418">
        <f ca="1">Referencia_Hoy-Master_ventas[[#This Row],[Order Date]]</f>
        <v>1191</v>
      </c>
      <c r="J418" t="str">
        <f>UPPER(Master_ventas[[#This Row],[Product Name]])</f>
        <v>HEADPHONES</v>
      </c>
      <c r="K418" t="str">
        <f>UPPER(Master_ventas[[#This Row],[Category]])</f>
        <v>ACCESSORIES</v>
      </c>
      <c r="L418">
        <f>YEAR(Master_ventas[[#This Row],[Order Date]])</f>
        <v>2023</v>
      </c>
      <c r="M418" t="str">
        <f>CONCATENATE(LEFT(Master_ventas[[#This Row],[ProdUpper]],3),RIGHT(Master_ventas[[#This Row],[Ext-Year]],2),"-",MID(Master_ventas[[#This Row],[Category]],1,1))</f>
        <v>HEA23-A</v>
      </c>
      <c r="N418" t="str">
        <f>MID(Master_ventas[[#This Row],[ProdUpper]],1,3)</f>
        <v>HEA</v>
      </c>
      <c r="O418" t="str">
        <f>UPPER(IF(Master_ventas[[#This Row],[Profit]]&gt;500,"High","Std"))</f>
        <v>HIGH</v>
      </c>
      <c r="P418">
        <v>417</v>
      </c>
    </row>
    <row r="419" spans="1:16" x14ac:dyDescent="0.3">
      <c r="A419" s="1">
        <v>44952</v>
      </c>
      <c r="B419" t="s">
        <v>18</v>
      </c>
      <c r="C419" t="s">
        <v>11</v>
      </c>
      <c r="D419" t="s">
        <v>9</v>
      </c>
      <c r="E419">
        <v>3</v>
      </c>
      <c r="F419" s="3">
        <v>1830</v>
      </c>
      <c r="G419" s="2">
        <v>183.62</v>
      </c>
      <c r="H419">
        <f>Master_ventas[[#This Row],[Profit]]/Master_ventas[[#This Row],[Sales]]</f>
        <v>0.10033879781420765</v>
      </c>
      <c r="I419">
        <f ca="1">Referencia_Hoy-Master_ventas[[#This Row],[Order Date]]</f>
        <v>1371</v>
      </c>
      <c r="J419" t="str">
        <f>UPPER(Master_ventas[[#This Row],[Product Name]])</f>
        <v>HEADPHONES</v>
      </c>
      <c r="K419" t="str">
        <f>UPPER(Master_ventas[[#This Row],[Category]])</f>
        <v>ACCESSORIES</v>
      </c>
      <c r="L419">
        <f>YEAR(Master_ventas[[#This Row],[Order Date]])</f>
        <v>2023</v>
      </c>
      <c r="M419" t="str">
        <f>CONCATENATE(LEFT(Master_ventas[[#This Row],[ProdUpper]],3),RIGHT(Master_ventas[[#This Row],[Ext-Year]],2),"-",MID(Master_ventas[[#This Row],[Category]],1,1))</f>
        <v>HEA23-A</v>
      </c>
      <c r="N419" t="str">
        <f>MID(Master_ventas[[#This Row],[ProdUpper]],1,3)</f>
        <v>HEA</v>
      </c>
      <c r="O419" t="str">
        <f>UPPER(IF(Master_ventas[[#This Row],[Profit]]&gt;500,"High","Std"))</f>
        <v>STD</v>
      </c>
      <c r="P419">
        <v>418</v>
      </c>
    </row>
    <row r="420" spans="1:16" x14ac:dyDescent="0.3">
      <c r="A420" s="1">
        <v>44937</v>
      </c>
      <c r="B420" t="s">
        <v>22</v>
      </c>
      <c r="C420" t="s">
        <v>11</v>
      </c>
      <c r="D420" t="s">
        <v>16</v>
      </c>
      <c r="E420">
        <v>4</v>
      </c>
      <c r="F420" s="3">
        <v>3732</v>
      </c>
      <c r="G420" s="2">
        <v>671.19</v>
      </c>
      <c r="H420">
        <f>Master_ventas[[#This Row],[Profit]]/Master_ventas[[#This Row],[Sales]]</f>
        <v>0.17984726688102895</v>
      </c>
      <c r="I420">
        <f ca="1">Referencia_Hoy-Master_ventas[[#This Row],[Order Date]]</f>
        <v>1386</v>
      </c>
      <c r="J420" t="str">
        <f>UPPER(Master_ventas[[#This Row],[Product Name]])</f>
        <v>KEYBOARD</v>
      </c>
      <c r="K420" t="str">
        <f>UPPER(Master_ventas[[#This Row],[Category]])</f>
        <v>ACCESSORIES</v>
      </c>
      <c r="L420">
        <f>YEAR(Master_ventas[[#This Row],[Order Date]])</f>
        <v>2023</v>
      </c>
      <c r="M420" t="str">
        <f>CONCATENATE(LEFT(Master_ventas[[#This Row],[ProdUpper]],3),RIGHT(Master_ventas[[#This Row],[Ext-Year]],2),"-",MID(Master_ventas[[#This Row],[Category]],1,1))</f>
        <v>KEY23-A</v>
      </c>
      <c r="N420" t="str">
        <f>MID(Master_ventas[[#This Row],[ProdUpper]],1,3)</f>
        <v>KEY</v>
      </c>
      <c r="O420" t="str">
        <f>UPPER(IF(Master_ventas[[#This Row],[Profit]]&gt;500,"High","Std"))</f>
        <v>HIGH</v>
      </c>
      <c r="P420">
        <v>419</v>
      </c>
    </row>
    <row r="421" spans="1:16" x14ac:dyDescent="0.3">
      <c r="A421" s="1">
        <v>45562</v>
      </c>
      <c r="B421" t="s">
        <v>10</v>
      </c>
      <c r="C421" t="s">
        <v>11</v>
      </c>
      <c r="D421" t="s">
        <v>16</v>
      </c>
      <c r="E421">
        <v>6</v>
      </c>
      <c r="F421" s="3">
        <v>4062</v>
      </c>
      <c r="G421" s="2">
        <v>1087.17</v>
      </c>
      <c r="H421">
        <f>Master_ventas[[#This Row],[Profit]]/Master_ventas[[#This Row],[Sales]]</f>
        <v>0.26764401772525853</v>
      </c>
      <c r="I421">
        <f ca="1">Referencia_Hoy-Master_ventas[[#This Row],[Order Date]]</f>
        <v>761</v>
      </c>
      <c r="J421" t="str">
        <f>UPPER(Master_ventas[[#This Row],[Product Name]])</f>
        <v>MOUSE</v>
      </c>
      <c r="K421" t="str">
        <f>UPPER(Master_ventas[[#This Row],[Category]])</f>
        <v>ACCESSORIES</v>
      </c>
      <c r="L421">
        <f>YEAR(Master_ventas[[#This Row],[Order Date]])</f>
        <v>2024</v>
      </c>
      <c r="M421" t="str">
        <f>CONCATENATE(LEFT(Master_ventas[[#This Row],[ProdUpper]],3),RIGHT(Master_ventas[[#This Row],[Ext-Year]],2),"-",MID(Master_ventas[[#This Row],[Category]],1,1))</f>
        <v>MOU24-A</v>
      </c>
      <c r="N421" t="str">
        <f>MID(Master_ventas[[#This Row],[ProdUpper]],1,3)</f>
        <v>MOU</v>
      </c>
      <c r="O421" t="str">
        <f>UPPER(IF(Master_ventas[[#This Row],[Profit]]&gt;500,"High","Std"))</f>
        <v>HIGH</v>
      </c>
      <c r="P421">
        <v>420</v>
      </c>
    </row>
    <row r="422" spans="1:16" x14ac:dyDescent="0.3">
      <c r="A422" s="1">
        <v>45629</v>
      </c>
      <c r="B422" t="s">
        <v>19</v>
      </c>
      <c r="C422" t="s">
        <v>14</v>
      </c>
      <c r="D422" t="s">
        <v>9</v>
      </c>
      <c r="E422">
        <v>1</v>
      </c>
      <c r="F422" s="3">
        <v>496</v>
      </c>
      <c r="G422" s="2">
        <v>93.31</v>
      </c>
      <c r="H422">
        <f>Master_ventas[[#This Row],[Profit]]/Master_ventas[[#This Row],[Sales]]</f>
        <v>0.18812500000000001</v>
      </c>
      <c r="I422">
        <f ca="1">Referencia_Hoy-Master_ventas[[#This Row],[Order Date]]</f>
        <v>694</v>
      </c>
      <c r="J422" t="str">
        <f>UPPER(Master_ventas[[#This Row],[Product Name]])</f>
        <v>SMARTWATCH</v>
      </c>
      <c r="K422" t="str">
        <f>UPPER(Master_ventas[[#This Row],[Category]])</f>
        <v>ELECTRONICS</v>
      </c>
      <c r="L422">
        <f>YEAR(Master_ventas[[#This Row],[Order Date]])</f>
        <v>2024</v>
      </c>
      <c r="M422" t="str">
        <f>CONCATENATE(LEFT(Master_ventas[[#This Row],[ProdUpper]],3),RIGHT(Master_ventas[[#This Row],[Ext-Year]],2),"-",MID(Master_ventas[[#This Row],[Category]],1,1))</f>
        <v>SMA24-E</v>
      </c>
      <c r="N422" t="str">
        <f>MID(Master_ventas[[#This Row],[ProdUpper]],1,3)</f>
        <v>SMA</v>
      </c>
      <c r="O422" t="str">
        <f>UPPER(IF(Master_ventas[[#This Row],[Profit]]&gt;500,"High","Std"))</f>
        <v>STD</v>
      </c>
      <c r="P422">
        <v>421</v>
      </c>
    </row>
    <row r="423" spans="1:16" x14ac:dyDescent="0.3">
      <c r="A423" s="1">
        <v>45162</v>
      </c>
      <c r="B423" t="s">
        <v>19</v>
      </c>
      <c r="C423" t="s">
        <v>14</v>
      </c>
      <c r="D423" t="s">
        <v>12</v>
      </c>
      <c r="E423">
        <v>4</v>
      </c>
      <c r="F423" s="3">
        <v>1104</v>
      </c>
      <c r="G423" s="2">
        <v>84.31</v>
      </c>
      <c r="H423">
        <f>Master_ventas[[#This Row],[Profit]]/Master_ventas[[#This Row],[Sales]]</f>
        <v>7.6367753623188414E-2</v>
      </c>
      <c r="I423">
        <f ca="1">Referencia_Hoy-Master_ventas[[#This Row],[Order Date]]</f>
        <v>1161</v>
      </c>
      <c r="J423" t="str">
        <f>UPPER(Master_ventas[[#This Row],[Product Name]])</f>
        <v>SMARTWATCH</v>
      </c>
      <c r="K423" t="str">
        <f>UPPER(Master_ventas[[#This Row],[Category]])</f>
        <v>ELECTRONICS</v>
      </c>
      <c r="L423">
        <f>YEAR(Master_ventas[[#This Row],[Order Date]])</f>
        <v>2023</v>
      </c>
      <c r="M423" t="str">
        <f>CONCATENATE(LEFT(Master_ventas[[#This Row],[ProdUpper]],3),RIGHT(Master_ventas[[#This Row],[Ext-Year]],2),"-",MID(Master_ventas[[#This Row],[Category]],1,1))</f>
        <v>SMA23-E</v>
      </c>
      <c r="N423" t="str">
        <f>MID(Master_ventas[[#This Row],[ProdUpper]],1,3)</f>
        <v>SMA</v>
      </c>
      <c r="O423" t="str">
        <f>UPPER(IF(Master_ventas[[#This Row],[Profit]]&gt;500,"High","Std"))</f>
        <v>STD</v>
      </c>
      <c r="P423">
        <v>422</v>
      </c>
    </row>
    <row r="424" spans="1:16" x14ac:dyDescent="0.3">
      <c r="A424" s="1">
        <v>45065</v>
      </c>
      <c r="B424" t="s">
        <v>21</v>
      </c>
      <c r="C424" t="s">
        <v>14</v>
      </c>
      <c r="D424" t="s">
        <v>16</v>
      </c>
      <c r="E424">
        <v>3</v>
      </c>
      <c r="F424" s="3">
        <v>2274</v>
      </c>
      <c r="G424" s="2">
        <v>662</v>
      </c>
      <c r="H424">
        <f>Master_ventas[[#This Row],[Profit]]/Master_ventas[[#This Row],[Sales]]</f>
        <v>0.2911169744942832</v>
      </c>
      <c r="I424">
        <f ca="1">Referencia_Hoy-Master_ventas[[#This Row],[Order Date]]</f>
        <v>1258</v>
      </c>
      <c r="J424" t="str">
        <f>UPPER(Master_ventas[[#This Row],[Product Name]])</f>
        <v>SMARTPHONE</v>
      </c>
      <c r="K424" t="str">
        <f>UPPER(Master_ventas[[#This Row],[Category]])</f>
        <v>ELECTRONICS</v>
      </c>
      <c r="L424">
        <f>YEAR(Master_ventas[[#This Row],[Order Date]])</f>
        <v>2023</v>
      </c>
      <c r="M424" t="str">
        <f>CONCATENATE(LEFT(Master_ventas[[#This Row],[ProdUpper]],3),RIGHT(Master_ventas[[#This Row],[Ext-Year]],2),"-",MID(Master_ventas[[#This Row],[Category]],1,1))</f>
        <v>SMA23-E</v>
      </c>
      <c r="N424" t="str">
        <f>MID(Master_ventas[[#This Row],[ProdUpper]],1,3)</f>
        <v>SMA</v>
      </c>
      <c r="O424" t="str">
        <f>UPPER(IF(Master_ventas[[#This Row],[Profit]]&gt;500,"High","Std"))</f>
        <v>HIGH</v>
      </c>
      <c r="P424">
        <v>423</v>
      </c>
    </row>
    <row r="425" spans="1:16" x14ac:dyDescent="0.3">
      <c r="A425" s="1">
        <v>44725</v>
      </c>
      <c r="B425" t="s">
        <v>19</v>
      </c>
      <c r="C425" t="s">
        <v>14</v>
      </c>
      <c r="D425" t="s">
        <v>9</v>
      </c>
      <c r="E425">
        <v>8</v>
      </c>
      <c r="F425" s="3">
        <v>4456</v>
      </c>
      <c r="G425" s="2">
        <v>1106.04</v>
      </c>
      <c r="H425">
        <f>Master_ventas[[#This Row],[Profit]]/Master_ventas[[#This Row],[Sales]]</f>
        <v>0.24821364452423697</v>
      </c>
      <c r="I425">
        <f ca="1">Referencia_Hoy-Master_ventas[[#This Row],[Order Date]]</f>
        <v>1598</v>
      </c>
      <c r="J425" t="str">
        <f>UPPER(Master_ventas[[#This Row],[Product Name]])</f>
        <v>SMARTWATCH</v>
      </c>
      <c r="K425" t="str">
        <f>UPPER(Master_ventas[[#This Row],[Category]])</f>
        <v>ELECTRONICS</v>
      </c>
      <c r="L425">
        <f>YEAR(Master_ventas[[#This Row],[Order Date]])</f>
        <v>2022</v>
      </c>
      <c r="M425" t="str">
        <f>CONCATENATE(LEFT(Master_ventas[[#This Row],[ProdUpper]],3),RIGHT(Master_ventas[[#This Row],[Ext-Year]],2),"-",MID(Master_ventas[[#This Row],[Category]],1,1))</f>
        <v>SMA22-E</v>
      </c>
      <c r="N425" t="str">
        <f>MID(Master_ventas[[#This Row],[ProdUpper]],1,3)</f>
        <v>SMA</v>
      </c>
      <c r="O425" t="str">
        <f>UPPER(IF(Master_ventas[[#This Row],[Profit]]&gt;500,"High","Std"))</f>
        <v>HIGH</v>
      </c>
      <c r="P425">
        <v>424</v>
      </c>
    </row>
    <row r="426" spans="1:16" x14ac:dyDescent="0.3">
      <c r="A426" s="1">
        <v>44799</v>
      </c>
      <c r="B426" t="s">
        <v>10</v>
      </c>
      <c r="C426" t="s">
        <v>11</v>
      </c>
      <c r="D426" t="s">
        <v>16</v>
      </c>
      <c r="E426">
        <v>8</v>
      </c>
      <c r="F426" s="3">
        <v>4928</v>
      </c>
      <c r="G426" s="2">
        <v>1038.18</v>
      </c>
      <c r="H426">
        <f>Master_ventas[[#This Row],[Profit]]/Master_ventas[[#This Row],[Sales]]</f>
        <v>0.21066964285714287</v>
      </c>
      <c r="I426">
        <f ca="1">Referencia_Hoy-Master_ventas[[#This Row],[Order Date]]</f>
        <v>1524</v>
      </c>
      <c r="J426" t="str">
        <f>UPPER(Master_ventas[[#This Row],[Product Name]])</f>
        <v>MOUSE</v>
      </c>
      <c r="K426" t="str">
        <f>UPPER(Master_ventas[[#This Row],[Category]])</f>
        <v>ACCESSORIES</v>
      </c>
      <c r="L426">
        <f>YEAR(Master_ventas[[#This Row],[Order Date]])</f>
        <v>2022</v>
      </c>
      <c r="M426" t="str">
        <f>CONCATENATE(LEFT(Master_ventas[[#This Row],[ProdUpper]],3),RIGHT(Master_ventas[[#This Row],[Ext-Year]],2),"-",MID(Master_ventas[[#This Row],[Category]],1,1))</f>
        <v>MOU22-A</v>
      </c>
      <c r="N426" t="str">
        <f>MID(Master_ventas[[#This Row],[ProdUpper]],1,3)</f>
        <v>MOU</v>
      </c>
      <c r="O426" t="str">
        <f>UPPER(IF(Master_ventas[[#This Row],[Profit]]&gt;500,"High","Std"))</f>
        <v>HIGH</v>
      </c>
      <c r="P426">
        <v>425</v>
      </c>
    </row>
    <row r="427" spans="1:16" x14ac:dyDescent="0.3">
      <c r="A427" s="1">
        <v>44948</v>
      </c>
      <c r="B427" t="s">
        <v>21</v>
      </c>
      <c r="C427" t="s">
        <v>14</v>
      </c>
      <c r="D427" t="s">
        <v>9</v>
      </c>
      <c r="E427">
        <v>4</v>
      </c>
      <c r="F427" s="3">
        <v>1740</v>
      </c>
      <c r="G427" s="2">
        <v>224.79</v>
      </c>
      <c r="H427">
        <f>Master_ventas[[#This Row],[Profit]]/Master_ventas[[#This Row],[Sales]]</f>
        <v>0.12918965517241379</v>
      </c>
      <c r="I427">
        <f ca="1">Referencia_Hoy-Master_ventas[[#This Row],[Order Date]]</f>
        <v>1375</v>
      </c>
      <c r="J427" t="str">
        <f>UPPER(Master_ventas[[#This Row],[Product Name]])</f>
        <v>SMARTPHONE</v>
      </c>
      <c r="K427" t="str">
        <f>UPPER(Master_ventas[[#This Row],[Category]])</f>
        <v>ELECTRONICS</v>
      </c>
      <c r="L427">
        <f>YEAR(Master_ventas[[#This Row],[Order Date]])</f>
        <v>2023</v>
      </c>
      <c r="M427" t="str">
        <f>CONCATENATE(LEFT(Master_ventas[[#This Row],[ProdUpper]],3),RIGHT(Master_ventas[[#This Row],[Ext-Year]],2),"-",MID(Master_ventas[[#This Row],[Category]],1,1))</f>
        <v>SMA23-E</v>
      </c>
      <c r="N427" t="str">
        <f>MID(Master_ventas[[#This Row],[ProdUpper]],1,3)</f>
        <v>SMA</v>
      </c>
      <c r="O427" t="str">
        <f>UPPER(IF(Master_ventas[[#This Row],[Profit]]&gt;500,"High","Std"))</f>
        <v>STD</v>
      </c>
      <c r="P427">
        <v>426</v>
      </c>
    </row>
    <row r="428" spans="1:16" x14ac:dyDescent="0.3">
      <c r="A428" s="1">
        <v>44781</v>
      </c>
      <c r="B428" t="s">
        <v>18</v>
      </c>
      <c r="C428" t="s">
        <v>11</v>
      </c>
      <c r="D428" t="s">
        <v>9</v>
      </c>
      <c r="E428">
        <v>2</v>
      </c>
      <c r="F428" s="3">
        <v>178</v>
      </c>
      <c r="G428" s="2">
        <v>31.46</v>
      </c>
      <c r="H428">
        <f>Master_ventas[[#This Row],[Profit]]/Master_ventas[[#This Row],[Sales]]</f>
        <v>0.17674157303370788</v>
      </c>
      <c r="I428">
        <f ca="1">Referencia_Hoy-Master_ventas[[#This Row],[Order Date]]</f>
        <v>1542</v>
      </c>
      <c r="J428" t="str">
        <f>UPPER(Master_ventas[[#This Row],[Product Name]])</f>
        <v>HEADPHONES</v>
      </c>
      <c r="K428" t="str">
        <f>UPPER(Master_ventas[[#This Row],[Category]])</f>
        <v>ACCESSORIES</v>
      </c>
      <c r="L428">
        <f>YEAR(Master_ventas[[#This Row],[Order Date]])</f>
        <v>2022</v>
      </c>
      <c r="M428" t="str">
        <f>CONCATENATE(LEFT(Master_ventas[[#This Row],[ProdUpper]],3),RIGHT(Master_ventas[[#This Row],[Ext-Year]],2),"-",MID(Master_ventas[[#This Row],[Category]],1,1))</f>
        <v>HEA22-A</v>
      </c>
      <c r="N428" t="str">
        <f>MID(Master_ventas[[#This Row],[ProdUpper]],1,3)</f>
        <v>HEA</v>
      </c>
      <c r="O428" t="str">
        <f>UPPER(IF(Master_ventas[[#This Row],[Profit]]&gt;500,"High","Std"))</f>
        <v>STD</v>
      </c>
      <c r="P428">
        <v>427</v>
      </c>
    </row>
    <row r="429" spans="1:16" x14ac:dyDescent="0.3">
      <c r="A429" s="1">
        <v>45249</v>
      </c>
      <c r="B429" t="s">
        <v>7</v>
      </c>
      <c r="C429" t="s">
        <v>8</v>
      </c>
      <c r="D429" t="s">
        <v>12</v>
      </c>
      <c r="E429">
        <v>8</v>
      </c>
      <c r="F429" s="3">
        <v>5296</v>
      </c>
      <c r="G429" s="2">
        <v>1234.81</v>
      </c>
      <c r="H429">
        <f>Master_ventas[[#This Row],[Profit]]/Master_ventas[[#This Row],[Sales]]</f>
        <v>0.23315898791540784</v>
      </c>
      <c r="I429">
        <f ca="1">Referencia_Hoy-Master_ventas[[#This Row],[Order Date]]</f>
        <v>1074</v>
      </c>
      <c r="J429" t="str">
        <f>UPPER(Master_ventas[[#This Row],[Product Name]])</f>
        <v>PRINTER</v>
      </c>
      <c r="K429" t="str">
        <f>UPPER(Master_ventas[[#This Row],[Category]])</f>
        <v>OFFICE</v>
      </c>
      <c r="L429">
        <f>YEAR(Master_ventas[[#This Row],[Order Date]])</f>
        <v>2023</v>
      </c>
      <c r="M429" t="str">
        <f>CONCATENATE(LEFT(Master_ventas[[#This Row],[ProdUpper]],3),RIGHT(Master_ventas[[#This Row],[Ext-Year]],2),"-",MID(Master_ventas[[#This Row],[Category]],1,1))</f>
        <v>PRI23-O</v>
      </c>
      <c r="N429" t="str">
        <f>MID(Master_ventas[[#This Row],[ProdUpper]],1,3)</f>
        <v>PRI</v>
      </c>
      <c r="O429" t="str">
        <f>UPPER(IF(Master_ventas[[#This Row],[Profit]]&gt;500,"High","Std"))</f>
        <v>HIGH</v>
      </c>
      <c r="P429">
        <v>428</v>
      </c>
    </row>
    <row r="430" spans="1:16" x14ac:dyDescent="0.3">
      <c r="A430" s="1">
        <v>45105</v>
      </c>
      <c r="B430" t="s">
        <v>10</v>
      </c>
      <c r="C430" t="s">
        <v>11</v>
      </c>
      <c r="D430" t="s">
        <v>9</v>
      </c>
      <c r="E430">
        <v>4</v>
      </c>
      <c r="F430" s="3">
        <v>4156</v>
      </c>
      <c r="G430" s="2">
        <v>847.09</v>
      </c>
      <c r="H430">
        <f>Master_ventas[[#This Row],[Profit]]/Master_ventas[[#This Row],[Sales]]</f>
        <v>0.20382338787295476</v>
      </c>
      <c r="I430">
        <f ca="1">Referencia_Hoy-Master_ventas[[#This Row],[Order Date]]</f>
        <v>1218</v>
      </c>
      <c r="J430" t="str">
        <f>UPPER(Master_ventas[[#This Row],[Product Name]])</f>
        <v>MOUSE</v>
      </c>
      <c r="K430" t="str">
        <f>UPPER(Master_ventas[[#This Row],[Category]])</f>
        <v>ACCESSORIES</v>
      </c>
      <c r="L430">
        <f>YEAR(Master_ventas[[#This Row],[Order Date]])</f>
        <v>2023</v>
      </c>
      <c r="M430" t="str">
        <f>CONCATENATE(LEFT(Master_ventas[[#This Row],[ProdUpper]],3),RIGHT(Master_ventas[[#This Row],[Ext-Year]],2),"-",MID(Master_ventas[[#This Row],[Category]],1,1))</f>
        <v>MOU23-A</v>
      </c>
      <c r="N430" t="str">
        <f>MID(Master_ventas[[#This Row],[ProdUpper]],1,3)</f>
        <v>MOU</v>
      </c>
      <c r="O430" t="str">
        <f>UPPER(IF(Master_ventas[[#This Row],[Profit]]&gt;500,"High","Std"))</f>
        <v>HIGH</v>
      </c>
      <c r="P430">
        <v>429</v>
      </c>
    </row>
    <row r="431" spans="1:16" x14ac:dyDescent="0.3">
      <c r="A431" s="1">
        <v>45574</v>
      </c>
      <c r="B431" t="s">
        <v>7</v>
      </c>
      <c r="C431" t="s">
        <v>8</v>
      </c>
      <c r="D431" t="s">
        <v>9</v>
      </c>
      <c r="E431">
        <v>1</v>
      </c>
      <c r="F431" s="3">
        <v>624</v>
      </c>
      <c r="G431" s="2">
        <v>106.92</v>
      </c>
      <c r="H431">
        <f>Master_ventas[[#This Row],[Profit]]/Master_ventas[[#This Row],[Sales]]</f>
        <v>0.17134615384615384</v>
      </c>
      <c r="I431">
        <f ca="1">Referencia_Hoy-Master_ventas[[#This Row],[Order Date]]</f>
        <v>749</v>
      </c>
      <c r="J431" t="str">
        <f>UPPER(Master_ventas[[#This Row],[Product Name]])</f>
        <v>PRINTER</v>
      </c>
      <c r="K431" t="str">
        <f>UPPER(Master_ventas[[#This Row],[Category]])</f>
        <v>OFFICE</v>
      </c>
      <c r="L431">
        <f>YEAR(Master_ventas[[#This Row],[Order Date]])</f>
        <v>2024</v>
      </c>
      <c r="M431" t="str">
        <f>CONCATENATE(LEFT(Master_ventas[[#This Row],[ProdUpper]],3),RIGHT(Master_ventas[[#This Row],[Ext-Year]],2),"-",MID(Master_ventas[[#This Row],[Category]],1,1))</f>
        <v>PRI24-O</v>
      </c>
      <c r="N431" t="str">
        <f>MID(Master_ventas[[#This Row],[ProdUpper]],1,3)</f>
        <v>PRI</v>
      </c>
      <c r="O431" t="str">
        <f>UPPER(IF(Master_ventas[[#This Row],[Profit]]&gt;500,"High","Std"))</f>
        <v>STD</v>
      </c>
      <c r="P431">
        <v>430</v>
      </c>
    </row>
    <row r="432" spans="1:16" x14ac:dyDescent="0.3">
      <c r="A432" s="1">
        <v>44808</v>
      </c>
      <c r="B432" t="s">
        <v>21</v>
      </c>
      <c r="C432" t="s">
        <v>14</v>
      </c>
      <c r="D432" t="s">
        <v>16</v>
      </c>
      <c r="E432">
        <v>4</v>
      </c>
      <c r="F432" s="3">
        <v>3892</v>
      </c>
      <c r="G432" s="2">
        <v>1052.72</v>
      </c>
      <c r="H432">
        <f>Master_ventas[[#This Row],[Profit]]/Master_ventas[[#This Row],[Sales]]</f>
        <v>0.2704830421377184</v>
      </c>
      <c r="I432">
        <f ca="1">Referencia_Hoy-Master_ventas[[#This Row],[Order Date]]</f>
        <v>1515</v>
      </c>
      <c r="J432" t="str">
        <f>UPPER(Master_ventas[[#This Row],[Product Name]])</f>
        <v>SMARTPHONE</v>
      </c>
      <c r="K432" t="str">
        <f>UPPER(Master_ventas[[#This Row],[Category]])</f>
        <v>ELECTRONICS</v>
      </c>
      <c r="L432">
        <f>YEAR(Master_ventas[[#This Row],[Order Date]])</f>
        <v>2022</v>
      </c>
      <c r="M432" t="str">
        <f>CONCATENATE(LEFT(Master_ventas[[#This Row],[ProdUpper]],3),RIGHT(Master_ventas[[#This Row],[Ext-Year]],2),"-",MID(Master_ventas[[#This Row],[Category]],1,1))</f>
        <v>SMA22-E</v>
      </c>
      <c r="N432" t="str">
        <f>MID(Master_ventas[[#This Row],[ProdUpper]],1,3)</f>
        <v>SMA</v>
      </c>
      <c r="O432" t="str">
        <f>UPPER(IF(Master_ventas[[#This Row],[Profit]]&gt;500,"High","Std"))</f>
        <v>HIGH</v>
      </c>
      <c r="P432">
        <v>431</v>
      </c>
    </row>
    <row r="433" spans="1:16" x14ac:dyDescent="0.3">
      <c r="A433" s="1">
        <v>45491</v>
      </c>
      <c r="B433" t="s">
        <v>10</v>
      </c>
      <c r="C433" t="s">
        <v>11</v>
      </c>
      <c r="D433" t="s">
        <v>15</v>
      </c>
      <c r="E433">
        <v>9</v>
      </c>
      <c r="F433" s="3">
        <v>1620</v>
      </c>
      <c r="G433" s="2">
        <v>294.60000000000002</v>
      </c>
      <c r="H433">
        <f>Master_ventas[[#This Row],[Profit]]/Master_ventas[[#This Row],[Sales]]</f>
        <v>0.18185185185185188</v>
      </c>
      <c r="I433">
        <f ca="1">Referencia_Hoy-Master_ventas[[#This Row],[Order Date]]</f>
        <v>832</v>
      </c>
      <c r="J433" t="str">
        <f>UPPER(Master_ventas[[#This Row],[Product Name]])</f>
        <v>MOUSE</v>
      </c>
      <c r="K433" t="str">
        <f>UPPER(Master_ventas[[#This Row],[Category]])</f>
        <v>ACCESSORIES</v>
      </c>
      <c r="L433">
        <f>YEAR(Master_ventas[[#This Row],[Order Date]])</f>
        <v>2024</v>
      </c>
      <c r="M433" t="str">
        <f>CONCATENATE(LEFT(Master_ventas[[#This Row],[ProdUpper]],3),RIGHT(Master_ventas[[#This Row],[Ext-Year]],2),"-",MID(Master_ventas[[#This Row],[Category]],1,1))</f>
        <v>MOU24-A</v>
      </c>
      <c r="N433" t="str">
        <f>MID(Master_ventas[[#This Row],[ProdUpper]],1,3)</f>
        <v>MOU</v>
      </c>
      <c r="O433" t="str">
        <f>UPPER(IF(Master_ventas[[#This Row],[Profit]]&gt;500,"High","Std"))</f>
        <v>STD</v>
      </c>
      <c r="P433">
        <v>432</v>
      </c>
    </row>
    <row r="434" spans="1:16" x14ac:dyDescent="0.3">
      <c r="A434" s="1">
        <v>44826</v>
      </c>
      <c r="B434" t="s">
        <v>10</v>
      </c>
      <c r="C434" t="s">
        <v>11</v>
      </c>
      <c r="D434" t="s">
        <v>16</v>
      </c>
      <c r="E434">
        <v>3</v>
      </c>
      <c r="F434" s="3">
        <v>2250</v>
      </c>
      <c r="G434" s="2">
        <v>301.97000000000003</v>
      </c>
      <c r="H434">
        <f>Master_ventas[[#This Row],[Profit]]/Master_ventas[[#This Row],[Sales]]</f>
        <v>0.13420888888888891</v>
      </c>
      <c r="I434">
        <f ca="1">Referencia_Hoy-Master_ventas[[#This Row],[Order Date]]</f>
        <v>1497</v>
      </c>
      <c r="J434" t="str">
        <f>UPPER(Master_ventas[[#This Row],[Product Name]])</f>
        <v>MOUSE</v>
      </c>
      <c r="K434" t="str">
        <f>UPPER(Master_ventas[[#This Row],[Category]])</f>
        <v>ACCESSORIES</v>
      </c>
      <c r="L434">
        <f>YEAR(Master_ventas[[#This Row],[Order Date]])</f>
        <v>2022</v>
      </c>
      <c r="M434" t="str">
        <f>CONCATENATE(LEFT(Master_ventas[[#This Row],[ProdUpper]],3),RIGHT(Master_ventas[[#This Row],[Ext-Year]],2),"-",MID(Master_ventas[[#This Row],[Category]],1,1))</f>
        <v>MOU22-A</v>
      </c>
      <c r="N434" t="str">
        <f>MID(Master_ventas[[#This Row],[ProdUpper]],1,3)</f>
        <v>MOU</v>
      </c>
      <c r="O434" t="str">
        <f>UPPER(IF(Master_ventas[[#This Row],[Profit]]&gt;500,"High","Std"))</f>
        <v>STD</v>
      </c>
      <c r="P434">
        <v>433</v>
      </c>
    </row>
    <row r="435" spans="1:16" x14ac:dyDescent="0.3">
      <c r="A435" s="1">
        <v>45504</v>
      </c>
      <c r="B435" t="s">
        <v>20</v>
      </c>
      <c r="C435" t="s">
        <v>11</v>
      </c>
      <c r="D435" t="s">
        <v>16</v>
      </c>
      <c r="E435">
        <v>2</v>
      </c>
      <c r="F435" s="3">
        <v>1390</v>
      </c>
      <c r="G435" s="2">
        <v>316.31</v>
      </c>
      <c r="H435">
        <f>Master_ventas[[#This Row],[Profit]]/Master_ventas[[#This Row],[Sales]]</f>
        <v>0.22756115107913669</v>
      </c>
      <c r="I435">
        <f ca="1">Referencia_Hoy-Master_ventas[[#This Row],[Order Date]]</f>
        <v>819</v>
      </c>
      <c r="J435" t="str">
        <f>UPPER(Master_ventas[[#This Row],[Product Name]])</f>
        <v>MONITOR</v>
      </c>
      <c r="K435" t="str">
        <f>UPPER(Master_ventas[[#This Row],[Category]])</f>
        <v>ACCESSORIES</v>
      </c>
      <c r="L435">
        <f>YEAR(Master_ventas[[#This Row],[Order Date]])</f>
        <v>2024</v>
      </c>
      <c r="M435" t="str">
        <f>CONCATENATE(LEFT(Master_ventas[[#This Row],[ProdUpper]],3),RIGHT(Master_ventas[[#This Row],[Ext-Year]],2),"-",MID(Master_ventas[[#This Row],[Category]],1,1))</f>
        <v>MON24-A</v>
      </c>
      <c r="N435" t="str">
        <f>MID(Master_ventas[[#This Row],[ProdUpper]],1,3)</f>
        <v>MON</v>
      </c>
      <c r="O435" t="str">
        <f>UPPER(IF(Master_ventas[[#This Row],[Profit]]&gt;500,"High","Std"))</f>
        <v>STD</v>
      </c>
      <c r="P435">
        <v>434</v>
      </c>
    </row>
    <row r="436" spans="1:16" x14ac:dyDescent="0.3">
      <c r="A436" s="1">
        <v>45037</v>
      </c>
      <c r="B436" t="s">
        <v>17</v>
      </c>
      <c r="C436" t="s">
        <v>14</v>
      </c>
      <c r="D436" t="s">
        <v>15</v>
      </c>
      <c r="E436">
        <v>5</v>
      </c>
      <c r="F436" s="3">
        <v>5155</v>
      </c>
      <c r="G436" s="2">
        <v>1325.16</v>
      </c>
      <c r="H436">
        <f>Master_ventas[[#This Row],[Profit]]/Master_ventas[[#This Row],[Sales]]</f>
        <v>0.25706304558680892</v>
      </c>
      <c r="I436">
        <f ca="1">Referencia_Hoy-Master_ventas[[#This Row],[Order Date]]</f>
        <v>1286</v>
      </c>
      <c r="J436" t="str">
        <f>UPPER(Master_ventas[[#This Row],[Product Name]])</f>
        <v>CAMERA</v>
      </c>
      <c r="K436" t="str">
        <f>UPPER(Master_ventas[[#This Row],[Category]])</f>
        <v>ELECTRONICS</v>
      </c>
      <c r="L436">
        <f>YEAR(Master_ventas[[#This Row],[Order Date]])</f>
        <v>2023</v>
      </c>
      <c r="M436" t="str">
        <f>CONCATENATE(LEFT(Master_ventas[[#This Row],[ProdUpper]],3),RIGHT(Master_ventas[[#This Row],[Ext-Year]],2),"-",MID(Master_ventas[[#This Row],[Category]],1,1))</f>
        <v>CAM23-E</v>
      </c>
      <c r="N436" t="str">
        <f>MID(Master_ventas[[#This Row],[ProdUpper]],1,3)</f>
        <v>CAM</v>
      </c>
      <c r="O436" t="str">
        <f>UPPER(IF(Master_ventas[[#This Row],[Profit]]&gt;500,"High","Std"))</f>
        <v>HIGH</v>
      </c>
      <c r="P436">
        <v>435</v>
      </c>
    </row>
    <row r="437" spans="1:16" x14ac:dyDescent="0.3">
      <c r="A437" s="1">
        <v>44751</v>
      </c>
      <c r="B437" t="s">
        <v>19</v>
      </c>
      <c r="C437" t="s">
        <v>14</v>
      </c>
      <c r="D437" t="s">
        <v>9</v>
      </c>
      <c r="E437">
        <v>5</v>
      </c>
      <c r="F437" s="3">
        <v>1025</v>
      </c>
      <c r="G437" s="2">
        <v>262.91000000000003</v>
      </c>
      <c r="H437">
        <f>Master_ventas[[#This Row],[Profit]]/Master_ventas[[#This Row],[Sales]]</f>
        <v>0.25649756097560977</v>
      </c>
      <c r="I437">
        <f ca="1">Referencia_Hoy-Master_ventas[[#This Row],[Order Date]]</f>
        <v>1572</v>
      </c>
      <c r="J437" t="str">
        <f>UPPER(Master_ventas[[#This Row],[Product Name]])</f>
        <v>SMARTWATCH</v>
      </c>
      <c r="K437" t="str">
        <f>UPPER(Master_ventas[[#This Row],[Category]])</f>
        <v>ELECTRONICS</v>
      </c>
      <c r="L437">
        <f>YEAR(Master_ventas[[#This Row],[Order Date]])</f>
        <v>2022</v>
      </c>
      <c r="M437" t="str">
        <f>CONCATENATE(LEFT(Master_ventas[[#This Row],[ProdUpper]],3),RIGHT(Master_ventas[[#This Row],[Ext-Year]],2),"-",MID(Master_ventas[[#This Row],[Category]],1,1))</f>
        <v>SMA22-E</v>
      </c>
      <c r="N437" t="str">
        <f>MID(Master_ventas[[#This Row],[ProdUpper]],1,3)</f>
        <v>SMA</v>
      </c>
      <c r="O437" t="str">
        <f>UPPER(IF(Master_ventas[[#This Row],[Profit]]&gt;500,"High","Std"))</f>
        <v>STD</v>
      </c>
      <c r="P437">
        <v>436</v>
      </c>
    </row>
    <row r="438" spans="1:16" x14ac:dyDescent="0.3">
      <c r="A438" s="1">
        <v>45504</v>
      </c>
      <c r="B438" t="s">
        <v>10</v>
      </c>
      <c r="C438" t="s">
        <v>11</v>
      </c>
      <c r="D438" t="s">
        <v>15</v>
      </c>
      <c r="E438">
        <v>3</v>
      </c>
      <c r="F438" s="3">
        <v>1785</v>
      </c>
      <c r="G438" s="2">
        <v>244.52</v>
      </c>
      <c r="H438">
        <f>Master_ventas[[#This Row],[Profit]]/Master_ventas[[#This Row],[Sales]]</f>
        <v>0.1369859943977591</v>
      </c>
      <c r="I438">
        <f ca="1">Referencia_Hoy-Master_ventas[[#This Row],[Order Date]]</f>
        <v>819</v>
      </c>
      <c r="J438" t="str">
        <f>UPPER(Master_ventas[[#This Row],[Product Name]])</f>
        <v>MOUSE</v>
      </c>
      <c r="K438" t="str">
        <f>UPPER(Master_ventas[[#This Row],[Category]])</f>
        <v>ACCESSORIES</v>
      </c>
      <c r="L438">
        <f>YEAR(Master_ventas[[#This Row],[Order Date]])</f>
        <v>2024</v>
      </c>
      <c r="M438" t="str">
        <f>CONCATENATE(LEFT(Master_ventas[[#This Row],[ProdUpper]],3),RIGHT(Master_ventas[[#This Row],[Ext-Year]],2),"-",MID(Master_ventas[[#This Row],[Category]],1,1))</f>
        <v>MOU24-A</v>
      </c>
      <c r="N438" t="str">
        <f>MID(Master_ventas[[#This Row],[ProdUpper]],1,3)</f>
        <v>MOU</v>
      </c>
      <c r="O438" t="str">
        <f>UPPER(IF(Master_ventas[[#This Row],[Profit]]&gt;500,"High","Std"))</f>
        <v>STD</v>
      </c>
      <c r="P438">
        <v>437</v>
      </c>
    </row>
    <row r="439" spans="1:16" x14ac:dyDescent="0.3">
      <c r="A439" s="1">
        <v>44834</v>
      </c>
      <c r="B439" t="s">
        <v>19</v>
      </c>
      <c r="C439" t="s">
        <v>14</v>
      </c>
      <c r="D439" t="s">
        <v>9</v>
      </c>
      <c r="E439">
        <v>9</v>
      </c>
      <c r="F439" s="3">
        <v>2952</v>
      </c>
      <c r="G439" s="2">
        <v>605.85</v>
      </c>
      <c r="H439">
        <f>Master_ventas[[#This Row],[Profit]]/Master_ventas[[#This Row],[Sales]]</f>
        <v>0.20523373983739837</v>
      </c>
      <c r="I439">
        <f ca="1">Referencia_Hoy-Master_ventas[[#This Row],[Order Date]]</f>
        <v>1489</v>
      </c>
      <c r="J439" t="str">
        <f>UPPER(Master_ventas[[#This Row],[Product Name]])</f>
        <v>SMARTWATCH</v>
      </c>
      <c r="K439" t="str">
        <f>UPPER(Master_ventas[[#This Row],[Category]])</f>
        <v>ELECTRONICS</v>
      </c>
      <c r="L439">
        <f>YEAR(Master_ventas[[#This Row],[Order Date]])</f>
        <v>2022</v>
      </c>
      <c r="M439" t="str">
        <f>CONCATENATE(LEFT(Master_ventas[[#This Row],[ProdUpper]],3),RIGHT(Master_ventas[[#This Row],[Ext-Year]],2),"-",MID(Master_ventas[[#This Row],[Category]],1,1))</f>
        <v>SMA22-E</v>
      </c>
      <c r="N439" t="str">
        <f>MID(Master_ventas[[#This Row],[ProdUpper]],1,3)</f>
        <v>SMA</v>
      </c>
      <c r="O439" t="str">
        <f>UPPER(IF(Master_ventas[[#This Row],[Profit]]&gt;500,"High","Std"))</f>
        <v>HIGH</v>
      </c>
      <c r="P439">
        <v>438</v>
      </c>
    </row>
    <row r="440" spans="1:16" x14ac:dyDescent="0.3">
      <c r="A440" s="1">
        <v>45651</v>
      </c>
      <c r="B440" t="s">
        <v>18</v>
      </c>
      <c r="C440" t="s">
        <v>11</v>
      </c>
      <c r="D440" t="s">
        <v>12</v>
      </c>
      <c r="E440">
        <v>1</v>
      </c>
      <c r="F440" s="3">
        <v>773</v>
      </c>
      <c r="G440" s="2">
        <v>181.52</v>
      </c>
      <c r="H440">
        <f>Master_ventas[[#This Row],[Profit]]/Master_ventas[[#This Row],[Sales]]</f>
        <v>0.23482535575679173</v>
      </c>
      <c r="I440">
        <f ca="1">Referencia_Hoy-Master_ventas[[#This Row],[Order Date]]</f>
        <v>672</v>
      </c>
      <c r="J440" t="str">
        <f>UPPER(Master_ventas[[#This Row],[Product Name]])</f>
        <v>HEADPHONES</v>
      </c>
      <c r="K440" t="str">
        <f>UPPER(Master_ventas[[#This Row],[Category]])</f>
        <v>ACCESSORIES</v>
      </c>
      <c r="L440">
        <f>YEAR(Master_ventas[[#This Row],[Order Date]])</f>
        <v>2024</v>
      </c>
      <c r="M440" t="str">
        <f>CONCATENATE(LEFT(Master_ventas[[#This Row],[ProdUpper]],3),RIGHT(Master_ventas[[#This Row],[Ext-Year]],2),"-",MID(Master_ventas[[#This Row],[Category]],1,1))</f>
        <v>HEA24-A</v>
      </c>
      <c r="N440" t="str">
        <f>MID(Master_ventas[[#This Row],[ProdUpper]],1,3)</f>
        <v>HEA</v>
      </c>
      <c r="O440" t="str">
        <f>UPPER(IF(Master_ventas[[#This Row],[Profit]]&gt;500,"High","Std"))</f>
        <v>STD</v>
      </c>
      <c r="P440">
        <v>439</v>
      </c>
    </row>
    <row r="441" spans="1:16" x14ac:dyDescent="0.3">
      <c r="A441" s="1">
        <v>45015</v>
      </c>
      <c r="B441" t="s">
        <v>13</v>
      </c>
      <c r="C441" t="s">
        <v>14</v>
      </c>
      <c r="D441" t="s">
        <v>9</v>
      </c>
      <c r="E441">
        <v>8</v>
      </c>
      <c r="F441" s="3">
        <v>1640</v>
      </c>
      <c r="G441" s="2">
        <v>361.48</v>
      </c>
      <c r="H441">
        <f>Master_ventas[[#This Row],[Profit]]/Master_ventas[[#This Row],[Sales]]</f>
        <v>0.22041463414634146</v>
      </c>
      <c r="I441">
        <f ca="1">Referencia_Hoy-Master_ventas[[#This Row],[Order Date]]</f>
        <v>1308</v>
      </c>
      <c r="J441" t="str">
        <f>UPPER(Master_ventas[[#This Row],[Product Name]])</f>
        <v>TABLET</v>
      </c>
      <c r="K441" t="str">
        <f>UPPER(Master_ventas[[#This Row],[Category]])</f>
        <v>ELECTRONICS</v>
      </c>
      <c r="L441">
        <f>YEAR(Master_ventas[[#This Row],[Order Date]])</f>
        <v>2023</v>
      </c>
      <c r="M441" t="str">
        <f>CONCATENATE(LEFT(Master_ventas[[#This Row],[ProdUpper]],3),RIGHT(Master_ventas[[#This Row],[Ext-Year]],2),"-",MID(Master_ventas[[#This Row],[Category]],1,1))</f>
        <v>TAB23-E</v>
      </c>
      <c r="N441" t="str">
        <f>MID(Master_ventas[[#This Row],[ProdUpper]],1,3)</f>
        <v>TAB</v>
      </c>
      <c r="O441" t="str">
        <f>UPPER(IF(Master_ventas[[#This Row],[Profit]]&gt;500,"High","Std"))</f>
        <v>STD</v>
      </c>
      <c r="P441">
        <v>440</v>
      </c>
    </row>
    <row r="442" spans="1:16" x14ac:dyDescent="0.3">
      <c r="A442" s="1">
        <v>45201</v>
      </c>
      <c r="B442" t="s">
        <v>22</v>
      </c>
      <c r="C442" t="s">
        <v>11</v>
      </c>
      <c r="D442" t="s">
        <v>12</v>
      </c>
      <c r="E442">
        <v>1</v>
      </c>
      <c r="F442" s="3">
        <v>1017</v>
      </c>
      <c r="G442" s="2">
        <v>69.33</v>
      </c>
      <c r="H442">
        <f>Master_ventas[[#This Row],[Profit]]/Master_ventas[[#This Row],[Sales]]</f>
        <v>6.8171091445427726E-2</v>
      </c>
      <c r="I442">
        <f ca="1">Referencia_Hoy-Master_ventas[[#This Row],[Order Date]]</f>
        <v>1122</v>
      </c>
      <c r="J442" t="str">
        <f>UPPER(Master_ventas[[#This Row],[Product Name]])</f>
        <v>KEYBOARD</v>
      </c>
      <c r="K442" t="str">
        <f>UPPER(Master_ventas[[#This Row],[Category]])</f>
        <v>ACCESSORIES</v>
      </c>
      <c r="L442">
        <f>YEAR(Master_ventas[[#This Row],[Order Date]])</f>
        <v>2023</v>
      </c>
      <c r="M442" t="str">
        <f>CONCATENATE(LEFT(Master_ventas[[#This Row],[ProdUpper]],3),RIGHT(Master_ventas[[#This Row],[Ext-Year]],2),"-",MID(Master_ventas[[#This Row],[Category]],1,1))</f>
        <v>KEY23-A</v>
      </c>
      <c r="N442" t="str">
        <f>MID(Master_ventas[[#This Row],[ProdUpper]],1,3)</f>
        <v>KEY</v>
      </c>
      <c r="O442" t="str">
        <f>UPPER(IF(Master_ventas[[#This Row],[Profit]]&gt;500,"High","Std"))</f>
        <v>STD</v>
      </c>
      <c r="P442">
        <v>441</v>
      </c>
    </row>
    <row r="443" spans="1:16" x14ac:dyDescent="0.3">
      <c r="A443" s="1">
        <v>44704</v>
      </c>
      <c r="B443" t="s">
        <v>18</v>
      </c>
      <c r="C443" t="s">
        <v>11</v>
      </c>
      <c r="D443" t="s">
        <v>12</v>
      </c>
      <c r="E443">
        <v>4</v>
      </c>
      <c r="F443" s="3">
        <v>1964</v>
      </c>
      <c r="G443" s="2">
        <v>349.91</v>
      </c>
      <c r="H443">
        <f>Master_ventas[[#This Row],[Profit]]/Master_ventas[[#This Row],[Sales]]</f>
        <v>0.17816191446028515</v>
      </c>
      <c r="I443">
        <f ca="1">Referencia_Hoy-Master_ventas[[#This Row],[Order Date]]</f>
        <v>1619</v>
      </c>
      <c r="J443" t="str">
        <f>UPPER(Master_ventas[[#This Row],[Product Name]])</f>
        <v>HEADPHONES</v>
      </c>
      <c r="K443" t="str">
        <f>UPPER(Master_ventas[[#This Row],[Category]])</f>
        <v>ACCESSORIES</v>
      </c>
      <c r="L443">
        <f>YEAR(Master_ventas[[#This Row],[Order Date]])</f>
        <v>2022</v>
      </c>
      <c r="M443" t="str">
        <f>CONCATENATE(LEFT(Master_ventas[[#This Row],[ProdUpper]],3),RIGHT(Master_ventas[[#This Row],[Ext-Year]],2),"-",MID(Master_ventas[[#This Row],[Category]],1,1))</f>
        <v>HEA22-A</v>
      </c>
      <c r="N443" t="str">
        <f>MID(Master_ventas[[#This Row],[ProdUpper]],1,3)</f>
        <v>HEA</v>
      </c>
      <c r="O443" t="str">
        <f>UPPER(IF(Master_ventas[[#This Row],[Profit]]&gt;500,"High","Std"))</f>
        <v>STD</v>
      </c>
      <c r="P443">
        <v>442</v>
      </c>
    </row>
    <row r="444" spans="1:16" x14ac:dyDescent="0.3">
      <c r="A444" s="1">
        <v>45021</v>
      </c>
      <c r="B444" t="s">
        <v>10</v>
      </c>
      <c r="C444" t="s">
        <v>11</v>
      </c>
      <c r="D444" t="s">
        <v>9</v>
      </c>
      <c r="E444">
        <v>3</v>
      </c>
      <c r="F444" s="3">
        <v>2994</v>
      </c>
      <c r="G444" s="2">
        <v>638.59</v>
      </c>
      <c r="H444">
        <f>Master_ventas[[#This Row],[Profit]]/Master_ventas[[#This Row],[Sales]]</f>
        <v>0.21328991315965265</v>
      </c>
      <c r="I444">
        <f ca="1">Referencia_Hoy-Master_ventas[[#This Row],[Order Date]]</f>
        <v>1302</v>
      </c>
      <c r="J444" t="str">
        <f>UPPER(Master_ventas[[#This Row],[Product Name]])</f>
        <v>MOUSE</v>
      </c>
      <c r="K444" t="str">
        <f>UPPER(Master_ventas[[#This Row],[Category]])</f>
        <v>ACCESSORIES</v>
      </c>
      <c r="L444">
        <f>YEAR(Master_ventas[[#This Row],[Order Date]])</f>
        <v>2023</v>
      </c>
      <c r="M444" t="str">
        <f>CONCATENATE(LEFT(Master_ventas[[#This Row],[ProdUpper]],3),RIGHT(Master_ventas[[#This Row],[Ext-Year]],2),"-",MID(Master_ventas[[#This Row],[Category]],1,1))</f>
        <v>MOU23-A</v>
      </c>
      <c r="N444" t="str">
        <f>MID(Master_ventas[[#This Row],[ProdUpper]],1,3)</f>
        <v>MOU</v>
      </c>
      <c r="O444" t="str">
        <f>UPPER(IF(Master_ventas[[#This Row],[Profit]]&gt;500,"High","Std"))</f>
        <v>HIGH</v>
      </c>
      <c r="P444">
        <v>443</v>
      </c>
    </row>
    <row r="445" spans="1:16" x14ac:dyDescent="0.3">
      <c r="A445" s="1">
        <v>45207</v>
      </c>
      <c r="B445" t="s">
        <v>7</v>
      </c>
      <c r="C445" t="s">
        <v>8</v>
      </c>
      <c r="D445" t="s">
        <v>12</v>
      </c>
      <c r="E445">
        <v>9</v>
      </c>
      <c r="F445" s="3">
        <v>8046</v>
      </c>
      <c r="G445" s="2">
        <v>2210.33</v>
      </c>
      <c r="H445">
        <f>Master_ventas[[#This Row],[Profit]]/Master_ventas[[#This Row],[Sales]]</f>
        <v>0.2747116579666915</v>
      </c>
      <c r="I445">
        <f ca="1">Referencia_Hoy-Master_ventas[[#This Row],[Order Date]]</f>
        <v>1116</v>
      </c>
      <c r="J445" t="str">
        <f>UPPER(Master_ventas[[#This Row],[Product Name]])</f>
        <v>PRINTER</v>
      </c>
      <c r="K445" t="str">
        <f>UPPER(Master_ventas[[#This Row],[Category]])</f>
        <v>OFFICE</v>
      </c>
      <c r="L445">
        <f>YEAR(Master_ventas[[#This Row],[Order Date]])</f>
        <v>2023</v>
      </c>
      <c r="M445" t="str">
        <f>CONCATENATE(LEFT(Master_ventas[[#This Row],[ProdUpper]],3),RIGHT(Master_ventas[[#This Row],[Ext-Year]],2),"-",MID(Master_ventas[[#This Row],[Category]],1,1))</f>
        <v>PRI23-O</v>
      </c>
      <c r="N445" t="str">
        <f>MID(Master_ventas[[#This Row],[ProdUpper]],1,3)</f>
        <v>PRI</v>
      </c>
      <c r="O445" t="str">
        <f>UPPER(IF(Master_ventas[[#This Row],[Profit]]&gt;500,"High","Std"))</f>
        <v>HIGH</v>
      </c>
      <c r="P445">
        <v>444</v>
      </c>
    </row>
    <row r="446" spans="1:16" x14ac:dyDescent="0.3">
      <c r="A446" s="1">
        <v>44703</v>
      </c>
      <c r="B446" t="s">
        <v>7</v>
      </c>
      <c r="C446" t="s">
        <v>8</v>
      </c>
      <c r="D446" t="s">
        <v>16</v>
      </c>
      <c r="E446">
        <v>2</v>
      </c>
      <c r="F446" s="3">
        <v>1874</v>
      </c>
      <c r="G446" s="2">
        <v>271.5</v>
      </c>
      <c r="H446">
        <f>Master_ventas[[#This Row],[Profit]]/Master_ventas[[#This Row],[Sales]]</f>
        <v>0.14487726787620064</v>
      </c>
      <c r="I446">
        <f ca="1">Referencia_Hoy-Master_ventas[[#This Row],[Order Date]]</f>
        <v>1620</v>
      </c>
      <c r="J446" t="str">
        <f>UPPER(Master_ventas[[#This Row],[Product Name]])</f>
        <v>PRINTER</v>
      </c>
      <c r="K446" t="str">
        <f>UPPER(Master_ventas[[#This Row],[Category]])</f>
        <v>OFFICE</v>
      </c>
      <c r="L446">
        <f>YEAR(Master_ventas[[#This Row],[Order Date]])</f>
        <v>2022</v>
      </c>
      <c r="M446" t="str">
        <f>CONCATENATE(LEFT(Master_ventas[[#This Row],[ProdUpper]],3),RIGHT(Master_ventas[[#This Row],[Ext-Year]],2),"-",MID(Master_ventas[[#This Row],[Category]],1,1))</f>
        <v>PRI22-O</v>
      </c>
      <c r="N446" t="str">
        <f>MID(Master_ventas[[#This Row],[ProdUpper]],1,3)</f>
        <v>PRI</v>
      </c>
      <c r="O446" t="str">
        <f>UPPER(IF(Master_ventas[[#This Row],[Profit]]&gt;500,"High","Std"))</f>
        <v>STD</v>
      </c>
      <c r="P446">
        <v>445</v>
      </c>
    </row>
    <row r="447" spans="1:16" x14ac:dyDescent="0.3">
      <c r="A447" s="1">
        <v>45157</v>
      </c>
      <c r="B447" t="s">
        <v>10</v>
      </c>
      <c r="C447" t="s">
        <v>11</v>
      </c>
      <c r="D447" t="s">
        <v>9</v>
      </c>
      <c r="E447">
        <v>8</v>
      </c>
      <c r="F447" s="3">
        <v>6008</v>
      </c>
      <c r="G447" s="2">
        <v>871.76</v>
      </c>
      <c r="H447">
        <f>Master_ventas[[#This Row],[Profit]]/Master_ventas[[#This Row],[Sales]]</f>
        <v>0.14509986684420773</v>
      </c>
      <c r="I447">
        <f ca="1">Referencia_Hoy-Master_ventas[[#This Row],[Order Date]]</f>
        <v>1166</v>
      </c>
      <c r="J447" t="str">
        <f>UPPER(Master_ventas[[#This Row],[Product Name]])</f>
        <v>MOUSE</v>
      </c>
      <c r="K447" t="str">
        <f>UPPER(Master_ventas[[#This Row],[Category]])</f>
        <v>ACCESSORIES</v>
      </c>
      <c r="L447">
        <f>YEAR(Master_ventas[[#This Row],[Order Date]])</f>
        <v>2023</v>
      </c>
      <c r="M447" t="str">
        <f>CONCATENATE(LEFT(Master_ventas[[#This Row],[ProdUpper]],3),RIGHT(Master_ventas[[#This Row],[Ext-Year]],2),"-",MID(Master_ventas[[#This Row],[Category]],1,1))</f>
        <v>MOU23-A</v>
      </c>
      <c r="N447" t="str">
        <f>MID(Master_ventas[[#This Row],[ProdUpper]],1,3)</f>
        <v>MOU</v>
      </c>
      <c r="O447" t="str">
        <f>UPPER(IF(Master_ventas[[#This Row],[Profit]]&gt;500,"High","Std"))</f>
        <v>HIGH</v>
      </c>
      <c r="P447">
        <v>446</v>
      </c>
    </row>
    <row r="448" spans="1:16" x14ac:dyDescent="0.3">
      <c r="A448" s="1">
        <v>45175</v>
      </c>
      <c r="B448" t="s">
        <v>17</v>
      </c>
      <c r="C448" t="s">
        <v>14</v>
      </c>
      <c r="D448" t="s">
        <v>12</v>
      </c>
      <c r="E448">
        <v>8</v>
      </c>
      <c r="F448" s="3">
        <v>7240</v>
      </c>
      <c r="G448" s="2">
        <v>411.19</v>
      </c>
      <c r="H448">
        <f>Master_ventas[[#This Row],[Profit]]/Master_ventas[[#This Row],[Sales]]</f>
        <v>5.6794198895027626E-2</v>
      </c>
      <c r="I448">
        <f ca="1">Referencia_Hoy-Master_ventas[[#This Row],[Order Date]]</f>
        <v>1148</v>
      </c>
      <c r="J448" t="str">
        <f>UPPER(Master_ventas[[#This Row],[Product Name]])</f>
        <v>CAMERA</v>
      </c>
      <c r="K448" t="str">
        <f>UPPER(Master_ventas[[#This Row],[Category]])</f>
        <v>ELECTRONICS</v>
      </c>
      <c r="L448">
        <f>YEAR(Master_ventas[[#This Row],[Order Date]])</f>
        <v>2023</v>
      </c>
      <c r="M448" t="str">
        <f>CONCATENATE(LEFT(Master_ventas[[#This Row],[ProdUpper]],3),RIGHT(Master_ventas[[#This Row],[Ext-Year]],2),"-",MID(Master_ventas[[#This Row],[Category]],1,1))</f>
        <v>CAM23-E</v>
      </c>
      <c r="N448" t="str">
        <f>MID(Master_ventas[[#This Row],[ProdUpper]],1,3)</f>
        <v>CAM</v>
      </c>
      <c r="O448" t="str">
        <f>UPPER(IF(Master_ventas[[#This Row],[Profit]]&gt;500,"High","Std"))</f>
        <v>STD</v>
      </c>
      <c r="P448">
        <v>447</v>
      </c>
    </row>
    <row r="449" spans="1:16" x14ac:dyDescent="0.3">
      <c r="A449" s="1">
        <v>45460</v>
      </c>
      <c r="B449" t="s">
        <v>20</v>
      </c>
      <c r="C449" t="s">
        <v>11</v>
      </c>
      <c r="D449" t="s">
        <v>15</v>
      </c>
      <c r="E449">
        <v>9</v>
      </c>
      <c r="F449" s="3">
        <v>1188</v>
      </c>
      <c r="G449" s="2">
        <v>348.31</v>
      </c>
      <c r="H449">
        <f>Master_ventas[[#This Row],[Profit]]/Master_ventas[[#This Row],[Sales]]</f>
        <v>0.29319023569023567</v>
      </c>
      <c r="I449">
        <f ca="1">Referencia_Hoy-Master_ventas[[#This Row],[Order Date]]</f>
        <v>863</v>
      </c>
      <c r="J449" t="str">
        <f>UPPER(Master_ventas[[#This Row],[Product Name]])</f>
        <v>MONITOR</v>
      </c>
      <c r="K449" t="str">
        <f>UPPER(Master_ventas[[#This Row],[Category]])</f>
        <v>ACCESSORIES</v>
      </c>
      <c r="L449">
        <f>YEAR(Master_ventas[[#This Row],[Order Date]])</f>
        <v>2024</v>
      </c>
      <c r="M449" t="str">
        <f>CONCATENATE(LEFT(Master_ventas[[#This Row],[ProdUpper]],3),RIGHT(Master_ventas[[#This Row],[Ext-Year]],2),"-",MID(Master_ventas[[#This Row],[Category]],1,1))</f>
        <v>MON24-A</v>
      </c>
      <c r="N449" t="str">
        <f>MID(Master_ventas[[#This Row],[ProdUpper]],1,3)</f>
        <v>MON</v>
      </c>
      <c r="O449" t="str">
        <f>UPPER(IF(Master_ventas[[#This Row],[Profit]]&gt;500,"High","Std"))</f>
        <v>STD</v>
      </c>
      <c r="P449">
        <v>448</v>
      </c>
    </row>
    <row r="450" spans="1:16" x14ac:dyDescent="0.3">
      <c r="A450" s="1">
        <v>45648</v>
      </c>
      <c r="B450" t="s">
        <v>18</v>
      </c>
      <c r="C450" t="s">
        <v>11</v>
      </c>
      <c r="D450" t="s">
        <v>9</v>
      </c>
      <c r="E450">
        <v>9</v>
      </c>
      <c r="F450" s="3">
        <v>2997</v>
      </c>
      <c r="G450" s="2">
        <v>163.34</v>
      </c>
      <c r="H450">
        <f>Master_ventas[[#This Row],[Profit]]/Master_ventas[[#This Row],[Sales]]</f>
        <v>5.4501167834501166E-2</v>
      </c>
      <c r="I450">
        <f ca="1">Referencia_Hoy-Master_ventas[[#This Row],[Order Date]]</f>
        <v>675</v>
      </c>
      <c r="J450" t="str">
        <f>UPPER(Master_ventas[[#This Row],[Product Name]])</f>
        <v>HEADPHONES</v>
      </c>
      <c r="K450" t="str">
        <f>UPPER(Master_ventas[[#This Row],[Category]])</f>
        <v>ACCESSORIES</v>
      </c>
      <c r="L450">
        <f>YEAR(Master_ventas[[#This Row],[Order Date]])</f>
        <v>2024</v>
      </c>
      <c r="M450" t="str">
        <f>CONCATENATE(LEFT(Master_ventas[[#This Row],[ProdUpper]],3),RIGHT(Master_ventas[[#This Row],[Ext-Year]],2),"-",MID(Master_ventas[[#This Row],[Category]],1,1))</f>
        <v>HEA24-A</v>
      </c>
      <c r="N450" t="str">
        <f>MID(Master_ventas[[#This Row],[ProdUpper]],1,3)</f>
        <v>HEA</v>
      </c>
      <c r="O450" t="str">
        <f>UPPER(IF(Master_ventas[[#This Row],[Profit]]&gt;500,"High","Std"))</f>
        <v>STD</v>
      </c>
      <c r="P450">
        <v>449</v>
      </c>
    </row>
    <row r="451" spans="1:16" x14ac:dyDescent="0.3">
      <c r="A451" s="1">
        <v>44959</v>
      </c>
      <c r="B451" t="s">
        <v>7</v>
      </c>
      <c r="C451" t="s">
        <v>8</v>
      </c>
      <c r="D451" t="s">
        <v>16</v>
      </c>
      <c r="E451">
        <v>9</v>
      </c>
      <c r="F451" s="3">
        <v>7524</v>
      </c>
      <c r="G451" s="2">
        <v>2017.85</v>
      </c>
      <c r="H451">
        <f>Master_ventas[[#This Row],[Profit]]/Master_ventas[[#This Row],[Sales]]</f>
        <v>0.26818846358320042</v>
      </c>
      <c r="I451">
        <f ca="1">Referencia_Hoy-Master_ventas[[#This Row],[Order Date]]</f>
        <v>1364</v>
      </c>
      <c r="J451" t="str">
        <f>UPPER(Master_ventas[[#This Row],[Product Name]])</f>
        <v>PRINTER</v>
      </c>
      <c r="K451" t="str">
        <f>UPPER(Master_ventas[[#This Row],[Category]])</f>
        <v>OFFICE</v>
      </c>
      <c r="L451">
        <f>YEAR(Master_ventas[[#This Row],[Order Date]])</f>
        <v>2023</v>
      </c>
      <c r="M451" t="str">
        <f>CONCATENATE(LEFT(Master_ventas[[#This Row],[ProdUpper]],3),RIGHT(Master_ventas[[#This Row],[Ext-Year]],2),"-",MID(Master_ventas[[#This Row],[Category]],1,1))</f>
        <v>PRI23-O</v>
      </c>
      <c r="N451" t="str">
        <f>MID(Master_ventas[[#This Row],[ProdUpper]],1,3)</f>
        <v>PRI</v>
      </c>
      <c r="O451" t="str">
        <f>UPPER(IF(Master_ventas[[#This Row],[Profit]]&gt;500,"High","Std"))</f>
        <v>HIGH</v>
      </c>
      <c r="P451">
        <v>450</v>
      </c>
    </row>
    <row r="452" spans="1:16" x14ac:dyDescent="0.3">
      <c r="A452" s="1">
        <v>44847</v>
      </c>
      <c r="B452" t="s">
        <v>20</v>
      </c>
      <c r="C452" t="s">
        <v>11</v>
      </c>
      <c r="D452" t="s">
        <v>9</v>
      </c>
      <c r="E452">
        <v>5</v>
      </c>
      <c r="F452" s="3">
        <v>3625</v>
      </c>
      <c r="G452" s="2">
        <v>268.73</v>
      </c>
      <c r="H452">
        <f>Master_ventas[[#This Row],[Profit]]/Master_ventas[[#This Row],[Sales]]</f>
        <v>7.4132413793103452E-2</v>
      </c>
      <c r="I452">
        <f ca="1">Referencia_Hoy-Master_ventas[[#This Row],[Order Date]]</f>
        <v>1476</v>
      </c>
      <c r="J452" t="str">
        <f>UPPER(Master_ventas[[#This Row],[Product Name]])</f>
        <v>MONITOR</v>
      </c>
      <c r="K452" t="str">
        <f>UPPER(Master_ventas[[#This Row],[Category]])</f>
        <v>ACCESSORIES</v>
      </c>
      <c r="L452">
        <f>YEAR(Master_ventas[[#This Row],[Order Date]])</f>
        <v>2022</v>
      </c>
      <c r="M452" t="str">
        <f>CONCATENATE(LEFT(Master_ventas[[#This Row],[ProdUpper]],3),RIGHT(Master_ventas[[#This Row],[Ext-Year]],2),"-",MID(Master_ventas[[#This Row],[Category]],1,1))</f>
        <v>MON22-A</v>
      </c>
      <c r="N452" t="str">
        <f>MID(Master_ventas[[#This Row],[ProdUpper]],1,3)</f>
        <v>MON</v>
      </c>
      <c r="O452" t="str">
        <f>UPPER(IF(Master_ventas[[#This Row],[Profit]]&gt;500,"High","Std"))</f>
        <v>STD</v>
      </c>
      <c r="P452">
        <v>451</v>
      </c>
    </row>
    <row r="453" spans="1:16" x14ac:dyDescent="0.3">
      <c r="A453" s="1">
        <v>45382</v>
      </c>
      <c r="B453" t="s">
        <v>23</v>
      </c>
      <c r="C453" t="s">
        <v>14</v>
      </c>
      <c r="D453" t="s">
        <v>12</v>
      </c>
      <c r="E453">
        <v>8</v>
      </c>
      <c r="F453" s="3">
        <v>6952</v>
      </c>
      <c r="G453" s="2">
        <v>871.2</v>
      </c>
      <c r="H453">
        <f>Master_ventas[[#This Row],[Profit]]/Master_ventas[[#This Row],[Sales]]</f>
        <v>0.12531645569620253</v>
      </c>
      <c r="I453">
        <f ca="1">Referencia_Hoy-Master_ventas[[#This Row],[Order Date]]</f>
        <v>941</v>
      </c>
      <c r="J453" t="str">
        <f>UPPER(Master_ventas[[#This Row],[Product Name]])</f>
        <v>LAPTOP</v>
      </c>
      <c r="K453" t="str">
        <f>UPPER(Master_ventas[[#This Row],[Category]])</f>
        <v>ELECTRONICS</v>
      </c>
      <c r="L453">
        <f>YEAR(Master_ventas[[#This Row],[Order Date]])</f>
        <v>2024</v>
      </c>
      <c r="M453" t="str">
        <f>CONCATENATE(LEFT(Master_ventas[[#This Row],[ProdUpper]],3),RIGHT(Master_ventas[[#This Row],[Ext-Year]],2),"-",MID(Master_ventas[[#This Row],[Category]],1,1))</f>
        <v>LAP24-E</v>
      </c>
      <c r="N453" t="str">
        <f>MID(Master_ventas[[#This Row],[ProdUpper]],1,3)</f>
        <v>LAP</v>
      </c>
      <c r="O453" t="str">
        <f>UPPER(IF(Master_ventas[[#This Row],[Profit]]&gt;500,"High","Std"))</f>
        <v>HIGH</v>
      </c>
      <c r="P453">
        <v>452</v>
      </c>
    </row>
    <row r="454" spans="1:16" x14ac:dyDescent="0.3">
      <c r="A454" s="1">
        <v>45075</v>
      </c>
      <c r="B454" t="s">
        <v>17</v>
      </c>
      <c r="C454" t="s">
        <v>14</v>
      </c>
      <c r="D454" t="s">
        <v>9</v>
      </c>
      <c r="E454">
        <v>9</v>
      </c>
      <c r="F454" s="3">
        <v>1053</v>
      </c>
      <c r="G454" s="2">
        <v>283.58</v>
      </c>
      <c r="H454">
        <f>Master_ventas[[#This Row],[Profit]]/Master_ventas[[#This Row],[Sales]]</f>
        <v>0.26930674264007598</v>
      </c>
      <c r="I454">
        <f ca="1">Referencia_Hoy-Master_ventas[[#This Row],[Order Date]]</f>
        <v>1248</v>
      </c>
      <c r="J454" t="str">
        <f>UPPER(Master_ventas[[#This Row],[Product Name]])</f>
        <v>CAMERA</v>
      </c>
      <c r="K454" t="str">
        <f>UPPER(Master_ventas[[#This Row],[Category]])</f>
        <v>ELECTRONICS</v>
      </c>
      <c r="L454">
        <f>YEAR(Master_ventas[[#This Row],[Order Date]])</f>
        <v>2023</v>
      </c>
      <c r="M454" t="str">
        <f>CONCATENATE(LEFT(Master_ventas[[#This Row],[ProdUpper]],3),RIGHT(Master_ventas[[#This Row],[Ext-Year]],2),"-",MID(Master_ventas[[#This Row],[Category]],1,1))</f>
        <v>CAM23-E</v>
      </c>
      <c r="N454" t="str">
        <f>MID(Master_ventas[[#This Row],[ProdUpper]],1,3)</f>
        <v>CAM</v>
      </c>
      <c r="O454" t="str">
        <f>UPPER(IF(Master_ventas[[#This Row],[Profit]]&gt;500,"High","Std"))</f>
        <v>STD</v>
      </c>
      <c r="P454">
        <v>453</v>
      </c>
    </row>
    <row r="455" spans="1:16" x14ac:dyDescent="0.3">
      <c r="A455" s="1">
        <v>45647</v>
      </c>
      <c r="B455" t="s">
        <v>20</v>
      </c>
      <c r="C455" t="s">
        <v>11</v>
      </c>
      <c r="D455" t="s">
        <v>9</v>
      </c>
      <c r="E455">
        <v>9</v>
      </c>
      <c r="F455" s="3">
        <v>6696</v>
      </c>
      <c r="G455" s="2">
        <v>1224.22</v>
      </c>
      <c r="H455">
        <f>Master_ventas[[#This Row],[Profit]]/Master_ventas[[#This Row],[Sales]]</f>
        <v>0.18282855436081244</v>
      </c>
      <c r="I455">
        <f ca="1">Referencia_Hoy-Master_ventas[[#This Row],[Order Date]]</f>
        <v>676</v>
      </c>
      <c r="J455" t="str">
        <f>UPPER(Master_ventas[[#This Row],[Product Name]])</f>
        <v>MONITOR</v>
      </c>
      <c r="K455" t="str">
        <f>UPPER(Master_ventas[[#This Row],[Category]])</f>
        <v>ACCESSORIES</v>
      </c>
      <c r="L455">
        <f>YEAR(Master_ventas[[#This Row],[Order Date]])</f>
        <v>2024</v>
      </c>
      <c r="M455" t="str">
        <f>CONCATENATE(LEFT(Master_ventas[[#This Row],[ProdUpper]],3),RIGHT(Master_ventas[[#This Row],[Ext-Year]],2),"-",MID(Master_ventas[[#This Row],[Category]],1,1))</f>
        <v>MON24-A</v>
      </c>
      <c r="N455" t="str">
        <f>MID(Master_ventas[[#This Row],[ProdUpper]],1,3)</f>
        <v>MON</v>
      </c>
      <c r="O455" t="str">
        <f>UPPER(IF(Master_ventas[[#This Row],[Profit]]&gt;500,"High","Std"))</f>
        <v>HIGH</v>
      </c>
      <c r="P455">
        <v>454</v>
      </c>
    </row>
    <row r="456" spans="1:16" x14ac:dyDescent="0.3">
      <c r="A456" s="1">
        <v>45574</v>
      </c>
      <c r="B456" t="s">
        <v>18</v>
      </c>
      <c r="C456" t="s">
        <v>11</v>
      </c>
      <c r="D456" t="s">
        <v>9</v>
      </c>
      <c r="E456">
        <v>2</v>
      </c>
      <c r="F456" s="3">
        <v>1420</v>
      </c>
      <c r="G456" s="2">
        <v>93.59</v>
      </c>
      <c r="H456">
        <f>Master_ventas[[#This Row],[Profit]]/Master_ventas[[#This Row],[Sales]]</f>
        <v>6.5908450704225352E-2</v>
      </c>
      <c r="I456">
        <f ca="1">Referencia_Hoy-Master_ventas[[#This Row],[Order Date]]</f>
        <v>749</v>
      </c>
      <c r="J456" t="str">
        <f>UPPER(Master_ventas[[#This Row],[Product Name]])</f>
        <v>HEADPHONES</v>
      </c>
      <c r="K456" t="str">
        <f>UPPER(Master_ventas[[#This Row],[Category]])</f>
        <v>ACCESSORIES</v>
      </c>
      <c r="L456">
        <f>YEAR(Master_ventas[[#This Row],[Order Date]])</f>
        <v>2024</v>
      </c>
      <c r="M456" t="str">
        <f>CONCATENATE(LEFT(Master_ventas[[#This Row],[ProdUpper]],3),RIGHT(Master_ventas[[#This Row],[Ext-Year]],2),"-",MID(Master_ventas[[#This Row],[Category]],1,1))</f>
        <v>HEA24-A</v>
      </c>
      <c r="N456" t="str">
        <f>MID(Master_ventas[[#This Row],[ProdUpper]],1,3)</f>
        <v>HEA</v>
      </c>
      <c r="O456" t="str">
        <f>UPPER(IF(Master_ventas[[#This Row],[Profit]]&gt;500,"High","Std"))</f>
        <v>STD</v>
      </c>
      <c r="P456">
        <v>455</v>
      </c>
    </row>
    <row r="457" spans="1:16" x14ac:dyDescent="0.3">
      <c r="A457" s="1">
        <v>45289</v>
      </c>
      <c r="B457" t="s">
        <v>17</v>
      </c>
      <c r="C457" t="s">
        <v>14</v>
      </c>
      <c r="D457" t="s">
        <v>16</v>
      </c>
      <c r="E457">
        <v>9</v>
      </c>
      <c r="F457" s="3">
        <v>9972</v>
      </c>
      <c r="G457" s="2">
        <v>2566.0100000000002</v>
      </c>
      <c r="H457">
        <f>Master_ventas[[#This Row],[Profit]]/Master_ventas[[#This Row],[Sales]]</f>
        <v>0.2573215002005616</v>
      </c>
      <c r="I457">
        <f ca="1">Referencia_Hoy-Master_ventas[[#This Row],[Order Date]]</f>
        <v>1034</v>
      </c>
      <c r="J457" t="str">
        <f>UPPER(Master_ventas[[#This Row],[Product Name]])</f>
        <v>CAMERA</v>
      </c>
      <c r="K457" t="str">
        <f>UPPER(Master_ventas[[#This Row],[Category]])</f>
        <v>ELECTRONICS</v>
      </c>
      <c r="L457">
        <f>YEAR(Master_ventas[[#This Row],[Order Date]])</f>
        <v>2023</v>
      </c>
      <c r="M457" t="str">
        <f>CONCATENATE(LEFT(Master_ventas[[#This Row],[ProdUpper]],3),RIGHT(Master_ventas[[#This Row],[Ext-Year]],2),"-",MID(Master_ventas[[#This Row],[Category]],1,1))</f>
        <v>CAM23-E</v>
      </c>
      <c r="N457" t="str">
        <f>MID(Master_ventas[[#This Row],[ProdUpper]],1,3)</f>
        <v>CAM</v>
      </c>
      <c r="O457" t="str">
        <f>UPPER(IF(Master_ventas[[#This Row],[Profit]]&gt;500,"High","Std"))</f>
        <v>HIGH</v>
      </c>
      <c r="P457">
        <v>456</v>
      </c>
    </row>
    <row r="458" spans="1:16" x14ac:dyDescent="0.3">
      <c r="A458" s="1">
        <v>44893</v>
      </c>
      <c r="B458" t="s">
        <v>23</v>
      </c>
      <c r="C458" t="s">
        <v>14</v>
      </c>
      <c r="D458" t="s">
        <v>15</v>
      </c>
      <c r="E458">
        <v>8</v>
      </c>
      <c r="F458" s="3">
        <v>3136</v>
      </c>
      <c r="G458" s="2">
        <v>494.26</v>
      </c>
      <c r="H458">
        <f>Master_ventas[[#This Row],[Profit]]/Master_ventas[[#This Row],[Sales]]</f>
        <v>0.15760841836734693</v>
      </c>
      <c r="I458">
        <f ca="1">Referencia_Hoy-Master_ventas[[#This Row],[Order Date]]</f>
        <v>1430</v>
      </c>
      <c r="J458" t="str">
        <f>UPPER(Master_ventas[[#This Row],[Product Name]])</f>
        <v>LAPTOP</v>
      </c>
      <c r="K458" t="str">
        <f>UPPER(Master_ventas[[#This Row],[Category]])</f>
        <v>ELECTRONICS</v>
      </c>
      <c r="L458">
        <f>YEAR(Master_ventas[[#This Row],[Order Date]])</f>
        <v>2022</v>
      </c>
      <c r="M458" t="str">
        <f>CONCATENATE(LEFT(Master_ventas[[#This Row],[ProdUpper]],3),RIGHT(Master_ventas[[#This Row],[Ext-Year]],2),"-",MID(Master_ventas[[#This Row],[Category]],1,1))</f>
        <v>LAP22-E</v>
      </c>
      <c r="N458" t="str">
        <f>MID(Master_ventas[[#This Row],[ProdUpper]],1,3)</f>
        <v>LAP</v>
      </c>
      <c r="O458" t="str">
        <f>UPPER(IF(Master_ventas[[#This Row],[Profit]]&gt;500,"High","Std"))</f>
        <v>STD</v>
      </c>
      <c r="P458">
        <v>457</v>
      </c>
    </row>
    <row r="459" spans="1:16" x14ac:dyDescent="0.3">
      <c r="A459" s="1">
        <v>44967</v>
      </c>
      <c r="B459" t="s">
        <v>17</v>
      </c>
      <c r="C459" t="s">
        <v>14</v>
      </c>
      <c r="D459" t="s">
        <v>16</v>
      </c>
      <c r="E459">
        <v>3</v>
      </c>
      <c r="F459" s="3">
        <v>225</v>
      </c>
      <c r="G459" s="2">
        <v>20.52</v>
      </c>
      <c r="H459">
        <f>Master_ventas[[#This Row],[Profit]]/Master_ventas[[#This Row],[Sales]]</f>
        <v>9.1200000000000003E-2</v>
      </c>
      <c r="I459">
        <f ca="1">Referencia_Hoy-Master_ventas[[#This Row],[Order Date]]</f>
        <v>1356</v>
      </c>
      <c r="J459" t="str">
        <f>UPPER(Master_ventas[[#This Row],[Product Name]])</f>
        <v>CAMERA</v>
      </c>
      <c r="K459" t="str">
        <f>UPPER(Master_ventas[[#This Row],[Category]])</f>
        <v>ELECTRONICS</v>
      </c>
      <c r="L459">
        <f>YEAR(Master_ventas[[#This Row],[Order Date]])</f>
        <v>2023</v>
      </c>
      <c r="M459" t="str">
        <f>CONCATENATE(LEFT(Master_ventas[[#This Row],[ProdUpper]],3),RIGHT(Master_ventas[[#This Row],[Ext-Year]],2),"-",MID(Master_ventas[[#This Row],[Category]],1,1))</f>
        <v>CAM23-E</v>
      </c>
      <c r="N459" t="str">
        <f>MID(Master_ventas[[#This Row],[ProdUpper]],1,3)</f>
        <v>CAM</v>
      </c>
      <c r="O459" t="str">
        <f>UPPER(IF(Master_ventas[[#This Row],[Profit]]&gt;500,"High","Std"))</f>
        <v>STD</v>
      </c>
      <c r="P459">
        <v>458</v>
      </c>
    </row>
    <row r="460" spans="1:16" x14ac:dyDescent="0.3">
      <c r="A460" s="1">
        <v>44693</v>
      </c>
      <c r="B460" t="s">
        <v>10</v>
      </c>
      <c r="C460" t="s">
        <v>11</v>
      </c>
      <c r="D460" t="s">
        <v>12</v>
      </c>
      <c r="E460">
        <v>3</v>
      </c>
      <c r="F460" s="3">
        <v>1662</v>
      </c>
      <c r="G460" s="2">
        <v>375.04</v>
      </c>
      <c r="H460">
        <f>Master_ventas[[#This Row],[Profit]]/Master_ventas[[#This Row],[Sales]]</f>
        <v>0.22565583634175693</v>
      </c>
      <c r="I460">
        <f ca="1">Referencia_Hoy-Master_ventas[[#This Row],[Order Date]]</f>
        <v>1630</v>
      </c>
      <c r="J460" t="str">
        <f>UPPER(Master_ventas[[#This Row],[Product Name]])</f>
        <v>MOUSE</v>
      </c>
      <c r="K460" t="str">
        <f>UPPER(Master_ventas[[#This Row],[Category]])</f>
        <v>ACCESSORIES</v>
      </c>
      <c r="L460">
        <f>YEAR(Master_ventas[[#This Row],[Order Date]])</f>
        <v>2022</v>
      </c>
      <c r="M460" t="str">
        <f>CONCATENATE(LEFT(Master_ventas[[#This Row],[ProdUpper]],3),RIGHT(Master_ventas[[#This Row],[Ext-Year]],2),"-",MID(Master_ventas[[#This Row],[Category]],1,1))</f>
        <v>MOU22-A</v>
      </c>
      <c r="N460" t="str">
        <f>MID(Master_ventas[[#This Row],[ProdUpper]],1,3)</f>
        <v>MOU</v>
      </c>
      <c r="O460" t="str">
        <f>UPPER(IF(Master_ventas[[#This Row],[Profit]]&gt;500,"High","Std"))</f>
        <v>STD</v>
      </c>
      <c r="P460">
        <v>459</v>
      </c>
    </row>
    <row r="461" spans="1:16" x14ac:dyDescent="0.3">
      <c r="A461" s="1">
        <v>45415</v>
      </c>
      <c r="B461" t="s">
        <v>7</v>
      </c>
      <c r="C461" t="s">
        <v>8</v>
      </c>
      <c r="D461" t="s">
        <v>16</v>
      </c>
      <c r="E461">
        <v>4</v>
      </c>
      <c r="F461" s="3">
        <v>500</v>
      </c>
      <c r="G461" s="2">
        <v>85.96</v>
      </c>
      <c r="H461">
        <f>Master_ventas[[#This Row],[Profit]]/Master_ventas[[#This Row],[Sales]]</f>
        <v>0.17191999999999999</v>
      </c>
      <c r="I461">
        <f ca="1">Referencia_Hoy-Master_ventas[[#This Row],[Order Date]]</f>
        <v>908</v>
      </c>
      <c r="J461" t="str">
        <f>UPPER(Master_ventas[[#This Row],[Product Name]])</f>
        <v>PRINTER</v>
      </c>
      <c r="K461" t="str">
        <f>UPPER(Master_ventas[[#This Row],[Category]])</f>
        <v>OFFICE</v>
      </c>
      <c r="L461">
        <f>YEAR(Master_ventas[[#This Row],[Order Date]])</f>
        <v>2024</v>
      </c>
      <c r="M461" t="str">
        <f>CONCATENATE(LEFT(Master_ventas[[#This Row],[ProdUpper]],3),RIGHT(Master_ventas[[#This Row],[Ext-Year]],2),"-",MID(Master_ventas[[#This Row],[Category]],1,1))</f>
        <v>PRI24-O</v>
      </c>
      <c r="N461" t="str">
        <f>MID(Master_ventas[[#This Row],[ProdUpper]],1,3)</f>
        <v>PRI</v>
      </c>
      <c r="O461" t="str">
        <f>UPPER(IF(Master_ventas[[#This Row],[Profit]]&gt;500,"High","Std"))</f>
        <v>STD</v>
      </c>
      <c r="P461">
        <v>460</v>
      </c>
    </row>
    <row r="462" spans="1:16" x14ac:dyDescent="0.3">
      <c r="A462" s="1">
        <v>44775</v>
      </c>
      <c r="B462" t="s">
        <v>21</v>
      </c>
      <c r="C462" t="s">
        <v>14</v>
      </c>
      <c r="D462" t="s">
        <v>9</v>
      </c>
      <c r="E462">
        <v>8</v>
      </c>
      <c r="F462" s="3">
        <v>3168</v>
      </c>
      <c r="G462" s="2">
        <v>747.33</v>
      </c>
      <c r="H462">
        <f>Master_ventas[[#This Row],[Profit]]/Master_ventas[[#This Row],[Sales]]</f>
        <v>0.23589962121212121</v>
      </c>
      <c r="I462">
        <f ca="1">Referencia_Hoy-Master_ventas[[#This Row],[Order Date]]</f>
        <v>1548</v>
      </c>
      <c r="J462" t="str">
        <f>UPPER(Master_ventas[[#This Row],[Product Name]])</f>
        <v>SMARTPHONE</v>
      </c>
      <c r="K462" t="str">
        <f>UPPER(Master_ventas[[#This Row],[Category]])</f>
        <v>ELECTRONICS</v>
      </c>
      <c r="L462">
        <f>YEAR(Master_ventas[[#This Row],[Order Date]])</f>
        <v>2022</v>
      </c>
      <c r="M462" t="str">
        <f>CONCATENATE(LEFT(Master_ventas[[#This Row],[ProdUpper]],3),RIGHT(Master_ventas[[#This Row],[Ext-Year]],2),"-",MID(Master_ventas[[#This Row],[Category]],1,1))</f>
        <v>SMA22-E</v>
      </c>
      <c r="N462" t="str">
        <f>MID(Master_ventas[[#This Row],[ProdUpper]],1,3)</f>
        <v>SMA</v>
      </c>
      <c r="O462" t="str">
        <f>UPPER(IF(Master_ventas[[#This Row],[Profit]]&gt;500,"High","Std"))</f>
        <v>HIGH</v>
      </c>
      <c r="P462">
        <v>461</v>
      </c>
    </row>
    <row r="463" spans="1:16" x14ac:dyDescent="0.3">
      <c r="A463" s="1">
        <v>45291</v>
      </c>
      <c r="B463" t="s">
        <v>21</v>
      </c>
      <c r="C463" t="s">
        <v>14</v>
      </c>
      <c r="D463" t="s">
        <v>12</v>
      </c>
      <c r="E463">
        <v>1</v>
      </c>
      <c r="F463" s="3">
        <v>622</v>
      </c>
      <c r="G463" s="2">
        <v>104.57</v>
      </c>
      <c r="H463">
        <f>Master_ventas[[#This Row],[Profit]]/Master_ventas[[#This Row],[Sales]]</f>
        <v>0.16811897106109325</v>
      </c>
      <c r="I463">
        <f ca="1">Referencia_Hoy-Master_ventas[[#This Row],[Order Date]]</f>
        <v>1032</v>
      </c>
      <c r="J463" t="str">
        <f>UPPER(Master_ventas[[#This Row],[Product Name]])</f>
        <v>SMARTPHONE</v>
      </c>
      <c r="K463" t="str">
        <f>UPPER(Master_ventas[[#This Row],[Category]])</f>
        <v>ELECTRONICS</v>
      </c>
      <c r="L463">
        <f>YEAR(Master_ventas[[#This Row],[Order Date]])</f>
        <v>2023</v>
      </c>
      <c r="M463" t="str">
        <f>CONCATENATE(LEFT(Master_ventas[[#This Row],[ProdUpper]],3),RIGHT(Master_ventas[[#This Row],[Ext-Year]],2),"-",MID(Master_ventas[[#This Row],[Category]],1,1))</f>
        <v>SMA23-E</v>
      </c>
      <c r="N463" t="str">
        <f>MID(Master_ventas[[#This Row],[ProdUpper]],1,3)</f>
        <v>SMA</v>
      </c>
      <c r="O463" t="str">
        <f>UPPER(IF(Master_ventas[[#This Row],[Profit]]&gt;500,"High","Std"))</f>
        <v>STD</v>
      </c>
      <c r="P463">
        <v>462</v>
      </c>
    </row>
    <row r="464" spans="1:16" x14ac:dyDescent="0.3">
      <c r="A464" s="1">
        <v>44654</v>
      </c>
      <c r="B464" t="s">
        <v>13</v>
      </c>
      <c r="C464" t="s">
        <v>14</v>
      </c>
      <c r="D464" t="s">
        <v>9</v>
      </c>
      <c r="E464">
        <v>3</v>
      </c>
      <c r="F464" s="3">
        <v>1233</v>
      </c>
      <c r="G464" s="2">
        <v>361.12</v>
      </c>
      <c r="H464">
        <f>Master_ventas[[#This Row],[Profit]]/Master_ventas[[#This Row],[Sales]]</f>
        <v>0.2928791565287916</v>
      </c>
      <c r="I464">
        <f ca="1">Referencia_Hoy-Master_ventas[[#This Row],[Order Date]]</f>
        <v>1669</v>
      </c>
      <c r="J464" t="str">
        <f>UPPER(Master_ventas[[#This Row],[Product Name]])</f>
        <v>TABLET</v>
      </c>
      <c r="K464" t="str">
        <f>UPPER(Master_ventas[[#This Row],[Category]])</f>
        <v>ELECTRONICS</v>
      </c>
      <c r="L464">
        <f>YEAR(Master_ventas[[#This Row],[Order Date]])</f>
        <v>2022</v>
      </c>
      <c r="M464" t="str">
        <f>CONCATENATE(LEFT(Master_ventas[[#This Row],[ProdUpper]],3),RIGHT(Master_ventas[[#This Row],[Ext-Year]],2),"-",MID(Master_ventas[[#This Row],[Category]],1,1))</f>
        <v>TAB22-E</v>
      </c>
      <c r="N464" t="str">
        <f>MID(Master_ventas[[#This Row],[ProdUpper]],1,3)</f>
        <v>TAB</v>
      </c>
      <c r="O464" t="str">
        <f>UPPER(IF(Master_ventas[[#This Row],[Profit]]&gt;500,"High","Std"))</f>
        <v>STD</v>
      </c>
      <c r="P464">
        <v>463</v>
      </c>
    </row>
    <row r="465" spans="1:16" x14ac:dyDescent="0.3">
      <c r="A465" s="1">
        <v>45310</v>
      </c>
      <c r="B465" t="s">
        <v>23</v>
      </c>
      <c r="C465" t="s">
        <v>14</v>
      </c>
      <c r="D465" t="s">
        <v>16</v>
      </c>
      <c r="E465">
        <v>3</v>
      </c>
      <c r="F465" s="3">
        <v>573</v>
      </c>
      <c r="G465" s="2">
        <v>116.14</v>
      </c>
      <c r="H465">
        <f>Master_ventas[[#This Row],[Profit]]/Master_ventas[[#This Row],[Sales]]</f>
        <v>0.20268760907504363</v>
      </c>
      <c r="I465">
        <f ca="1">Referencia_Hoy-Master_ventas[[#This Row],[Order Date]]</f>
        <v>1013</v>
      </c>
      <c r="J465" t="str">
        <f>UPPER(Master_ventas[[#This Row],[Product Name]])</f>
        <v>LAPTOP</v>
      </c>
      <c r="K465" t="str">
        <f>UPPER(Master_ventas[[#This Row],[Category]])</f>
        <v>ELECTRONICS</v>
      </c>
      <c r="L465">
        <f>YEAR(Master_ventas[[#This Row],[Order Date]])</f>
        <v>2024</v>
      </c>
      <c r="M465" t="str">
        <f>CONCATENATE(LEFT(Master_ventas[[#This Row],[ProdUpper]],3),RIGHT(Master_ventas[[#This Row],[Ext-Year]],2),"-",MID(Master_ventas[[#This Row],[Category]],1,1))</f>
        <v>LAP24-E</v>
      </c>
      <c r="N465" t="str">
        <f>MID(Master_ventas[[#This Row],[ProdUpper]],1,3)</f>
        <v>LAP</v>
      </c>
      <c r="O465" t="str">
        <f>UPPER(IF(Master_ventas[[#This Row],[Profit]]&gt;500,"High","Std"))</f>
        <v>STD</v>
      </c>
      <c r="P465">
        <v>464</v>
      </c>
    </row>
    <row r="466" spans="1:16" x14ac:dyDescent="0.3">
      <c r="A466" s="1">
        <v>44610</v>
      </c>
      <c r="B466" t="s">
        <v>13</v>
      </c>
      <c r="C466" t="s">
        <v>14</v>
      </c>
      <c r="D466" t="s">
        <v>15</v>
      </c>
      <c r="E466">
        <v>1</v>
      </c>
      <c r="F466" s="3">
        <v>702</v>
      </c>
      <c r="G466" s="2">
        <v>129.34</v>
      </c>
      <c r="H466">
        <f>Master_ventas[[#This Row],[Profit]]/Master_ventas[[#This Row],[Sales]]</f>
        <v>0.18424501424501424</v>
      </c>
      <c r="I466">
        <f ca="1">Referencia_Hoy-Master_ventas[[#This Row],[Order Date]]</f>
        <v>1713</v>
      </c>
      <c r="J466" t="str">
        <f>UPPER(Master_ventas[[#This Row],[Product Name]])</f>
        <v>TABLET</v>
      </c>
      <c r="K466" t="str">
        <f>UPPER(Master_ventas[[#This Row],[Category]])</f>
        <v>ELECTRONICS</v>
      </c>
      <c r="L466">
        <f>YEAR(Master_ventas[[#This Row],[Order Date]])</f>
        <v>2022</v>
      </c>
      <c r="M466" t="str">
        <f>CONCATENATE(LEFT(Master_ventas[[#This Row],[ProdUpper]],3),RIGHT(Master_ventas[[#This Row],[Ext-Year]],2),"-",MID(Master_ventas[[#This Row],[Category]],1,1))</f>
        <v>TAB22-E</v>
      </c>
      <c r="N466" t="str">
        <f>MID(Master_ventas[[#This Row],[ProdUpper]],1,3)</f>
        <v>TAB</v>
      </c>
      <c r="O466" t="str">
        <f>UPPER(IF(Master_ventas[[#This Row],[Profit]]&gt;500,"High","Std"))</f>
        <v>STD</v>
      </c>
      <c r="P466">
        <v>465</v>
      </c>
    </row>
    <row r="467" spans="1:16" x14ac:dyDescent="0.3">
      <c r="A467" s="1">
        <v>45426</v>
      </c>
      <c r="B467" t="s">
        <v>23</v>
      </c>
      <c r="C467" t="s">
        <v>14</v>
      </c>
      <c r="D467" t="s">
        <v>15</v>
      </c>
      <c r="E467">
        <v>8</v>
      </c>
      <c r="F467" s="3">
        <v>4832</v>
      </c>
      <c r="G467" s="2">
        <v>1261.06</v>
      </c>
      <c r="H467">
        <f>Master_ventas[[#This Row],[Profit]]/Master_ventas[[#This Row],[Sales]]</f>
        <v>0.26098096026490064</v>
      </c>
      <c r="I467">
        <f ca="1">Referencia_Hoy-Master_ventas[[#This Row],[Order Date]]</f>
        <v>897</v>
      </c>
      <c r="J467" t="str">
        <f>UPPER(Master_ventas[[#This Row],[Product Name]])</f>
        <v>LAPTOP</v>
      </c>
      <c r="K467" t="str">
        <f>UPPER(Master_ventas[[#This Row],[Category]])</f>
        <v>ELECTRONICS</v>
      </c>
      <c r="L467">
        <f>YEAR(Master_ventas[[#This Row],[Order Date]])</f>
        <v>2024</v>
      </c>
      <c r="M467" t="str">
        <f>CONCATENATE(LEFT(Master_ventas[[#This Row],[ProdUpper]],3),RIGHT(Master_ventas[[#This Row],[Ext-Year]],2),"-",MID(Master_ventas[[#This Row],[Category]],1,1))</f>
        <v>LAP24-E</v>
      </c>
      <c r="N467" t="str">
        <f>MID(Master_ventas[[#This Row],[ProdUpper]],1,3)</f>
        <v>LAP</v>
      </c>
      <c r="O467" t="str">
        <f>UPPER(IF(Master_ventas[[#This Row],[Profit]]&gt;500,"High","Std"))</f>
        <v>HIGH</v>
      </c>
      <c r="P467">
        <v>466</v>
      </c>
    </row>
    <row r="468" spans="1:16" x14ac:dyDescent="0.3">
      <c r="A468" s="1">
        <v>44943</v>
      </c>
      <c r="B468" t="s">
        <v>7</v>
      </c>
      <c r="C468" t="s">
        <v>8</v>
      </c>
      <c r="D468" t="s">
        <v>9</v>
      </c>
      <c r="E468">
        <v>5</v>
      </c>
      <c r="F468" s="3">
        <v>3765</v>
      </c>
      <c r="G468" s="2">
        <v>670.8</v>
      </c>
      <c r="H468">
        <f>Master_ventas[[#This Row],[Profit]]/Master_ventas[[#This Row],[Sales]]</f>
        <v>0.17816733067729082</v>
      </c>
      <c r="I468">
        <f ca="1">Referencia_Hoy-Master_ventas[[#This Row],[Order Date]]</f>
        <v>1380</v>
      </c>
      <c r="J468" t="str">
        <f>UPPER(Master_ventas[[#This Row],[Product Name]])</f>
        <v>PRINTER</v>
      </c>
      <c r="K468" t="str">
        <f>UPPER(Master_ventas[[#This Row],[Category]])</f>
        <v>OFFICE</v>
      </c>
      <c r="L468">
        <f>YEAR(Master_ventas[[#This Row],[Order Date]])</f>
        <v>2023</v>
      </c>
      <c r="M468" t="str">
        <f>CONCATENATE(LEFT(Master_ventas[[#This Row],[ProdUpper]],3),RIGHT(Master_ventas[[#This Row],[Ext-Year]],2),"-",MID(Master_ventas[[#This Row],[Category]],1,1))</f>
        <v>PRI23-O</v>
      </c>
      <c r="N468" t="str">
        <f>MID(Master_ventas[[#This Row],[ProdUpper]],1,3)</f>
        <v>PRI</v>
      </c>
      <c r="O468" t="str">
        <f>UPPER(IF(Master_ventas[[#This Row],[Profit]]&gt;500,"High","Std"))</f>
        <v>HIGH</v>
      </c>
      <c r="P468">
        <v>467</v>
      </c>
    </row>
    <row r="469" spans="1:16" x14ac:dyDescent="0.3">
      <c r="A469" s="1">
        <v>45417</v>
      </c>
      <c r="B469" t="s">
        <v>17</v>
      </c>
      <c r="C469" t="s">
        <v>14</v>
      </c>
      <c r="D469" t="s">
        <v>9</v>
      </c>
      <c r="E469">
        <v>8</v>
      </c>
      <c r="F469" s="3">
        <v>6928</v>
      </c>
      <c r="G469" s="2">
        <v>1415.16</v>
      </c>
      <c r="H469">
        <f>Master_ventas[[#This Row],[Profit]]/Master_ventas[[#This Row],[Sales]]</f>
        <v>0.20426674364896075</v>
      </c>
      <c r="I469">
        <f ca="1">Referencia_Hoy-Master_ventas[[#This Row],[Order Date]]</f>
        <v>906</v>
      </c>
      <c r="J469" t="str">
        <f>UPPER(Master_ventas[[#This Row],[Product Name]])</f>
        <v>CAMERA</v>
      </c>
      <c r="K469" t="str">
        <f>UPPER(Master_ventas[[#This Row],[Category]])</f>
        <v>ELECTRONICS</v>
      </c>
      <c r="L469">
        <f>YEAR(Master_ventas[[#This Row],[Order Date]])</f>
        <v>2024</v>
      </c>
      <c r="M469" t="str">
        <f>CONCATENATE(LEFT(Master_ventas[[#This Row],[ProdUpper]],3),RIGHT(Master_ventas[[#This Row],[Ext-Year]],2),"-",MID(Master_ventas[[#This Row],[Category]],1,1))</f>
        <v>CAM24-E</v>
      </c>
      <c r="N469" t="str">
        <f>MID(Master_ventas[[#This Row],[ProdUpper]],1,3)</f>
        <v>CAM</v>
      </c>
      <c r="O469" t="str">
        <f>UPPER(IF(Master_ventas[[#This Row],[Profit]]&gt;500,"High","Std"))</f>
        <v>HIGH</v>
      </c>
      <c r="P469">
        <v>468</v>
      </c>
    </row>
    <row r="470" spans="1:16" x14ac:dyDescent="0.3">
      <c r="A470" s="1">
        <v>44958</v>
      </c>
      <c r="B470" t="s">
        <v>18</v>
      </c>
      <c r="C470" t="s">
        <v>11</v>
      </c>
      <c r="D470" t="s">
        <v>16</v>
      </c>
      <c r="E470">
        <v>7</v>
      </c>
      <c r="F470" s="3">
        <v>1624</v>
      </c>
      <c r="G470" s="2">
        <v>436.13</v>
      </c>
      <c r="H470">
        <f>Master_ventas[[#This Row],[Profit]]/Master_ventas[[#This Row],[Sales]]</f>
        <v>0.26855295566502463</v>
      </c>
      <c r="I470">
        <f ca="1">Referencia_Hoy-Master_ventas[[#This Row],[Order Date]]</f>
        <v>1365</v>
      </c>
      <c r="J470" t="str">
        <f>UPPER(Master_ventas[[#This Row],[Product Name]])</f>
        <v>HEADPHONES</v>
      </c>
      <c r="K470" t="str">
        <f>UPPER(Master_ventas[[#This Row],[Category]])</f>
        <v>ACCESSORIES</v>
      </c>
      <c r="L470">
        <f>YEAR(Master_ventas[[#This Row],[Order Date]])</f>
        <v>2023</v>
      </c>
      <c r="M470" t="str">
        <f>CONCATENATE(LEFT(Master_ventas[[#This Row],[ProdUpper]],3),RIGHT(Master_ventas[[#This Row],[Ext-Year]],2),"-",MID(Master_ventas[[#This Row],[Category]],1,1))</f>
        <v>HEA23-A</v>
      </c>
      <c r="N470" t="str">
        <f>MID(Master_ventas[[#This Row],[ProdUpper]],1,3)</f>
        <v>HEA</v>
      </c>
      <c r="O470" t="str">
        <f>UPPER(IF(Master_ventas[[#This Row],[Profit]]&gt;500,"High","Std"))</f>
        <v>STD</v>
      </c>
      <c r="P470">
        <v>469</v>
      </c>
    </row>
    <row r="471" spans="1:16" x14ac:dyDescent="0.3">
      <c r="A471" s="1">
        <v>45017</v>
      </c>
      <c r="B471" t="s">
        <v>18</v>
      </c>
      <c r="C471" t="s">
        <v>11</v>
      </c>
      <c r="D471" t="s">
        <v>9</v>
      </c>
      <c r="E471">
        <v>1</v>
      </c>
      <c r="F471" s="3">
        <v>68</v>
      </c>
      <c r="G471" s="2">
        <v>10.39</v>
      </c>
      <c r="H471">
        <f>Master_ventas[[#This Row],[Profit]]/Master_ventas[[#This Row],[Sales]]</f>
        <v>0.15279411764705883</v>
      </c>
      <c r="I471">
        <f ca="1">Referencia_Hoy-Master_ventas[[#This Row],[Order Date]]</f>
        <v>1306</v>
      </c>
      <c r="J471" t="str">
        <f>UPPER(Master_ventas[[#This Row],[Product Name]])</f>
        <v>HEADPHONES</v>
      </c>
      <c r="K471" t="str">
        <f>UPPER(Master_ventas[[#This Row],[Category]])</f>
        <v>ACCESSORIES</v>
      </c>
      <c r="L471">
        <f>YEAR(Master_ventas[[#This Row],[Order Date]])</f>
        <v>2023</v>
      </c>
      <c r="M471" t="str">
        <f>CONCATENATE(LEFT(Master_ventas[[#This Row],[ProdUpper]],3),RIGHT(Master_ventas[[#This Row],[Ext-Year]],2),"-",MID(Master_ventas[[#This Row],[Category]],1,1))</f>
        <v>HEA23-A</v>
      </c>
      <c r="N471" t="str">
        <f>MID(Master_ventas[[#This Row],[ProdUpper]],1,3)</f>
        <v>HEA</v>
      </c>
      <c r="O471" t="str">
        <f>UPPER(IF(Master_ventas[[#This Row],[Profit]]&gt;500,"High","Std"))</f>
        <v>STD</v>
      </c>
      <c r="P471">
        <v>470</v>
      </c>
    </row>
    <row r="472" spans="1:16" x14ac:dyDescent="0.3">
      <c r="A472" s="1">
        <v>45081</v>
      </c>
      <c r="B472" t="s">
        <v>10</v>
      </c>
      <c r="C472" t="s">
        <v>11</v>
      </c>
      <c r="D472" t="s">
        <v>9</v>
      </c>
      <c r="E472">
        <v>1</v>
      </c>
      <c r="F472" s="3">
        <v>651</v>
      </c>
      <c r="G472" s="2">
        <v>187.99</v>
      </c>
      <c r="H472">
        <f>Master_ventas[[#This Row],[Profit]]/Master_ventas[[#This Row],[Sales]]</f>
        <v>0.28877112135176652</v>
      </c>
      <c r="I472">
        <f ca="1">Referencia_Hoy-Master_ventas[[#This Row],[Order Date]]</f>
        <v>1242</v>
      </c>
      <c r="J472" t="str">
        <f>UPPER(Master_ventas[[#This Row],[Product Name]])</f>
        <v>MOUSE</v>
      </c>
      <c r="K472" t="str">
        <f>UPPER(Master_ventas[[#This Row],[Category]])</f>
        <v>ACCESSORIES</v>
      </c>
      <c r="L472">
        <f>YEAR(Master_ventas[[#This Row],[Order Date]])</f>
        <v>2023</v>
      </c>
      <c r="M472" t="str">
        <f>CONCATENATE(LEFT(Master_ventas[[#This Row],[ProdUpper]],3),RIGHT(Master_ventas[[#This Row],[Ext-Year]],2),"-",MID(Master_ventas[[#This Row],[Category]],1,1))</f>
        <v>MOU23-A</v>
      </c>
      <c r="N472" t="str">
        <f>MID(Master_ventas[[#This Row],[ProdUpper]],1,3)</f>
        <v>MOU</v>
      </c>
      <c r="O472" t="str">
        <f>UPPER(IF(Master_ventas[[#This Row],[Profit]]&gt;500,"High","Std"))</f>
        <v>STD</v>
      </c>
      <c r="P472">
        <v>471</v>
      </c>
    </row>
    <row r="473" spans="1:16" x14ac:dyDescent="0.3">
      <c r="A473" s="1">
        <v>45551</v>
      </c>
      <c r="B473" t="s">
        <v>7</v>
      </c>
      <c r="C473" t="s">
        <v>8</v>
      </c>
      <c r="D473" t="s">
        <v>9</v>
      </c>
      <c r="E473">
        <v>7</v>
      </c>
      <c r="F473" s="3">
        <v>6293</v>
      </c>
      <c r="G473" s="2">
        <v>718.49</v>
      </c>
      <c r="H473">
        <f>Master_ventas[[#This Row],[Profit]]/Master_ventas[[#This Row],[Sales]]</f>
        <v>0.11417289051326872</v>
      </c>
      <c r="I473">
        <f ca="1">Referencia_Hoy-Master_ventas[[#This Row],[Order Date]]</f>
        <v>772</v>
      </c>
      <c r="J473" t="str">
        <f>UPPER(Master_ventas[[#This Row],[Product Name]])</f>
        <v>PRINTER</v>
      </c>
      <c r="K473" t="str">
        <f>UPPER(Master_ventas[[#This Row],[Category]])</f>
        <v>OFFICE</v>
      </c>
      <c r="L473">
        <f>YEAR(Master_ventas[[#This Row],[Order Date]])</f>
        <v>2024</v>
      </c>
      <c r="M473" t="str">
        <f>CONCATENATE(LEFT(Master_ventas[[#This Row],[ProdUpper]],3),RIGHT(Master_ventas[[#This Row],[Ext-Year]],2),"-",MID(Master_ventas[[#This Row],[Category]],1,1))</f>
        <v>PRI24-O</v>
      </c>
      <c r="N473" t="str">
        <f>MID(Master_ventas[[#This Row],[ProdUpper]],1,3)</f>
        <v>PRI</v>
      </c>
      <c r="O473" t="str">
        <f>UPPER(IF(Master_ventas[[#This Row],[Profit]]&gt;500,"High","Std"))</f>
        <v>HIGH</v>
      </c>
      <c r="P473">
        <v>472</v>
      </c>
    </row>
    <row r="474" spans="1:16" x14ac:dyDescent="0.3">
      <c r="A474" s="1">
        <v>44973</v>
      </c>
      <c r="B474" t="s">
        <v>22</v>
      </c>
      <c r="C474" t="s">
        <v>11</v>
      </c>
      <c r="D474" t="s">
        <v>16</v>
      </c>
      <c r="E474">
        <v>2</v>
      </c>
      <c r="F474" s="3">
        <v>1068</v>
      </c>
      <c r="G474" s="2">
        <v>85.71</v>
      </c>
      <c r="H474">
        <f>Master_ventas[[#This Row],[Profit]]/Master_ventas[[#This Row],[Sales]]</f>
        <v>8.0252808988764038E-2</v>
      </c>
      <c r="I474">
        <f ca="1">Referencia_Hoy-Master_ventas[[#This Row],[Order Date]]</f>
        <v>1350</v>
      </c>
      <c r="J474" t="str">
        <f>UPPER(Master_ventas[[#This Row],[Product Name]])</f>
        <v>KEYBOARD</v>
      </c>
      <c r="K474" t="str">
        <f>UPPER(Master_ventas[[#This Row],[Category]])</f>
        <v>ACCESSORIES</v>
      </c>
      <c r="L474">
        <f>YEAR(Master_ventas[[#This Row],[Order Date]])</f>
        <v>2023</v>
      </c>
      <c r="M474" t="str">
        <f>CONCATENATE(LEFT(Master_ventas[[#This Row],[ProdUpper]],3),RIGHT(Master_ventas[[#This Row],[Ext-Year]],2),"-",MID(Master_ventas[[#This Row],[Category]],1,1))</f>
        <v>KEY23-A</v>
      </c>
      <c r="N474" t="str">
        <f>MID(Master_ventas[[#This Row],[ProdUpper]],1,3)</f>
        <v>KEY</v>
      </c>
      <c r="O474" t="str">
        <f>UPPER(IF(Master_ventas[[#This Row],[Profit]]&gt;500,"High","Std"))</f>
        <v>STD</v>
      </c>
      <c r="P474">
        <v>473</v>
      </c>
    </row>
    <row r="475" spans="1:16" x14ac:dyDescent="0.3">
      <c r="A475" s="1">
        <v>45216</v>
      </c>
      <c r="B475" t="s">
        <v>22</v>
      </c>
      <c r="C475" t="s">
        <v>11</v>
      </c>
      <c r="D475" t="s">
        <v>9</v>
      </c>
      <c r="E475">
        <v>1</v>
      </c>
      <c r="F475" s="3">
        <v>381</v>
      </c>
      <c r="G475" s="2">
        <v>26.69</v>
      </c>
      <c r="H475">
        <f>Master_ventas[[#This Row],[Profit]]/Master_ventas[[#This Row],[Sales]]</f>
        <v>7.0052493438320207E-2</v>
      </c>
      <c r="I475">
        <f ca="1">Referencia_Hoy-Master_ventas[[#This Row],[Order Date]]</f>
        <v>1107</v>
      </c>
      <c r="J475" t="str">
        <f>UPPER(Master_ventas[[#This Row],[Product Name]])</f>
        <v>KEYBOARD</v>
      </c>
      <c r="K475" t="str">
        <f>UPPER(Master_ventas[[#This Row],[Category]])</f>
        <v>ACCESSORIES</v>
      </c>
      <c r="L475">
        <f>YEAR(Master_ventas[[#This Row],[Order Date]])</f>
        <v>2023</v>
      </c>
      <c r="M475" t="str">
        <f>CONCATENATE(LEFT(Master_ventas[[#This Row],[ProdUpper]],3),RIGHT(Master_ventas[[#This Row],[Ext-Year]],2),"-",MID(Master_ventas[[#This Row],[Category]],1,1))</f>
        <v>KEY23-A</v>
      </c>
      <c r="N475" t="str">
        <f>MID(Master_ventas[[#This Row],[ProdUpper]],1,3)</f>
        <v>KEY</v>
      </c>
      <c r="O475" t="str">
        <f>UPPER(IF(Master_ventas[[#This Row],[Profit]]&gt;500,"High","Std"))</f>
        <v>STD</v>
      </c>
      <c r="P475">
        <v>474</v>
      </c>
    </row>
    <row r="476" spans="1:16" x14ac:dyDescent="0.3">
      <c r="A476" s="1">
        <v>44763</v>
      </c>
      <c r="B476" t="s">
        <v>7</v>
      </c>
      <c r="C476" t="s">
        <v>8</v>
      </c>
      <c r="D476" t="s">
        <v>15</v>
      </c>
      <c r="E476">
        <v>2</v>
      </c>
      <c r="F476" s="3">
        <v>2016</v>
      </c>
      <c r="G476" s="2">
        <v>426.43</v>
      </c>
      <c r="H476">
        <f>Master_ventas[[#This Row],[Profit]]/Master_ventas[[#This Row],[Sales]]</f>
        <v>0.21152281746031745</v>
      </c>
      <c r="I476">
        <f ca="1">Referencia_Hoy-Master_ventas[[#This Row],[Order Date]]</f>
        <v>1560</v>
      </c>
      <c r="J476" t="str">
        <f>UPPER(Master_ventas[[#This Row],[Product Name]])</f>
        <v>PRINTER</v>
      </c>
      <c r="K476" t="str">
        <f>UPPER(Master_ventas[[#This Row],[Category]])</f>
        <v>OFFICE</v>
      </c>
      <c r="L476">
        <f>YEAR(Master_ventas[[#This Row],[Order Date]])</f>
        <v>2022</v>
      </c>
      <c r="M476" t="str">
        <f>CONCATENATE(LEFT(Master_ventas[[#This Row],[ProdUpper]],3),RIGHT(Master_ventas[[#This Row],[Ext-Year]],2),"-",MID(Master_ventas[[#This Row],[Category]],1,1))</f>
        <v>PRI22-O</v>
      </c>
      <c r="N476" t="str">
        <f>MID(Master_ventas[[#This Row],[ProdUpper]],1,3)</f>
        <v>PRI</v>
      </c>
      <c r="O476" t="str">
        <f>UPPER(IF(Master_ventas[[#This Row],[Profit]]&gt;500,"High","Std"))</f>
        <v>STD</v>
      </c>
      <c r="P476">
        <v>475</v>
      </c>
    </row>
    <row r="477" spans="1:16" x14ac:dyDescent="0.3">
      <c r="A477" s="1">
        <v>45332</v>
      </c>
      <c r="B477" t="s">
        <v>18</v>
      </c>
      <c r="C477" t="s">
        <v>11</v>
      </c>
      <c r="D477" t="s">
        <v>16</v>
      </c>
      <c r="E477">
        <v>2</v>
      </c>
      <c r="F477" s="3">
        <v>1224</v>
      </c>
      <c r="G477" s="2">
        <v>340.67</v>
      </c>
      <c r="H477">
        <f>Master_ventas[[#This Row],[Profit]]/Master_ventas[[#This Row],[Sales]]</f>
        <v>0.27832516339869284</v>
      </c>
      <c r="I477">
        <f ca="1">Referencia_Hoy-Master_ventas[[#This Row],[Order Date]]</f>
        <v>991</v>
      </c>
      <c r="J477" t="str">
        <f>UPPER(Master_ventas[[#This Row],[Product Name]])</f>
        <v>HEADPHONES</v>
      </c>
      <c r="K477" t="str">
        <f>UPPER(Master_ventas[[#This Row],[Category]])</f>
        <v>ACCESSORIES</v>
      </c>
      <c r="L477">
        <f>YEAR(Master_ventas[[#This Row],[Order Date]])</f>
        <v>2024</v>
      </c>
      <c r="M477" t="str">
        <f>CONCATENATE(LEFT(Master_ventas[[#This Row],[ProdUpper]],3),RIGHT(Master_ventas[[#This Row],[Ext-Year]],2),"-",MID(Master_ventas[[#This Row],[Category]],1,1))</f>
        <v>HEA24-A</v>
      </c>
      <c r="N477" t="str">
        <f>MID(Master_ventas[[#This Row],[ProdUpper]],1,3)</f>
        <v>HEA</v>
      </c>
      <c r="O477" t="str">
        <f>UPPER(IF(Master_ventas[[#This Row],[Profit]]&gt;500,"High","Std"))</f>
        <v>STD</v>
      </c>
      <c r="P477">
        <v>476</v>
      </c>
    </row>
    <row r="478" spans="1:16" x14ac:dyDescent="0.3">
      <c r="A478" s="1">
        <v>44857</v>
      </c>
      <c r="B478" t="s">
        <v>20</v>
      </c>
      <c r="C478" t="s">
        <v>11</v>
      </c>
      <c r="D478" t="s">
        <v>15</v>
      </c>
      <c r="E478">
        <v>5</v>
      </c>
      <c r="F478" s="3">
        <v>2180</v>
      </c>
      <c r="G478" s="2">
        <v>400.01</v>
      </c>
      <c r="H478">
        <f>Master_ventas[[#This Row],[Profit]]/Master_ventas[[#This Row],[Sales]]</f>
        <v>0.1834908256880734</v>
      </c>
      <c r="I478">
        <f ca="1">Referencia_Hoy-Master_ventas[[#This Row],[Order Date]]</f>
        <v>1466</v>
      </c>
      <c r="J478" t="str">
        <f>UPPER(Master_ventas[[#This Row],[Product Name]])</f>
        <v>MONITOR</v>
      </c>
      <c r="K478" t="str">
        <f>UPPER(Master_ventas[[#This Row],[Category]])</f>
        <v>ACCESSORIES</v>
      </c>
      <c r="L478">
        <f>YEAR(Master_ventas[[#This Row],[Order Date]])</f>
        <v>2022</v>
      </c>
      <c r="M478" t="str">
        <f>CONCATENATE(LEFT(Master_ventas[[#This Row],[ProdUpper]],3),RIGHT(Master_ventas[[#This Row],[Ext-Year]],2),"-",MID(Master_ventas[[#This Row],[Category]],1,1))</f>
        <v>MON22-A</v>
      </c>
      <c r="N478" t="str">
        <f>MID(Master_ventas[[#This Row],[ProdUpper]],1,3)</f>
        <v>MON</v>
      </c>
      <c r="O478" t="str">
        <f>UPPER(IF(Master_ventas[[#This Row],[Profit]]&gt;500,"High","Std"))</f>
        <v>STD</v>
      </c>
      <c r="P478">
        <v>477</v>
      </c>
    </row>
    <row r="479" spans="1:16" x14ac:dyDescent="0.3">
      <c r="A479" s="1">
        <v>45547</v>
      </c>
      <c r="B479" t="s">
        <v>23</v>
      </c>
      <c r="C479" t="s">
        <v>14</v>
      </c>
      <c r="D479" t="s">
        <v>9</v>
      </c>
      <c r="E479">
        <v>9</v>
      </c>
      <c r="F479" s="3">
        <v>2853</v>
      </c>
      <c r="G479" s="2">
        <v>353.09</v>
      </c>
      <c r="H479">
        <f>Master_ventas[[#This Row],[Profit]]/Master_ventas[[#This Row],[Sales]]</f>
        <v>0.12376095338240448</v>
      </c>
      <c r="I479">
        <f ca="1">Referencia_Hoy-Master_ventas[[#This Row],[Order Date]]</f>
        <v>776</v>
      </c>
      <c r="J479" t="str">
        <f>UPPER(Master_ventas[[#This Row],[Product Name]])</f>
        <v>LAPTOP</v>
      </c>
      <c r="K479" t="str">
        <f>UPPER(Master_ventas[[#This Row],[Category]])</f>
        <v>ELECTRONICS</v>
      </c>
      <c r="L479">
        <f>YEAR(Master_ventas[[#This Row],[Order Date]])</f>
        <v>2024</v>
      </c>
      <c r="M479" t="str">
        <f>CONCATENATE(LEFT(Master_ventas[[#This Row],[ProdUpper]],3),RIGHT(Master_ventas[[#This Row],[Ext-Year]],2),"-",MID(Master_ventas[[#This Row],[Category]],1,1))</f>
        <v>LAP24-E</v>
      </c>
      <c r="N479" t="str">
        <f>MID(Master_ventas[[#This Row],[ProdUpper]],1,3)</f>
        <v>LAP</v>
      </c>
      <c r="O479" t="str">
        <f>UPPER(IF(Master_ventas[[#This Row],[Profit]]&gt;500,"High","Std"))</f>
        <v>STD</v>
      </c>
      <c r="P479">
        <v>478</v>
      </c>
    </row>
    <row r="480" spans="1:16" x14ac:dyDescent="0.3">
      <c r="A480" s="1">
        <v>44838</v>
      </c>
      <c r="B480" t="s">
        <v>10</v>
      </c>
      <c r="C480" t="s">
        <v>11</v>
      </c>
      <c r="D480" t="s">
        <v>15</v>
      </c>
      <c r="E480">
        <v>1</v>
      </c>
      <c r="F480" s="3">
        <v>272</v>
      </c>
      <c r="G480" s="2">
        <v>45.33</v>
      </c>
      <c r="H480">
        <f>Master_ventas[[#This Row],[Profit]]/Master_ventas[[#This Row],[Sales]]</f>
        <v>0.16665441176470588</v>
      </c>
      <c r="I480">
        <f ca="1">Referencia_Hoy-Master_ventas[[#This Row],[Order Date]]</f>
        <v>1485</v>
      </c>
      <c r="J480" t="str">
        <f>UPPER(Master_ventas[[#This Row],[Product Name]])</f>
        <v>MOUSE</v>
      </c>
      <c r="K480" t="str">
        <f>UPPER(Master_ventas[[#This Row],[Category]])</f>
        <v>ACCESSORIES</v>
      </c>
      <c r="L480">
        <f>YEAR(Master_ventas[[#This Row],[Order Date]])</f>
        <v>2022</v>
      </c>
      <c r="M480" t="str">
        <f>CONCATENATE(LEFT(Master_ventas[[#This Row],[ProdUpper]],3),RIGHT(Master_ventas[[#This Row],[Ext-Year]],2),"-",MID(Master_ventas[[#This Row],[Category]],1,1))</f>
        <v>MOU22-A</v>
      </c>
      <c r="N480" t="str">
        <f>MID(Master_ventas[[#This Row],[ProdUpper]],1,3)</f>
        <v>MOU</v>
      </c>
      <c r="O480" t="str">
        <f>UPPER(IF(Master_ventas[[#This Row],[Profit]]&gt;500,"High","Std"))</f>
        <v>STD</v>
      </c>
      <c r="P480">
        <v>479</v>
      </c>
    </row>
    <row r="481" spans="1:16" x14ac:dyDescent="0.3">
      <c r="A481" s="1">
        <v>44634</v>
      </c>
      <c r="B481" t="s">
        <v>21</v>
      </c>
      <c r="C481" t="s">
        <v>14</v>
      </c>
      <c r="D481" t="s">
        <v>9</v>
      </c>
      <c r="E481">
        <v>4</v>
      </c>
      <c r="F481" s="3">
        <v>2640</v>
      </c>
      <c r="G481" s="2">
        <v>183.23</v>
      </c>
      <c r="H481">
        <f>Master_ventas[[#This Row],[Profit]]/Master_ventas[[#This Row],[Sales]]</f>
        <v>6.9405303030303026E-2</v>
      </c>
      <c r="I481">
        <f ca="1">Referencia_Hoy-Master_ventas[[#This Row],[Order Date]]</f>
        <v>1689</v>
      </c>
      <c r="J481" t="str">
        <f>UPPER(Master_ventas[[#This Row],[Product Name]])</f>
        <v>SMARTPHONE</v>
      </c>
      <c r="K481" t="str">
        <f>UPPER(Master_ventas[[#This Row],[Category]])</f>
        <v>ELECTRONICS</v>
      </c>
      <c r="L481">
        <f>YEAR(Master_ventas[[#This Row],[Order Date]])</f>
        <v>2022</v>
      </c>
      <c r="M481" t="str">
        <f>CONCATENATE(LEFT(Master_ventas[[#This Row],[ProdUpper]],3),RIGHT(Master_ventas[[#This Row],[Ext-Year]],2),"-",MID(Master_ventas[[#This Row],[Category]],1,1))</f>
        <v>SMA22-E</v>
      </c>
      <c r="N481" t="str">
        <f>MID(Master_ventas[[#This Row],[ProdUpper]],1,3)</f>
        <v>SMA</v>
      </c>
      <c r="O481" t="str">
        <f>UPPER(IF(Master_ventas[[#This Row],[Profit]]&gt;500,"High","Std"))</f>
        <v>STD</v>
      </c>
      <c r="P481">
        <v>480</v>
      </c>
    </row>
    <row r="482" spans="1:16" x14ac:dyDescent="0.3">
      <c r="A482" s="1">
        <v>45408</v>
      </c>
      <c r="B482" t="s">
        <v>20</v>
      </c>
      <c r="C482" t="s">
        <v>11</v>
      </c>
      <c r="D482" t="s">
        <v>9</v>
      </c>
      <c r="E482">
        <v>2</v>
      </c>
      <c r="F482" s="3">
        <v>488</v>
      </c>
      <c r="G482" s="2">
        <v>129.02000000000001</v>
      </c>
      <c r="H482">
        <f>Master_ventas[[#This Row],[Profit]]/Master_ventas[[#This Row],[Sales]]</f>
        <v>0.26438524590163937</v>
      </c>
      <c r="I482">
        <f ca="1">Referencia_Hoy-Master_ventas[[#This Row],[Order Date]]</f>
        <v>915</v>
      </c>
      <c r="J482" t="str">
        <f>UPPER(Master_ventas[[#This Row],[Product Name]])</f>
        <v>MONITOR</v>
      </c>
      <c r="K482" t="str">
        <f>UPPER(Master_ventas[[#This Row],[Category]])</f>
        <v>ACCESSORIES</v>
      </c>
      <c r="L482">
        <f>YEAR(Master_ventas[[#This Row],[Order Date]])</f>
        <v>2024</v>
      </c>
      <c r="M482" t="str">
        <f>CONCATENATE(LEFT(Master_ventas[[#This Row],[ProdUpper]],3),RIGHT(Master_ventas[[#This Row],[Ext-Year]],2),"-",MID(Master_ventas[[#This Row],[Category]],1,1))</f>
        <v>MON24-A</v>
      </c>
      <c r="N482" t="str">
        <f>MID(Master_ventas[[#This Row],[ProdUpper]],1,3)</f>
        <v>MON</v>
      </c>
      <c r="O482" t="str">
        <f>UPPER(IF(Master_ventas[[#This Row],[Profit]]&gt;500,"High","Std"))</f>
        <v>STD</v>
      </c>
      <c r="P482">
        <v>481</v>
      </c>
    </row>
    <row r="483" spans="1:16" x14ac:dyDescent="0.3">
      <c r="A483" s="1">
        <v>45240</v>
      </c>
      <c r="B483" t="s">
        <v>7</v>
      </c>
      <c r="C483" t="s">
        <v>8</v>
      </c>
      <c r="D483" t="s">
        <v>15</v>
      </c>
      <c r="E483">
        <v>8</v>
      </c>
      <c r="F483" s="3">
        <v>9184</v>
      </c>
      <c r="G483" s="2">
        <v>1795.93</v>
      </c>
      <c r="H483">
        <f>Master_ventas[[#This Row],[Profit]]/Master_ventas[[#This Row],[Sales]]</f>
        <v>0.1955498693379791</v>
      </c>
      <c r="I483">
        <f ca="1">Referencia_Hoy-Master_ventas[[#This Row],[Order Date]]</f>
        <v>1083</v>
      </c>
      <c r="J483" t="str">
        <f>UPPER(Master_ventas[[#This Row],[Product Name]])</f>
        <v>PRINTER</v>
      </c>
      <c r="K483" t="str">
        <f>UPPER(Master_ventas[[#This Row],[Category]])</f>
        <v>OFFICE</v>
      </c>
      <c r="L483">
        <f>YEAR(Master_ventas[[#This Row],[Order Date]])</f>
        <v>2023</v>
      </c>
      <c r="M483" t="str">
        <f>CONCATENATE(LEFT(Master_ventas[[#This Row],[ProdUpper]],3),RIGHT(Master_ventas[[#This Row],[Ext-Year]],2),"-",MID(Master_ventas[[#This Row],[Category]],1,1))</f>
        <v>PRI23-O</v>
      </c>
      <c r="N483" t="str">
        <f>MID(Master_ventas[[#This Row],[ProdUpper]],1,3)</f>
        <v>PRI</v>
      </c>
      <c r="O483" t="str">
        <f>UPPER(IF(Master_ventas[[#This Row],[Profit]]&gt;500,"High","Std"))</f>
        <v>HIGH</v>
      </c>
      <c r="P483">
        <v>482</v>
      </c>
    </row>
    <row r="484" spans="1:16" x14ac:dyDescent="0.3">
      <c r="A484" s="1">
        <v>45394</v>
      </c>
      <c r="B484" t="s">
        <v>13</v>
      </c>
      <c r="C484" t="s">
        <v>14</v>
      </c>
      <c r="D484" t="s">
        <v>9</v>
      </c>
      <c r="E484">
        <v>5</v>
      </c>
      <c r="F484" s="3">
        <v>280</v>
      </c>
      <c r="G484" s="2">
        <v>23.98</v>
      </c>
      <c r="H484">
        <f>Master_ventas[[#This Row],[Profit]]/Master_ventas[[#This Row],[Sales]]</f>
        <v>8.5642857142857146E-2</v>
      </c>
      <c r="I484">
        <f ca="1">Referencia_Hoy-Master_ventas[[#This Row],[Order Date]]</f>
        <v>929</v>
      </c>
      <c r="J484" t="str">
        <f>UPPER(Master_ventas[[#This Row],[Product Name]])</f>
        <v>TABLET</v>
      </c>
      <c r="K484" t="str">
        <f>UPPER(Master_ventas[[#This Row],[Category]])</f>
        <v>ELECTRONICS</v>
      </c>
      <c r="L484">
        <f>YEAR(Master_ventas[[#This Row],[Order Date]])</f>
        <v>2024</v>
      </c>
      <c r="M484" t="str">
        <f>CONCATENATE(LEFT(Master_ventas[[#This Row],[ProdUpper]],3),RIGHT(Master_ventas[[#This Row],[Ext-Year]],2),"-",MID(Master_ventas[[#This Row],[Category]],1,1))</f>
        <v>TAB24-E</v>
      </c>
      <c r="N484" t="str">
        <f>MID(Master_ventas[[#This Row],[ProdUpper]],1,3)</f>
        <v>TAB</v>
      </c>
      <c r="O484" t="str">
        <f>UPPER(IF(Master_ventas[[#This Row],[Profit]]&gt;500,"High","Std"))</f>
        <v>STD</v>
      </c>
      <c r="P484">
        <v>483</v>
      </c>
    </row>
    <row r="485" spans="1:16" x14ac:dyDescent="0.3">
      <c r="A485" s="1">
        <v>45568</v>
      </c>
      <c r="B485" t="s">
        <v>22</v>
      </c>
      <c r="C485" t="s">
        <v>11</v>
      </c>
      <c r="D485" t="s">
        <v>12</v>
      </c>
      <c r="E485">
        <v>3</v>
      </c>
      <c r="F485" s="3">
        <v>2889</v>
      </c>
      <c r="G485" s="2">
        <v>604.45000000000005</v>
      </c>
      <c r="H485">
        <f>Master_ventas[[#This Row],[Profit]]/Master_ventas[[#This Row],[Sales]]</f>
        <v>0.20922464520595363</v>
      </c>
      <c r="I485">
        <f ca="1">Referencia_Hoy-Master_ventas[[#This Row],[Order Date]]</f>
        <v>755</v>
      </c>
      <c r="J485" t="str">
        <f>UPPER(Master_ventas[[#This Row],[Product Name]])</f>
        <v>KEYBOARD</v>
      </c>
      <c r="K485" t="str">
        <f>UPPER(Master_ventas[[#This Row],[Category]])</f>
        <v>ACCESSORIES</v>
      </c>
      <c r="L485">
        <f>YEAR(Master_ventas[[#This Row],[Order Date]])</f>
        <v>2024</v>
      </c>
      <c r="M485" t="str">
        <f>CONCATENATE(LEFT(Master_ventas[[#This Row],[ProdUpper]],3),RIGHT(Master_ventas[[#This Row],[Ext-Year]],2),"-",MID(Master_ventas[[#This Row],[Category]],1,1))</f>
        <v>KEY24-A</v>
      </c>
      <c r="N485" t="str">
        <f>MID(Master_ventas[[#This Row],[ProdUpper]],1,3)</f>
        <v>KEY</v>
      </c>
      <c r="O485" t="str">
        <f>UPPER(IF(Master_ventas[[#This Row],[Profit]]&gt;500,"High","Std"))</f>
        <v>HIGH</v>
      </c>
      <c r="P485">
        <v>484</v>
      </c>
    </row>
    <row r="486" spans="1:16" x14ac:dyDescent="0.3">
      <c r="A486" s="1">
        <v>45491</v>
      </c>
      <c r="B486" t="s">
        <v>23</v>
      </c>
      <c r="C486" t="s">
        <v>14</v>
      </c>
      <c r="D486" t="s">
        <v>16</v>
      </c>
      <c r="E486">
        <v>1</v>
      </c>
      <c r="F486" s="3">
        <v>625</v>
      </c>
      <c r="G486" s="2">
        <v>125.9</v>
      </c>
      <c r="H486">
        <f>Master_ventas[[#This Row],[Profit]]/Master_ventas[[#This Row],[Sales]]</f>
        <v>0.20144000000000001</v>
      </c>
      <c r="I486">
        <f ca="1">Referencia_Hoy-Master_ventas[[#This Row],[Order Date]]</f>
        <v>832</v>
      </c>
      <c r="J486" t="str">
        <f>UPPER(Master_ventas[[#This Row],[Product Name]])</f>
        <v>LAPTOP</v>
      </c>
      <c r="K486" t="str">
        <f>UPPER(Master_ventas[[#This Row],[Category]])</f>
        <v>ELECTRONICS</v>
      </c>
      <c r="L486">
        <f>YEAR(Master_ventas[[#This Row],[Order Date]])</f>
        <v>2024</v>
      </c>
      <c r="M486" t="str">
        <f>CONCATENATE(LEFT(Master_ventas[[#This Row],[ProdUpper]],3),RIGHT(Master_ventas[[#This Row],[Ext-Year]],2),"-",MID(Master_ventas[[#This Row],[Category]],1,1))</f>
        <v>LAP24-E</v>
      </c>
      <c r="N486" t="str">
        <f>MID(Master_ventas[[#This Row],[ProdUpper]],1,3)</f>
        <v>LAP</v>
      </c>
      <c r="O486" t="str">
        <f>UPPER(IF(Master_ventas[[#This Row],[Profit]]&gt;500,"High","Std"))</f>
        <v>STD</v>
      </c>
      <c r="P486">
        <v>485</v>
      </c>
    </row>
    <row r="487" spans="1:16" x14ac:dyDescent="0.3">
      <c r="A487" s="1">
        <v>45398</v>
      </c>
      <c r="B487" t="s">
        <v>22</v>
      </c>
      <c r="C487" t="s">
        <v>11</v>
      </c>
      <c r="D487" t="s">
        <v>15</v>
      </c>
      <c r="E487">
        <v>8</v>
      </c>
      <c r="F487" s="3">
        <v>7056</v>
      </c>
      <c r="G487" s="2">
        <v>538.48</v>
      </c>
      <c r="H487">
        <f>Master_ventas[[#This Row],[Profit]]/Master_ventas[[#This Row],[Sales]]</f>
        <v>7.6315192743764179E-2</v>
      </c>
      <c r="I487">
        <f ca="1">Referencia_Hoy-Master_ventas[[#This Row],[Order Date]]</f>
        <v>925</v>
      </c>
      <c r="J487" t="str">
        <f>UPPER(Master_ventas[[#This Row],[Product Name]])</f>
        <v>KEYBOARD</v>
      </c>
      <c r="K487" t="str">
        <f>UPPER(Master_ventas[[#This Row],[Category]])</f>
        <v>ACCESSORIES</v>
      </c>
      <c r="L487">
        <f>YEAR(Master_ventas[[#This Row],[Order Date]])</f>
        <v>2024</v>
      </c>
      <c r="M487" t="str">
        <f>CONCATENATE(LEFT(Master_ventas[[#This Row],[ProdUpper]],3),RIGHT(Master_ventas[[#This Row],[Ext-Year]],2),"-",MID(Master_ventas[[#This Row],[Category]],1,1))</f>
        <v>KEY24-A</v>
      </c>
      <c r="N487" t="str">
        <f>MID(Master_ventas[[#This Row],[ProdUpper]],1,3)</f>
        <v>KEY</v>
      </c>
      <c r="O487" t="str">
        <f>UPPER(IF(Master_ventas[[#This Row],[Profit]]&gt;500,"High","Std"))</f>
        <v>HIGH</v>
      </c>
      <c r="P487">
        <v>486</v>
      </c>
    </row>
    <row r="488" spans="1:16" x14ac:dyDescent="0.3">
      <c r="A488" s="1">
        <v>45118</v>
      </c>
      <c r="B488" t="s">
        <v>13</v>
      </c>
      <c r="C488" t="s">
        <v>14</v>
      </c>
      <c r="D488" t="s">
        <v>16</v>
      </c>
      <c r="E488">
        <v>8</v>
      </c>
      <c r="F488" s="3">
        <v>3936</v>
      </c>
      <c r="G488" s="2">
        <v>720.2</v>
      </c>
      <c r="H488">
        <f>Master_ventas[[#This Row],[Profit]]/Master_ventas[[#This Row],[Sales]]</f>
        <v>0.18297764227642277</v>
      </c>
      <c r="I488">
        <f ca="1">Referencia_Hoy-Master_ventas[[#This Row],[Order Date]]</f>
        <v>1205</v>
      </c>
      <c r="J488" t="str">
        <f>UPPER(Master_ventas[[#This Row],[Product Name]])</f>
        <v>TABLET</v>
      </c>
      <c r="K488" t="str">
        <f>UPPER(Master_ventas[[#This Row],[Category]])</f>
        <v>ELECTRONICS</v>
      </c>
      <c r="L488">
        <f>YEAR(Master_ventas[[#This Row],[Order Date]])</f>
        <v>2023</v>
      </c>
      <c r="M488" t="str">
        <f>CONCATENATE(LEFT(Master_ventas[[#This Row],[ProdUpper]],3),RIGHT(Master_ventas[[#This Row],[Ext-Year]],2),"-",MID(Master_ventas[[#This Row],[Category]],1,1))</f>
        <v>TAB23-E</v>
      </c>
      <c r="N488" t="str">
        <f>MID(Master_ventas[[#This Row],[ProdUpper]],1,3)</f>
        <v>TAB</v>
      </c>
      <c r="O488" t="str">
        <f>UPPER(IF(Master_ventas[[#This Row],[Profit]]&gt;500,"High","Std"))</f>
        <v>HIGH</v>
      </c>
      <c r="P488">
        <v>487</v>
      </c>
    </row>
    <row r="489" spans="1:16" x14ac:dyDescent="0.3">
      <c r="A489" s="1">
        <v>44823</v>
      </c>
      <c r="B489" t="s">
        <v>19</v>
      </c>
      <c r="C489" t="s">
        <v>14</v>
      </c>
      <c r="D489" t="s">
        <v>12</v>
      </c>
      <c r="E489">
        <v>6</v>
      </c>
      <c r="F489" s="3">
        <v>2472</v>
      </c>
      <c r="G489" s="2">
        <v>363.38</v>
      </c>
      <c r="H489">
        <f>Master_ventas[[#This Row],[Profit]]/Master_ventas[[#This Row],[Sales]]</f>
        <v>0.14699838187702266</v>
      </c>
      <c r="I489">
        <f ca="1">Referencia_Hoy-Master_ventas[[#This Row],[Order Date]]</f>
        <v>1500</v>
      </c>
      <c r="J489" t="str">
        <f>UPPER(Master_ventas[[#This Row],[Product Name]])</f>
        <v>SMARTWATCH</v>
      </c>
      <c r="K489" t="str">
        <f>UPPER(Master_ventas[[#This Row],[Category]])</f>
        <v>ELECTRONICS</v>
      </c>
      <c r="L489">
        <f>YEAR(Master_ventas[[#This Row],[Order Date]])</f>
        <v>2022</v>
      </c>
      <c r="M489" t="str">
        <f>CONCATENATE(LEFT(Master_ventas[[#This Row],[ProdUpper]],3),RIGHT(Master_ventas[[#This Row],[Ext-Year]],2),"-",MID(Master_ventas[[#This Row],[Category]],1,1))</f>
        <v>SMA22-E</v>
      </c>
      <c r="N489" t="str">
        <f>MID(Master_ventas[[#This Row],[ProdUpper]],1,3)</f>
        <v>SMA</v>
      </c>
      <c r="O489" t="str">
        <f>UPPER(IF(Master_ventas[[#This Row],[Profit]]&gt;500,"High","Std"))</f>
        <v>STD</v>
      </c>
      <c r="P489">
        <v>488</v>
      </c>
    </row>
    <row r="490" spans="1:16" x14ac:dyDescent="0.3">
      <c r="A490" s="1">
        <v>44731</v>
      </c>
      <c r="B490" t="s">
        <v>10</v>
      </c>
      <c r="C490" t="s">
        <v>11</v>
      </c>
      <c r="D490" t="s">
        <v>16</v>
      </c>
      <c r="E490">
        <v>5</v>
      </c>
      <c r="F490" s="3">
        <v>855</v>
      </c>
      <c r="G490" s="2">
        <v>67.569999999999993</v>
      </c>
      <c r="H490">
        <f>Master_ventas[[#This Row],[Profit]]/Master_ventas[[#This Row],[Sales]]</f>
        <v>7.9029239766081866E-2</v>
      </c>
      <c r="I490">
        <f ca="1">Referencia_Hoy-Master_ventas[[#This Row],[Order Date]]</f>
        <v>1592</v>
      </c>
      <c r="J490" t="str">
        <f>UPPER(Master_ventas[[#This Row],[Product Name]])</f>
        <v>MOUSE</v>
      </c>
      <c r="K490" t="str">
        <f>UPPER(Master_ventas[[#This Row],[Category]])</f>
        <v>ACCESSORIES</v>
      </c>
      <c r="L490">
        <f>YEAR(Master_ventas[[#This Row],[Order Date]])</f>
        <v>2022</v>
      </c>
      <c r="M490" t="str">
        <f>CONCATENATE(LEFT(Master_ventas[[#This Row],[ProdUpper]],3),RIGHT(Master_ventas[[#This Row],[Ext-Year]],2),"-",MID(Master_ventas[[#This Row],[Category]],1,1))</f>
        <v>MOU22-A</v>
      </c>
      <c r="N490" t="str">
        <f>MID(Master_ventas[[#This Row],[ProdUpper]],1,3)</f>
        <v>MOU</v>
      </c>
      <c r="O490" t="str">
        <f>UPPER(IF(Master_ventas[[#This Row],[Profit]]&gt;500,"High","Std"))</f>
        <v>STD</v>
      </c>
      <c r="P490">
        <v>489</v>
      </c>
    </row>
    <row r="491" spans="1:16" x14ac:dyDescent="0.3">
      <c r="A491" s="1">
        <v>45347</v>
      </c>
      <c r="B491" t="s">
        <v>10</v>
      </c>
      <c r="C491" t="s">
        <v>11</v>
      </c>
      <c r="D491" t="s">
        <v>16</v>
      </c>
      <c r="E491">
        <v>3</v>
      </c>
      <c r="F491" s="3">
        <v>3480</v>
      </c>
      <c r="G491" s="2">
        <v>560.39</v>
      </c>
      <c r="H491">
        <f>Master_ventas[[#This Row],[Profit]]/Master_ventas[[#This Row],[Sales]]</f>
        <v>0.1610316091954023</v>
      </c>
      <c r="I491">
        <f ca="1">Referencia_Hoy-Master_ventas[[#This Row],[Order Date]]</f>
        <v>976</v>
      </c>
      <c r="J491" t="str">
        <f>UPPER(Master_ventas[[#This Row],[Product Name]])</f>
        <v>MOUSE</v>
      </c>
      <c r="K491" t="str">
        <f>UPPER(Master_ventas[[#This Row],[Category]])</f>
        <v>ACCESSORIES</v>
      </c>
      <c r="L491">
        <f>YEAR(Master_ventas[[#This Row],[Order Date]])</f>
        <v>2024</v>
      </c>
      <c r="M491" t="str">
        <f>CONCATENATE(LEFT(Master_ventas[[#This Row],[ProdUpper]],3),RIGHT(Master_ventas[[#This Row],[Ext-Year]],2),"-",MID(Master_ventas[[#This Row],[Category]],1,1))</f>
        <v>MOU24-A</v>
      </c>
      <c r="N491" t="str">
        <f>MID(Master_ventas[[#This Row],[ProdUpper]],1,3)</f>
        <v>MOU</v>
      </c>
      <c r="O491" t="str">
        <f>UPPER(IF(Master_ventas[[#This Row],[Profit]]&gt;500,"High","Std"))</f>
        <v>HIGH</v>
      </c>
      <c r="P491">
        <v>490</v>
      </c>
    </row>
    <row r="492" spans="1:16" x14ac:dyDescent="0.3">
      <c r="A492" s="1">
        <v>44992</v>
      </c>
      <c r="B492" t="s">
        <v>17</v>
      </c>
      <c r="C492" t="s">
        <v>14</v>
      </c>
      <c r="D492" t="s">
        <v>15</v>
      </c>
      <c r="E492">
        <v>1</v>
      </c>
      <c r="F492" s="3">
        <v>846</v>
      </c>
      <c r="G492" s="2">
        <v>103.3</v>
      </c>
      <c r="H492">
        <f>Master_ventas[[#This Row],[Profit]]/Master_ventas[[#This Row],[Sales]]</f>
        <v>0.12210401891252955</v>
      </c>
      <c r="I492">
        <f ca="1">Referencia_Hoy-Master_ventas[[#This Row],[Order Date]]</f>
        <v>1331</v>
      </c>
      <c r="J492" t="str">
        <f>UPPER(Master_ventas[[#This Row],[Product Name]])</f>
        <v>CAMERA</v>
      </c>
      <c r="K492" t="str">
        <f>UPPER(Master_ventas[[#This Row],[Category]])</f>
        <v>ELECTRONICS</v>
      </c>
      <c r="L492">
        <f>YEAR(Master_ventas[[#This Row],[Order Date]])</f>
        <v>2023</v>
      </c>
      <c r="M492" t="str">
        <f>CONCATENATE(LEFT(Master_ventas[[#This Row],[ProdUpper]],3),RIGHT(Master_ventas[[#This Row],[Ext-Year]],2),"-",MID(Master_ventas[[#This Row],[Category]],1,1))</f>
        <v>CAM23-E</v>
      </c>
      <c r="N492" t="str">
        <f>MID(Master_ventas[[#This Row],[ProdUpper]],1,3)</f>
        <v>CAM</v>
      </c>
      <c r="O492" t="str">
        <f>UPPER(IF(Master_ventas[[#This Row],[Profit]]&gt;500,"High","Std"))</f>
        <v>STD</v>
      </c>
      <c r="P492">
        <v>491</v>
      </c>
    </row>
    <row r="493" spans="1:16" x14ac:dyDescent="0.3">
      <c r="A493" s="1">
        <v>44629</v>
      </c>
      <c r="B493" t="s">
        <v>22</v>
      </c>
      <c r="C493" t="s">
        <v>11</v>
      </c>
      <c r="D493" t="s">
        <v>9</v>
      </c>
      <c r="E493">
        <v>1</v>
      </c>
      <c r="F493" s="3">
        <v>158</v>
      </c>
      <c r="G493" s="2">
        <v>46.24</v>
      </c>
      <c r="H493">
        <f>Master_ventas[[#This Row],[Profit]]/Master_ventas[[#This Row],[Sales]]</f>
        <v>0.2926582278481013</v>
      </c>
      <c r="I493">
        <f ca="1">Referencia_Hoy-Master_ventas[[#This Row],[Order Date]]</f>
        <v>1694</v>
      </c>
      <c r="J493" t="str">
        <f>UPPER(Master_ventas[[#This Row],[Product Name]])</f>
        <v>KEYBOARD</v>
      </c>
      <c r="K493" t="str">
        <f>UPPER(Master_ventas[[#This Row],[Category]])</f>
        <v>ACCESSORIES</v>
      </c>
      <c r="L493">
        <f>YEAR(Master_ventas[[#This Row],[Order Date]])</f>
        <v>2022</v>
      </c>
      <c r="M493" t="str">
        <f>CONCATENATE(LEFT(Master_ventas[[#This Row],[ProdUpper]],3),RIGHT(Master_ventas[[#This Row],[Ext-Year]],2),"-",MID(Master_ventas[[#This Row],[Category]],1,1))</f>
        <v>KEY22-A</v>
      </c>
      <c r="N493" t="str">
        <f>MID(Master_ventas[[#This Row],[ProdUpper]],1,3)</f>
        <v>KEY</v>
      </c>
      <c r="O493" t="str">
        <f>UPPER(IF(Master_ventas[[#This Row],[Profit]]&gt;500,"High","Std"))</f>
        <v>STD</v>
      </c>
      <c r="P493">
        <v>492</v>
      </c>
    </row>
    <row r="494" spans="1:16" x14ac:dyDescent="0.3">
      <c r="A494" s="1">
        <v>44926</v>
      </c>
      <c r="B494" t="s">
        <v>10</v>
      </c>
      <c r="C494" t="s">
        <v>11</v>
      </c>
      <c r="D494" t="s">
        <v>15</v>
      </c>
      <c r="E494">
        <v>9</v>
      </c>
      <c r="F494" s="3">
        <v>3186</v>
      </c>
      <c r="G494" s="2">
        <v>583.24</v>
      </c>
      <c r="H494">
        <f>Master_ventas[[#This Row],[Profit]]/Master_ventas[[#This Row],[Sales]]</f>
        <v>0.18306340238543628</v>
      </c>
      <c r="I494">
        <f ca="1">Referencia_Hoy-Master_ventas[[#This Row],[Order Date]]</f>
        <v>1397</v>
      </c>
      <c r="J494" t="str">
        <f>UPPER(Master_ventas[[#This Row],[Product Name]])</f>
        <v>MOUSE</v>
      </c>
      <c r="K494" t="str">
        <f>UPPER(Master_ventas[[#This Row],[Category]])</f>
        <v>ACCESSORIES</v>
      </c>
      <c r="L494">
        <f>YEAR(Master_ventas[[#This Row],[Order Date]])</f>
        <v>2022</v>
      </c>
      <c r="M494" t="str">
        <f>CONCATENATE(LEFT(Master_ventas[[#This Row],[ProdUpper]],3),RIGHT(Master_ventas[[#This Row],[Ext-Year]],2),"-",MID(Master_ventas[[#This Row],[Category]],1,1))</f>
        <v>MOU22-A</v>
      </c>
      <c r="N494" t="str">
        <f>MID(Master_ventas[[#This Row],[ProdUpper]],1,3)</f>
        <v>MOU</v>
      </c>
      <c r="O494" t="str">
        <f>UPPER(IF(Master_ventas[[#This Row],[Profit]]&gt;500,"High","Std"))</f>
        <v>HIGH</v>
      </c>
      <c r="P494">
        <v>493</v>
      </c>
    </row>
    <row r="495" spans="1:16" x14ac:dyDescent="0.3">
      <c r="A495" s="1">
        <v>45323</v>
      </c>
      <c r="B495" t="s">
        <v>10</v>
      </c>
      <c r="C495" t="s">
        <v>11</v>
      </c>
      <c r="D495" t="s">
        <v>9</v>
      </c>
      <c r="E495">
        <v>7</v>
      </c>
      <c r="F495" s="3">
        <v>6972</v>
      </c>
      <c r="G495" s="2">
        <v>969.43</v>
      </c>
      <c r="H495">
        <f>Master_ventas[[#This Row],[Profit]]/Master_ventas[[#This Row],[Sales]]</f>
        <v>0.1390461847389558</v>
      </c>
      <c r="I495">
        <f ca="1">Referencia_Hoy-Master_ventas[[#This Row],[Order Date]]</f>
        <v>1000</v>
      </c>
      <c r="J495" t="str">
        <f>UPPER(Master_ventas[[#This Row],[Product Name]])</f>
        <v>MOUSE</v>
      </c>
      <c r="K495" t="str">
        <f>UPPER(Master_ventas[[#This Row],[Category]])</f>
        <v>ACCESSORIES</v>
      </c>
      <c r="L495">
        <f>YEAR(Master_ventas[[#This Row],[Order Date]])</f>
        <v>2024</v>
      </c>
      <c r="M495" t="str">
        <f>CONCATENATE(LEFT(Master_ventas[[#This Row],[ProdUpper]],3),RIGHT(Master_ventas[[#This Row],[Ext-Year]],2),"-",MID(Master_ventas[[#This Row],[Category]],1,1))</f>
        <v>MOU24-A</v>
      </c>
      <c r="N495" t="str">
        <f>MID(Master_ventas[[#This Row],[ProdUpper]],1,3)</f>
        <v>MOU</v>
      </c>
      <c r="O495" t="str">
        <f>UPPER(IF(Master_ventas[[#This Row],[Profit]]&gt;500,"High","Std"))</f>
        <v>HIGH</v>
      </c>
      <c r="P495">
        <v>494</v>
      </c>
    </row>
    <row r="496" spans="1:16" x14ac:dyDescent="0.3">
      <c r="A496" s="1">
        <v>45397</v>
      </c>
      <c r="B496" t="s">
        <v>10</v>
      </c>
      <c r="C496" t="s">
        <v>11</v>
      </c>
      <c r="D496" t="s">
        <v>12</v>
      </c>
      <c r="E496">
        <v>5</v>
      </c>
      <c r="F496" s="3">
        <v>1745</v>
      </c>
      <c r="G496" s="2">
        <v>449.64</v>
      </c>
      <c r="H496">
        <f>Master_ventas[[#This Row],[Profit]]/Master_ventas[[#This Row],[Sales]]</f>
        <v>0.25767335243553008</v>
      </c>
      <c r="I496">
        <f ca="1">Referencia_Hoy-Master_ventas[[#This Row],[Order Date]]</f>
        <v>926</v>
      </c>
      <c r="J496" t="str">
        <f>UPPER(Master_ventas[[#This Row],[Product Name]])</f>
        <v>MOUSE</v>
      </c>
      <c r="K496" t="str">
        <f>UPPER(Master_ventas[[#This Row],[Category]])</f>
        <v>ACCESSORIES</v>
      </c>
      <c r="L496">
        <f>YEAR(Master_ventas[[#This Row],[Order Date]])</f>
        <v>2024</v>
      </c>
      <c r="M496" t="str">
        <f>CONCATENATE(LEFT(Master_ventas[[#This Row],[ProdUpper]],3),RIGHT(Master_ventas[[#This Row],[Ext-Year]],2),"-",MID(Master_ventas[[#This Row],[Category]],1,1))</f>
        <v>MOU24-A</v>
      </c>
      <c r="N496" t="str">
        <f>MID(Master_ventas[[#This Row],[ProdUpper]],1,3)</f>
        <v>MOU</v>
      </c>
      <c r="O496" t="str">
        <f>UPPER(IF(Master_ventas[[#This Row],[Profit]]&gt;500,"High","Std"))</f>
        <v>STD</v>
      </c>
      <c r="P496">
        <v>495</v>
      </c>
    </row>
    <row r="497" spans="1:16" x14ac:dyDescent="0.3">
      <c r="A497" s="1">
        <v>45427</v>
      </c>
      <c r="B497" t="s">
        <v>23</v>
      </c>
      <c r="C497" t="s">
        <v>14</v>
      </c>
      <c r="D497" t="s">
        <v>12</v>
      </c>
      <c r="E497">
        <v>8</v>
      </c>
      <c r="F497" s="3">
        <v>4256</v>
      </c>
      <c r="G497" s="2">
        <v>372.95</v>
      </c>
      <c r="H497">
        <f>Master_ventas[[#This Row],[Profit]]/Master_ventas[[#This Row],[Sales]]</f>
        <v>8.7629229323308272E-2</v>
      </c>
      <c r="I497">
        <f ca="1">Referencia_Hoy-Master_ventas[[#This Row],[Order Date]]</f>
        <v>896</v>
      </c>
      <c r="J497" t="str">
        <f>UPPER(Master_ventas[[#This Row],[Product Name]])</f>
        <v>LAPTOP</v>
      </c>
      <c r="K497" t="str">
        <f>UPPER(Master_ventas[[#This Row],[Category]])</f>
        <v>ELECTRONICS</v>
      </c>
      <c r="L497">
        <f>YEAR(Master_ventas[[#This Row],[Order Date]])</f>
        <v>2024</v>
      </c>
      <c r="M497" t="str">
        <f>CONCATENATE(LEFT(Master_ventas[[#This Row],[ProdUpper]],3),RIGHT(Master_ventas[[#This Row],[Ext-Year]],2),"-",MID(Master_ventas[[#This Row],[Category]],1,1))</f>
        <v>LAP24-E</v>
      </c>
      <c r="N497" t="str">
        <f>MID(Master_ventas[[#This Row],[ProdUpper]],1,3)</f>
        <v>LAP</v>
      </c>
      <c r="O497" t="str">
        <f>UPPER(IF(Master_ventas[[#This Row],[Profit]]&gt;500,"High","Std"))</f>
        <v>STD</v>
      </c>
      <c r="P497">
        <v>496</v>
      </c>
    </row>
    <row r="498" spans="1:16" x14ac:dyDescent="0.3">
      <c r="A498" s="1">
        <v>44665</v>
      </c>
      <c r="B498" t="s">
        <v>22</v>
      </c>
      <c r="C498" t="s">
        <v>11</v>
      </c>
      <c r="D498" t="s">
        <v>15</v>
      </c>
      <c r="E498">
        <v>3</v>
      </c>
      <c r="F498" s="3">
        <v>1674</v>
      </c>
      <c r="G498" s="2">
        <v>499.63</v>
      </c>
      <c r="H498">
        <f>Master_ventas[[#This Row],[Profit]]/Master_ventas[[#This Row],[Sales]]</f>
        <v>0.29846475507765829</v>
      </c>
      <c r="I498">
        <f ca="1">Referencia_Hoy-Master_ventas[[#This Row],[Order Date]]</f>
        <v>1658</v>
      </c>
      <c r="J498" t="str">
        <f>UPPER(Master_ventas[[#This Row],[Product Name]])</f>
        <v>KEYBOARD</v>
      </c>
      <c r="K498" t="str">
        <f>UPPER(Master_ventas[[#This Row],[Category]])</f>
        <v>ACCESSORIES</v>
      </c>
      <c r="L498">
        <f>YEAR(Master_ventas[[#This Row],[Order Date]])</f>
        <v>2022</v>
      </c>
      <c r="M498" t="str">
        <f>CONCATENATE(LEFT(Master_ventas[[#This Row],[ProdUpper]],3),RIGHT(Master_ventas[[#This Row],[Ext-Year]],2),"-",MID(Master_ventas[[#This Row],[Category]],1,1))</f>
        <v>KEY22-A</v>
      </c>
      <c r="N498" t="str">
        <f>MID(Master_ventas[[#This Row],[ProdUpper]],1,3)</f>
        <v>KEY</v>
      </c>
      <c r="O498" t="str">
        <f>UPPER(IF(Master_ventas[[#This Row],[Profit]]&gt;500,"High","Std"))</f>
        <v>STD</v>
      </c>
      <c r="P498">
        <v>497</v>
      </c>
    </row>
    <row r="499" spans="1:16" x14ac:dyDescent="0.3">
      <c r="A499" s="1">
        <v>45560</v>
      </c>
      <c r="B499" t="s">
        <v>17</v>
      </c>
      <c r="C499" t="s">
        <v>14</v>
      </c>
      <c r="D499" t="s">
        <v>9</v>
      </c>
      <c r="E499">
        <v>8</v>
      </c>
      <c r="F499" s="3">
        <v>6488</v>
      </c>
      <c r="G499" s="2">
        <v>1072.8599999999999</v>
      </c>
      <c r="H499">
        <f>Master_ventas[[#This Row],[Profit]]/Master_ventas[[#This Row],[Sales]]</f>
        <v>0.16536066584463624</v>
      </c>
      <c r="I499">
        <f ca="1">Referencia_Hoy-Master_ventas[[#This Row],[Order Date]]</f>
        <v>763</v>
      </c>
      <c r="J499" t="str">
        <f>UPPER(Master_ventas[[#This Row],[Product Name]])</f>
        <v>CAMERA</v>
      </c>
      <c r="K499" t="str">
        <f>UPPER(Master_ventas[[#This Row],[Category]])</f>
        <v>ELECTRONICS</v>
      </c>
      <c r="L499">
        <f>YEAR(Master_ventas[[#This Row],[Order Date]])</f>
        <v>2024</v>
      </c>
      <c r="M499" t="str">
        <f>CONCATENATE(LEFT(Master_ventas[[#This Row],[ProdUpper]],3),RIGHT(Master_ventas[[#This Row],[Ext-Year]],2),"-",MID(Master_ventas[[#This Row],[Category]],1,1))</f>
        <v>CAM24-E</v>
      </c>
      <c r="N499" t="str">
        <f>MID(Master_ventas[[#This Row],[ProdUpper]],1,3)</f>
        <v>CAM</v>
      </c>
      <c r="O499" t="str">
        <f>UPPER(IF(Master_ventas[[#This Row],[Profit]]&gt;500,"High","Std"))</f>
        <v>HIGH</v>
      </c>
      <c r="P499">
        <v>498</v>
      </c>
    </row>
    <row r="500" spans="1:16" x14ac:dyDescent="0.3">
      <c r="A500" s="1">
        <v>44625</v>
      </c>
      <c r="B500" t="s">
        <v>13</v>
      </c>
      <c r="C500" t="s">
        <v>14</v>
      </c>
      <c r="D500" t="s">
        <v>12</v>
      </c>
      <c r="E500">
        <v>5</v>
      </c>
      <c r="F500" s="3">
        <v>3530</v>
      </c>
      <c r="G500" s="2">
        <v>803.86</v>
      </c>
      <c r="H500">
        <f>Master_ventas[[#This Row],[Profit]]/Master_ventas[[#This Row],[Sales]]</f>
        <v>0.22772237960339944</v>
      </c>
      <c r="I500">
        <f ca="1">Referencia_Hoy-Master_ventas[[#This Row],[Order Date]]</f>
        <v>1698</v>
      </c>
      <c r="J500" t="str">
        <f>UPPER(Master_ventas[[#This Row],[Product Name]])</f>
        <v>TABLET</v>
      </c>
      <c r="K500" t="str">
        <f>UPPER(Master_ventas[[#This Row],[Category]])</f>
        <v>ELECTRONICS</v>
      </c>
      <c r="L500">
        <f>YEAR(Master_ventas[[#This Row],[Order Date]])</f>
        <v>2022</v>
      </c>
      <c r="M500" t="str">
        <f>CONCATENATE(LEFT(Master_ventas[[#This Row],[ProdUpper]],3),RIGHT(Master_ventas[[#This Row],[Ext-Year]],2),"-",MID(Master_ventas[[#This Row],[Category]],1,1))</f>
        <v>TAB22-E</v>
      </c>
      <c r="N500" t="str">
        <f>MID(Master_ventas[[#This Row],[ProdUpper]],1,3)</f>
        <v>TAB</v>
      </c>
      <c r="O500" t="str">
        <f>UPPER(IF(Master_ventas[[#This Row],[Profit]]&gt;500,"High","Std"))</f>
        <v>HIGH</v>
      </c>
      <c r="P500">
        <v>499</v>
      </c>
    </row>
    <row r="501" spans="1:16" x14ac:dyDescent="0.3">
      <c r="A501" s="1">
        <v>44807</v>
      </c>
      <c r="B501" t="s">
        <v>10</v>
      </c>
      <c r="C501" t="s">
        <v>11</v>
      </c>
      <c r="D501" t="s">
        <v>9</v>
      </c>
      <c r="E501">
        <v>2</v>
      </c>
      <c r="F501" s="3">
        <v>632</v>
      </c>
      <c r="G501" s="2">
        <v>87.45</v>
      </c>
      <c r="H501">
        <f>Master_ventas[[#This Row],[Profit]]/Master_ventas[[#This Row],[Sales]]</f>
        <v>0.13837025316455698</v>
      </c>
      <c r="I501">
        <f ca="1">Referencia_Hoy-Master_ventas[[#This Row],[Order Date]]</f>
        <v>1516</v>
      </c>
      <c r="J501" t="str">
        <f>UPPER(Master_ventas[[#This Row],[Product Name]])</f>
        <v>MOUSE</v>
      </c>
      <c r="K501" t="str">
        <f>UPPER(Master_ventas[[#This Row],[Category]])</f>
        <v>ACCESSORIES</v>
      </c>
      <c r="L501">
        <f>YEAR(Master_ventas[[#This Row],[Order Date]])</f>
        <v>2022</v>
      </c>
      <c r="M501" t="str">
        <f>CONCATENATE(LEFT(Master_ventas[[#This Row],[ProdUpper]],3),RIGHT(Master_ventas[[#This Row],[Ext-Year]],2),"-",MID(Master_ventas[[#This Row],[Category]],1,1))</f>
        <v>MOU22-A</v>
      </c>
      <c r="N501" t="str">
        <f>MID(Master_ventas[[#This Row],[ProdUpper]],1,3)</f>
        <v>MOU</v>
      </c>
      <c r="O501" t="str">
        <f>UPPER(IF(Master_ventas[[#This Row],[Profit]]&gt;500,"High","Std"))</f>
        <v>STD</v>
      </c>
      <c r="P501">
        <v>500</v>
      </c>
    </row>
    <row r="502" spans="1:16" x14ac:dyDescent="0.3">
      <c r="A502" s="1">
        <v>45605</v>
      </c>
      <c r="B502" t="s">
        <v>20</v>
      </c>
      <c r="C502" t="s">
        <v>11</v>
      </c>
      <c r="D502" t="s">
        <v>9</v>
      </c>
      <c r="E502">
        <v>7</v>
      </c>
      <c r="F502" s="3">
        <v>3675</v>
      </c>
      <c r="G502" s="2">
        <v>236.8</v>
      </c>
      <c r="H502">
        <f>Master_ventas[[#This Row],[Profit]]/Master_ventas[[#This Row],[Sales]]</f>
        <v>6.4435374149659871E-2</v>
      </c>
      <c r="I502">
        <f ca="1">Referencia_Hoy-Master_ventas[[#This Row],[Order Date]]</f>
        <v>718</v>
      </c>
      <c r="J502" t="str">
        <f>UPPER(Master_ventas[[#This Row],[Product Name]])</f>
        <v>MONITOR</v>
      </c>
      <c r="K502" t="str">
        <f>UPPER(Master_ventas[[#This Row],[Category]])</f>
        <v>ACCESSORIES</v>
      </c>
      <c r="L502">
        <f>YEAR(Master_ventas[[#This Row],[Order Date]])</f>
        <v>2024</v>
      </c>
      <c r="M502" t="str">
        <f>CONCATENATE(LEFT(Master_ventas[[#This Row],[ProdUpper]],3),RIGHT(Master_ventas[[#This Row],[Ext-Year]],2),"-",MID(Master_ventas[[#This Row],[Category]],1,1))</f>
        <v>MON24-A</v>
      </c>
      <c r="N502" t="str">
        <f>MID(Master_ventas[[#This Row],[ProdUpper]],1,3)</f>
        <v>MON</v>
      </c>
      <c r="O502" t="str">
        <f>UPPER(IF(Master_ventas[[#This Row],[Profit]]&gt;500,"High","Std"))</f>
        <v>STD</v>
      </c>
      <c r="P502">
        <v>501</v>
      </c>
    </row>
    <row r="503" spans="1:16" x14ac:dyDescent="0.3">
      <c r="A503" s="1">
        <v>45181</v>
      </c>
      <c r="B503" t="s">
        <v>19</v>
      </c>
      <c r="C503" t="s">
        <v>14</v>
      </c>
      <c r="D503" t="s">
        <v>16</v>
      </c>
      <c r="E503">
        <v>6</v>
      </c>
      <c r="F503" s="3">
        <v>5592</v>
      </c>
      <c r="G503" s="2">
        <v>926.42</v>
      </c>
      <c r="H503">
        <f>Master_ventas[[#This Row],[Profit]]/Master_ventas[[#This Row],[Sales]]</f>
        <v>0.16566881258941343</v>
      </c>
      <c r="I503">
        <f ca="1">Referencia_Hoy-Master_ventas[[#This Row],[Order Date]]</f>
        <v>1142</v>
      </c>
      <c r="J503" t="str">
        <f>UPPER(Master_ventas[[#This Row],[Product Name]])</f>
        <v>SMARTWATCH</v>
      </c>
      <c r="K503" t="str">
        <f>UPPER(Master_ventas[[#This Row],[Category]])</f>
        <v>ELECTRONICS</v>
      </c>
      <c r="L503">
        <f>YEAR(Master_ventas[[#This Row],[Order Date]])</f>
        <v>2023</v>
      </c>
      <c r="M503" t="str">
        <f>CONCATENATE(LEFT(Master_ventas[[#This Row],[ProdUpper]],3),RIGHT(Master_ventas[[#This Row],[Ext-Year]],2),"-",MID(Master_ventas[[#This Row],[Category]],1,1))</f>
        <v>SMA23-E</v>
      </c>
      <c r="N503" t="str">
        <f>MID(Master_ventas[[#This Row],[ProdUpper]],1,3)</f>
        <v>SMA</v>
      </c>
      <c r="O503" t="str">
        <f>UPPER(IF(Master_ventas[[#This Row],[Profit]]&gt;500,"High","Std"))</f>
        <v>HIGH</v>
      </c>
      <c r="P503">
        <v>502</v>
      </c>
    </row>
    <row r="504" spans="1:16" x14ac:dyDescent="0.3">
      <c r="A504" s="1">
        <v>44968</v>
      </c>
      <c r="B504" t="s">
        <v>22</v>
      </c>
      <c r="C504" t="s">
        <v>11</v>
      </c>
      <c r="D504" t="s">
        <v>12</v>
      </c>
      <c r="E504">
        <v>6</v>
      </c>
      <c r="F504" s="3">
        <v>6432</v>
      </c>
      <c r="G504" s="2">
        <v>807.94</v>
      </c>
      <c r="H504">
        <f>Master_ventas[[#This Row],[Profit]]/Master_ventas[[#This Row],[Sales]]</f>
        <v>0.12561256218905473</v>
      </c>
      <c r="I504">
        <f ca="1">Referencia_Hoy-Master_ventas[[#This Row],[Order Date]]</f>
        <v>1355</v>
      </c>
      <c r="J504" t="str">
        <f>UPPER(Master_ventas[[#This Row],[Product Name]])</f>
        <v>KEYBOARD</v>
      </c>
      <c r="K504" t="str">
        <f>UPPER(Master_ventas[[#This Row],[Category]])</f>
        <v>ACCESSORIES</v>
      </c>
      <c r="L504">
        <f>YEAR(Master_ventas[[#This Row],[Order Date]])</f>
        <v>2023</v>
      </c>
      <c r="M504" t="str">
        <f>CONCATENATE(LEFT(Master_ventas[[#This Row],[ProdUpper]],3),RIGHT(Master_ventas[[#This Row],[Ext-Year]],2),"-",MID(Master_ventas[[#This Row],[Category]],1,1))</f>
        <v>KEY23-A</v>
      </c>
      <c r="N504" t="str">
        <f>MID(Master_ventas[[#This Row],[ProdUpper]],1,3)</f>
        <v>KEY</v>
      </c>
      <c r="O504" t="str">
        <f>UPPER(IF(Master_ventas[[#This Row],[Profit]]&gt;500,"High","Std"))</f>
        <v>HIGH</v>
      </c>
      <c r="P504">
        <v>503</v>
      </c>
    </row>
    <row r="505" spans="1:16" x14ac:dyDescent="0.3">
      <c r="A505" s="1">
        <v>45165</v>
      </c>
      <c r="B505" t="s">
        <v>17</v>
      </c>
      <c r="C505" t="s">
        <v>14</v>
      </c>
      <c r="D505" t="s">
        <v>12</v>
      </c>
      <c r="E505">
        <v>3</v>
      </c>
      <c r="F505" s="3">
        <v>3069</v>
      </c>
      <c r="G505" s="2">
        <v>503.3</v>
      </c>
      <c r="H505">
        <f>Master_ventas[[#This Row],[Profit]]/Master_ventas[[#This Row],[Sales]]</f>
        <v>0.16399478657543173</v>
      </c>
      <c r="I505">
        <f ca="1">Referencia_Hoy-Master_ventas[[#This Row],[Order Date]]</f>
        <v>1158</v>
      </c>
      <c r="J505" t="str">
        <f>UPPER(Master_ventas[[#This Row],[Product Name]])</f>
        <v>CAMERA</v>
      </c>
      <c r="K505" t="str">
        <f>UPPER(Master_ventas[[#This Row],[Category]])</f>
        <v>ELECTRONICS</v>
      </c>
      <c r="L505">
        <f>YEAR(Master_ventas[[#This Row],[Order Date]])</f>
        <v>2023</v>
      </c>
      <c r="M505" t="str">
        <f>CONCATENATE(LEFT(Master_ventas[[#This Row],[ProdUpper]],3),RIGHT(Master_ventas[[#This Row],[Ext-Year]],2),"-",MID(Master_ventas[[#This Row],[Category]],1,1))</f>
        <v>CAM23-E</v>
      </c>
      <c r="N505" t="str">
        <f>MID(Master_ventas[[#This Row],[ProdUpper]],1,3)</f>
        <v>CAM</v>
      </c>
      <c r="O505" t="str">
        <f>UPPER(IF(Master_ventas[[#This Row],[Profit]]&gt;500,"High","Std"))</f>
        <v>HIGH</v>
      </c>
      <c r="P505">
        <v>504</v>
      </c>
    </row>
    <row r="506" spans="1:16" x14ac:dyDescent="0.3">
      <c r="A506" s="1">
        <v>45072</v>
      </c>
      <c r="B506" t="s">
        <v>22</v>
      </c>
      <c r="C506" t="s">
        <v>11</v>
      </c>
      <c r="D506" t="s">
        <v>9</v>
      </c>
      <c r="E506">
        <v>7</v>
      </c>
      <c r="F506" s="3">
        <v>2898</v>
      </c>
      <c r="G506" s="2">
        <v>490.11</v>
      </c>
      <c r="H506">
        <f>Master_ventas[[#This Row],[Profit]]/Master_ventas[[#This Row],[Sales]]</f>
        <v>0.16912008281573498</v>
      </c>
      <c r="I506">
        <f ca="1">Referencia_Hoy-Master_ventas[[#This Row],[Order Date]]</f>
        <v>1251</v>
      </c>
      <c r="J506" t="str">
        <f>UPPER(Master_ventas[[#This Row],[Product Name]])</f>
        <v>KEYBOARD</v>
      </c>
      <c r="K506" t="str">
        <f>UPPER(Master_ventas[[#This Row],[Category]])</f>
        <v>ACCESSORIES</v>
      </c>
      <c r="L506">
        <f>YEAR(Master_ventas[[#This Row],[Order Date]])</f>
        <v>2023</v>
      </c>
      <c r="M506" t="str">
        <f>CONCATENATE(LEFT(Master_ventas[[#This Row],[ProdUpper]],3),RIGHT(Master_ventas[[#This Row],[Ext-Year]],2),"-",MID(Master_ventas[[#This Row],[Category]],1,1))</f>
        <v>KEY23-A</v>
      </c>
      <c r="N506" t="str">
        <f>MID(Master_ventas[[#This Row],[ProdUpper]],1,3)</f>
        <v>KEY</v>
      </c>
      <c r="O506" t="str">
        <f>UPPER(IF(Master_ventas[[#This Row],[Profit]]&gt;500,"High","Std"))</f>
        <v>STD</v>
      </c>
      <c r="P506">
        <v>505</v>
      </c>
    </row>
    <row r="507" spans="1:16" x14ac:dyDescent="0.3">
      <c r="A507" s="1">
        <v>45442</v>
      </c>
      <c r="B507" t="s">
        <v>13</v>
      </c>
      <c r="C507" t="s">
        <v>14</v>
      </c>
      <c r="D507" t="s">
        <v>9</v>
      </c>
      <c r="E507">
        <v>4</v>
      </c>
      <c r="F507" s="3">
        <v>3960</v>
      </c>
      <c r="G507" s="2">
        <v>632.76</v>
      </c>
      <c r="H507">
        <f>Master_ventas[[#This Row],[Profit]]/Master_ventas[[#This Row],[Sales]]</f>
        <v>0.15978787878787878</v>
      </c>
      <c r="I507">
        <f ca="1">Referencia_Hoy-Master_ventas[[#This Row],[Order Date]]</f>
        <v>881</v>
      </c>
      <c r="J507" t="str">
        <f>UPPER(Master_ventas[[#This Row],[Product Name]])</f>
        <v>TABLET</v>
      </c>
      <c r="K507" t="str">
        <f>UPPER(Master_ventas[[#This Row],[Category]])</f>
        <v>ELECTRONICS</v>
      </c>
      <c r="L507">
        <f>YEAR(Master_ventas[[#This Row],[Order Date]])</f>
        <v>2024</v>
      </c>
      <c r="M507" t="str">
        <f>CONCATENATE(LEFT(Master_ventas[[#This Row],[ProdUpper]],3),RIGHT(Master_ventas[[#This Row],[Ext-Year]],2),"-",MID(Master_ventas[[#This Row],[Category]],1,1))</f>
        <v>TAB24-E</v>
      </c>
      <c r="N507" t="str">
        <f>MID(Master_ventas[[#This Row],[ProdUpper]],1,3)</f>
        <v>TAB</v>
      </c>
      <c r="O507" t="str">
        <f>UPPER(IF(Master_ventas[[#This Row],[Profit]]&gt;500,"High","Std"))</f>
        <v>HIGH</v>
      </c>
      <c r="P507">
        <v>506</v>
      </c>
    </row>
    <row r="508" spans="1:16" x14ac:dyDescent="0.3">
      <c r="A508" s="1">
        <v>45504</v>
      </c>
      <c r="B508" t="s">
        <v>13</v>
      </c>
      <c r="C508" t="s">
        <v>14</v>
      </c>
      <c r="D508" t="s">
        <v>15</v>
      </c>
      <c r="E508">
        <v>3</v>
      </c>
      <c r="F508" s="3">
        <v>1476</v>
      </c>
      <c r="G508" s="2">
        <v>85.16</v>
      </c>
      <c r="H508">
        <f>Master_ventas[[#This Row],[Profit]]/Master_ventas[[#This Row],[Sales]]</f>
        <v>5.7696476964769643E-2</v>
      </c>
      <c r="I508">
        <f ca="1">Referencia_Hoy-Master_ventas[[#This Row],[Order Date]]</f>
        <v>819</v>
      </c>
      <c r="J508" t="str">
        <f>UPPER(Master_ventas[[#This Row],[Product Name]])</f>
        <v>TABLET</v>
      </c>
      <c r="K508" t="str">
        <f>UPPER(Master_ventas[[#This Row],[Category]])</f>
        <v>ELECTRONICS</v>
      </c>
      <c r="L508">
        <f>YEAR(Master_ventas[[#This Row],[Order Date]])</f>
        <v>2024</v>
      </c>
      <c r="M508" t="str">
        <f>CONCATENATE(LEFT(Master_ventas[[#This Row],[ProdUpper]],3),RIGHT(Master_ventas[[#This Row],[Ext-Year]],2),"-",MID(Master_ventas[[#This Row],[Category]],1,1))</f>
        <v>TAB24-E</v>
      </c>
      <c r="N508" t="str">
        <f>MID(Master_ventas[[#This Row],[ProdUpper]],1,3)</f>
        <v>TAB</v>
      </c>
      <c r="O508" t="str">
        <f>UPPER(IF(Master_ventas[[#This Row],[Profit]]&gt;500,"High","Std"))</f>
        <v>STD</v>
      </c>
      <c r="P508">
        <v>507</v>
      </c>
    </row>
    <row r="509" spans="1:16" x14ac:dyDescent="0.3">
      <c r="A509" s="1">
        <v>45244</v>
      </c>
      <c r="B509" t="s">
        <v>7</v>
      </c>
      <c r="C509" t="s">
        <v>8</v>
      </c>
      <c r="D509" t="s">
        <v>12</v>
      </c>
      <c r="E509">
        <v>2</v>
      </c>
      <c r="F509" s="3">
        <v>1058</v>
      </c>
      <c r="G509" s="2">
        <v>298.69</v>
      </c>
      <c r="H509">
        <f>Master_ventas[[#This Row],[Profit]]/Master_ventas[[#This Row],[Sales]]</f>
        <v>0.28231568998109641</v>
      </c>
      <c r="I509">
        <f ca="1">Referencia_Hoy-Master_ventas[[#This Row],[Order Date]]</f>
        <v>1079</v>
      </c>
      <c r="J509" t="str">
        <f>UPPER(Master_ventas[[#This Row],[Product Name]])</f>
        <v>PRINTER</v>
      </c>
      <c r="K509" t="str">
        <f>UPPER(Master_ventas[[#This Row],[Category]])</f>
        <v>OFFICE</v>
      </c>
      <c r="L509">
        <f>YEAR(Master_ventas[[#This Row],[Order Date]])</f>
        <v>2023</v>
      </c>
      <c r="M509" t="str">
        <f>CONCATENATE(LEFT(Master_ventas[[#This Row],[ProdUpper]],3),RIGHT(Master_ventas[[#This Row],[Ext-Year]],2),"-",MID(Master_ventas[[#This Row],[Category]],1,1))</f>
        <v>PRI23-O</v>
      </c>
      <c r="N509" t="str">
        <f>MID(Master_ventas[[#This Row],[ProdUpper]],1,3)</f>
        <v>PRI</v>
      </c>
      <c r="O509" t="str">
        <f>UPPER(IF(Master_ventas[[#This Row],[Profit]]&gt;500,"High","Std"))</f>
        <v>STD</v>
      </c>
      <c r="P509">
        <v>508</v>
      </c>
    </row>
    <row r="510" spans="1:16" x14ac:dyDescent="0.3">
      <c r="A510" s="1">
        <v>45257</v>
      </c>
      <c r="B510" t="s">
        <v>20</v>
      </c>
      <c r="C510" t="s">
        <v>11</v>
      </c>
      <c r="D510" t="s">
        <v>15</v>
      </c>
      <c r="E510">
        <v>5</v>
      </c>
      <c r="F510" s="3">
        <v>1215</v>
      </c>
      <c r="G510" s="2">
        <v>162.02000000000001</v>
      </c>
      <c r="H510">
        <f>Master_ventas[[#This Row],[Profit]]/Master_ventas[[#This Row],[Sales]]</f>
        <v>0.13334979423868312</v>
      </c>
      <c r="I510">
        <f ca="1">Referencia_Hoy-Master_ventas[[#This Row],[Order Date]]</f>
        <v>1066</v>
      </c>
      <c r="J510" t="str">
        <f>UPPER(Master_ventas[[#This Row],[Product Name]])</f>
        <v>MONITOR</v>
      </c>
      <c r="K510" t="str">
        <f>UPPER(Master_ventas[[#This Row],[Category]])</f>
        <v>ACCESSORIES</v>
      </c>
      <c r="L510">
        <f>YEAR(Master_ventas[[#This Row],[Order Date]])</f>
        <v>2023</v>
      </c>
      <c r="M510" t="str">
        <f>CONCATENATE(LEFT(Master_ventas[[#This Row],[ProdUpper]],3),RIGHT(Master_ventas[[#This Row],[Ext-Year]],2),"-",MID(Master_ventas[[#This Row],[Category]],1,1))</f>
        <v>MON23-A</v>
      </c>
      <c r="N510" t="str">
        <f>MID(Master_ventas[[#This Row],[ProdUpper]],1,3)</f>
        <v>MON</v>
      </c>
      <c r="O510" t="str">
        <f>UPPER(IF(Master_ventas[[#This Row],[Profit]]&gt;500,"High","Std"))</f>
        <v>STD</v>
      </c>
      <c r="P510">
        <v>509</v>
      </c>
    </row>
    <row r="511" spans="1:16" x14ac:dyDescent="0.3">
      <c r="A511" s="1">
        <v>45355</v>
      </c>
      <c r="B511" t="s">
        <v>17</v>
      </c>
      <c r="C511" t="s">
        <v>14</v>
      </c>
      <c r="D511" t="s">
        <v>9</v>
      </c>
      <c r="E511">
        <v>3</v>
      </c>
      <c r="F511" s="3">
        <v>204</v>
      </c>
      <c r="G511" s="2">
        <v>20.43</v>
      </c>
      <c r="H511">
        <f>Master_ventas[[#This Row],[Profit]]/Master_ventas[[#This Row],[Sales]]</f>
        <v>0.10014705882352941</v>
      </c>
      <c r="I511">
        <f ca="1">Referencia_Hoy-Master_ventas[[#This Row],[Order Date]]</f>
        <v>968</v>
      </c>
      <c r="J511" t="str">
        <f>UPPER(Master_ventas[[#This Row],[Product Name]])</f>
        <v>CAMERA</v>
      </c>
      <c r="K511" t="str">
        <f>UPPER(Master_ventas[[#This Row],[Category]])</f>
        <v>ELECTRONICS</v>
      </c>
      <c r="L511">
        <f>YEAR(Master_ventas[[#This Row],[Order Date]])</f>
        <v>2024</v>
      </c>
      <c r="M511" t="str">
        <f>CONCATENATE(LEFT(Master_ventas[[#This Row],[ProdUpper]],3),RIGHT(Master_ventas[[#This Row],[Ext-Year]],2),"-",MID(Master_ventas[[#This Row],[Category]],1,1))</f>
        <v>CAM24-E</v>
      </c>
      <c r="N511" t="str">
        <f>MID(Master_ventas[[#This Row],[ProdUpper]],1,3)</f>
        <v>CAM</v>
      </c>
      <c r="O511" t="str">
        <f>UPPER(IF(Master_ventas[[#This Row],[Profit]]&gt;500,"High","Std"))</f>
        <v>STD</v>
      </c>
      <c r="P511">
        <v>510</v>
      </c>
    </row>
    <row r="512" spans="1:16" x14ac:dyDescent="0.3">
      <c r="A512" s="1">
        <v>45650</v>
      </c>
      <c r="B512" t="s">
        <v>13</v>
      </c>
      <c r="C512" t="s">
        <v>14</v>
      </c>
      <c r="D512" t="s">
        <v>16</v>
      </c>
      <c r="E512">
        <v>7</v>
      </c>
      <c r="F512" s="3">
        <v>4137</v>
      </c>
      <c r="G512" s="2">
        <v>221.66</v>
      </c>
      <c r="H512">
        <f>Master_ventas[[#This Row],[Profit]]/Master_ventas[[#This Row],[Sales]]</f>
        <v>5.3579888808315206E-2</v>
      </c>
      <c r="I512">
        <f ca="1">Referencia_Hoy-Master_ventas[[#This Row],[Order Date]]</f>
        <v>673</v>
      </c>
      <c r="J512" t="str">
        <f>UPPER(Master_ventas[[#This Row],[Product Name]])</f>
        <v>TABLET</v>
      </c>
      <c r="K512" t="str">
        <f>UPPER(Master_ventas[[#This Row],[Category]])</f>
        <v>ELECTRONICS</v>
      </c>
      <c r="L512">
        <f>YEAR(Master_ventas[[#This Row],[Order Date]])</f>
        <v>2024</v>
      </c>
      <c r="M512" t="str">
        <f>CONCATENATE(LEFT(Master_ventas[[#This Row],[ProdUpper]],3),RIGHT(Master_ventas[[#This Row],[Ext-Year]],2),"-",MID(Master_ventas[[#This Row],[Category]],1,1))</f>
        <v>TAB24-E</v>
      </c>
      <c r="N512" t="str">
        <f>MID(Master_ventas[[#This Row],[ProdUpper]],1,3)</f>
        <v>TAB</v>
      </c>
      <c r="O512" t="str">
        <f>UPPER(IF(Master_ventas[[#This Row],[Profit]]&gt;500,"High","Std"))</f>
        <v>STD</v>
      </c>
      <c r="P512">
        <v>511</v>
      </c>
    </row>
    <row r="513" spans="1:16" x14ac:dyDescent="0.3">
      <c r="A513" s="1">
        <v>44702</v>
      </c>
      <c r="B513" t="s">
        <v>17</v>
      </c>
      <c r="C513" t="s">
        <v>14</v>
      </c>
      <c r="D513" t="s">
        <v>16</v>
      </c>
      <c r="E513">
        <v>5</v>
      </c>
      <c r="F513" s="3">
        <v>250</v>
      </c>
      <c r="G513" s="2">
        <v>16.809999999999999</v>
      </c>
      <c r="H513">
        <f>Master_ventas[[#This Row],[Profit]]/Master_ventas[[#This Row],[Sales]]</f>
        <v>6.7239999999999994E-2</v>
      </c>
      <c r="I513">
        <f ca="1">Referencia_Hoy-Master_ventas[[#This Row],[Order Date]]</f>
        <v>1621</v>
      </c>
      <c r="J513" t="str">
        <f>UPPER(Master_ventas[[#This Row],[Product Name]])</f>
        <v>CAMERA</v>
      </c>
      <c r="K513" t="str">
        <f>UPPER(Master_ventas[[#This Row],[Category]])</f>
        <v>ELECTRONICS</v>
      </c>
      <c r="L513">
        <f>YEAR(Master_ventas[[#This Row],[Order Date]])</f>
        <v>2022</v>
      </c>
      <c r="M513" t="str">
        <f>CONCATENATE(LEFT(Master_ventas[[#This Row],[ProdUpper]],3),RIGHT(Master_ventas[[#This Row],[Ext-Year]],2),"-",MID(Master_ventas[[#This Row],[Category]],1,1))</f>
        <v>CAM22-E</v>
      </c>
      <c r="N513" t="str">
        <f>MID(Master_ventas[[#This Row],[ProdUpper]],1,3)</f>
        <v>CAM</v>
      </c>
      <c r="O513" t="str">
        <f>UPPER(IF(Master_ventas[[#This Row],[Profit]]&gt;500,"High","Std"))</f>
        <v>STD</v>
      </c>
      <c r="P513">
        <v>512</v>
      </c>
    </row>
    <row r="514" spans="1:16" x14ac:dyDescent="0.3">
      <c r="A514" s="1">
        <v>44818</v>
      </c>
      <c r="B514" t="s">
        <v>13</v>
      </c>
      <c r="C514" t="s">
        <v>14</v>
      </c>
      <c r="D514" t="s">
        <v>16</v>
      </c>
      <c r="E514">
        <v>5</v>
      </c>
      <c r="F514" s="3">
        <v>1185</v>
      </c>
      <c r="G514" s="2">
        <v>254.34</v>
      </c>
      <c r="H514">
        <f>Master_ventas[[#This Row],[Profit]]/Master_ventas[[#This Row],[Sales]]</f>
        <v>0.21463291139240506</v>
      </c>
      <c r="I514">
        <f ca="1">Referencia_Hoy-Master_ventas[[#This Row],[Order Date]]</f>
        <v>1505</v>
      </c>
      <c r="J514" t="str">
        <f>UPPER(Master_ventas[[#This Row],[Product Name]])</f>
        <v>TABLET</v>
      </c>
      <c r="K514" t="str">
        <f>UPPER(Master_ventas[[#This Row],[Category]])</f>
        <v>ELECTRONICS</v>
      </c>
      <c r="L514">
        <f>YEAR(Master_ventas[[#This Row],[Order Date]])</f>
        <v>2022</v>
      </c>
      <c r="M514" t="str">
        <f>CONCATENATE(LEFT(Master_ventas[[#This Row],[ProdUpper]],3),RIGHT(Master_ventas[[#This Row],[Ext-Year]],2),"-",MID(Master_ventas[[#This Row],[Category]],1,1))</f>
        <v>TAB22-E</v>
      </c>
      <c r="N514" t="str">
        <f>MID(Master_ventas[[#This Row],[ProdUpper]],1,3)</f>
        <v>TAB</v>
      </c>
      <c r="O514" t="str">
        <f>UPPER(IF(Master_ventas[[#This Row],[Profit]]&gt;500,"High","Std"))</f>
        <v>STD</v>
      </c>
      <c r="P514">
        <v>513</v>
      </c>
    </row>
    <row r="515" spans="1:16" x14ac:dyDescent="0.3">
      <c r="A515" s="1">
        <v>45363</v>
      </c>
      <c r="B515" t="s">
        <v>18</v>
      </c>
      <c r="C515" t="s">
        <v>11</v>
      </c>
      <c r="D515" t="s">
        <v>15</v>
      </c>
      <c r="E515">
        <v>2</v>
      </c>
      <c r="F515" s="3">
        <v>1504</v>
      </c>
      <c r="G515" s="2">
        <v>108.52</v>
      </c>
      <c r="H515">
        <f>Master_ventas[[#This Row],[Profit]]/Master_ventas[[#This Row],[Sales]]</f>
        <v>7.215425531914893E-2</v>
      </c>
      <c r="I515">
        <f ca="1">Referencia_Hoy-Master_ventas[[#This Row],[Order Date]]</f>
        <v>960</v>
      </c>
      <c r="J515" t="str">
        <f>UPPER(Master_ventas[[#This Row],[Product Name]])</f>
        <v>HEADPHONES</v>
      </c>
      <c r="K515" t="str">
        <f>UPPER(Master_ventas[[#This Row],[Category]])</f>
        <v>ACCESSORIES</v>
      </c>
      <c r="L515">
        <f>YEAR(Master_ventas[[#This Row],[Order Date]])</f>
        <v>2024</v>
      </c>
      <c r="M515" t="str">
        <f>CONCATENATE(LEFT(Master_ventas[[#This Row],[ProdUpper]],3),RIGHT(Master_ventas[[#This Row],[Ext-Year]],2),"-",MID(Master_ventas[[#This Row],[Category]],1,1))</f>
        <v>HEA24-A</v>
      </c>
      <c r="N515" t="str">
        <f>MID(Master_ventas[[#This Row],[ProdUpper]],1,3)</f>
        <v>HEA</v>
      </c>
      <c r="O515" t="str">
        <f>UPPER(IF(Master_ventas[[#This Row],[Profit]]&gt;500,"High","Std"))</f>
        <v>STD</v>
      </c>
      <c r="P515">
        <v>514</v>
      </c>
    </row>
    <row r="516" spans="1:16" x14ac:dyDescent="0.3">
      <c r="A516" s="1">
        <v>45471</v>
      </c>
      <c r="B516" t="s">
        <v>22</v>
      </c>
      <c r="C516" t="s">
        <v>11</v>
      </c>
      <c r="D516" t="s">
        <v>16</v>
      </c>
      <c r="E516">
        <v>6</v>
      </c>
      <c r="F516" s="3">
        <v>6888</v>
      </c>
      <c r="G516" s="2">
        <v>945.07</v>
      </c>
      <c r="H516">
        <f>Master_ventas[[#This Row],[Profit]]/Master_ventas[[#This Row],[Sales]]</f>
        <v>0.13720528455284553</v>
      </c>
      <c r="I516">
        <f ca="1">Referencia_Hoy-Master_ventas[[#This Row],[Order Date]]</f>
        <v>852</v>
      </c>
      <c r="J516" t="str">
        <f>UPPER(Master_ventas[[#This Row],[Product Name]])</f>
        <v>KEYBOARD</v>
      </c>
      <c r="K516" t="str">
        <f>UPPER(Master_ventas[[#This Row],[Category]])</f>
        <v>ACCESSORIES</v>
      </c>
      <c r="L516">
        <f>YEAR(Master_ventas[[#This Row],[Order Date]])</f>
        <v>2024</v>
      </c>
      <c r="M516" t="str">
        <f>CONCATENATE(LEFT(Master_ventas[[#This Row],[ProdUpper]],3),RIGHT(Master_ventas[[#This Row],[Ext-Year]],2),"-",MID(Master_ventas[[#This Row],[Category]],1,1))</f>
        <v>KEY24-A</v>
      </c>
      <c r="N516" t="str">
        <f>MID(Master_ventas[[#This Row],[ProdUpper]],1,3)</f>
        <v>KEY</v>
      </c>
      <c r="O516" t="str">
        <f>UPPER(IF(Master_ventas[[#This Row],[Profit]]&gt;500,"High","Std"))</f>
        <v>HIGH</v>
      </c>
      <c r="P516">
        <v>515</v>
      </c>
    </row>
    <row r="517" spans="1:16" x14ac:dyDescent="0.3">
      <c r="A517" s="1">
        <v>45651</v>
      </c>
      <c r="B517" t="s">
        <v>21</v>
      </c>
      <c r="C517" t="s">
        <v>14</v>
      </c>
      <c r="D517" t="s">
        <v>16</v>
      </c>
      <c r="E517">
        <v>3</v>
      </c>
      <c r="F517" s="3">
        <v>3588</v>
      </c>
      <c r="G517" s="2">
        <v>958.84</v>
      </c>
      <c r="H517">
        <f>Master_ventas[[#This Row],[Profit]]/Master_ventas[[#This Row],[Sales]]</f>
        <v>0.26723522853957637</v>
      </c>
      <c r="I517">
        <f ca="1">Referencia_Hoy-Master_ventas[[#This Row],[Order Date]]</f>
        <v>672</v>
      </c>
      <c r="J517" t="str">
        <f>UPPER(Master_ventas[[#This Row],[Product Name]])</f>
        <v>SMARTPHONE</v>
      </c>
      <c r="K517" t="str">
        <f>UPPER(Master_ventas[[#This Row],[Category]])</f>
        <v>ELECTRONICS</v>
      </c>
      <c r="L517">
        <f>YEAR(Master_ventas[[#This Row],[Order Date]])</f>
        <v>2024</v>
      </c>
      <c r="M517" t="str">
        <f>CONCATENATE(LEFT(Master_ventas[[#This Row],[ProdUpper]],3),RIGHT(Master_ventas[[#This Row],[Ext-Year]],2),"-",MID(Master_ventas[[#This Row],[Category]],1,1))</f>
        <v>SMA24-E</v>
      </c>
      <c r="N517" t="str">
        <f>MID(Master_ventas[[#This Row],[ProdUpper]],1,3)</f>
        <v>SMA</v>
      </c>
      <c r="O517" t="str">
        <f>UPPER(IF(Master_ventas[[#This Row],[Profit]]&gt;500,"High","Std"))</f>
        <v>HIGH</v>
      </c>
      <c r="P517">
        <v>516</v>
      </c>
    </row>
    <row r="518" spans="1:16" x14ac:dyDescent="0.3">
      <c r="A518" s="1">
        <v>44883</v>
      </c>
      <c r="B518" t="s">
        <v>23</v>
      </c>
      <c r="C518" t="s">
        <v>14</v>
      </c>
      <c r="D518" t="s">
        <v>15</v>
      </c>
      <c r="E518">
        <v>7</v>
      </c>
      <c r="F518" s="3">
        <v>1477</v>
      </c>
      <c r="G518" s="2">
        <v>367.22</v>
      </c>
      <c r="H518">
        <f>Master_ventas[[#This Row],[Profit]]/Master_ventas[[#This Row],[Sales]]</f>
        <v>0.24862559241706164</v>
      </c>
      <c r="I518">
        <f ca="1">Referencia_Hoy-Master_ventas[[#This Row],[Order Date]]</f>
        <v>1440</v>
      </c>
      <c r="J518" t="str">
        <f>UPPER(Master_ventas[[#This Row],[Product Name]])</f>
        <v>LAPTOP</v>
      </c>
      <c r="K518" t="str">
        <f>UPPER(Master_ventas[[#This Row],[Category]])</f>
        <v>ELECTRONICS</v>
      </c>
      <c r="L518">
        <f>YEAR(Master_ventas[[#This Row],[Order Date]])</f>
        <v>2022</v>
      </c>
      <c r="M518" t="str">
        <f>CONCATENATE(LEFT(Master_ventas[[#This Row],[ProdUpper]],3),RIGHT(Master_ventas[[#This Row],[Ext-Year]],2),"-",MID(Master_ventas[[#This Row],[Category]],1,1))</f>
        <v>LAP22-E</v>
      </c>
      <c r="N518" t="str">
        <f>MID(Master_ventas[[#This Row],[ProdUpper]],1,3)</f>
        <v>LAP</v>
      </c>
      <c r="O518" t="str">
        <f>UPPER(IF(Master_ventas[[#This Row],[Profit]]&gt;500,"High","Std"))</f>
        <v>STD</v>
      </c>
      <c r="P518">
        <v>517</v>
      </c>
    </row>
    <row r="519" spans="1:16" x14ac:dyDescent="0.3">
      <c r="A519" s="1">
        <v>44856</v>
      </c>
      <c r="B519" t="s">
        <v>19</v>
      </c>
      <c r="C519" t="s">
        <v>14</v>
      </c>
      <c r="D519" t="s">
        <v>12</v>
      </c>
      <c r="E519">
        <v>8</v>
      </c>
      <c r="F519" s="3">
        <v>1280</v>
      </c>
      <c r="G519" s="2">
        <v>131.56</v>
      </c>
      <c r="H519">
        <f>Master_ventas[[#This Row],[Profit]]/Master_ventas[[#This Row],[Sales]]</f>
        <v>0.10278125</v>
      </c>
      <c r="I519">
        <f ca="1">Referencia_Hoy-Master_ventas[[#This Row],[Order Date]]</f>
        <v>1467</v>
      </c>
      <c r="J519" t="str">
        <f>UPPER(Master_ventas[[#This Row],[Product Name]])</f>
        <v>SMARTWATCH</v>
      </c>
      <c r="K519" t="str">
        <f>UPPER(Master_ventas[[#This Row],[Category]])</f>
        <v>ELECTRONICS</v>
      </c>
      <c r="L519">
        <f>YEAR(Master_ventas[[#This Row],[Order Date]])</f>
        <v>2022</v>
      </c>
      <c r="M519" t="str">
        <f>CONCATENATE(LEFT(Master_ventas[[#This Row],[ProdUpper]],3),RIGHT(Master_ventas[[#This Row],[Ext-Year]],2),"-",MID(Master_ventas[[#This Row],[Category]],1,1))</f>
        <v>SMA22-E</v>
      </c>
      <c r="N519" t="str">
        <f>MID(Master_ventas[[#This Row],[ProdUpper]],1,3)</f>
        <v>SMA</v>
      </c>
      <c r="O519" t="str">
        <f>UPPER(IF(Master_ventas[[#This Row],[Profit]]&gt;500,"High","Std"))</f>
        <v>STD</v>
      </c>
      <c r="P519">
        <v>518</v>
      </c>
    </row>
    <row r="520" spans="1:16" x14ac:dyDescent="0.3">
      <c r="A520" s="1">
        <v>45612</v>
      </c>
      <c r="B520" t="s">
        <v>13</v>
      </c>
      <c r="C520" t="s">
        <v>14</v>
      </c>
      <c r="D520" t="s">
        <v>15</v>
      </c>
      <c r="E520">
        <v>7</v>
      </c>
      <c r="F520" s="3">
        <v>7161</v>
      </c>
      <c r="G520" s="2">
        <v>630.76</v>
      </c>
      <c r="H520">
        <f>Master_ventas[[#This Row],[Profit]]/Master_ventas[[#This Row],[Sales]]</f>
        <v>8.8082670018153883E-2</v>
      </c>
      <c r="I520">
        <f ca="1">Referencia_Hoy-Master_ventas[[#This Row],[Order Date]]</f>
        <v>711</v>
      </c>
      <c r="J520" t="str">
        <f>UPPER(Master_ventas[[#This Row],[Product Name]])</f>
        <v>TABLET</v>
      </c>
      <c r="K520" t="str">
        <f>UPPER(Master_ventas[[#This Row],[Category]])</f>
        <v>ELECTRONICS</v>
      </c>
      <c r="L520">
        <f>YEAR(Master_ventas[[#This Row],[Order Date]])</f>
        <v>2024</v>
      </c>
      <c r="M520" t="str">
        <f>CONCATENATE(LEFT(Master_ventas[[#This Row],[ProdUpper]],3),RIGHT(Master_ventas[[#This Row],[Ext-Year]],2),"-",MID(Master_ventas[[#This Row],[Category]],1,1))</f>
        <v>TAB24-E</v>
      </c>
      <c r="N520" t="str">
        <f>MID(Master_ventas[[#This Row],[ProdUpper]],1,3)</f>
        <v>TAB</v>
      </c>
      <c r="O520" t="str">
        <f>UPPER(IF(Master_ventas[[#This Row],[Profit]]&gt;500,"High","Std"))</f>
        <v>HIGH</v>
      </c>
      <c r="P520">
        <v>519</v>
      </c>
    </row>
    <row r="521" spans="1:16" x14ac:dyDescent="0.3">
      <c r="A521" s="1">
        <v>44998</v>
      </c>
      <c r="B521" t="s">
        <v>7</v>
      </c>
      <c r="C521" t="s">
        <v>8</v>
      </c>
      <c r="D521" t="s">
        <v>9</v>
      </c>
      <c r="E521">
        <v>5</v>
      </c>
      <c r="F521" s="3">
        <v>1850</v>
      </c>
      <c r="G521" s="2">
        <v>346.4</v>
      </c>
      <c r="H521">
        <f>Master_ventas[[#This Row],[Profit]]/Master_ventas[[#This Row],[Sales]]</f>
        <v>0.18724324324324323</v>
      </c>
      <c r="I521">
        <f ca="1">Referencia_Hoy-Master_ventas[[#This Row],[Order Date]]</f>
        <v>1325</v>
      </c>
      <c r="J521" t="str">
        <f>UPPER(Master_ventas[[#This Row],[Product Name]])</f>
        <v>PRINTER</v>
      </c>
      <c r="K521" t="str">
        <f>UPPER(Master_ventas[[#This Row],[Category]])</f>
        <v>OFFICE</v>
      </c>
      <c r="L521">
        <f>YEAR(Master_ventas[[#This Row],[Order Date]])</f>
        <v>2023</v>
      </c>
      <c r="M521" t="str">
        <f>CONCATENATE(LEFT(Master_ventas[[#This Row],[ProdUpper]],3),RIGHT(Master_ventas[[#This Row],[Ext-Year]],2),"-",MID(Master_ventas[[#This Row],[Category]],1,1))</f>
        <v>PRI23-O</v>
      </c>
      <c r="N521" t="str">
        <f>MID(Master_ventas[[#This Row],[ProdUpper]],1,3)</f>
        <v>PRI</v>
      </c>
      <c r="O521" t="str">
        <f>UPPER(IF(Master_ventas[[#This Row],[Profit]]&gt;500,"High","Std"))</f>
        <v>STD</v>
      </c>
      <c r="P521">
        <v>520</v>
      </c>
    </row>
    <row r="522" spans="1:16" x14ac:dyDescent="0.3">
      <c r="A522" s="1">
        <v>45287</v>
      </c>
      <c r="B522" t="s">
        <v>10</v>
      </c>
      <c r="C522" t="s">
        <v>11</v>
      </c>
      <c r="D522" t="s">
        <v>12</v>
      </c>
      <c r="E522">
        <v>3</v>
      </c>
      <c r="F522" s="3">
        <v>3378</v>
      </c>
      <c r="G522" s="2">
        <v>520.30999999999995</v>
      </c>
      <c r="H522">
        <f>Master_ventas[[#This Row],[Profit]]/Master_ventas[[#This Row],[Sales]]</f>
        <v>0.15402901124925991</v>
      </c>
      <c r="I522">
        <f ca="1">Referencia_Hoy-Master_ventas[[#This Row],[Order Date]]</f>
        <v>1036</v>
      </c>
      <c r="J522" t="str">
        <f>UPPER(Master_ventas[[#This Row],[Product Name]])</f>
        <v>MOUSE</v>
      </c>
      <c r="K522" t="str">
        <f>UPPER(Master_ventas[[#This Row],[Category]])</f>
        <v>ACCESSORIES</v>
      </c>
      <c r="L522">
        <f>YEAR(Master_ventas[[#This Row],[Order Date]])</f>
        <v>2023</v>
      </c>
      <c r="M522" t="str">
        <f>CONCATENATE(LEFT(Master_ventas[[#This Row],[ProdUpper]],3),RIGHT(Master_ventas[[#This Row],[Ext-Year]],2),"-",MID(Master_ventas[[#This Row],[Category]],1,1))</f>
        <v>MOU23-A</v>
      </c>
      <c r="N522" t="str">
        <f>MID(Master_ventas[[#This Row],[ProdUpper]],1,3)</f>
        <v>MOU</v>
      </c>
      <c r="O522" t="str">
        <f>UPPER(IF(Master_ventas[[#This Row],[Profit]]&gt;500,"High","Std"))</f>
        <v>HIGH</v>
      </c>
      <c r="P522">
        <v>521</v>
      </c>
    </row>
    <row r="523" spans="1:16" x14ac:dyDescent="0.3">
      <c r="A523" s="1">
        <v>45595</v>
      </c>
      <c r="B523" t="s">
        <v>23</v>
      </c>
      <c r="C523" t="s">
        <v>14</v>
      </c>
      <c r="D523" t="s">
        <v>16</v>
      </c>
      <c r="E523">
        <v>7</v>
      </c>
      <c r="F523" s="3">
        <v>7672</v>
      </c>
      <c r="G523" s="2">
        <v>2046.38</v>
      </c>
      <c r="H523">
        <f>Master_ventas[[#This Row],[Profit]]/Master_ventas[[#This Row],[Sales]]</f>
        <v>0.26673357664233577</v>
      </c>
      <c r="I523">
        <f ca="1">Referencia_Hoy-Master_ventas[[#This Row],[Order Date]]</f>
        <v>728</v>
      </c>
      <c r="J523" t="str">
        <f>UPPER(Master_ventas[[#This Row],[Product Name]])</f>
        <v>LAPTOP</v>
      </c>
      <c r="K523" t="str">
        <f>UPPER(Master_ventas[[#This Row],[Category]])</f>
        <v>ELECTRONICS</v>
      </c>
      <c r="L523">
        <f>YEAR(Master_ventas[[#This Row],[Order Date]])</f>
        <v>2024</v>
      </c>
      <c r="M523" t="str">
        <f>CONCATENATE(LEFT(Master_ventas[[#This Row],[ProdUpper]],3),RIGHT(Master_ventas[[#This Row],[Ext-Year]],2),"-",MID(Master_ventas[[#This Row],[Category]],1,1))</f>
        <v>LAP24-E</v>
      </c>
      <c r="N523" t="str">
        <f>MID(Master_ventas[[#This Row],[ProdUpper]],1,3)</f>
        <v>LAP</v>
      </c>
      <c r="O523" t="str">
        <f>UPPER(IF(Master_ventas[[#This Row],[Profit]]&gt;500,"High","Std"))</f>
        <v>HIGH</v>
      </c>
      <c r="P523">
        <v>522</v>
      </c>
    </row>
    <row r="524" spans="1:16" x14ac:dyDescent="0.3">
      <c r="A524" s="1">
        <v>45599</v>
      </c>
      <c r="B524" t="s">
        <v>13</v>
      </c>
      <c r="C524" t="s">
        <v>14</v>
      </c>
      <c r="D524" t="s">
        <v>15</v>
      </c>
      <c r="E524">
        <v>6</v>
      </c>
      <c r="F524" s="3">
        <v>4254</v>
      </c>
      <c r="G524" s="2">
        <v>938.66</v>
      </c>
      <c r="H524">
        <f>Master_ventas[[#This Row],[Profit]]/Master_ventas[[#This Row],[Sales]]</f>
        <v>0.2206535025858016</v>
      </c>
      <c r="I524">
        <f ca="1">Referencia_Hoy-Master_ventas[[#This Row],[Order Date]]</f>
        <v>724</v>
      </c>
      <c r="J524" t="str">
        <f>UPPER(Master_ventas[[#This Row],[Product Name]])</f>
        <v>TABLET</v>
      </c>
      <c r="K524" t="str">
        <f>UPPER(Master_ventas[[#This Row],[Category]])</f>
        <v>ELECTRONICS</v>
      </c>
      <c r="L524">
        <f>YEAR(Master_ventas[[#This Row],[Order Date]])</f>
        <v>2024</v>
      </c>
      <c r="M524" t="str">
        <f>CONCATENATE(LEFT(Master_ventas[[#This Row],[ProdUpper]],3),RIGHT(Master_ventas[[#This Row],[Ext-Year]],2),"-",MID(Master_ventas[[#This Row],[Category]],1,1))</f>
        <v>TAB24-E</v>
      </c>
      <c r="N524" t="str">
        <f>MID(Master_ventas[[#This Row],[ProdUpper]],1,3)</f>
        <v>TAB</v>
      </c>
      <c r="O524" t="str">
        <f>UPPER(IF(Master_ventas[[#This Row],[Profit]]&gt;500,"High","Std"))</f>
        <v>HIGH</v>
      </c>
      <c r="P524">
        <v>523</v>
      </c>
    </row>
    <row r="525" spans="1:16" x14ac:dyDescent="0.3">
      <c r="A525" s="1">
        <v>45615</v>
      </c>
      <c r="B525" t="s">
        <v>22</v>
      </c>
      <c r="C525" t="s">
        <v>11</v>
      </c>
      <c r="D525" t="s">
        <v>12</v>
      </c>
      <c r="E525">
        <v>5</v>
      </c>
      <c r="F525" s="3">
        <v>2285</v>
      </c>
      <c r="G525" s="2">
        <v>279.89999999999998</v>
      </c>
      <c r="H525">
        <f>Master_ventas[[#This Row],[Profit]]/Master_ventas[[#This Row],[Sales]]</f>
        <v>0.12249452954048139</v>
      </c>
      <c r="I525">
        <f ca="1">Referencia_Hoy-Master_ventas[[#This Row],[Order Date]]</f>
        <v>708</v>
      </c>
      <c r="J525" t="str">
        <f>UPPER(Master_ventas[[#This Row],[Product Name]])</f>
        <v>KEYBOARD</v>
      </c>
      <c r="K525" t="str">
        <f>UPPER(Master_ventas[[#This Row],[Category]])</f>
        <v>ACCESSORIES</v>
      </c>
      <c r="L525">
        <f>YEAR(Master_ventas[[#This Row],[Order Date]])</f>
        <v>2024</v>
      </c>
      <c r="M525" t="str">
        <f>CONCATENATE(LEFT(Master_ventas[[#This Row],[ProdUpper]],3),RIGHT(Master_ventas[[#This Row],[Ext-Year]],2),"-",MID(Master_ventas[[#This Row],[Category]],1,1))</f>
        <v>KEY24-A</v>
      </c>
      <c r="N525" t="str">
        <f>MID(Master_ventas[[#This Row],[ProdUpper]],1,3)</f>
        <v>KEY</v>
      </c>
      <c r="O525" t="str">
        <f>UPPER(IF(Master_ventas[[#This Row],[Profit]]&gt;500,"High","Std"))</f>
        <v>STD</v>
      </c>
      <c r="P525">
        <v>524</v>
      </c>
    </row>
    <row r="526" spans="1:16" x14ac:dyDescent="0.3">
      <c r="A526" s="1">
        <v>45411</v>
      </c>
      <c r="B526" t="s">
        <v>22</v>
      </c>
      <c r="C526" t="s">
        <v>11</v>
      </c>
      <c r="D526" t="s">
        <v>16</v>
      </c>
      <c r="E526">
        <v>7</v>
      </c>
      <c r="F526" s="3">
        <v>5775</v>
      </c>
      <c r="G526" s="2">
        <v>680.6</v>
      </c>
      <c r="H526">
        <f>Master_ventas[[#This Row],[Profit]]/Master_ventas[[#This Row],[Sales]]</f>
        <v>0.11785281385281386</v>
      </c>
      <c r="I526">
        <f ca="1">Referencia_Hoy-Master_ventas[[#This Row],[Order Date]]</f>
        <v>912</v>
      </c>
      <c r="J526" t="str">
        <f>UPPER(Master_ventas[[#This Row],[Product Name]])</f>
        <v>KEYBOARD</v>
      </c>
      <c r="K526" t="str">
        <f>UPPER(Master_ventas[[#This Row],[Category]])</f>
        <v>ACCESSORIES</v>
      </c>
      <c r="L526">
        <f>YEAR(Master_ventas[[#This Row],[Order Date]])</f>
        <v>2024</v>
      </c>
      <c r="M526" t="str">
        <f>CONCATENATE(LEFT(Master_ventas[[#This Row],[ProdUpper]],3),RIGHT(Master_ventas[[#This Row],[Ext-Year]],2),"-",MID(Master_ventas[[#This Row],[Category]],1,1))</f>
        <v>KEY24-A</v>
      </c>
      <c r="N526" t="str">
        <f>MID(Master_ventas[[#This Row],[ProdUpper]],1,3)</f>
        <v>KEY</v>
      </c>
      <c r="O526" t="str">
        <f>UPPER(IF(Master_ventas[[#This Row],[Profit]]&gt;500,"High","Std"))</f>
        <v>HIGH</v>
      </c>
      <c r="P526">
        <v>525</v>
      </c>
    </row>
    <row r="527" spans="1:16" x14ac:dyDescent="0.3">
      <c r="A527" s="1">
        <v>44855</v>
      </c>
      <c r="B527" t="s">
        <v>21</v>
      </c>
      <c r="C527" t="s">
        <v>14</v>
      </c>
      <c r="D527" t="s">
        <v>9</v>
      </c>
      <c r="E527">
        <v>9</v>
      </c>
      <c r="F527" s="3">
        <v>9360</v>
      </c>
      <c r="G527" s="2">
        <v>910.35</v>
      </c>
      <c r="H527">
        <f>Master_ventas[[#This Row],[Profit]]/Master_ventas[[#This Row],[Sales]]</f>
        <v>9.7259615384615389E-2</v>
      </c>
      <c r="I527">
        <f ca="1">Referencia_Hoy-Master_ventas[[#This Row],[Order Date]]</f>
        <v>1468</v>
      </c>
      <c r="J527" t="str">
        <f>UPPER(Master_ventas[[#This Row],[Product Name]])</f>
        <v>SMARTPHONE</v>
      </c>
      <c r="K527" t="str">
        <f>UPPER(Master_ventas[[#This Row],[Category]])</f>
        <v>ELECTRONICS</v>
      </c>
      <c r="L527">
        <f>YEAR(Master_ventas[[#This Row],[Order Date]])</f>
        <v>2022</v>
      </c>
      <c r="M527" t="str">
        <f>CONCATENATE(LEFT(Master_ventas[[#This Row],[ProdUpper]],3),RIGHT(Master_ventas[[#This Row],[Ext-Year]],2),"-",MID(Master_ventas[[#This Row],[Category]],1,1))</f>
        <v>SMA22-E</v>
      </c>
      <c r="N527" t="str">
        <f>MID(Master_ventas[[#This Row],[ProdUpper]],1,3)</f>
        <v>SMA</v>
      </c>
      <c r="O527" t="str">
        <f>UPPER(IF(Master_ventas[[#This Row],[Profit]]&gt;500,"High","Std"))</f>
        <v>HIGH</v>
      </c>
      <c r="P527">
        <v>526</v>
      </c>
    </row>
    <row r="528" spans="1:16" x14ac:dyDescent="0.3">
      <c r="A528" s="1">
        <v>44951</v>
      </c>
      <c r="B528" t="s">
        <v>7</v>
      </c>
      <c r="C528" t="s">
        <v>8</v>
      </c>
      <c r="D528" t="s">
        <v>9</v>
      </c>
      <c r="E528">
        <v>8</v>
      </c>
      <c r="F528" s="3">
        <v>6936</v>
      </c>
      <c r="G528" s="2">
        <v>1156.52</v>
      </c>
      <c r="H528">
        <f>Master_ventas[[#This Row],[Profit]]/Master_ventas[[#This Row],[Sales]]</f>
        <v>0.16674163783160323</v>
      </c>
      <c r="I528">
        <f ca="1">Referencia_Hoy-Master_ventas[[#This Row],[Order Date]]</f>
        <v>1372</v>
      </c>
      <c r="J528" t="str">
        <f>UPPER(Master_ventas[[#This Row],[Product Name]])</f>
        <v>PRINTER</v>
      </c>
      <c r="K528" t="str">
        <f>UPPER(Master_ventas[[#This Row],[Category]])</f>
        <v>OFFICE</v>
      </c>
      <c r="L528">
        <f>YEAR(Master_ventas[[#This Row],[Order Date]])</f>
        <v>2023</v>
      </c>
      <c r="M528" t="str">
        <f>CONCATENATE(LEFT(Master_ventas[[#This Row],[ProdUpper]],3),RIGHT(Master_ventas[[#This Row],[Ext-Year]],2),"-",MID(Master_ventas[[#This Row],[Category]],1,1))</f>
        <v>PRI23-O</v>
      </c>
      <c r="N528" t="str">
        <f>MID(Master_ventas[[#This Row],[ProdUpper]],1,3)</f>
        <v>PRI</v>
      </c>
      <c r="O528" t="str">
        <f>UPPER(IF(Master_ventas[[#This Row],[Profit]]&gt;500,"High","Std"))</f>
        <v>HIGH</v>
      </c>
      <c r="P528">
        <v>527</v>
      </c>
    </row>
    <row r="529" spans="1:16" x14ac:dyDescent="0.3">
      <c r="A529" s="1">
        <v>44698</v>
      </c>
      <c r="B529" t="s">
        <v>17</v>
      </c>
      <c r="C529" t="s">
        <v>14</v>
      </c>
      <c r="D529" t="s">
        <v>12</v>
      </c>
      <c r="E529">
        <v>9</v>
      </c>
      <c r="F529" s="3">
        <v>5634</v>
      </c>
      <c r="G529" s="2">
        <v>464.71</v>
      </c>
      <c r="H529">
        <f>Master_ventas[[#This Row],[Profit]]/Master_ventas[[#This Row],[Sales]]</f>
        <v>8.2483138090166844E-2</v>
      </c>
      <c r="I529">
        <f ca="1">Referencia_Hoy-Master_ventas[[#This Row],[Order Date]]</f>
        <v>1625</v>
      </c>
      <c r="J529" t="str">
        <f>UPPER(Master_ventas[[#This Row],[Product Name]])</f>
        <v>CAMERA</v>
      </c>
      <c r="K529" t="str">
        <f>UPPER(Master_ventas[[#This Row],[Category]])</f>
        <v>ELECTRONICS</v>
      </c>
      <c r="L529">
        <f>YEAR(Master_ventas[[#This Row],[Order Date]])</f>
        <v>2022</v>
      </c>
      <c r="M529" t="str">
        <f>CONCATENATE(LEFT(Master_ventas[[#This Row],[ProdUpper]],3),RIGHT(Master_ventas[[#This Row],[Ext-Year]],2),"-",MID(Master_ventas[[#This Row],[Category]],1,1))</f>
        <v>CAM22-E</v>
      </c>
      <c r="N529" t="str">
        <f>MID(Master_ventas[[#This Row],[ProdUpper]],1,3)</f>
        <v>CAM</v>
      </c>
      <c r="O529" t="str">
        <f>UPPER(IF(Master_ventas[[#This Row],[Profit]]&gt;500,"High","Std"))</f>
        <v>STD</v>
      </c>
      <c r="P529">
        <v>528</v>
      </c>
    </row>
    <row r="530" spans="1:16" x14ac:dyDescent="0.3">
      <c r="A530" s="1">
        <v>45380</v>
      </c>
      <c r="B530" t="s">
        <v>21</v>
      </c>
      <c r="C530" t="s">
        <v>14</v>
      </c>
      <c r="D530" t="s">
        <v>9</v>
      </c>
      <c r="E530">
        <v>4</v>
      </c>
      <c r="F530" s="3">
        <v>2644</v>
      </c>
      <c r="G530" s="2">
        <v>731.86</v>
      </c>
      <c r="H530">
        <f>Master_ventas[[#This Row],[Profit]]/Master_ventas[[#This Row],[Sales]]</f>
        <v>0.27680030257186083</v>
      </c>
      <c r="I530">
        <f ca="1">Referencia_Hoy-Master_ventas[[#This Row],[Order Date]]</f>
        <v>943</v>
      </c>
      <c r="J530" t="str">
        <f>UPPER(Master_ventas[[#This Row],[Product Name]])</f>
        <v>SMARTPHONE</v>
      </c>
      <c r="K530" t="str">
        <f>UPPER(Master_ventas[[#This Row],[Category]])</f>
        <v>ELECTRONICS</v>
      </c>
      <c r="L530">
        <f>YEAR(Master_ventas[[#This Row],[Order Date]])</f>
        <v>2024</v>
      </c>
      <c r="M530" t="str">
        <f>CONCATENATE(LEFT(Master_ventas[[#This Row],[ProdUpper]],3),RIGHT(Master_ventas[[#This Row],[Ext-Year]],2),"-",MID(Master_ventas[[#This Row],[Category]],1,1))</f>
        <v>SMA24-E</v>
      </c>
      <c r="N530" t="str">
        <f>MID(Master_ventas[[#This Row],[ProdUpper]],1,3)</f>
        <v>SMA</v>
      </c>
      <c r="O530" t="str">
        <f>UPPER(IF(Master_ventas[[#This Row],[Profit]]&gt;500,"High","Std"))</f>
        <v>HIGH</v>
      </c>
      <c r="P530">
        <v>529</v>
      </c>
    </row>
    <row r="531" spans="1:16" x14ac:dyDescent="0.3">
      <c r="A531" s="1">
        <v>45252</v>
      </c>
      <c r="B531" t="s">
        <v>18</v>
      </c>
      <c r="C531" t="s">
        <v>11</v>
      </c>
      <c r="D531" t="s">
        <v>9</v>
      </c>
      <c r="E531">
        <v>1</v>
      </c>
      <c r="F531" s="3">
        <v>247</v>
      </c>
      <c r="G531" s="2">
        <v>35.65</v>
      </c>
      <c r="H531">
        <f>Master_ventas[[#This Row],[Profit]]/Master_ventas[[#This Row],[Sales]]</f>
        <v>0.144331983805668</v>
      </c>
      <c r="I531">
        <f ca="1">Referencia_Hoy-Master_ventas[[#This Row],[Order Date]]</f>
        <v>1071</v>
      </c>
      <c r="J531" t="str">
        <f>UPPER(Master_ventas[[#This Row],[Product Name]])</f>
        <v>HEADPHONES</v>
      </c>
      <c r="K531" t="str">
        <f>UPPER(Master_ventas[[#This Row],[Category]])</f>
        <v>ACCESSORIES</v>
      </c>
      <c r="L531">
        <f>YEAR(Master_ventas[[#This Row],[Order Date]])</f>
        <v>2023</v>
      </c>
      <c r="M531" t="str">
        <f>CONCATENATE(LEFT(Master_ventas[[#This Row],[ProdUpper]],3),RIGHT(Master_ventas[[#This Row],[Ext-Year]],2),"-",MID(Master_ventas[[#This Row],[Category]],1,1))</f>
        <v>HEA23-A</v>
      </c>
      <c r="N531" t="str">
        <f>MID(Master_ventas[[#This Row],[ProdUpper]],1,3)</f>
        <v>HEA</v>
      </c>
      <c r="O531" t="str">
        <f>UPPER(IF(Master_ventas[[#This Row],[Profit]]&gt;500,"High","Std"))</f>
        <v>STD</v>
      </c>
      <c r="P531">
        <v>530</v>
      </c>
    </row>
    <row r="532" spans="1:16" x14ac:dyDescent="0.3">
      <c r="A532" s="1">
        <v>45193</v>
      </c>
      <c r="B532" t="s">
        <v>23</v>
      </c>
      <c r="C532" t="s">
        <v>14</v>
      </c>
      <c r="D532" t="s">
        <v>12</v>
      </c>
      <c r="E532">
        <v>7</v>
      </c>
      <c r="F532" s="3">
        <v>1869</v>
      </c>
      <c r="G532" s="2">
        <v>357.27</v>
      </c>
      <c r="H532">
        <f>Master_ventas[[#This Row],[Profit]]/Master_ventas[[#This Row],[Sales]]</f>
        <v>0.19115569823434991</v>
      </c>
      <c r="I532">
        <f ca="1">Referencia_Hoy-Master_ventas[[#This Row],[Order Date]]</f>
        <v>1130</v>
      </c>
      <c r="J532" t="str">
        <f>UPPER(Master_ventas[[#This Row],[Product Name]])</f>
        <v>LAPTOP</v>
      </c>
      <c r="K532" t="str">
        <f>UPPER(Master_ventas[[#This Row],[Category]])</f>
        <v>ELECTRONICS</v>
      </c>
      <c r="L532">
        <f>YEAR(Master_ventas[[#This Row],[Order Date]])</f>
        <v>2023</v>
      </c>
      <c r="M532" t="str">
        <f>CONCATENATE(LEFT(Master_ventas[[#This Row],[ProdUpper]],3),RIGHT(Master_ventas[[#This Row],[Ext-Year]],2),"-",MID(Master_ventas[[#This Row],[Category]],1,1))</f>
        <v>LAP23-E</v>
      </c>
      <c r="N532" t="str">
        <f>MID(Master_ventas[[#This Row],[ProdUpper]],1,3)</f>
        <v>LAP</v>
      </c>
      <c r="O532" t="str">
        <f>UPPER(IF(Master_ventas[[#This Row],[Profit]]&gt;500,"High","Std"))</f>
        <v>STD</v>
      </c>
      <c r="P532">
        <v>531</v>
      </c>
    </row>
    <row r="533" spans="1:16" x14ac:dyDescent="0.3">
      <c r="A533" s="1">
        <v>45490</v>
      </c>
      <c r="B533" t="s">
        <v>19</v>
      </c>
      <c r="C533" t="s">
        <v>14</v>
      </c>
      <c r="D533" t="s">
        <v>16</v>
      </c>
      <c r="E533">
        <v>7</v>
      </c>
      <c r="F533" s="3">
        <v>1988</v>
      </c>
      <c r="G533" s="2">
        <v>430.59</v>
      </c>
      <c r="H533">
        <f>Master_ventas[[#This Row],[Profit]]/Master_ventas[[#This Row],[Sales]]</f>
        <v>0.21659456740442654</v>
      </c>
      <c r="I533">
        <f ca="1">Referencia_Hoy-Master_ventas[[#This Row],[Order Date]]</f>
        <v>833</v>
      </c>
      <c r="J533" t="str">
        <f>UPPER(Master_ventas[[#This Row],[Product Name]])</f>
        <v>SMARTWATCH</v>
      </c>
      <c r="K533" t="str">
        <f>UPPER(Master_ventas[[#This Row],[Category]])</f>
        <v>ELECTRONICS</v>
      </c>
      <c r="L533">
        <f>YEAR(Master_ventas[[#This Row],[Order Date]])</f>
        <v>2024</v>
      </c>
      <c r="M533" t="str">
        <f>CONCATENATE(LEFT(Master_ventas[[#This Row],[ProdUpper]],3),RIGHT(Master_ventas[[#This Row],[Ext-Year]],2),"-",MID(Master_ventas[[#This Row],[Category]],1,1))</f>
        <v>SMA24-E</v>
      </c>
      <c r="N533" t="str">
        <f>MID(Master_ventas[[#This Row],[ProdUpper]],1,3)</f>
        <v>SMA</v>
      </c>
      <c r="O533" t="str">
        <f>UPPER(IF(Master_ventas[[#This Row],[Profit]]&gt;500,"High","Std"))</f>
        <v>STD</v>
      </c>
      <c r="P533">
        <v>532</v>
      </c>
    </row>
    <row r="534" spans="1:16" x14ac:dyDescent="0.3">
      <c r="A534" s="1">
        <v>45094</v>
      </c>
      <c r="B534" t="s">
        <v>23</v>
      </c>
      <c r="C534" t="s">
        <v>14</v>
      </c>
      <c r="D534" t="s">
        <v>16</v>
      </c>
      <c r="E534">
        <v>4</v>
      </c>
      <c r="F534" s="3">
        <v>1920</v>
      </c>
      <c r="G534" s="2">
        <v>549.11</v>
      </c>
      <c r="H534">
        <f>Master_ventas[[#This Row],[Profit]]/Master_ventas[[#This Row],[Sales]]</f>
        <v>0.28599479166666669</v>
      </c>
      <c r="I534">
        <f ca="1">Referencia_Hoy-Master_ventas[[#This Row],[Order Date]]</f>
        <v>1229</v>
      </c>
      <c r="J534" t="str">
        <f>UPPER(Master_ventas[[#This Row],[Product Name]])</f>
        <v>LAPTOP</v>
      </c>
      <c r="K534" t="str">
        <f>UPPER(Master_ventas[[#This Row],[Category]])</f>
        <v>ELECTRONICS</v>
      </c>
      <c r="L534">
        <f>YEAR(Master_ventas[[#This Row],[Order Date]])</f>
        <v>2023</v>
      </c>
      <c r="M534" t="str">
        <f>CONCATENATE(LEFT(Master_ventas[[#This Row],[ProdUpper]],3),RIGHT(Master_ventas[[#This Row],[Ext-Year]],2),"-",MID(Master_ventas[[#This Row],[Category]],1,1))</f>
        <v>LAP23-E</v>
      </c>
      <c r="N534" t="str">
        <f>MID(Master_ventas[[#This Row],[ProdUpper]],1,3)</f>
        <v>LAP</v>
      </c>
      <c r="O534" t="str">
        <f>UPPER(IF(Master_ventas[[#This Row],[Profit]]&gt;500,"High","Std"))</f>
        <v>HIGH</v>
      </c>
      <c r="P534">
        <v>533</v>
      </c>
    </row>
    <row r="535" spans="1:16" x14ac:dyDescent="0.3">
      <c r="A535" s="1">
        <v>45432</v>
      </c>
      <c r="B535" t="s">
        <v>18</v>
      </c>
      <c r="C535" t="s">
        <v>11</v>
      </c>
      <c r="D535" t="s">
        <v>16</v>
      </c>
      <c r="E535">
        <v>3</v>
      </c>
      <c r="F535" s="3">
        <v>2577</v>
      </c>
      <c r="G535" s="2">
        <v>196.37</v>
      </c>
      <c r="H535">
        <f>Master_ventas[[#This Row],[Profit]]/Master_ventas[[#This Row],[Sales]]</f>
        <v>7.6201008925106714E-2</v>
      </c>
      <c r="I535">
        <f ca="1">Referencia_Hoy-Master_ventas[[#This Row],[Order Date]]</f>
        <v>891</v>
      </c>
      <c r="J535" t="str">
        <f>UPPER(Master_ventas[[#This Row],[Product Name]])</f>
        <v>HEADPHONES</v>
      </c>
      <c r="K535" t="str">
        <f>UPPER(Master_ventas[[#This Row],[Category]])</f>
        <v>ACCESSORIES</v>
      </c>
      <c r="L535">
        <f>YEAR(Master_ventas[[#This Row],[Order Date]])</f>
        <v>2024</v>
      </c>
      <c r="M535" t="str">
        <f>CONCATENATE(LEFT(Master_ventas[[#This Row],[ProdUpper]],3),RIGHT(Master_ventas[[#This Row],[Ext-Year]],2),"-",MID(Master_ventas[[#This Row],[Category]],1,1))</f>
        <v>HEA24-A</v>
      </c>
      <c r="N535" t="str">
        <f>MID(Master_ventas[[#This Row],[ProdUpper]],1,3)</f>
        <v>HEA</v>
      </c>
      <c r="O535" t="str">
        <f>UPPER(IF(Master_ventas[[#This Row],[Profit]]&gt;500,"High","Std"))</f>
        <v>STD</v>
      </c>
      <c r="P535">
        <v>534</v>
      </c>
    </row>
    <row r="536" spans="1:16" x14ac:dyDescent="0.3">
      <c r="A536" s="1">
        <v>45453</v>
      </c>
      <c r="B536" t="s">
        <v>17</v>
      </c>
      <c r="C536" t="s">
        <v>14</v>
      </c>
      <c r="D536" t="s">
        <v>12</v>
      </c>
      <c r="E536">
        <v>3</v>
      </c>
      <c r="F536" s="3">
        <v>828</v>
      </c>
      <c r="G536" s="2">
        <v>117.95</v>
      </c>
      <c r="H536">
        <f>Master_ventas[[#This Row],[Profit]]/Master_ventas[[#This Row],[Sales]]</f>
        <v>0.14245169082125606</v>
      </c>
      <c r="I536">
        <f ca="1">Referencia_Hoy-Master_ventas[[#This Row],[Order Date]]</f>
        <v>870</v>
      </c>
      <c r="J536" t="str">
        <f>UPPER(Master_ventas[[#This Row],[Product Name]])</f>
        <v>CAMERA</v>
      </c>
      <c r="K536" t="str">
        <f>UPPER(Master_ventas[[#This Row],[Category]])</f>
        <v>ELECTRONICS</v>
      </c>
      <c r="L536">
        <f>YEAR(Master_ventas[[#This Row],[Order Date]])</f>
        <v>2024</v>
      </c>
      <c r="M536" t="str">
        <f>CONCATENATE(LEFT(Master_ventas[[#This Row],[ProdUpper]],3),RIGHT(Master_ventas[[#This Row],[Ext-Year]],2),"-",MID(Master_ventas[[#This Row],[Category]],1,1))</f>
        <v>CAM24-E</v>
      </c>
      <c r="N536" t="str">
        <f>MID(Master_ventas[[#This Row],[ProdUpper]],1,3)</f>
        <v>CAM</v>
      </c>
      <c r="O536" t="str">
        <f>UPPER(IF(Master_ventas[[#This Row],[Profit]]&gt;500,"High","Std"))</f>
        <v>STD</v>
      </c>
      <c r="P536">
        <v>535</v>
      </c>
    </row>
    <row r="537" spans="1:16" x14ac:dyDescent="0.3">
      <c r="A537" s="1">
        <v>44592</v>
      </c>
      <c r="B537" t="s">
        <v>17</v>
      </c>
      <c r="C537" t="s">
        <v>14</v>
      </c>
      <c r="D537" t="s">
        <v>15</v>
      </c>
      <c r="E537">
        <v>2</v>
      </c>
      <c r="F537" s="3">
        <v>1580</v>
      </c>
      <c r="G537" s="2">
        <v>403.76</v>
      </c>
      <c r="H537">
        <f>Master_ventas[[#This Row],[Profit]]/Master_ventas[[#This Row],[Sales]]</f>
        <v>0.25554430379746834</v>
      </c>
      <c r="I537">
        <f ca="1">Referencia_Hoy-Master_ventas[[#This Row],[Order Date]]</f>
        <v>1731</v>
      </c>
      <c r="J537" t="str">
        <f>UPPER(Master_ventas[[#This Row],[Product Name]])</f>
        <v>CAMERA</v>
      </c>
      <c r="K537" t="str">
        <f>UPPER(Master_ventas[[#This Row],[Category]])</f>
        <v>ELECTRONICS</v>
      </c>
      <c r="L537">
        <f>YEAR(Master_ventas[[#This Row],[Order Date]])</f>
        <v>2022</v>
      </c>
      <c r="M537" t="str">
        <f>CONCATENATE(LEFT(Master_ventas[[#This Row],[ProdUpper]],3),RIGHT(Master_ventas[[#This Row],[Ext-Year]],2),"-",MID(Master_ventas[[#This Row],[Category]],1,1))</f>
        <v>CAM22-E</v>
      </c>
      <c r="N537" t="str">
        <f>MID(Master_ventas[[#This Row],[ProdUpper]],1,3)</f>
        <v>CAM</v>
      </c>
      <c r="O537" t="str">
        <f>UPPER(IF(Master_ventas[[#This Row],[Profit]]&gt;500,"High","Std"))</f>
        <v>STD</v>
      </c>
      <c r="P537">
        <v>536</v>
      </c>
    </row>
    <row r="538" spans="1:16" x14ac:dyDescent="0.3">
      <c r="A538" s="1">
        <v>45182</v>
      </c>
      <c r="B538" t="s">
        <v>17</v>
      </c>
      <c r="C538" t="s">
        <v>14</v>
      </c>
      <c r="D538" t="s">
        <v>12</v>
      </c>
      <c r="E538">
        <v>9</v>
      </c>
      <c r="F538" s="3">
        <v>9009</v>
      </c>
      <c r="G538" s="2">
        <v>1909.26</v>
      </c>
      <c r="H538">
        <f>Master_ventas[[#This Row],[Profit]]/Master_ventas[[#This Row],[Sales]]</f>
        <v>0.21192807192807192</v>
      </c>
      <c r="I538">
        <f ca="1">Referencia_Hoy-Master_ventas[[#This Row],[Order Date]]</f>
        <v>1141</v>
      </c>
      <c r="J538" t="str">
        <f>UPPER(Master_ventas[[#This Row],[Product Name]])</f>
        <v>CAMERA</v>
      </c>
      <c r="K538" t="str">
        <f>UPPER(Master_ventas[[#This Row],[Category]])</f>
        <v>ELECTRONICS</v>
      </c>
      <c r="L538">
        <f>YEAR(Master_ventas[[#This Row],[Order Date]])</f>
        <v>2023</v>
      </c>
      <c r="M538" t="str">
        <f>CONCATENATE(LEFT(Master_ventas[[#This Row],[ProdUpper]],3),RIGHT(Master_ventas[[#This Row],[Ext-Year]],2),"-",MID(Master_ventas[[#This Row],[Category]],1,1))</f>
        <v>CAM23-E</v>
      </c>
      <c r="N538" t="str">
        <f>MID(Master_ventas[[#This Row],[ProdUpper]],1,3)</f>
        <v>CAM</v>
      </c>
      <c r="O538" t="str">
        <f>UPPER(IF(Master_ventas[[#This Row],[Profit]]&gt;500,"High","Std"))</f>
        <v>HIGH</v>
      </c>
      <c r="P538">
        <v>537</v>
      </c>
    </row>
    <row r="539" spans="1:16" x14ac:dyDescent="0.3">
      <c r="A539" s="1">
        <v>44835</v>
      </c>
      <c r="B539" t="s">
        <v>21</v>
      </c>
      <c r="C539" t="s">
        <v>14</v>
      </c>
      <c r="D539" t="s">
        <v>12</v>
      </c>
      <c r="E539">
        <v>9</v>
      </c>
      <c r="F539" s="3">
        <v>7425</v>
      </c>
      <c r="G539" s="2">
        <v>1580.86</v>
      </c>
      <c r="H539">
        <f>Master_ventas[[#This Row],[Profit]]/Master_ventas[[#This Row],[Sales]]</f>
        <v>0.21291043771043769</v>
      </c>
      <c r="I539">
        <f ca="1">Referencia_Hoy-Master_ventas[[#This Row],[Order Date]]</f>
        <v>1488</v>
      </c>
      <c r="J539" t="str">
        <f>UPPER(Master_ventas[[#This Row],[Product Name]])</f>
        <v>SMARTPHONE</v>
      </c>
      <c r="K539" t="str">
        <f>UPPER(Master_ventas[[#This Row],[Category]])</f>
        <v>ELECTRONICS</v>
      </c>
      <c r="L539">
        <f>YEAR(Master_ventas[[#This Row],[Order Date]])</f>
        <v>2022</v>
      </c>
      <c r="M539" t="str">
        <f>CONCATENATE(LEFT(Master_ventas[[#This Row],[ProdUpper]],3),RIGHT(Master_ventas[[#This Row],[Ext-Year]],2),"-",MID(Master_ventas[[#This Row],[Category]],1,1))</f>
        <v>SMA22-E</v>
      </c>
      <c r="N539" t="str">
        <f>MID(Master_ventas[[#This Row],[ProdUpper]],1,3)</f>
        <v>SMA</v>
      </c>
      <c r="O539" t="str">
        <f>UPPER(IF(Master_ventas[[#This Row],[Profit]]&gt;500,"High","Std"))</f>
        <v>HIGH</v>
      </c>
      <c r="P539">
        <v>538</v>
      </c>
    </row>
    <row r="540" spans="1:16" x14ac:dyDescent="0.3">
      <c r="A540" s="1">
        <v>45650</v>
      </c>
      <c r="B540" t="s">
        <v>20</v>
      </c>
      <c r="C540" t="s">
        <v>11</v>
      </c>
      <c r="D540" t="s">
        <v>16</v>
      </c>
      <c r="E540">
        <v>5</v>
      </c>
      <c r="F540" s="3">
        <v>2945</v>
      </c>
      <c r="G540" s="2">
        <v>672.35</v>
      </c>
      <c r="H540">
        <f>Master_ventas[[#This Row],[Profit]]/Master_ventas[[#This Row],[Sales]]</f>
        <v>0.22830220713073004</v>
      </c>
      <c r="I540">
        <f ca="1">Referencia_Hoy-Master_ventas[[#This Row],[Order Date]]</f>
        <v>673</v>
      </c>
      <c r="J540" t="str">
        <f>UPPER(Master_ventas[[#This Row],[Product Name]])</f>
        <v>MONITOR</v>
      </c>
      <c r="K540" t="str">
        <f>UPPER(Master_ventas[[#This Row],[Category]])</f>
        <v>ACCESSORIES</v>
      </c>
      <c r="L540">
        <f>YEAR(Master_ventas[[#This Row],[Order Date]])</f>
        <v>2024</v>
      </c>
      <c r="M540" t="str">
        <f>CONCATENATE(LEFT(Master_ventas[[#This Row],[ProdUpper]],3),RIGHT(Master_ventas[[#This Row],[Ext-Year]],2),"-",MID(Master_ventas[[#This Row],[Category]],1,1))</f>
        <v>MON24-A</v>
      </c>
      <c r="N540" t="str">
        <f>MID(Master_ventas[[#This Row],[ProdUpper]],1,3)</f>
        <v>MON</v>
      </c>
      <c r="O540" t="str">
        <f>UPPER(IF(Master_ventas[[#This Row],[Profit]]&gt;500,"High","Std"))</f>
        <v>HIGH</v>
      </c>
      <c r="P540">
        <v>539</v>
      </c>
    </row>
    <row r="541" spans="1:16" x14ac:dyDescent="0.3">
      <c r="A541" s="1">
        <v>45126</v>
      </c>
      <c r="B541" t="s">
        <v>10</v>
      </c>
      <c r="C541" t="s">
        <v>11</v>
      </c>
      <c r="D541" t="s">
        <v>16</v>
      </c>
      <c r="E541">
        <v>3</v>
      </c>
      <c r="F541" s="3">
        <v>294</v>
      </c>
      <c r="G541" s="2">
        <v>22.9</v>
      </c>
      <c r="H541">
        <f>Master_ventas[[#This Row],[Profit]]/Master_ventas[[#This Row],[Sales]]</f>
        <v>7.7891156462585029E-2</v>
      </c>
      <c r="I541">
        <f ca="1">Referencia_Hoy-Master_ventas[[#This Row],[Order Date]]</f>
        <v>1197</v>
      </c>
      <c r="J541" t="str">
        <f>UPPER(Master_ventas[[#This Row],[Product Name]])</f>
        <v>MOUSE</v>
      </c>
      <c r="K541" t="str">
        <f>UPPER(Master_ventas[[#This Row],[Category]])</f>
        <v>ACCESSORIES</v>
      </c>
      <c r="L541">
        <f>YEAR(Master_ventas[[#This Row],[Order Date]])</f>
        <v>2023</v>
      </c>
      <c r="M541" t="str">
        <f>CONCATENATE(LEFT(Master_ventas[[#This Row],[ProdUpper]],3),RIGHT(Master_ventas[[#This Row],[Ext-Year]],2),"-",MID(Master_ventas[[#This Row],[Category]],1,1))</f>
        <v>MOU23-A</v>
      </c>
      <c r="N541" t="str">
        <f>MID(Master_ventas[[#This Row],[ProdUpper]],1,3)</f>
        <v>MOU</v>
      </c>
      <c r="O541" t="str">
        <f>UPPER(IF(Master_ventas[[#This Row],[Profit]]&gt;500,"High","Std"))</f>
        <v>STD</v>
      </c>
      <c r="P541">
        <v>540</v>
      </c>
    </row>
    <row r="542" spans="1:16" x14ac:dyDescent="0.3">
      <c r="A542" s="1">
        <v>45429</v>
      </c>
      <c r="B542" t="s">
        <v>10</v>
      </c>
      <c r="C542" t="s">
        <v>11</v>
      </c>
      <c r="D542" t="s">
        <v>15</v>
      </c>
      <c r="E542">
        <v>5</v>
      </c>
      <c r="F542" s="3">
        <v>5875</v>
      </c>
      <c r="G542" s="2">
        <v>789.23</v>
      </c>
      <c r="H542">
        <f>Master_ventas[[#This Row],[Profit]]/Master_ventas[[#This Row],[Sales]]</f>
        <v>0.13433702127659575</v>
      </c>
      <c r="I542">
        <f ca="1">Referencia_Hoy-Master_ventas[[#This Row],[Order Date]]</f>
        <v>894</v>
      </c>
      <c r="J542" t="str">
        <f>UPPER(Master_ventas[[#This Row],[Product Name]])</f>
        <v>MOUSE</v>
      </c>
      <c r="K542" t="str">
        <f>UPPER(Master_ventas[[#This Row],[Category]])</f>
        <v>ACCESSORIES</v>
      </c>
      <c r="L542">
        <f>YEAR(Master_ventas[[#This Row],[Order Date]])</f>
        <v>2024</v>
      </c>
      <c r="M542" t="str">
        <f>CONCATENATE(LEFT(Master_ventas[[#This Row],[ProdUpper]],3),RIGHT(Master_ventas[[#This Row],[Ext-Year]],2),"-",MID(Master_ventas[[#This Row],[Category]],1,1))</f>
        <v>MOU24-A</v>
      </c>
      <c r="N542" t="str">
        <f>MID(Master_ventas[[#This Row],[ProdUpper]],1,3)</f>
        <v>MOU</v>
      </c>
      <c r="O542" t="str">
        <f>UPPER(IF(Master_ventas[[#This Row],[Profit]]&gt;500,"High","Std"))</f>
        <v>HIGH</v>
      </c>
      <c r="P542">
        <v>541</v>
      </c>
    </row>
    <row r="543" spans="1:16" x14ac:dyDescent="0.3">
      <c r="A543" s="1">
        <v>44578</v>
      </c>
      <c r="B543" t="s">
        <v>19</v>
      </c>
      <c r="C543" t="s">
        <v>14</v>
      </c>
      <c r="D543" t="s">
        <v>16</v>
      </c>
      <c r="E543">
        <v>3</v>
      </c>
      <c r="F543" s="3">
        <v>1308</v>
      </c>
      <c r="G543" s="2">
        <v>197.6</v>
      </c>
      <c r="H543">
        <f>Master_ventas[[#This Row],[Profit]]/Master_ventas[[#This Row],[Sales]]</f>
        <v>0.1510703363914373</v>
      </c>
      <c r="I543">
        <f ca="1">Referencia_Hoy-Master_ventas[[#This Row],[Order Date]]</f>
        <v>1745</v>
      </c>
      <c r="J543" t="str">
        <f>UPPER(Master_ventas[[#This Row],[Product Name]])</f>
        <v>SMARTWATCH</v>
      </c>
      <c r="K543" t="str">
        <f>UPPER(Master_ventas[[#This Row],[Category]])</f>
        <v>ELECTRONICS</v>
      </c>
      <c r="L543">
        <f>YEAR(Master_ventas[[#This Row],[Order Date]])</f>
        <v>2022</v>
      </c>
      <c r="M543" t="str">
        <f>CONCATENATE(LEFT(Master_ventas[[#This Row],[ProdUpper]],3),RIGHT(Master_ventas[[#This Row],[Ext-Year]],2),"-",MID(Master_ventas[[#This Row],[Category]],1,1))</f>
        <v>SMA22-E</v>
      </c>
      <c r="N543" t="str">
        <f>MID(Master_ventas[[#This Row],[ProdUpper]],1,3)</f>
        <v>SMA</v>
      </c>
      <c r="O543" t="str">
        <f>UPPER(IF(Master_ventas[[#This Row],[Profit]]&gt;500,"High","Std"))</f>
        <v>STD</v>
      </c>
      <c r="P543">
        <v>542</v>
      </c>
    </row>
    <row r="544" spans="1:16" x14ac:dyDescent="0.3">
      <c r="A544" s="1">
        <v>45301</v>
      </c>
      <c r="B544" t="s">
        <v>20</v>
      </c>
      <c r="C544" t="s">
        <v>11</v>
      </c>
      <c r="D544" t="s">
        <v>15</v>
      </c>
      <c r="E544">
        <v>4</v>
      </c>
      <c r="F544" s="3">
        <v>2360</v>
      </c>
      <c r="G544" s="2">
        <v>391.82</v>
      </c>
      <c r="H544">
        <f>Master_ventas[[#This Row],[Profit]]/Master_ventas[[#This Row],[Sales]]</f>
        <v>0.16602542372881354</v>
      </c>
      <c r="I544">
        <f ca="1">Referencia_Hoy-Master_ventas[[#This Row],[Order Date]]</f>
        <v>1022</v>
      </c>
      <c r="J544" t="str">
        <f>UPPER(Master_ventas[[#This Row],[Product Name]])</f>
        <v>MONITOR</v>
      </c>
      <c r="K544" t="str">
        <f>UPPER(Master_ventas[[#This Row],[Category]])</f>
        <v>ACCESSORIES</v>
      </c>
      <c r="L544">
        <f>YEAR(Master_ventas[[#This Row],[Order Date]])</f>
        <v>2024</v>
      </c>
      <c r="M544" t="str">
        <f>CONCATENATE(LEFT(Master_ventas[[#This Row],[ProdUpper]],3),RIGHT(Master_ventas[[#This Row],[Ext-Year]],2),"-",MID(Master_ventas[[#This Row],[Category]],1,1))</f>
        <v>MON24-A</v>
      </c>
      <c r="N544" t="str">
        <f>MID(Master_ventas[[#This Row],[ProdUpper]],1,3)</f>
        <v>MON</v>
      </c>
      <c r="O544" t="str">
        <f>UPPER(IF(Master_ventas[[#This Row],[Profit]]&gt;500,"High","Std"))</f>
        <v>STD</v>
      </c>
      <c r="P544">
        <v>543</v>
      </c>
    </row>
    <row r="545" spans="1:16" x14ac:dyDescent="0.3">
      <c r="A545" s="1">
        <v>45026</v>
      </c>
      <c r="B545" t="s">
        <v>19</v>
      </c>
      <c r="C545" t="s">
        <v>14</v>
      </c>
      <c r="D545" t="s">
        <v>16</v>
      </c>
      <c r="E545">
        <v>6</v>
      </c>
      <c r="F545" s="3">
        <v>1008</v>
      </c>
      <c r="G545" s="2">
        <v>245.45</v>
      </c>
      <c r="H545">
        <f>Master_ventas[[#This Row],[Profit]]/Master_ventas[[#This Row],[Sales]]</f>
        <v>0.24350198412698412</v>
      </c>
      <c r="I545">
        <f ca="1">Referencia_Hoy-Master_ventas[[#This Row],[Order Date]]</f>
        <v>1297</v>
      </c>
      <c r="J545" t="str">
        <f>UPPER(Master_ventas[[#This Row],[Product Name]])</f>
        <v>SMARTWATCH</v>
      </c>
      <c r="K545" t="str">
        <f>UPPER(Master_ventas[[#This Row],[Category]])</f>
        <v>ELECTRONICS</v>
      </c>
      <c r="L545">
        <f>YEAR(Master_ventas[[#This Row],[Order Date]])</f>
        <v>2023</v>
      </c>
      <c r="M545" t="str">
        <f>CONCATENATE(LEFT(Master_ventas[[#This Row],[ProdUpper]],3),RIGHT(Master_ventas[[#This Row],[Ext-Year]],2),"-",MID(Master_ventas[[#This Row],[Category]],1,1))</f>
        <v>SMA23-E</v>
      </c>
      <c r="N545" t="str">
        <f>MID(Master_ventas[[#This Row],[ProdUpper]],1,3)</f>
        <v>SMA</v>
      </c>
      <c r="O545" t="str">
        <f>UPPER(IF(Master_ventas[[#This Row],[Profit]]&gt;500,"High","Std"))</f>
        <v>STD</v>
      </c>
      <c r="P545">
        <v>544</v>
      </c>
    </row>
    <row r="546" spans="1:16" x14ac:dyDescent="0.3">
      <c r="A546" s="1">
        <v>45226</v>
      </c>
      <c r="B546" t="s">
        <v>19</v>
      </c>
      <c r="C546" t="s">
        <v>14</v>
      </c>
      <c r="D546" t="s">
        <v>9</v>
      </c>
      <c r="E546">
        <v>6</v>
      </c>
      <c r="F546" s="3">
        <v>1344</v>
      </c>
      <c r="G546" s="2">
        <v>338.4</v>
      </c>
      <c r="H546">
        <f>Master_ventas[[#This Row],[Profit]]/Master_ventas[[#This Row],[Sales]]</f>
        <v>0.25178571428571428</v>
      </c>
      <c r="I546">
        <f ca="1">Referencia_Hoy-Master_ventas[[#This Row],[Order Date]]</f>
        <v>1097</v>
      </c>
      <c r="J546" t="str">
        <f>UPPER(Master_ventas[[#This Row],[Product Name]])</f>
        <v>SMARTWATCH</v>
      </c>
      <c r="K546" t="str">
        <f>UPPER(Master_ventas[[#This Row],[Category]])</f>
        <v>ELECTRONICS</v>
      </c>
      <c r="L546">
        <f>YEAR(Master_ventas[[#This Row],[Order Date]])</f>
        <v>2023</v>
      </c>
      <c r="M546" t="str">
        <f>CONCATENATE(LEFT(Master_ventas[[#This Row],[ProdUpper]],3),RIGHT(Master_ventas[[#This Row],[Ext-Year]],2),"-",MID(Master_ventas[[#This Row],[Category]],1,1))</f>
        <v>SMA23-E</v>
      </c>
      <c r="N546" t="str">
        <f>MID(Master_ventas[[#This Row],[ProdUpper]],1,3)</f>
        <v>SMA</v>
      </c>
      <c r="O546" t="str">
        <f>UPPER(IF(Master_ventas[[#This Row],[Profit]]&gt;500,"High","Std"))</f>
        <v>STD</v>
      </c>
      <c r="P546">
        <v>545</v>
      </c>
    </row>
    <row r="547" spans="1:16" x14ac:dyDescent="0.3">
      <c r="A547" s="1">
        <v>44573</v>
      </c>
      <c r="B547" t="s">
        <v>7</v>
      </c>
      <c r="C547" t="s">
        <v>8</v>
      </c>
      <c r="D547" t="s">
        <v>16</v>
      </c>
      <c r="E547">
        <v>7</v>
      </c>
      <c r="F547" s="3">
        <v>5635</v>
      </c>
      <c r="G547" s="2">
        <v>1185.97</v>
      </c>
      <c r="H547">
        <f>Master_ventas[[#This Row],[Profit]]/Master_ventas[[#This Row],[Sales]]</f>
        <v>0.21046495119787045</v>
      </c>
      <c r="I547">
        <f ca="1">Referencia_Hoy-Master_ventas[[#This Row],[Order Date]]</f>
        <v>1750</v>
      </c>
      <c r="J547" t="str">
        <f>UPPER(Master_ventas[[#This Row],[Product Name]])</f>
        <v>PRINTER</v>
      </c>
      <c r="K547" t="str">
        <f>UPPER(Master_ventas[[#This Row],[Category]])</f>
        <v>OFFICE</v>
      </c>
      <c r="L547">
        <f>YEAR(Master_ventas[[#This Row],[Order Date]])</f>
        <v>2022</v>
      </c>
      <c r="M547" t="str">
        <f>CONCATENATE(LEFT(Master_ventas[[#This Row],[ProdUpper]],3),RIGHT(Master_ventas[[#This Row],[Ext-Year]],2),"-",MID(Master_ventas[[#This Row],[Category]],1,1))</f>
        <v>PRI22-O</v>
      </c>
      <c r="N547" t="str">
        <f>MID(Master_ventas[[#This Row],[ProdUpper]],1,3)</f>
        <v>PRI</v>
      </c>
      <c r="O547" t="str">
        <f>UPPER(IF(Master_ventas[[#This Row],[Profit]]&gt;500,"High","Std"))</f>
        <v>HIGH</v>
      </c>
      <c r="P547">
        <v>546</v>
      </c>
    </row>
    <row r="548" spans="1:16" x14ac:dyDescent="0.3">
      <c r="A548" s="1">
        <v>45184</v>
      </c>
      <c r="B548" t="s">
        <v>10</v>
      </c>
      <c r="C548" t="s">
        <v>11</v>
      </c>
      <c r="D548" t="s">
        <v>12</v>
      </c>
      <c r="E548">
        <v>4</v>
      </c>
      <c r="F548" s="3">
        <v>4088</v>
      </c>
      <c r="G548" s="2">
        <v>1200.03</v>
      </c>
      <c r="H548">
        <f>Master_ventas[[#This Row],[Profit]]/Master_ventas[[#This Row],[Sales]]</f>
        <v>0.29354941291585124</v>
      </c>
      <c r="I548">
        <f ca="1">Referencia_Hoy-Master_ventas[[#This Row],[Order Date]]</f>
        <v>1139</v>
      </c>
      <c r="J548" t="str">
        <f>UPPER(Master_ventas[[#This Row],[Product Name]])</f>
        <v>MOUSE</v>
      </c>
      <c r="K548" t="str">
        <f>UPPER(Master_ventas[[#This Row],[Category]])</f>
        <v>ACCESSORIES</v>
      </c>
      <c r="L548">
        <f>YEAR(Master_ventas[[#This Row],[Order Date]])</f>
        <v>2023</v>
      </c>
      <c r="M548" t="str">
        <f>CONCATENATE(LEFT(Master_ventas[[#This Row],[ProdUpper]],3),RIGHT(Master_ventas[[#This Row],[Ext-Year]],2),"-",MID(Master_ventas[[#This Row],[Category]],1,1))</f>
        <v>MOU23-A</v>
      </c>
      <c r="N548" t="str">
        <f>MID(Master_ventas[[#This Row],[ProdUpper]],1,3)</f>
        <v>MOU</v>
      </c>
      <c r="O548" t="str">
        <f>UPPER(IF(Master_ventas[[#This Row],[Profit]]&gt;500,"High","Std"))</f>
        <v>HIGH</v>
      </c>
      <c r="P548">
        <v>547</v>
      </c>
    </row>
    <row r="549" spans="1:16" x14ac:dyDescent="0.3">
      <c r="A549" s="1">
        <v>45630</v>
      </c>
      <c r="B549" t="s">
        <v>17</v>
      </c>
      <c r="C549" t="s">
        <v>14</v>
      </c>
      <c r="D549" t="s">
        <v>15</v>
      </c>
      <c r="E549">
        <v>8</v>
      </c>
      <c r="F549" s="3">
        <v>2192</v>
      </c>
      <c r="G549" s="2">
        <v>441.77</v>
      </c>
      <c r="H549">
        <f>Master_ventas[[#This Row],[Profit]]/Master_ventas[[#This Row],[Sales]]</f>
        <v>0.20153740875912407</v>
      </c>
      <c r="I549">
        <f ca="1">Referencia_Hoy-Master_ventas[[#This Row],[Order Date]]</f>
        <v>693</v>
      </c>
      <c r="J549" t="str">
        <f>UPPER(Master_ventas[[#This Row],[Product Name]])</f>
        <v>CAMERA</v>
      </c>
      <c r="K549" t="str">
        <f>UPPER(Master_ventas[[#This Row],[Category]])</f>
        <v>ELECTRONICS</v>
      </c>
      <c r="L549">
        <f>YEAR(Master_ventas[[#This Row],[Order Date]])</f>
        <v>2024</v>
      </c>
      <c r="M549" t="str">
        <f>CONCATENATE(LEFT(Master_ventas[[#This Row],[ProdUpper]],3),RIGHT(Master_ventas[[#This Row],[Ext-Year]],2),"-",MID(Master_ventas[[#This Row],[Category]],1,1))</f>
        <v>CAM24-E</v>
      </c>
      <c r="N549" t="str">
        <f>MID(Master_ventas[[#This Row],[ProdUpper]],1,3)</f>
        <v>CAM</v>
      </c>
      <c r="O549" t="str">
        <f>UPPER(IF(Master_ventas[[#This Row],[Profit]]&gt;500,"High","Std"))</f>
        <v>STD</v>
      </c>
      <c r="P549">
        <v>548</v>
      </c>
    </row>
    <row r="550" spans="1:16" x14ac:dyDescent="0.3">
      <c r="A550" s="1">
        <v>44718</v>
      </c>
      <c r="B550" t="s">
        <v>22</v>
      </c>
      <c r="C550" t="s">
        <v>11</v>
      </c>
      <c r="D550" t="s">
        <v>15</v>
      </c>
      <c r="E550">
        <v>8</v>
      </c>
      <c r="F550" s="3">
        <v>1952</v>
      </c>
      <c r="G550" s="2">
        <v>444.15</v>
      </c>
      <c r="H550">
        <f>Master_ventas[[#This Row],[Profit]]/Master_ventas[[#This Row],[Sales]]</f>
        <v>0.22753586065573769</v>
      </c>
      <c r="I550">
        <f ca="1">Referencia_Hoy-Master_ventas[[#This Row],[Order Date]]</f>
        <v>1605</v>
      </c>
      <c r="J550" t="str">
        <f>UPPER(Master_ventas[[#This Row],[Product Name]])</f>
        <v>KEYBOARD</v>
      </c>
      <c r="K550" t="str">
        <f>UPPER(Master_ventas[[#This Row],[Category]])</f>
        <v>ACCESSORIES</v>
      </c>
      <c r="L550">
        <f>YEAR(Master_ventas[[#This Row],[Order Date]])</f>
        <v>2022</v>
      </c>
      <c r="M550" t="str">
        <f>CONCATENATE(LEFT(Master_ventas[[#This Row],[ProdUpper]],3),RIGHT(Master_ventas[[#This Row],[Ext-Year]],2),"-",MID(Master_ventas[[#This Row],[Category]],1,1))</f>
        <v>KEY22-A</v>
      </c>
      <c r="N550" t="str">
        <f>MID(Master_ventas[[#This Row],[ProdUpper]],1,3)</f>
        <v>KEY</v>
      </c>
      <c r="O550" t="str">
        <f>UPPER(IF(Master_ventas[[#This Row],[Profit]]&gt;500,"High","Std"))</f>
        <v>STD</v>
      </c>
      <c r="P550">
        <v>549</v>
      </c>
    </row>
    <row r="551" spans="1:16" x14ac:dyDescent="0.3">
      <c r="A551" s="1">
        <v>44954</v>
      </c>
      <c r="B551" t="s">
        <v>21</v>
      </c>
      <c r="C551" t="s">
        <v>14</v>
      </c>
      <c r="D551" t="s">
        <v>12</v>
      </c>
      <c r="E551">
        <v>7</v>
      </c>
      <c r="F551" s="3">
        <v>3955</v>
      </c>
      <c r="G551" s="2">
        <v>1144.76</v>
      </c>
      <c r="H551">
        <f>Master_ventas[[#This Row],[Profit]]/Master_ventas[[#This Row],[Sales]]</f>
        <v>0.28944627054361566</v>
      </c>
      <c r="I551">
        <f ca="1">Referencia_Hoy-Master_ventas[[#This Row],[Order Date]]</f>
        <v>1369</v>
      </c>
      <c r="J551" t="str">
        <f>UPPER(Master_ventas[[#This Row],[Product Name]])</f>
        <v>SMARTPHONE</v>
      </c>
      <c r="K551" t="str">
        <f>UPPER(Master_ventas[[#This Row],[Category]])</f>
        <v>ELECTRONICS</v>
      </c>
      <c r="L551">
        <f>YEAR(Master_ventas[[#This Row],[Order Date]])</f>
        <v>2023</v>
      </c>
      <c r="M551" t="str">
        <f>CONCATENATE(LEFT(Master_ventas[[#This Row],[ProdUpper]],3),RIGHT(Master_ventas[[#This Row],[Ext-Year]],2),"-",MID(Master_ventas[[#This Row],[Category]],1,1))</f>
        <v>SMA23-E</v>
      </c>
      <c r="N551" t="str">
        <f>MID(Master_ventas[[#This Row],[ProdUpper]],1,3)</f>
        <v>SMA</v>
      </c>
      <c r="O551" t="str">
        <f>UPPER(IF(Master_ventas[[#This Row],[Profit]]&gt;500,"High","Std"))</f>
        <v>HIGH</v>
      </c>
      <c r="P551">
        <v>550</v>
      </c>
    </row>
    <row r="552" spans="1:16" x14ac:dyDescent="0.3">
      <c r="A552" s="1">
        <v>45101</v>
      </c>
      <c r="B552" t="s">
        <v>10</v>
      </c>
      <c r="C552" t="s">
        <v>11</v>
      </c>
      <c r="D552" t="s">
        <v>15</v>
      </c>
      <c r="E552">
        <v>8</v>
      </c>
      <c r="F552" s="3">
        <v>5256</v>
      </c>
      <c r="G552" s="2">
        <v>1118.1600000000001</v>
      </c>
      <c r="H552">
        <f>Master_ventas[[#This Row],[Profit]]/Master_ventas[[#This Row],[Sales]]</f>
        <v>0.21273972602739727</v>
      </c>
      <c r="I552">
        <f ca="1">Referencia_Hoy-Master_ventas[[#This Row],[Order Date]]</f>
        <v>1222</v>
      </c>
      <c r="J552" t="str">
        <f>UPPER(Master_ventas[[#This Row],[Product Name]])</f>
        <v>MOUSE</v>
      </c>
      <c r="K552" t="str">
        <f>UPPER(Master_ventas[[#This Row],[Category]])</f>
        <v>ACCESSORIES</v>
      </c>
      <c r="L552">
        <f>YEAR(Master_ventas[[#This Row],[Order Date]])</f>
        <v>2023</v>
      </c>
      <c r="M552" t="str">
        <f>CONCATENATE(LEFT(Master_ventas[[#This Row],[ProdUpper]],3),RIGHT(Master_ventas[[#This Row],[Ext-Year]],2),"-",MID(Master_ventas[[#This Row],[Category]],1,1))</f>
        <v>MOU23-A</v>
      </c>
      <c r="N552" t="str">
        <f>MID(Master_ventas[[#This Row],[ProdUpper]],1,3)</f>
        <v>MOU</v>
      </c>
      <c r="O552" t="str">
        <f>UPPER(IF(Master_ventas[[#This Row],[Profit]]&gt;500,"High","Std"))</f>
        <v>HIGH</v>
      </c>
      <c r="P552">
        <v>551</v>
      </c>
    </row>
    <row r="553" spans="1:16" x14ac:dyDescent="0.3">
      <c r="A553" s="1">
        <v>44923</v>
      </c>
      <c r="B553" t="s">
        <v>17</v>
      </c>
      <c r="C553" t="s">
        <v>14</v>
      </c>
      <c r="D553" t="s">
        <v>9</v>
      </c>
      <c r="E553">
        <v>1</v>
      </c>
      <c r="F553" s="3">
        <v>1163</v>
      </c>
      <c r="G553" s="2">
        <v>115.09</v>
      </c>
      <c r="H553">
        <f>Master_ventas[[#This Row],[Profit]]/Master_ventas[[#This Row],[Sales]]</f>
        <v>9.8959587274290634E-2</v>
      </c>
      <c r="I553">
        <f ca="1">Referencia_Hoy-Master_ventas[[#This Row],[Order Date]]</f>
        <v>1400</v>
      </c>
      <c r="J553" t="str">
        <f>UPPER(Master_ventas[[#This Row],[Product Name]])</f>
        <v>CAMERA</v>
      </c>
      <c r="K553" t="str">
        <f>UPPER(Master_ventas[[#This Row],[Category]])</f>
        <v>ELECTRONICS</v>
      </c>
      <c r="L553">
        <f>YEAR(Master_ventas[[#This Row],[Order Date]])</f>
        <v>2022</v>
      </c>
      <c r="M553" t="str">
        <f>CONCATENATE(LEFT(Master_ventas[[#This Row],[ProdUpper]],3),RIGHT(Master_ventas[[#This Row],[Ext-Year]],2),"-",MID(Master_ventas[[#This Row],[Category]],1,1))</f>
        <v>CAM22-E</v>
      </c>
      <c r="N553" t="str">
        <f>MID(Master_ventas[[#This Row],[ProdUpper]],1,3)</f>
        <v>CAM</v>
      </c>
      <c r="O553" t="str">
        <f>UPPER(IF(Master_ventas[[#This Row],[Profit]]&gt;500,"High","Std"))</f>
        <v>STD</v>
      </c>
      <c r="P553">
        <v>552</v>
      </c>
    </row>
    <row r="554" spans="1:16" x14ac:dyDescent="0.3">
      <c r="A554" s="1">
        <v>44828</v>
      </c>
      <c r="B554" t="s">
        <v>19</v>
      </c>
      <c r="C554" t="s">
        <v>14</v>
      </c>
      <c r="D554" t="s">
        <v>9</v>
      </c>
      <c r="E554">
        <v>9</v>
      </c>
      <c r="F554" s="3">
        <v>5004</v>
      </c>
      <c r="G554" s="2">
        <v>973.65</v>
      </c>
      <c r="H554">
        <f>Master_ventas[[#This Row],[Profit]]/Master_ventas[[#This Row],[Sales]]</f>
        <v>0.19457434052757794</v>
      </c>
      <c r="I554">
        <f ca="1">Referencia_Hoy-Master_ventas[[#This Row],[Order Date]]</f>
        <v>1495</v>
      </c>
      <c r="J554" t="str">
        <f>UPPER(Master_ventas[[#This Row],[Product Name]])</f>
        <v>SMARTWATCH</v>
      </c>
      <c r="K554" t="str">
        <f>UPPER(Master_ventas[[#This Row],[Category]])</f>
        <v>ELECTRONICS</v>
      </c>
      <c r="L554">
        <f>YEAR(Master_ventas[[#This Row],[Order Date]])</f>
        <v>2022</v>
      </c>
      <c r="M554" t="str">
        <f>CONCATENATE(LEFT(Master_ventas[[#This Row],[ProdUpper]],3),RIGHT(Master_ventas[[#This Row],[Ext-Year]],2),"-",MID(Master_ventas[[#This Row],[Category]],1,1))</f>
        <v>SMA22-E</v>
      </c>
      <c r="N554" t="str">
        <f>MID(Master_ventas[[#This Row],[ProdUpper]],1,3)</f>
        <v>SMA</v>
      </c>
      <c r="O554" t="str">
        <f>UPPER(IF(Master_ventas[[#This Row],[Profit]]&gt;500,"High","Std"))</f>
        <v>HIGH</v>
      </c>
      <c r="P554">
        <v>553</v>
      </c>
    </row>
    <row r="555" spans="1:16" x14ac:dyDescent="0.3">
      <c r="A555" s="1">
        <v>45052</v>
      </c>
      <c r="B555" t="s">
        <v>10</v>
      </c>
      <c r="C555" t="s">
        <v>11</v>
      </c>
      <c r="D555" t="s">
        <v>9</v>
      </c>
      <c r="E555">
        <v>8</v>
      </c>
      <c r="F555" s="3">
        <v>9128</v>
      </c>
      <c r="G555" s="2">
        <v>1342.19</v>
      </c>
      <c r="H555">
        <f>Master_ventas[[#This Row],[Profit]]/Master_ventas[[#This Row],[Sales]]</f>
        <v>0.14704097283085013</v>
      </c>
      <c r="I555">
        <f ca="1">Referencia_Hoy-Master_ventas[[#This Row],[Order Date]]</f>
        <v>1271</v>
      </c>
      <c r="J555" t="str">
        <f>UPPER(Master_ventas[[#This Row],[Product Name]])</f>
        <v>MOUSE</v>
      </c>
      <c r="K555" t="str">
        <f>UPPER(Master_ventas[[#This Row],[Category]])</f>
        <v>ACCESSORIES</v>
      </c>
      <c r="L555">
        <f>YEAR(Master_ventas[[#This Row],[Order Date]])</f>
        <v>2023</v>
      </c>
      <c r="M555" t="str">
        <f>CONCATENATE(LEFT(Master_ventas[[#This Row],[ProdUpper]],3),RIGHT(Master_ventas[[#This Row],[Ext-Year]],2),"-",MID(Master_ventas[[#This Row],[Category]],1,1))</f>
        <v>MOU23-A</v>
      </c>
      <c r="N555" t="str">
        <f>MID(Master_ventas[[#This Row],[ProdUpper]],1,3)</f>
        <v>MOU</v>
      </c>
      <c r="O555" t="str">
        <f>UPPER(IF(Master_ventas[[#This Row],[Profit]]&gt;500,"High","Std"))</f>
        <v>HIGH</v>
      </c>
      <c r="P555">
        <v>554</v>
      </c>
    </row>
    <row r="556" spans="1:16" x14ac:dyDescent="0.3">
      <c r="A556" s="1">
        <v>45120</v>
      </c>
      <c r="B556" t="s">
        <v>23</v>
      </c>
      <c r="C556" t="s">
        <v>14</v>
      </c>
      <c r="D556" t="s">
        <v>12</v>
      </c>
      <c r="E556">
        <v>4</v>
      </c>
      <c r="F556" s="3">
        <v>4700</v>
      </c>
      <c r="G556" s="2">
        <v>576.34</v>
      </c>
      <c r="H556">
        <f>Master_ventas[[#This Row],[Profit]]/Master_ventas[[#This Row],[Sales]]</f>
        <v>0.12262553191489363</v>
      </c>
      <c r="I556">
        <f ca="1">Referencia_Hoy-Master_ventas[[#This Row],[Order Date]]</f>
        <v>1203</v>
      </c>
      <c r="J556" t="str">
        <f>UPPER(Master_ventas[[#This Row],[Product Name]])</f>
        <v>LAPTOP</v>
      </c>
      <c r="K556" t="str">
        <f>UPPER(Master_ventas[[#This Row],[Category]])</f>
        <v>ELECTRONICS</v>
      </c>
      <c r="L556">
        <f>YEAR(Master_ventas[[#This Row],[Order Date]])</f>
        <v>2023</v>
      </c>
      <c r="M556" t="str">
        <f>CONCATENATE(LEFT(Master_ventas[[#This Row],[ProdUpper]],3),RIGHT(Master_ventas[[#This Row],[Ext-Year]],2),"-",MID(Master_ventas[[#This Row],[Category]],1,1))</f>
        <v>LAP23-E</v>
      </c>
      <c r="N556" t="str">
        <f>MID(Master_ventas[[#This Row],[ProdUpper]],1,3)</f>
        <v>LAP</v>
      </c>
      <c r="O556" t="str">
        <f>UPPER(IF(Master_ventas[[#This Row],[Profit]]&gt;500,"High","Std"))</f>
        <v>HIGH</v>
      </c>
      <c r="P556">
        <v>555</v>
      </c>
    </row>
    <row r="557" spans="1:16" x14ac:dyDescent="0.3">
      <c r="A557" s="1">
        <v>44566</v>
      </c>
      <c r="B557" t="s">
        <v>17</v>
      </c>
      <c r="C557" t="s">
        <v>14</v>
      </c>
      <c r="D557" t="s">
        <v>16</v>
      </c>
      <c r="E557">
        <v>2</v>
      </c>
      <c r="F557" s="3">
        <v>1686</v>
      </c>
      <c r="G557" s="2">
        <v>146.38999999999999</v>
      </c>
      <c r="H557">
        <f>Master_ventas[[#This Row],[Profit]]/Master_ventas[[#This Row],[Sales]]</f>
        <v>8.6826809015421114E-2</v>
      </c>
      <c r="I557">
        <f ca="1">Referencia_Hoy-Master_ventas[[#This Row],[Order Date]]</f>
        <v>1757</v>
      </c>
      <c r="J557" t="str">
        <f>UPPER(Master_ventas[[#This Row],[Product Name]])</f>
        <v>CAMERA</v>
      </c>
      <c r="K557" t="str">
        <f>UPPER(Master_ventas[[#This Row],[Category]])</f>
        <v>ELECTRONICS</v>
      </c>
      <c r="L557">
        <f>YEAR(Master_ventas[[#This Row],[Order Date]])</f>
        <v>2022</v>
      </c>
      <c r="M557" t="str">
        <f>CONCATENATE(LEFT(Master_ventas[[#This Row],[ProdUpper]],3),RIGHT(Master_ventas[[#This Row],[Ext-Year]],2),"-",MID(Master_ventas[[#This Row],[Category]],1,1))</f>
        <v>CAM22-E</v>
      </c>
      <c r="N557" t="str">
        <f>MID(Master_ventas[[#This Row],[ProdUpper]],1,3)</f>
        <v>CAM</v>
      </c>
      <c r="O557" t="str">
        <f>UPPER(IF(Master_ventas[[#This Row],[Profit]]&gt;500,"High","Std"))</f>
        <v>STD</v>
      </c>
      <c r="P557">
        <v>556</v>
      </c>
    </row>
    <row r="558" spans="1:16" x14ac:dyDescent="0.3">
      <c r="A558" s="1">
        <v>45507</v>
      </c>
      <c r="B558" t="s">
        <v>22</v>
      </c>
      <c r="C558" t="s">
        <v>11</v>
      </c>
      <c r="D558" t="s">
        <v>15</v>
      </c>
      <c r="E558">
        <v>9</v>
      </c>
      <c r="F558" s="3">
        <v>4572</v>
      </c>
      <c r="G558" s="2">
        <v>279.54000000000002</v>
      </c>
      <c r="H558">
        <f>Master_ventas[[#This Row],[Profit]]/Master_ventas[[#This Row],[Sales]]</f>
        <v>6.1141732283464569E-2</v>
      </c>
      <c r="I558">
        <f ca="1">Referencia_Hoy-Master_ventas[[#This Row],[Order Date]]</f>
        <v>816</v>
      </c>
      <c r="J558" t="str">
        <f>UPPER(Master_ventas[[#This Row],[Product Name]])</f>
        <v>KEYBOARD</v>
      </c>
      <c r="K558" t="str">
        <f>UPPER(Master_ventas[[#This Row],[Category]])</f>
        <v>ACCESSORIES</v>
      </c>
      <c r="L558">
        <f>YEAR(Master_ventas[[#This Row],[Order Date]])</f>
        <v>2024</v>
      </c>
      <c r="M558" t="str">
        <f>CONCATENATE(LEFT(Master_ventas[[#This Row],[ProdUpper]],3),RIGHT(Master_ventas[[#This Row],[Ext-Year]],2),"-",MID(Master_ventas[[#This Row],[Category]],1,1))</f>
        <v>KEY24-A</v>
      </c>
      <c r="N558" t="str">
        <f>MID(Master_ventas[[#This Row],[ProdUpper]],1,3)</f>
        <v>KEY</v>
      </c>
      <c r="O558" t="str">
        <f>UPPER(IF(Master_ventas[[#This Row],[Profit]]&gt;500,"High","Std"))</f>
        <v>STD</v>
      </c>
      <c r="P558">
        <v>557</v>
      </c>
    </row>
    <row r="559" spans="1:16" x14ac:dyDescent="0.3">
      <c r="A559" s="1">
        <v>45159</v>
      </c>
      <c r="B559" t="s">
        <v>21</v>
      </c>
      <c r="C559" t="s">
        <v>14</v>
      </c>
      <c r="D559" t="s">
        <v>15</v>
      </c>
      <c r="E559">
        <v>5</v>
      </c>
      <c r="F559" s="3">
        <v>2510</v>
      </c>
      <c r="G559" s="2">
        <v>515.12</v>
      </c>
      <c r="H559">
        <f>Master_ventas[[#This Row],[Profit]]/Master_ventas[[#This Row],[Sales]]</f>
        <v>0.20522709163346614</v>
      </c>
      <c r="I559">
        <f ca="1">Referencia_Hoy-Master_ventas[[#This Row],[Order Date]]</f>
        <v>1164</v>
      </c>
      <c r="J559" t="str">
        <f>UPPER(Master_ventas[[#This Row],[Product Name]])</f>
        <v>SMARTPHONE</v>
      </c>
      <c r="K559" t="str">
        <f>UPPER(Master_ventas[[#This Row],[Category]])</f>
        <v>ELECTRONICS</v>
      </c>
      <c r="L559">
        <f>YEAR(Master_ventas[[#This Row],[Order Date]])</f>
        <v>2023</v>
      </c>
      <c r="M559" t="str">
        <f>CONCATENATE(LEFT(Master_ventas[[#This Row],[ProdUpper]],3),RIGHT(Master_ventas[[#This Row],[Ext-Year]],2),"-",MID(Master_ventas[[#This Row],[Category]],1,1))</f>
        <v>SMA23-E</v>
      </c>
      <c r="N559" t="str">
        <f>MID(Master_ventas[[#This Row],[ProdUpper]],1,3)</f>
        <v>SMA</v>
      </c>
      <c r="O559" t="str">
        <f>UPPER(IF(Master_ventas[[#This Row],[Profit]]&gt;500,"High","Std"))</f>
        <v>HIGH</v>
      </c>
      <c r="P559">
        <v>558</v>
      </c>
    </row>
    <row r="560" spans="1:16" x14ac:dyDescent="0.3">
      <c r="A560" s="1">
        <v>45081</v>
      </c>
      <c r="B560" t="s">
        <v>21</v>
      </c>
      <c r="C560" t="s">
        <v>14</v>
      </c>
      <c r="D560" t="s">
        <v>16</v>
      </c>
      <c r="E560">
        <v>3</v>
      </c>
      <c r="F560" s="3">
        <v>3117</v>
      </c>
      <c r="G560" s="2">
        <v>829.09</v>
      </c>
      <c r="H560">
        <f>Master_ventas[[#This Row],[Profit]]/Master_ventas[[#This Row],[Sales]]</f>
        <v>0.26598973371831891</v>
      </c>
      <c r="I560">
        <f ca="1">Referencia_Hoy-Master_ventas[[#This Row],[Order Date]]</f>
        <v>1242</v>
      </c>
      <c r="J560" t="str">
        <f>UPPER(Master_ventas[[#This Row],[Product Name]])</f>
        <v>SMARTPHONE</v>
      </c>
      <c r="K560" t="str">
        <f>UPPER(Master_ventas[[#This Row],[Category]])</f>
        <v>ELECTRONICS</v>
      </c>
      <c r="L560">
        <f>YEAR(Master_ventas[[#This Row],[Order Date]])</f>
        <v>2023</v>
      </c>
      <c r="M560" t="str">
        <f>CONCATENATE(LEFT(Master_ventas[[#This Row],[ProdUpper]],3),RIGHT(Master_ventas[[#This Row],[Ext-Year]],2),"-",MID(Master_ventas[[#This Row],[Category]],1,1))</f>
        <v>SMA23-E</v>
      </c>
      <c r="N560" t="str">
        <f>MID(Master_ventas[[#This Row],[ProdUpper]],1,3)</f>
        <v>SMA</v>
      </c>
      <c r="O560" t="str">
        <f>UPPER(IF(Master_ventas[[#This Row],[Profit]]&gt;500,"High","Std"))</f>
        <v>HIGH</v>
      </c>
      <c r="P560">
        <v>559</v>
      </c>
    </row>
    <row r="561" spans="1:16" x14ac:dyDescent="0.3">
      <c r="A561" s="1">
        <v>45424</v>
      </c>
      <c r="B561" t="s">
        <v>23</v>
      </c>
      <c r="C561" t="s">
        <v>14</v>
      </c>
      <c r="D561" t="s">
        <v>16</v>
      </c>
      <c r="E561">
        <v>1</v>
      </c>
      <c r="F561" s="3">
        <v>380</v>
      </c>
      <c r="G561" s="2">
        <v>94.35</v>
      </c>
      <c r="H561">
        <f>Master_ventas[[#This Row],[Profit]]/Master_ventas[[#This Row],[Sales]]</f>
        <v>0.2482894736842105</v>
      </c>
      <c r="I561">
        <f ca="1">Referencia_Hoy-Master_ventas[[#This Row],[Order Date]]</f>
        <v>899</v>
      </c>
      <c r="J561" t="str">
        <f>UPPER(Master_ventas[[#This Row],[Product Name]])</f>
        <v>LAPTOP</v>
      </c>
      <c r="K561" t="str">
        <f>UPPER(Master_ventas[[#This Row],[Category]])</f>
        <v>ELECTRONICS</v>
      </c>
      <c r="L561">
        <f>YEAR(Master_ventas[[#This Row],[Order Date]])</f>
        <v>2024</v>
      </c>
      <c r="M561" t="str">
        <f>CONCATENATE(LEFT(Master_ventas[[#This Row],[ProdUpper]],3),RIGHT(Master_ventas[[#This Row],[Ext-Year]],2),"-",MID(Master_ventas[[#This Row],[Category]],1,1))</f>
        <v>LAP24-E</v>
      </c>
      <c r="N561" t="str">
        <f>MID(Master_ventas[[#This Row],[ProdUpper]],1,3)</f>
        <v>LAP</v>
      </c>
      <c r="O561" t="str">
        <f>UPPER(IF(Master_ventas[[#This Row],[Profit]]&gt;500,"High","Std"))</f>
        <v>STD</v>
      </c>
      <c r="P561">
        <v>560</v>
      </c>
    </row>
    <row r="562" spans="1:16" x14ac:dyDescent="0.3">
      <c r="A562" s="1">
        <v>45121</v>
      </c>
      <c r="B562" t="s">
        <v>20</v>
      </c>
      <c r="C562" t="s">
        <v>11</v>
      </c>
      <c r="D562" t="s">
        <v>16</v>
      </c>
      <c r="E562">
        <v>9</v>
      </c>
      <c r="F562" s="3">
        <v>2889</v>
      </c>
      <c r="G562" s="2">
        <v>604.19000000000005</v>
      </c>
      <c r="H562">
        <f>Master_ventas[[#This Row],[Profit]]/Master_ventas[[#This Row],[Sales]]</f>
        <v>0.20913464866735898</v>
      </c>
      <c r="I562">
        <f ca="1">Referencia_Hoy-Master_ventas[[#This Row],[Order Date]]</f>
        <v>1202</v>
      </c>
      <c r="J562" t="str">
        <f>UPPER(Master_ventas[[#This Row],[Product Name]])</f>
        <v>MONITOR</v>
      </c>
      <c r="K562" t="str">
        <f>UPPER(Master_ventas[[#This Row],[Category]])</f>
        <v>ACCESSORIES</v>
      </c>
      <c r="L562">
        <f>YEAR(Master_ventas[[#This Row],[Order Date]])</f>
        <v>2023</v>
      </c>
      <c r="M562" t="str">
        <f>CONCATENATE(LEFT(Master_ventas[[#This Row],[ProdUpper]],3),RIGHT(Master_ventas[[#This Row],[Ext-Year]],2),"-",MID(Master_ventas[[#This Row],[Category]],1,1))</f>
        <v>MON23-A</v>
      </c>
      <c r="N562" t="str">
        <f>MID(Master_ventas[[#This Row],[ProdUpper]],1,3)</f>
        <v>MON</v>
      </c>
      <c r="O562" t="str">
        <f>UPPER(IF(Master_ventas[[#This Row],[Profit]]&gt;500,"High","Std"))</f>
        <v>HIGH</v>
      </c>
      <c r="P562">
        <v>561</v>
      </c>
    </row>
    <row r="563" spans="1:16" x14ac:dyDescent="0.3">
      <c r="A563" s="1">
        <v>45604</v>
      </c>
      <c r="B563" t="s">
        <v>19</v>
      </c>
      <c r="C563" t="s">
        <v>14</v>
      </c>
      <c r="D563" t="s">
        <v>12</v>
      </c>
      <c r="E563">
        <v>9</v>
      </c>
      <c r="F563" s="3">
        <v>3654</v>
      </c>
      <c r="G563" s="2">
        <v>581.9</v>
      </c>
      <c r="H563">
        <f>Master_ventas[[#This Row],[Profit]]/Master_ventas[[#This Row],[Sales]]</f>
        <v>0.15925013683634373</v>
      </c>
      <c r="I563">
        <f ca="1">Referencia_Hoy-Master_ventas[[#This Row],[Order Date]]</f>
        <v>719</v>
      </c>
      <c r="J563" t="str">
        <f>UPPER(Master_ventas[[#This Row],[Product Name]])</f>
        <v>SMARTWATCH</v>
      </c>
      <c r="K563" t="str">
        <f>UPPER(Master_ventas[[#This Row],[Category]])</f>
        <v>ELECTRONICS</v>
      </c>
      <c r="L563">
        <f>YEAR(Master_ventas[[#This Row],[Order Date]])</f>
        <v>2024</v>
      </c>
      <c r="M563" t="str">
        <f>CONCATENATE(LEFT(Master_ventas[[#This Row],[ProdUpper]],3),RIGHT(Master_ventas[[#This Row],[Ext-Year]],2),"-",MID(Master_ventas[[#This Row],[Category]],1,1))</f>
        <v>SMA24-E</v>
      </c>
      <c r="N563" t="str">
        <f>MID(Master_ventas[[#This Row],[ProdUpper]],1,3)</f>
        <v>SMA</v>
      </c>
      <c r="O563" t="str">
        <f>UPPER(IF(Master_ventas[[#This Row],[Profit]]&gt;500,"High","Std"))</f>
        <v>HIGH</v>
      </c>
      <c r="P563">
        <v>562</v>
      </c>
    </row>
    <row r="564" spans="1:16" x14ac:dyDescent="0.3">
      <c r="A564" s="1">
        <v>45181</v>
      </c>
      <c r="B564" t="s">
        <v>7</v>
      </c>
      <c r="C564" t="s">
        <v>8</v>
      </c>
      <c r="D564" t="s">
        <v>12</v>
      </c>
      <c r="E564">
        <v>6</v>
      </c>
      <c r="F564" s="3">
        <v>5610</v>
      </c>
      <c r="G564" s="2">
        <v>298.77</v>
      </c>
      <c r="H564">
        <f>Master_ventas[[#This Row],[Profit]]/Master_ventas[[#This Row],[Sales]]</f>
        <v>5.3256684491978609E-2</v>
      </c>
      <c r="I564">
        <f ca="1">Referencia_Hoy-Master_ventas[[#This Row],[Order Date]]</f>
        <v>1142</v>
      </c>
      <c r="J564" t="str">
        <f>UPPER(Master_ventas[[#This Row],[Product Name]])</f>
        <v>PRINTER</v>
      </c>
      <c r="K564" t="str">
        <f>UPPER(Master_ventas[[#This Row],[Category]])</f>
        <v>OFFICE</v>
      </c>
      <c r="L564">
        <f>YEAR(Master_ventas[[#This Row],[Order Date]])</f>
        <v>2023</v>
      </c>
      <c r="M564" t="str">
        <f>CONCATENATE(LEFT(Master_ventas[[#This Row],[ProdUpper]],3),RIGHT(Master_ventas[[#This Row],[Ext-Year]],2),"-",MID(Master_ventas[[#This Row],[Category]],1,1))</f>
        <v>PRI23-O</v>
      </c>
      <c r="N564" t="str">
        <f>MID(Master_ventas[[#This Row],[ProdUpper]],1,3)</f>
        <v>PRI</v>
      </c>
      <c r="O564" t="str">
        <f>UPPER(IF(Master_ventas[[#This Row],[Profit]]&gt;500,"High","Std"))</f>
        <v>STD</v>
      </c>
      <c r="P564">
        <v>563</v>
      </c>
    </row>
    <row r="565" spans="1:16" x14ac:dyDescent="0.3">
      <c r="A565" s="1">
        <v>45409</v>
      </c>
      <c r="B565" t="s">
        <v>21</v>
      </c>
      <c r="C565" t="s">
        <v>14</v>
      </c>
      <c r="D565" t="s">
        <v>15</v>
      </c>
      <c r="E565">
        <v>1</v>
      </c>
      <c r="F565" s="3">
        <v>668</v>
      </c>
      <c r="G565" s="2">
        <v>99.4</v>
      </c>
      <c r="H565">
        <f>Master_ventas[[#This Row],[Profit]]/Master_ventas[[#This Row],[Sales]]</f>
        <v>0.14880239520958086</v>
      </c>
      <c r="I565">
        <f ca="1">Referencia_Hoy-Master_ventas[[#This Row],[Order Date]]</f>
        <v>914</v>
      </c>
      <c r="J565" t="str">
        <f>UPPER(Master_ventas[[#This Row],[Product Name]])</f>
        <v>SMARTPHONE</v>
      </c>
      <c r="K565" t="str">
        <f>UPPER(Master_ventas[[#This Row],[Category]])</f>
        <v>ELECTRONICS</v>
      </c>
      <c r="L565">
        <f>YEAR(Master_ventas[[#This Row],[Order Date]])</f>
        <v>2024</v>
      </c>
      <c r="M565" t="str">
        <f>CONCATENATE(LEFT(Master_ventas[[#This Row],[ProdUpper]],3),RIGHT(Master_ventas[[#This Row],[Ext-Year]],2),"-",MID(Master_ventas[[#This Row],[Category]],1,1))</f>
        <v>SMA24-E</v>
      </c>
      <c r="N565" t="str">
        <f>MID(Master_ventas[[#This Row],[ProdUpper]],1,3)</f>
        <v>SMA</v>
      </c>
      <c r="O565" t="str">
        <f>UPPER(IF(Master_ventas[[#This Row],[Profit]]&gt;500,"High","Std"))</f>
        <v>STD</v>
      </c>
      <c r="P565">
        <v>564</v>
      </c>
    </row>
    <row r="566" spans="1:16" x14ac:dyDescent="0.3">
      <c r="A566" s="1">
        <v>44569</v>
      </c>
      <c r="B566" t="s">
        <v>21</v>
      </c>
      <c r="C566" t="s">
        <v>14</v>
      </c>
      <c r="D566" t="s">
        <v>15</v>
      </c>
      <c r="E566">
        <v>7</v>
      </c>
      <c r="F566" s="3">
        <v>3983</v>
      </c>
      <c r="G566" s="2">
        <v>360.13</v>
      </c>
      <c r="H566">
        <f>Master_ventas[[#This Row],[Profit]]/Master_ventas[[#This Row],[Sales]]</f>
        <v>9.0416771277931213E-2</v>
      </c>
      <c r="I566">
        <f ca="1">Referencia_Hoy-Master_ventas[[#This Row],[Order Date]]</f>
        <v>1754</v>
      </c>
      <c r="J566" t="str">
        <f>UPPER(Master_ventas[[#This Row],[Product Name]])</f>
        <v>SMARTPHONE</v>
      </c>
      <c r="K566" t="str">
        <f>UPPER(Master_ventas[[#This Row],[Category]])</f>
        <v>ELECTRONICS</v>
      </c>
      <c r="L566">
        <f>YEAR(Master_ventas[[#This Row],[Order Date]])</f>
        <v>2022</v>
      </c>
      <c r="M566" t="str">
        <f>CONCATENATE(LEFT(Master_ventas[[#This Row],[ProdUpper]],3),RIGHT(Master_ventas[[#This Row],[Ext-Year]],2),"-",MID(Master_ventas[[#This Row],[Category]],1,1))</f>
        <v>SMA22-E</v>
      </c>
      <c r="N566" t="str">
        <f>MID(Master_ventas[[#This Row],[ProdUpper]],1,3)</f>
        <v>SMA</v>
      </c>
      <c r="O566" t="str">
        <f>UPPER(IF(Master_ventas[[#This Row],[Profit]]&gt;500,"High","Std"))</f>
        <v>STD</v>
      </c>
      <c r="P566">
        <v>565</v>
      </c>
    </row>
    <row r="567" spans="1:16" x14ac:dyDescent="0.3">
      <c r="A567" s="1">
        <v>45315</v>
      </c>
      <c r="B567" t="s">
        <v>22</v>
      </c>
      <c r="C567" t="s">
        <v>11</v>
      </c>
      <c r="D567" t="s">
        <v>15</v>
      </c>
      <c r="E567">
        <v>1</v>
      </c>
      <c r="F567" s="3">
        <v>1112</v>
      </c>
      <c r="G567" s="2">
        <v>272.81</v>
      </c>
      <c r="H567">
        <f>Master_ventas[[#This Row],[Profit]]/Master_ventas[[#This Row],[Sales]]</f>
        <v>0.24533273381294965</v>
      </c>
      <c r="I567">
        <f ca="1">Referencia_Hoy-Master_ventas[[#This Row],[Order Date]]</f>
        <v>1008</v>
      </c>
      <c r="J567" t="str">
        <f>UPPER(Master_ventas[[#This Row],[Product Name]])</f>
        <v>KEYBOARD</v>
      </c>
      <c r="K567" t="str">
        <f>UPPER(Master_ventas[[#This Row],[Category]])</f>
        <v>ACCESSORIES</v>
      </c>
      <c r="L567">
        <f>YEAR(Master_ventas[[#This Row],[Order Date]])</f>
        <v>2024</v>
      </c>
      <c r="M567" t="str">
        <f>CONCATENATE(LEFT(Master_ventas[[#This Row],[ProdUpper]],3),RIGHT(Master_ventas[[#This Row],[Ext-Year]],2),"-",MID(Master_ventas[[#This Row],[Category]],1,1))</f>
        <v>KEY24-A</v>
      </c>
      <c r="N567" t="str">
        <f>MID(Master_ventas[[#This Row],[ProdUpper]],1,3)</f>
        <v>KEY</v>
      </c>
      <c r="O567" t="str">
        <f>UPPER(IF(Master_ventas[[#This Row],[Profit]]&gt;500,"High","Std"))</f>
        <v>STD</v>
      </c>
      <c r="P567">
        <v>566</v>
      </c>
    </row>
    <row r="568" spans="1:16" x14ac:dyDescent="0.3">
      <c r="A568" s="1">
        <v>44732</v>
      </c>
      <c r="B568" t="s">
        <v>20</v>
      </c>
      <c r="C568" t="s">
        <v>11</v>
      </c>
      <c r="D568" t="s">
        <v>9</v>
      </c>
      <c r="E568">
        <v>9</v>
      </c>
      <c r="F568" s="3">
        <v>4230</v>
      </c>
      <c r="G568" s="2">
        <v>221.06</v>
      </c>
      <c r="H568">
        <f>Master_ventas[[#This Row],[Profit]]/Master_ventas[[#This Row],[Sales]]</f>
        <v>5.2260047281323878E-2</v>
      </c>
      <c r="I568">
        <f ca="1">Referencia_Hoy-Master_ventas[[#This Row],[Order Date]]</f>
        <v>1591</v>
      </c>
      <c r="J568" t="str">
        <f>UPPER(Master_ventas[[#This Row],[Product Name]])</f>
        <v>MONITOR</v>
      </c>
      <c r="K568" t="str">
        <f>UPPER(Master_ventas[[#This Row],[Category]])</f>
        <v>ACCESSORIES</v>
      </c>
      <c r="L568">
        <f>YEAR(Master_ventas[[#This Row],[Order Date]])</f>
        <v>2022</v>
      </c>
      <c r="M568" t="str">
        <f>CONCATENATE(LEFT(Master_ventas[[#This Row],[ProdUpper]],3),RIGHT(Master_ventas[[#This Row],[Ext-Year]],2),"-",MID(Master_ventas[[#This Row],[Category]],1,1))</f>
        <v>MON22-A</v>
      </c>
      <c r="N568" t="str">
        <f>MID(Master_ventas[[#This Row],[ProdUpper]],1,3)</f>
        <v>MON</v>
      </c>
      <c r="O568" t="str">
        <f>UPPER(IF(Master_ventas[[#This Row],[Profit]]&gt;500,"High","Std"))</f>
        <v>STD</v>
      </c>
      <c r="P568">
        <v>567</v>
      </c>
    </row>
    <row r="569" spans="1:16" x14ac:dyDescent="0.3">
      <c r="A569" s="1">
        <v>45505</v>
      </c>
      <c r="B569" t="s">
        <v>13</v>
      </c>
      <c r="C569" t="s">
        <v>14</v>
      </c>
      <c r="D569" t="s">
        <v>12</v>
      </c>
      <c r="E569">
        <v>8</v>
      </c>
      <c r="F569" s="3">
        <v>2968</v>
      </c>
      <c r="G569" s="2">
        <v>530.29999999999995</v>
      </c>
      <c r="H569">
        <f>Master_ventas[[#This Row],[Profit]]/Master_ventas[[#This Row],[Sales]]</f>
        <v>0.17867250673854446</v>
      </c>
      <c r="I569">
        <f ca="1">Referencia_Hoy-Master_ventas[[#This Row],[Order Date]]</f>
        <v>818</v>
      </c>
      <c r="J569" t="str">
        <f>UPPER(Master_ventas[[#This Row],[Product Name]])</f>
        <v>TABLET</v>
      </c>
      <c r="K569" t="str">
        <f>UPPER(Master_ventas[[#This Row],[Category]])</f>
        <v>ELECTRONICS</v>
      </c>
      <c r="L569">
        <f>YEAR(Master_ventas[[#This Row],[Order Date]])</f>
        <v>2024</v>
      </c>
      <c r="M569" t="str">
        <f>CONCATENATE(LEFT(Master_ventas[[#This Row],[ProdUpper]],3),RIGHT(Master_ventas[[#This Row],[Ext-Year]],2),"-",MID(Master_ventas[[#This Row],[Category]],1,1))</f>
        <v>TAB24-E</v>
      </c>
      <c r="N569" t="str">
        <f>MID(Master_ventas[[#This Row],[ProdUpper]],1,3)</f>
        <v>TAB</v>
      </c>
      <c r="O569" t="str">
        <f>UPPER(IF(Master_ventas[[#This Row],[Profit]]&gt;500,"High","Std"))</f>
        <v>HIGH</v>
      </c>
      <c r="P569">
        <v>568</v>
      </c>
    </row>
    <row r="570" spans="1:16" x14ac:dyDescent="0.3">
      <c r="A570" s="1">
        <v>44571</v>
      </c>
      <c r="B570" t="s">
        <v>20</v>
      </c>
      <c r="C570" t="s">
        <v>11</v>
      </c>
      <c r="D570" t="s">
        <v>16</v>
      </c>
      <c r="E570">
        <v>5</v>
      </c>
      <c r="F570" s="3">
        <v>4690</v>
      </c>
      <c r="G570" s="2">
        <v>706.74</v>
      </c>
      <c r="H570">
        <f>Master_ventas[[#This Row],[Profit]]/Master_ventas[[#This Row],[Sales]]</f>
        <v>0.1506908315565032</v>
      </c>
      <c r="I570">
        <f ca="1">Referencia_Hoy-Master_ventas[[#This Row],[Order Date]]</f>
        <v>1752</v>
      </c>
      <c r="J570" t="str">
        <f>UPPER(Master_ventas[[#This Row],[Product Name]])</f>
        <v>MONITOR</v>
      </c>
      <c r="K570" t="str">
        <f>UPPER(Master_ventas[[#This Row],[Category]])</f>
        <v>ACCESSORIES</v>
      </c>
      <c r="L570">
        <f>YEAR(Master_ventas[[#This Row],[Order Date]])</f>
        <v>2022</v>
      </c>
      <c r="M570" t="str">
        <f>CONCATENATE(LEFT(Master_ventas[[#This Row],[ProdUpper]],3),RIGHT(Master_ventas[[#This Row],[Ext-Year]],2),"-",MID(Master_ventas[[#This Row],[Category]],1,1))</f>
        <v>MON22-A</v>
      </c>
      <c r="N570" t="str">
        <f>MID(Master_ventas[[#This Row],[ProdUpper]],1,3)</f>
        <v>MON</v>
      </c>
      <c r="O570" t="str">
        <f>UPPER(IF(Master_ventas[[#This Row],[Profit]]&gt;500,"High","Std"))</f>
        <v>HIGH</v>
      </c>
      <c r="P570">
        <v>569</v>
      </c>
    </row>
    <row r="571" spans="1:16" x14ac:dyDescent="0.3">
      <c r="A571" s="1">
        <v>44690</v>
      </c>
      <c r="B571" t="s">
        <v>17</v>
      </c>
      <c r="C571" t="s">
        <v>14</v>
      </c>
      <c r="D571" t="s">
        <v>16</v>
      </c>
      <c r="E571">
        <v>6</v>
      </c>
      <c r="F571" s="3">
        <v>4296</v>
      </c>
      <c r="G571" s="2">
        <v>1240.31</v>
      </c>
      <c r="H571">
        <f>Master_ventas[[#This Row],[Profit]]/Master_ventas[[#This Row],[Sales]]</f>
        <v>0.28871275605214153</v>
      </c>
      <c r="I571">
        <f ca="1">Referencia_Hoy-Master_ventas[[#This Row],[Order Date]]</f>
        <v>1633</v>
      </c>
      <c r="J571" t="str">
        <f>UPPER(Master_ventas[[#This Row],[Product Name]])</f>
        <v>CAMERA</v>
      </c>
      <c r="K571" t="str">
        <f>UPPER(Master_ventas[[#This Row],[Category]])</f>
        <v>ELECTRONICS</v>
      </c>
      <c r="L571">
        <f>YEAR(Master_ventas[[#This Row],[Order Date]])</f>
        <v>2022</v>
      </c>
      <c r="M571" t="str">
        <f>CONCATENATE(LEFT(Master_ventas[[#This Row],[ProdUpper]],3),RIGHT(Master_ventas[[#This Row],[Ext-Year]],2),"-",MID(Master_ventas[[#This Row],[Category]],1,1))</f>
        <v>CAM22-E</v>
      </c>
      <c r="N571" t="str">
        <f>MID(Master_ventas[[#This Row],[ProdUpper]],1,3)</f>
        <v>CAM</v>
      </c>
      <c r="O571" t="str">
        <f>UPPER(IF(Master_ventas[[#This Row],[Profit]]&gt;500,"High","Std"))</f>
        <v>HIGH</v>
      </c>
      <c r="P571">
        <v>570</v>
      </c>
    </row>
    <row r="572" spans="1:16" x14ac:dyDescent="0.3">
      <c r="A572" s="1">
        <v>45279</v>
      </c>
      <c r="B572" t="s">
        <v>17</v>
      </c>
      <c r="C572" t="s">
        <v>14</v>
      </c>
      <c r="D572" t="s">
        <v>9</v>
      </c>
      <c r="E572">
        <v>7</v>
      </c>
      <c r="F572" s="3">
        <v>7203</v>
      </c>
      <c r="G572" s="2">
        <v>523.52</v>
      </c>
      <c r="H572">
        <f>Master_ventas[[#This Row],[Profit]]/Master_ventas[[#This Row],[Sales]]</f>
        <v>7.2680827433014017E-2</v>
      </c>
      <c r="I572">
        <f ca="1">Referencia_Hoy-Master_ventas[[#This Row],[Order Date]]</f>
        <v>1044</v>
      </c>
      <c r="J572" t="str">
        <f>UPPER(Master_ventas[[#This Row],[Product Name]])</f>
        <v>CAMERA</v>
      </c>
      <c r="K572" t="str">
        <f>UPPER(Master_ventas[[#This Row],[Category]])</f>
        <v>ELECTRONICS</v>
      </c>
      <c r="L572">
        <f>YEAR(Master_ventas[[#This Row],[Order Date]])</f>
        <v>2023</v>
      </c>
      <c r="M572" t="str">
        <f>CONCATENATE(LEFT(Master_ventas[[#This Row],[ProdUpper]],3),RIGHT(Master_ventas[[#This Row],[Ext-Year]],2),"-",MID(Master_ventas[[#This Row],[Category]],1,1))</f>
        <v>CAM23-E</v>
      </c>
      <c r="N572" t="str">
        <f>MID(Master_ventas[[#This Row],[ProdUpper]],1,3)</f>
        <v>CAM</v>
      </c>
      <c r="O572" t="str">
        <f>UPPER(IF(Master_ventas[[#This Row],[Profit]]&gt;500,"High","Std"))</f>
        <v>HIGH</v>
      </c>
      <c r="P572">
        <v>571</v>
      </c>
    </row>
    <row r="573" spans="1:16" x14ac:dyDescent="0.3">
      <c r="A573" s="1">
        <v>44885</v>
      </c>
      <c r="B573" t="s">
        <v>21</v>
      </c>
      <c r="C573" t="s">
        <v>14</v>
      </c>
      <c r="D573" t="s">
        <v>9</v>
      </c>
      <c r="E573">
        <v>4</v>
      </c>
      <c r="F573" s="3">
        <v>3640</v>
      </c>
      <c r="G573" s="2">
        <v>695.31</v>
      </c>
      <c r="H573">
        <f>Master_ventas[[#This Row],[Profit]]/Master_ventas[[#This Row],[Sales]]</f>
        <v>0.19101923076923075</v>
      </c>
      <c r="I573">
        <f ca="1">Referencia_Hoy-Master_ventas[[#This Row],[Order Date]]</f>
        <v>1438</v>
      </c>
      <c r="J573" t="str">
        <f>UPPER(Master_ventas[[#This Row],[Product Name]])</f>
        <v>SMARTPHONE</v>
      </c>
      <c r="K573" t="str">
        <f>UPPER(Master_ventas[[#This Row],[Category]])</f>
        <v>ELECTRONICS</v>
      </c>
      <c r="L573">
        <f>YEAR(Master_ventas[[#This Row],[Order Date]])</f>
        <v>2022</v>
      </c>
      <c r="M573" t="str">
        <f>CONCATENATE(LEFT(Master_ventas[[#This Row],[ProdUpper]],3),RIGHT(Master_ventas[[#This Row],[Ext-Year]],2),"-",MID(Master_ventas[[#This Row],[Category]],1,1))</f>
        <v>SMA22-E</v>
      </c>
      <c r="N573" t="str">
        <f>MID(Master_ventas[[#This Row],[ProdUpper]],1,3)</f>
        <v>SMA</v>
      </c>
      <c r="O573" t="str">
        <f>UPPER(IF(Master_ventas[[#This Row],[Profit]]&gt;500,"High","Std"))</f>
        <v>HIGH</v>
      </c>
      <c r="P573">
        <v>572</v>
      </c>
    </row>
    <row r="574" spans="1:16" x14ac:dyDescent="0.3">
      <c r="A574" s="1">
        <v>44876</v>
      </c>
      <c r="B574" t="s">
        <v>21</v>
      </c>
      <c r="C574" t="s">
        <v>14</v>
      </c>
      <c r="D574" t="s">
        <v>12</v>
      </c>
      <c r="E574">
        <v>1</v>
      </c>
      <c r="F574" s="3">
        <v>1131</v>
      </c>
      <c r="G574" s="2">
        <v>304.62</v>
      </c>
      <c r="H574">
        <f>Master_ventas[[#This Row],[Profit]]/Master_ventas[[#This Row],[Sales]]</f>
        <v>0.26933687002652518</v>
      </c>
      <c r="I574">
        <f ca="1">Referencia_Hoy-Master_ventas[[#This Row],[Order Date]]</f>
        <v>1447</v>
      </c>
      <c r="J574" t="str">
        <f>UPPER(Master_ventas[[#This Row],[Product Name]])</f>
        <v>SMARTPHONE</v>
      </c>
      <c r="K574" t="str">
        <f>UPPER(Master_ventas[[#This Row],[Category]])</f>
        <v>ELECTRONICS</v>
      </c>
      <c r="L574">
        <f>YEAR(Master_ventas[[#This Row],[Order Date]])</f>
        <v>2022</v>
      </c>
      <c r="M574" t="str">
        <f>CONCATENATE(LEFT(Master_ventas[[#This Row],[ProdUpper]],3),RIGHT(Master_ventas[[#This Row],[Ext-Year]],2),"-",MID(Master_ventas[[#This Row],[Category]],1,1))</f>
        <v>SMA22-E</v>
      </c>
      <c r="N574" t="str">
        <f>MID(Master_ventas[[#This Row],[ProdUpper]],1,3)</f>
        <v>SMA</v>
      </c>
      <c r="O574" t="str">
        <f>UPPER(IF(Master_ventas[[#This Row],[Profit]]&gt;500,"High","Std"))</f>
        <v>STD</v>
      </c>
      <c r="P574">
        <v>573</v>
      </c>
    </row>
    <row r="575" spans="1:16" x14ac:dyDescent="0.3">
      <c r="A575" s="1">
        <v>45294</v>
      </c>
      <c r="B575" t="s">
        <v>17</v>
      </c>
      <c r="C575" t="s">
        <v>14</v>
      </c>
      <c r="D575" t="s">
        <v>16</v>
      </c>
      <c r="E575">
        <v>9</v>
      </c>
      <c r="F575" s="3">
        <v>3627</v>
      </c>
      <c r="G575" s="2">
        <v>797.53</v>
      </c>
      <c r="H575">
        <f>Master_ventas[[#This Row],[Profit]]/Master_ventas[[#This Row],[Sales]]</f>
        <v>0.21988695891921697</v>
      </c>
      <c r="I575">
        <f ca="1">Referencia_Hoy-Master_ventas[[#This Row],[Order Date]]</f>
        <v>1029</v>
      </c>
      <c r="J575" t="str">
        <f>UPPER(Master_ventas[[#This Row],[Product Name]])</f>
        <v>CAMERA</v>
      </c>
      <c r="K575" t="str">
        <f>UPPER(Master_ventas[[#This Row],[Category]])</f>
        <v>ELECTRONICS</v>
      </c>
      <c r="L575">
        <f>YEAR(Master_ventas[[#This Row],[Order Date]])</f>
        <v>2024</v>
      </c>
      <c r="M575" t="str">
        <f>CONCATENATE(LEFT(Master_ventas[[#This Row],[ProdUpper]],3),RIGHT(Master_ventas[[#This Row],[Ext-Year]],2),"-",MID(Master_ventas[[#This Row],[Category]],1,1))</f>
        <v>CAM24-E</v>
      </c>
      <c r="N575" t="str">
        <f>MID(Master_ventas[[#This Row],[ProdUpper]],1,3)</f>
        <v>CAM</v>
      </c>
      <c r="O575" t="str">
        <f>UPPER(IF(Master_ventas[[#This Row],[Profit]]&gt;500,"High","Std"))</f>
        <v>HIGH</v>
      </c>
      <c r="P575">
        <v>574</v>
      </c>
    </row>
    <row r="576" spans="1:16" x14ac:dyDescent="0.3">
      <c r="A576" s="1">
        <v>45149</v>
      </c>
      <c r="B576" t="s">
        <v>10</v>
      </c>
      <c r="C576" t="s">
        <v>11</v>
      </c>
      <c r="D576" t="s">
        <v>15</v>
      </c>
      <c r="E576">
        <v>8</v>
      </c>
      <c r="F576" s="3">
        <v>7968</v>
      </c>
      <c r="G576" s="2">
        <v>1249.98</v>
      </c>
      <c r="H576">
        <f>Master_ventas[[#This Row],[Profit]]/Master_ventas[[#This Row],[Sales]]</f>
        <v>0.15687500000000001</v>
      </c>
      <c r="I576">
        <f ca="1">Referencia_Hoy-Master_ventas[[#This Row],[Order Date]]</f>
        <v>1174</v>
      </c>
      <c r="J576" t="str">
        <f>UPPER(Master_ventas[[#This Row],[Product Name]])</f>
        <v>MOUSE</v>
      </c>
      <c r="K576" t="str">
        <f>UPPER(Master_ventas[[#This Row],[Category]])</f>
        <v>ACCESSORIES</v>
      </c>
      <c r="L576">
        <f>YEAR(Master_ventas[[#This Row],[Order Date]])</f>
        <v>2023</v>
      </c>
      <c r="M576" t="str">
        <f>CONCATENATE(LEFT(Master_ventas[[#This Row],[ProdUpper]],3),RIGHT(Master_ventas[[#This Row],[Ext-Year]],2),"-",MID(Master_ventas[[#This Row],[Category]],1,1))</f>
        <v>MOU23-A</v>
      </c>
      <c r="N576" t="str">
        <f>MID(Master_ventas[[#This Row],[ProdUpper]],1,3)</f>
        <v>MOU</v>
      </c>
      <c r="O576" t="str">
        <f>UPPER(IF(Master_ventas[[#This Row],[Profit]]&gt;500,"High","Std"))</f>
        <v>HIGH</v>
      </c>
      <c r="P576">
        <v>575</v>
      </c>
    </row>
    <row r="577" spans="1:16" x14ac:dyDescent="0.3">
      <c r="A577" s="1">
        <v>44888</v>
      </c>
      <c r="B577" t="s">
        <v>18</v>
      </c>
      <c r="C577" t="s">
        <v>11</v>
      </c>
      <c r="D577" t="s">
        <v>15</v>
      </c>
      <c r="E577">
        <v>3</v>
      </c>
      <c r="F577" s="3">
        <v>3546</v>
      </c>
      <c r="G577" s="2">
        <v>490.28</v>
      </c>
      <c r="H577">
        <f>Master_ventas[[#This Row],[Profit]]/Master_ventas[[#This Row],[Sales]]</f>
        <v>0.13826283135927805</v>
      </c>
      <c r="I577">
        <f ca="1">Referencia_Hoy-Master_ventas[[#This Row],[Order Date]]</f>
        <v>1435</v>
      </c>
      <c r="J577" t="str">
        <f>UPPER(Master_ventas[[#This Row],[Product Name]])</f>
        <v>HEADPHONES</v>
      </c>
      <c r="K577" t="str">
        <f>UPPER(Master_ventas[[#This Row],[Category]])</f>
        <v>ACCESSORIES</v>
      </c>
      <c r="L577">
        <f>YEAR(Master_ventas[[#This Row],[Order Date]])</f>
        <v>2022</v>
      </c>
      <c r="M577" t="str">
        <f>CONCATENATE(LEFT(Master_ventas[[#This Row],[ProdUpper]],3),RIGHT(Master_ventas[[#This Row],[Ext-Year]],2),"-",MID(Master_ventas[[#This Row],[Category]],1,1))</f>
        <v>HEA22-A</v>
      </c>
      <c r="N577" t="str">
        <f>MID(Master_ventas[[#This Row],[ProdUpper]],1,3)</f>
        <v>HEA</v>
      </c>
      <c r="O577" t="str">
        <f>UPPER(IF(Master_ventas[[#This Row],[Profit]]&gt;500,"High","Std"))</f>
        <v>STD</v>
      </c>
      <c r="P577">
        <v>576</v>
      </c>
    </row>
    <row r="578" spans="1:16" x14ac:dyDescent="0.3">
      <c r="A578" s="1">
        <v>45352</v>
      </c>
      <c r="B578" t="s">
        <v>13</v>
      </c>
      <c r="C578" t="s">
        <v>14</v>
      </c>
      <c r="D578" t="s">
        <v>15</v>
      </c>
      <c r="E578">
        <v>5</v>
      </c>
      <c r="F578" s="3">
        <v>2270</v>
      </c>
      <c r="G578" s="2">
        <v>546.55999999999995</v>
      </c>
      <c r="H578">
        <f>Master_ventas[[#This Row],[Profit]]/Master_ventas[[#This Row],[Sales]]</f>
        <v>0.24077533039647575</v>
      </c>
      <c r="I578">
        <f ca="1">Referencia_Hoy-Master_ventas[[#This Row],[Order Date]]</f>
        <v>971</v>
      </c>
      <c r="J578" t="str">
        <f>UPPER(Master_ventas[[#This Row],[Product Name]])</f>
        <v>TABLET</v>
      </c>
      <c r="K578" t="str">
        <f>UPPER(Master_ventas[[#This Row],[Category]])</f>
        <v>ELECTRONICS</v>
      </c>
      <c r="L578">
        <f>YEAR(Master_ventas[[#This Row],[Order Date]])</f>
        <v>2024</v>
      </c>
      <c r="M578" t="str">
        <f>CONCATENATE(LEFT(Master_ventas[[#This Row],[ProdUpper]],3),RIGHT(Master_ventas[[#This Row],[Ext-Year]],2),"-",MID(Master_ventas[[#This Row],[Category]],1,1))</f>
        <v>TAB24-E</v>
      </c>
      <c r="N578" t="str">
        <f>MID(Master_ventas[[#This Row],[ProdUpper]],1,3)</f>
        <v>TAB</v>
      </c>
      <c r="O578" t="str">
        <f>UPPER(IF(Master_ventas[[#This Row],[Profit]]&gt;500,"High","Std"))</f>
        <v>HIGH</v>
      </c>
      <c r="P578">
        <v>577</v>
      </c>
    </row>
    <row r="579" spans="1:16" x14ac:dyDescent="0.3">
      <c r="A579" s="1">
        <v>45114</v>
      </c>
      <c r="B579" t="s">
        <v>22</v>
      </c>
      <c r="C579" t="s">
        <v>11</v>
      </c>
      <c r="D579" t="s">
        <v>16</v>
      </c>
      <c r="E579">
        <v>2</v>
      </c>
      <c r="F579" s="3">
        <v>1354</v>
      </c>
      <c r="G579" s="2">
        <v>136.91</v>
      </c>
      <c r="H579">
        <f>Master_ventas[[#This Row],[Profit]]/Master_ventas[[#This Row],[Sales]]</f>
        <v>0.10111521418020679</v>
      </c>
      <c r="I579">
        <f ca="1">Referencia_Hoy-Master_ventas[[#This Row],[Order Date]]</f>
        <v>1209</v>
      </c>
      <c r="J579" t="str">
        <f>UPPER(Master_ventas[[#This Row],[Product Name]])</f>
        <v>KEYBOARD</v>
      </c>
      <c r="K579" t="str">
        <f>UPPER(Master_ventas[[#This Row],[Category]])</f>
        <v>ACCESSORIES</v>
      </c>
      <c r="L579">
        <f>YEAR(Master_ventas[[#This Row],[Order Date]])</f>
        <v>2023</v>
      </c>
      <c r="M579" t="str">
        <f>CONCATENATE(LEFT(Master_ventas[[#This Row],[ProdUpper]],3),RIGHT(Master_ventas[[#This Row],[Ext-Year]],2),"-",MID(Master_ventas[[#This Row],[Category]],1,1))</f>
        <v>KEY23-A</v>
      </c>
      <c r="N579" t="str">
        <f>MID(Master_ventas[[#This Row],[ProdUpper]],1,3)</f>
        <v>KEY</v>
      </c>
      <c r="O579" t="str">
        <f>UPPER(IF(Master_ventas[[#This Row],[Profit]]&gt;500,"High","Std"))</f>
        <v>STD</v>
      </c>
      <c r="P579">
        <v>578</v>
      </c>
    </row>
    <row r="580" spans="1:16" x14ac:dyDescent="0.3">
      <c r="A580" s="1">
        <v>45036</v>
      </c>
      <c r="B580" t="s">
        <v>18</v>
      </c>
      <c r="C580" t="s">
        <v>11</v>
      </c>
      <c r="D580" t="s">
        <v>16</v>
      </c>
      <c r="E580">
        <v>7</v>
      </c>
      <c r="F580" s="3">
        <v>6811</v>
      </c>
      <c r="G580" s="2">
        <v>1423.57</v>
      </c>
      <c r="H580">
        <f>Master_ventas[[#This Row],[Profit]]/Master_ventas[[#This Row],[Sales]]</f>
        <v>0.20901042431361033</v>
      </c>
      <c r="I580">
        <f ca="1">Referencia_Hoy-Master_ventas[[#This Row],[Order Date]]</f>
        <v>1287</v>
      </c>
      <c r="J580" t="str">
        <f>UPPER(Master_ventas[[#This Row],[Product Name]])</f>
        <v>HEADPHONES</v>
      </c>
      <c r="K580" t="str">
        <f>UPPER(Master_ventas[[#This Row],[Category]])</f>
        <v>ACCESSORIES</v>
      </c>
      <c r="L580">
        <f>YEAR(Master_ventas[[#This Row],[Order Date]])</f>
        <v>2023</v>
      </c>
      <c r="M580" t="str">
        <f>CONCATENATE(LEFT(Master_ventas[[#This Row],[ProdUpper]],3),RIGHT(Master_ventas[[#This Row],[Ext-Year]],2),"-",MID(Master_ventas[[#This Row],[Category]],1,1))</f>
        <v>HEA23-A</v>
      </c>
      <c r="N580" t="str">
        <f>MID(Master_ventas[[#This Row],[ProdUpper]],1,3)</f>
        <v>HEA</v>
      </c>
      <c r="O580" t="str">
        <f>UPPER(IF(Master_ventas[[#This Row],[Profit]]&gt;500,"High","Std"))</f>
        <v>HIGH</v>
      </c>
      <c r="P580">
        <v>579</v>
      </c>
    </row>
    <row r="581" spans="1:16" x14ac:dyDescent="0.3">
      <c r="A581" s="1">
        <v>44601</v>
      </c>
      <c r="B581" t="s">
        <v>19</v>
      </c>
      <c r="C581" t="s">
        <v>14</v>
      </c>
      <c r="D581" t="s">
        <v>12</v>
      </c>
      <c r="E581">
        <v>3</v>
      </c>
      <c r="F581" s="3">
        <v>1410</v>
      </c>
      <c r="G581" s="2">
        <v>232.65</v>
      </c>
      <c r="H581">
        <f>Master_ventas[[#This Row],[Profit]]/Master_ventas[[#This Row],[Sales]]</f>
        <v>0.16500000000000001</v>
      </c>
      <c r="I581">
        <f ca="1">Referencia_Hoy-Master_ventas[[#This Row],[Order Date]]</f>
        <v>1722</v>
      </c>
      <c r="J581" t="str">
        <f>UPPER(Master_ventas[[#This Row],[Product Name]])</f>
        <v>SMARTWATCH</v>
      </c>
      <c r="K581" t="str">
        <f>UPPER(Master_ventas[[#This Row],[Category]])</f>
        <v>ELECTRONICS</v>
      </c>
      <c r="L581">
        <f>YEAR(Master_ventas[[#This Row],[Order Date]])</f>
        <v>2022</v>
      </c>
      <c r="M581" t="str">
        <f>CONCATENATE(LEFT(Master_ventas[[#This Row],[ProdUpper]],3),RIGHT(Master_ventas[[#This Row],[Ext-Year]],2),"-",MID(Master_ventas[[#This Row],[Category]],1,1))</f>
        <v>SMA22-E</v>
      </c>
      <c r="N581" t="str">
        <f>MID(Master_ventas[[#This Row],[ProdUpper]],1,3)</f>
        <v>SMA</v>
      </c>
      <c r="O581" t="str">
        <f>UPPER(IF(Master_ventas[[#This Row],[Profit]]&gt;500,"High","Std"))</f>
        <v>STD</v>
      </c>
      <c r="P581">
        <v>580</v>
      </c>
    </row>
    <row r="582" spans="1:16" x14ac:dyDescent="0.3">
      <c r="A582" s="1">
        <v>44851</v>
      </c>
      <c r="B582" t="s">
        <v>22</v>
      </c>
      <c r="C582" t="s">
        <v>11</v>
      </c>
      <c r="D582" t="s">
        <v>9</v>
      </c>
      <c r="E582">
        <v>2</v>
      </c>
      <c r="F582" s="3">
        <v>1170</v>
      </c>
      <c r="G582" s="2">
        <v>249.99</v>
      </c>
      <c r="H582">
        <f>Master_ventas[[#This Row],[Profit]]/Master_ventas[[#This Row],[Sales]]</f>
        <v>0.21366666666666667</v>
      </c>
      <c r="I582">
        <f ca="1">Referencia_Hoy-Master_ventas[[#This Row],[Order Date]]</f>
        <v>1472</v>
      </c>
      <c r="J582" t="str">
        <f>UPPER(Master_ventas[[#This Row],[Product Name]])</f>
        <v>KEYBOARD</v>
      </c>
      <c r="K582" t="str">
        <f>UPPER(Master_ventas[[#This Row],[Category]])</f>
        <v>ACCESSORIES</v>
      </c>
      <c r="L582">
        <f>YEAR(Master_ventas[[#This Row],[Order Date]])</f>
        <v>2022</v>
      </c>
      <c r="M582" t="str">
        <f>CONCATENATE(LEFT(Master_ventas[[#This Row],[ProdUpper]],3),RIGHT(Master_ventas[[#This Row],[Ext-Year]],2),"-",MID(Master_ventas[[#This Row],[Category]],1,1))</f>
        <v>KEY22-A</v>
      </c>
      <c r="N582" t="str">
        <f>MID(Master_ventas[[#This Row],[ProdUpper]],1,3)</f>
        <v>KEY</v>
      </c>
      <c r="O582" t="str">
        <f>UPPER(IF(Master_ventas[[#This Row],[Profit]]&gt;500,"High","Std"))</f>
        <v>STD</v>
      </c>
      <c r="P582">
        <v>581</v>
      </c>
    </row>
    <row r="583" spans="1:16" x14ac:dyDescent="0.3">
      <c r="A583" s="1">
        <v>45142</v>
      </c>
      <c r="B583" t="s">
        <v>23</v>
      </c>
      <c r="C583" t="s">
        <v>14</v>
      </c>
      <c r="D583" t="s">
        <v>12</v>
      </c>
      <c r="E583">
        <v>7</v>
      </c>
      <c r="F583" s="3">
        <v>4739</v>
      </c>
      <c r="G583" s="2">
        <v>740.74</v>
      </c>
      <c r="H583">
        <f>Master_ventas[[#This Row],[Profit]]/Master_ventas[[#This Row],[Sales]]</f>
        <v>0.15630723781388478</v>
      </c>
      <c r="I583">
        <f ca="1">Referencia_Hoy-Master_ventas[[#This Row],[Order Date]]</f>
        <v>1181</v>
      </c>
      <c r="J583" t="str">
        <f>UPPER(Master_ventas[[#This Row],[Product Name]])</f>
        <v>LAPTOP</v>
      </c>
      <c r="K583" t="str">
        <f>UPPER(Master_ventas[[#This Row],[Category]])</f>
        <v>ELECTRONICS</v>
      </c>
      <c r="L583">
        <f>YEAR(Master_ventas[[#This Row],[Order Date]])</f>
        <v>2023</v>
      </c>
      <c r="M583" t="str">
        <f>CONCATENATE(LEFT(Master_ventas[[#This Row],[ProdUpper]],3),RIGHT(Master_ventas[[#This Row],[Ext-Year]],2),"-",MID(Master_ventas[[#This Row],[Category]],1,1))</f>
        <v>LAP23-E</v>
      </c>
      <c r="N583" t="str">
        <f>MID(Master_ventas[[#This Row],[ProdUpper]],1,3)</f>
        <v>LAP</v>
      </c>
      <c r="O583" t="str">
        <f>UPPER(IF(Master_ventas[[#This Row],[Profit]]&gt;500,"High","Std"))</f>
        <v>HIGH</v>
      </c>
      <c r="P583">
        <v>582</v>
      </c>
    </row>
    <row r="584" spans="1:16" x14ac:dyDescent="0.3">
      <c r="A584" s="1">
        <v>45261</v>
      </c>
      <c r="B584" t="s">
        <v>10</v>
      </c>
      <c r="C584" t="s">
        <v>11</v>
      </c>
      <c r="D584" t="s">
        <v>15</v>
      </c>
      <c r="E584">
        <v>9</v>
      </c>
      <c r="F584" s="3">
        <v>7866</v>
      </c>
      <c r="G584" s="2">
        <v>1554.38</v>
      </c>
      <c r="H584">
        <f>Master_ventas[[#This Row],[Profit]]/Master_ventas[[#This Row],[Sales]]</f>
        <v>0.19760742435799644</v>
      </c>
      <c r="I584">
        <f ca="1">Referencia_Hoy-Master_ventas[[#This Row],[Order Date]]</f>
        <v>1062</v>
      </c>
      <c r="J584" t="str">
        <f>UPPER(Master_ventas[[#This Row],[Product Name]])</f>
        <v>MOUSE</v>
      </c>
      <c r="K584" t="str">
        <f>UPPER(Master_ventas[[#This Row],[Category]])</f>
        <v>ACCESSORIES</v>
      </c>
      <c r="L584">
        <f>YEAR(Master_ventas[[#This Row],[Order Date]])</f>
        <v>2023</v>
      </c>
      <c r="M584" t="str">
        <f>CONCATENATE(LEFT(Master_ventas[[#This Row],[ProdUpper]],3),RIGHT(Master_ventas[[#This Row],[Ext-Year]],2),"-",MID(Master_ventas[[#This Row],[Category]],1,1))</f>
        <v>MOU23-A</v>
      </c>
      <c r="N584" t="str">
        <f>MID(Master_ventas[[#This Row],[ProdUpper]],1,3)</f>
        <v>MOU</v>
      </c>
      <c r="O584" t="str">
        <f>UPPER(IF(Master_ventas[[#This Row],[Profit]]&gt;500,"High","Std"))</f>
        <v>HIGH</v>
      </c>
      <c r="P584">
        <v>583</v>
      </c>
    </row>
    <row r="585" spans="1:16" x14ac:dyDescent="0.3">
      <c r="A585" s="1">
        <v>44773</v>
      </c>
      <c r="B585" t="s">
        <v>20</v>
      </c>
      <c r="C585" t="s">
        <v>11</v>
      </c>
      <c r="D585" t="s">
        <v>12</v>
      </c>
      <c r="E585">
        <v>5</v>
      </c>
      <c r="F585" s="3">
        <v>3645</v>
      </c>
      <c r="G585" s="2">
        <v>388.31</v>
      </c>
      <c r="H585">
        <f>Master_ventas[[#This Row],[Profit]]/Master_ventas[[#This Row],[Sales]]</f>
        <v>0.10653223593964335</v>
      </c>
      <c r="I585">
        <f ca="1">Referencia_Hoy-Master_ventas[[#This Row],[Order Date]]</f>
        <v>1550</v>
      </c>
      <c r="J585" t="str">
        <f>UPPER(Master_ventas[[#This Row],[Product Name]])</f>
        <v>MONITOR</v>
      </c>
      <c r="K585" t="str">
        <f>UPPER(Master_ventas[[#This Row],[Category]])</f>
        <v>ACCESSORIES</v>
      </c>
      <c r="L585">
        <f>YEAR(Master_ventas[[#This Row],[Order Date]])</f>
        <v>2022</v>
      </c>
      <c r="M585" t="str">
        <f>CONCATENATE(LEFT(Master_ventas[[#This Row],[ProdUpper]],3),RIGHT(Master_ventas[[#This Row],[Ext-Year]],2),"-",MID(Master_ventas[[#This Row],[Category]],1,1))</f>
        <v>MON22-A</v>
      </c>
      <c r="N585" t="str">
        <f>MID(Master_ventas[[#This Row],[ProdUpper]],1,3)</f>
        <v>MON</v>
      </c>
      <c r="O585" t="str">
        <f>UPPER(IF(Master_ventas[[#This Row],[Profit]]&gt;500,"High","Std"))</f>
        <v>STD</v>
      </c>
      <c r="P585">
        <v>584</v>
      </c>
    </row>
    <row r="586" spans="1:16" x14ac:dyDescent="0.3">
      <c r="A586" s="1">
        <v>44981</v>
      </c>
      <c r="B586" t="s">
        <v>18</v>
      </c>
      <c r="C586" t="s">
        <v>11</v>
      </c>
      <c r="D586" t="s">
        <v>12</v>
      </c>
      <c r="E586">
        <v>6</v>
      </c>
      <c r="F586" s="3">
        <v>5358</v>
      </c>
      <c r="G586" s="2">
        <v>568.34</v>
      </c>
      <c r="H586">
        <f>Master_ventas[[#This Row],[Profit]]/Master_ventas[[#This Row],[Sales]]</f>
        <v>0.10607316162747295</v>
      </c>
      <c r="I586">
        <f ca="1">Referencia_Hoy-Master_ventas[[#This Row],[Order Date]]</f>
        <v>1342</v>
      </c>
      <c r="J586" t="str">
        <f>UPPER(Master_ventas[[#This Row],[Product Name]])</f>
        <v>HEADPHONES</v>
      </c>
      <c r="K586" t="str">
        <f>UPPER(Master_ventas[[#This Row],[Category]])</f>
        <v>ACCESSORIES</v>
      </c>
      <c r="L586">
        <f>YEAR(Master_ventas[[#This Row],[Order Date]])</f>
        <v>2023</v>
      </c>
      <c r="M586" t="str">
        <f>CONCATENATE(LEFT(Master_ventas[[#This Row],[ProdUpper]],3),RIGHT(Master_ventas[[#This Row],[Ext-Year]],2),"-",MID(Master_ventas[[#This Row],[Category]],1,1))</f>
        <v>HEA23-A</v>
      </c>
      <c r="N586" t="str">
        <f>MID(Master_ventas[[#This Row],[ProdUpper]],1,3)</f>
        <v>HEA</v>
      </c>
      <c r="O586" t="str">
        <f>UPPER(IF(Master_ventas[[#This Row],[Profit]]&gt;500,"High","Std"))</f>
        <v>HIGH</v>
      </c>
      <c r="P586">
        <v>585</v>
      </c>
    </row>
    <row r="587" spans="1:16" x14ac:dyDescent="0.3">
      <c r="A587" s="1">
        <v>45430</v>
      </c>
      <c r="B587" t="s">
        <v>17</v>
      </c>
      <c r="C587" t="s">
        <v>14</v>
      </c>
      <c r="D587" t="s">
        <v>9</v>
      </c>
      <c r="E587">
        <v>5</v>
      </c>
      <c r="F587" s="3">
        <v>1775</v>
      </c>
      <c r="G587" s="2">
        <v>486.37</v>
      </c>
      <c r="H587">
        <f>Master_ventas[[#This Row],[Profit]]/Master_ventas[[#This Row],[Sales]]</f>
        <v>0.27401126760563382</v>
      </c>
      <c r="I587">
        <f ca="1">Referencia_Hoy-Master_ventas[[#This Row],[Order Date]]</f>
        <v>893</v>
      </c>
      <c r="J587" t="str">
        <f>UPPER(Master_ventas[[#This Row],[Product Name]])</f>
        <v>CAMERA</v>
      </c>
      <c r="K587" t="str">
        <f>UPPER(Master_ventas[[#This Row],[Category]])</f>
        <v>ELECTRONICS</v>
      </c>
      <c r="L587">
        <f>YEAR(Master_ventas[[#This Row],[Order Date]])</f>
        <v>2024</v>
      </c>
      <c r="M587" t="str">
        <f>CONCATENATE(LEFT(Master_ventas[[#This Row],[ProdUpper]],3),RIGHT(Master_ventas[[#This Row],[Ext-Year]],2),"-",MID(Master_ventas[[#This Row],[Category]],1,1))</f>
        <v>CAM24-E</v>
      </c>
      <c r="N587" t="str">
        <f>MID(Master_ventas[[#This Row],[ProdUpper]],1,3)</f>
        <v>CAM</v>
      </c>
      <c r="O587" t="str">
        <f>UPPER(IF(Master_ventas[[#This Row],[Profit]]&gt;500,"High","Std"))</f>
        <v>STD</v>
      </c>
      <c r="P587">
        <v>586</v>
      </c>
    </row>
    <row r="588" spans="1:16" x14ac:dyDescent="0.3">
      <c r="A588" s="1">
        <v>45065</v>
      </c>
      <c r="B588" t="s">
        <v>18</v>
      </c>
      <c r="C588" t="s">
        <v>11</v>
      </c>
      <c r="D588" t="s">
        <v>15</v>
      </c>
      <c r="E588">
        <v>9</v>
      </c>
      <c r="F588" s="3">
        <v>4905</v>
      </c>
      <c r="G588" s="2">
        <v>1351.25</v>
      </c>
      <c r="H588">
        <f>Master_ventas[[#This Row],[Profit]]/Master_ventas[[#This Row],[Sales]]</f>
        <v>0.27548419979612643</v>
      </c>
      <c r="I588">
        <f ca="1">Referencia_Hoy-Master_ventas[[#This Row],[Order Date]]</f>
        <v>1258</v>
      </c>
      <c r="J588" t="str">
        <f>UPPER(Master_ventas[[#This Row],[Product Name]])</f>
        <v>HEADPHONES</v>
      </c>
      <c r="K588" t="str">
        <f>UPPER(Master_ventas[[#This Row],[Category]])</f>
        <v>ACCESSORIES</v>
      </c>
      <c r="L588">
        <f>YEAR(Master_ventas[[#This Row],[Order Date]])</f>
        <v>2023</v>
      </c>
      <c r="M588" t="str">
        <f>CONCATENATE(LEFT(Master_ventas[[#This Row],[ProdUpper]],3),RIGHT(Master_ventas[[#This Row],[Ext-Year]],2),"-",MID(Master_ventas[[#This Row],[Category]],1,1))</f>
        <v>HEA23-A</v>
      </c>
      <c r="N588" t="str">
        <f>MID(Master_ventas[[#This Row],[ProdUpper]],1,3)</f>
        <v>HEA</v>
      </c>
      <c r="O588" t="str">
        <f>UPPER(IF(Master_ventas[[#This Row],[Profit]]&gt;500,"High","Std"))</f>
        <v>HIGH</v>
      </c>
      <c r="P588">
        <v>587</v>
      </c>
    </row>
    <row r="589" spans="1:16" x14ac:dyDescent="0.3">
      <c r="A589" s="1">
        <v>44833</v>
      </c>
      <c r="B589" t="s">
        <v>10</v>
      </c>
      <c r="C589" t="s">
        <v>11</v>
      </c>
      <c r="D589" t="s">
        <v>12</v>
      </c>
      <c r="E589">
        <v>6</v>
      </c>
      <c r="F589" s="3">
        <v>4260</v>
      </c>
      <c r="G589" s="2">
        <v>372.33</v>
      </c>
      <c r="H589">
        <f>Master_ventas[[#This Row],[Profit]]/Master_ventas[[#This Row],[Sales]]</f>
        <v>8.7401408450704224E-2</v>
      </c>
      <c r="I589">
        <f ca="1">Referencia_Hoy-Master_ventas[[#This Row],[Order Date]]</f>
        <v>1490</v>
      </c>
      <c r="J589" t="str">
        <f>UPPER(Master_ventas[[#This Row],[Product Name]])</f>
        <v>MOUSE</v>
      </c>
      <c r="K589" t="str">
        <f>UPPER(Master_ventas[[#This Row],[Category]])</f>
        <v>ACCESSORIES</v>
      </c>
      <c r="L589">
        <f>YEAR(Master_ventas[[#This Row],[Order Date]])</f>
        <v>2022</v>
      </c>
      <c r="M589" t="str">
        <f>CONCATENATE(LEFT(Master_ventas[[#This Row],[ProdUpper]],3),RIGHT(Master_ventas[[#This Row],[Ext-Year]],2),"-",MID(Master_ventas[[#This Row],[Category]],1,1))</f>
        <v>MOU22-A</v>
      </c>
      <c r="N589" t="str">
        <f>MID(Master_ventas[[#This Row],[ProdUpper]],1,3)</f>
        <v>MOU</v>
      </c>
      <c r="O589" t="str">
        <f>UPPER(IF(Master_ventas[[#This Row],[Profit]]&gt;500,"High","Std"))</f>
        <v>STD</v>
      </c>
      <c r="P589">
        <v>588</v>
      </c>
    </row>
    <row r="590" spans="1:16" x14ac:dyDescent="0.3">
      <c r="A590" s="1">
        <v>45538</v>
      </c>
      <c r="B590" t="s">
        <v>7</v>
      </c>
      <c r="C590" t="s">
        <v>8</v>
      </c>
      <c r="D590" t="s">
        <v>12</v>
      </c>
      <c r="E590">
        <v>2</v>
      </c>
      <c r="F590" s="3">
        <v>1632</v>
      </c>
      <c r="G590" s="2">
        <v>292.77999999999997</v>
      </c>
      <c r="H590">
        <f>Master_ventas[[#This Row],[Profit]]/Master_ventas[[#This Row],[Sales]]</f>
        <v>0.17939950980392155</v>
      </c>
      <c r="I590">
        <f ca="1">Referencia_Hoy-Master_ventas[[#This Row],[Order Date]]</f>
        <v>785</v>
      </c>
      <c r="J590" t="str">
        <f>UPPER(Master_ventas[[#This Row],[Product Name]])</f>
        <v>PRINTER</v>
      </c>
      <c r="K590" t="str">
        <f>UPPER(Master_ventas[[#This Row],[Category]])</f>
        <v>OFFICE</v>
      </c>
      <c r="L590">
        <f>YEAR(Master_ventas[[#This Row],[Order Date]])</f>
        <v>2024</v>
      </c>
      <c r="M590" t="str">
        <f>CONCATENATE(LEFT(Master_ventas[[#This Row],[ProdUpper]],3),RIGHT(Master_ventas[[#This Row],[Ext-Year]],2),"-",MID(Master_ventas[[#This Row],[Category]],1,1))</f>
        <v>PRI24-O</v>
      </c>
      <c r="N590" t="str">
        <f>MID(Master_ventas[[#This Row],[ProdUpper]],1,3)</f>
        <v>PRI</v>
      </c>
      <c r="O590" t="str">
        <f>UPPER(IF(Master_ventas[[#This Row],[Profit]]&gt;500,"High","Std"))</f>
        <v>STD</v>
      </c>
      <c r="P590">
        <v>589</v>
      </c>
    </row>
    <row r="591" spans="1:16" x14ac:dyDescent="0.3">
      <c r="A591" s="1">
        <v>44997</v>
      </c>
      <c r="B591" t="s">
        <v>19</v>
      </c>
      <c r="C591" t="s">
        <v>14</v>
      </c>
      <c r="D591" t="s">
        <v>12</v>
      </c>
      <c r="E591">
        <v>6</v>
      </c>
      <c r="F591" s="3">
        <v>3324</v>
      </c>
      <c r="G591" s="2">
        <v>466.78</v>
      </c>
      <c r="H591">
        <f>Master_ventas[[#This Row],[Profit]]/Master_ventas[[#This Row],[Sales]]</f>
        <v>0.14042719614921781</v>
      </c>
      <c r="I591">
        <f ca="1">Referencia_Hoy-Master_ventas[[#This Row],[Order Date]]</f>
        <v>1326</v>
      </c>
      <c r="J591" t="str">
        <f>UPPER(Master_ventas[[#This Row],[Product Name]])</f>
        <v>SMARTWATCH</v>
      </c>
      <c r="K591" t="str">
        <f>UPPER(Master_ventas[[#This Row],[Category]])</f>
        <v>ELECTRONICS</v>
      </c>
      <c r="L591">
        <f>YEAR(Master_ventas[[#This Row],[Order Date]])</f>
        <v>2023</v>
      </c>
      <c r="M591" t="str">
        <f>CONCATENATE(LEFT(Master_ventas[[#This Row],[ProdUpper]],3),RIGHT(Master_ventas[[#This Row],[Ext-Year]],2),"-",MID(Master_ventas[[#This Row],[Category]],1,1))</f>
        <v>SMA23-E</v>
      </c>
      <c r="N591" t="str">
        <f>MID(Master_ventas[[#This Row],[ProdUpper]],1,3)</f>
        <v>SMA</v>
      </c>
      <c r="O591" t="str">
        <f>UPPER(IF(Master_ventas[[#This Row],[Profit]]&gt;500,"High","Std"))</f>
        <v>STD</v>
      </c>
      <c r="P591">
        <v>590</v>
      </c>
    </row>
    <row r="592" spans="1:16" x14ac:dyDescent="0.3">
      <c r="A592" s="1">
        <v>45124</v>
      </c>
      <c r="B592" t="s">
        <v>17</v>
      </c>
      <c r="C592" t="s">
        <v>14</v>
      </c>
      <c r="D592" t="s">
        <v>16</v>
      </c>
      <c r="E592">
        <v>5</v>
      </c>
      <c r="F592" s="3">
        <v>4590</v>
      </c>
      <c r="G592" s="2">
        <v>347.14</v>
      </c>
      <c r="H592">
        <f>Master_ventas[[#This Row],[Profit]]/Master_ventas[[#This Row],[Sales]]</f>
        <v>7.562962962962963E-2</v>
      </c>
      <c r="I592">
        <f ca="1">Referencia_Hoy-Master_ventas[[#This Row],[Order Date]]</f>
        <v>1199</v>
      </c>
      <c r="J592" t="str">
        <f>UPPER(Master_ventas[[#This Row],[Product Name]])</f>
        <v>CAMERA</v>
      </c>
      <c r="K592" t="str">
        <f>UPPER(Master_ventas[[#This Row],[Category]])</f>
        <v>ELECTRONICS</v>
      </c>
      <c r="L592">
        <f>YEAR(Master_ventas[[#This Row],[Order Date]])</f>
        <v>2023</v>
      </c>
      <c r="M592" t="str">
        <f>CONCATENATE(LEFT(Master_ventas[[#This Row],[ProdUpper]],3),RIGHT(Master_ventas[[#This Row],[Ext-Year]],2),"-",MID(Master_ventas[[#This Row],[Category]],1,1))</f>
        <v>CAM23-E</v>
      </c>
      <c r="N592" t="str">
        <f>MID(Master_ventas[[#This Row],[ProdUpper]],1,3)</f>
        <v>CAM</v>
      </c>
      <c r="O592" t="str">
        <f>UPPER(IF(Master_ventas[[#This Row],[Profit]]&gt;500,"High","Std"))</f>
        <v>STD</v>
      </c>
      <c r="P592">
        <v>591</v>
      </c>
    </row>
    <row r="593" spans="1:16" x14ac:dyDescent="0.3">
      <c r="A593" s="1">
        <v>44665</v>
      </c>
      <c r="B593" t="s">
        <v>23</v>
      </c>
      <c r="C593" t="s">
        <v>14</v>
      </c>
      <c r="D593" t="s">
        <v>12</v>
      </c>
      <c r="E593">
        <v>9</v>
      </c>
      <c r="F593" s="3">
        <v>8496</v>
      </c>
      <c r="G593" s="2">
        <v>2182.42</v>
      </c>
      <c r="H593">
        <f>Master_ventas[[#This Row],[Profit]]/Master_ventas[[#This Row],[Sales]]</f>
        <v>0.25687617702448212</v>
      </c>
      <c r="I593">
        <f ca="1">Referencia_Hoy-Master_ventas[[#This Row],[Order Date]]</f>
        <v>1658</v>
      </c>
      <c r="J593" t="str">
        <f>UPPER(Master_ventas[[#This Row],[Product Name]])</f>
        <v>LAPTOP</v>
      </c>
      <c r="K593" t="str">
        <f>UPPER(Master_ventas[[#This Row],[Category]])</f>
        <v>ELECTRONICS</v>
      </c>
      <c r="L593">
        <f>YEAR(Master_ventas[[#This Row],[Order Date]])</f>
        <v>2022</v>
      </c>
      <c r="M593" t="str">
        <f>CONCATENATE(LEFT(Master_ventas[[#This Row],[ProdUpper]],3),RIGHT(Master_ventas[[#This Row],[Ext-Year]],2),"-",MID(Master_ventas[[#This Row],[Category]],1,1))</f>
        <v>LAP22-E</v>
      </c>
      <c r="N593" t="str">
        <f>MID(Master_ventas[[#This Row],[ProdUpper]],1,3)</f>
        <v>LAP</v>
      </c>
      <c r="O593" t="str">
        <f>UPPER(IF(Master_ventas[[#This Row],[Profit]]&gt;500,"High","Std"))</f>
        <v>HIGH</v>
      </c>
      <c r="P593">
        <v>592</v>
      </c>
    </row>
    <row r="594" spans="1:16" x14ac:dyDescent="0.3">
      <c r="A594" s="1">
        <v>44728</v>
      </c>
      <c r="B594" t="s">
        <v>7</v>
      </c>
      <c r="C594" t="s">
        <v>8</v>
      </c>
      <c r="D594" t="s">
        <v>9</v>
      </c>
      <c r="E594">
        <v>6</v>
      </c>
      <c r="F594" s="3">
        <v>6444</v>
      </c>
      <c r="G594" s="2">
        <v>518.79</v>
      </c>
      <c r="H594">
        <f>Master_ventas[[#This Row],[Profit]]/Master_ventas[[#This Row],[Sales]]</f>
        <v>8.0507448789571695E-2</v>
      </c>
      <c r="I594">
        <f ca="1">Referencia_Hoy-Master_ventas[[#This Row],[Order Date]]</f>
        <v>1595</v>
      </c>
      <c r="J594" t="str">
        <f>UPPER(Master_ventas[[#This Row],[Product Name]])</f>
        <v>PRINTER</v>
      </c>
      <c r="K594" t="str">
        <f>UPPER(Master_ventas[[#This Row],[Category]])</f>
        <v>OFFICE</v>
      </c>
      <c r="L594">
        <f>YEAR(Master_ventas[[#This Row],[Order Date]])</f>
        <v>2022</v>
      </c>
      <c r="M594" t="str">
        <f>CONCATENATE(LEFT(Master_ventas[[#This Row],[ProdUpper]],3),RIGHT(Master_ventas[[#This Row],[Ext-Year]],2),"-",MID(Master_ventas[[#This Row],[Category]],1,1))</f>
        <v>PRI22-O</v>
      </c>
      <c r="N594" t="str">
        <f>MID(Master_ventas[[#This Row],[ProdUpper]],1,3)</f>
        <v>PRI</v>
      </c>
      <c r="O594" t="str">
        <f>UPPER(IF(Master_ventas[[#This Row],[Profit]]&gt;500,"High","Std"))</f>
        <v>HIGH</v>
      </c>
      <c r="P594">
        <v>593</v>
      </c>
    </row>
    <row r="595" spans="1:16" x14ac:dyDescent="0.3">
      <c r="A595" s="1">
        <v>44634</v>
      </c>
      <c r="B595" t="s">
        <v>17</v>
      </c>
      <c r="C595" t="s">
        <v>14</v>
      </c>
      <c r="D595" t="s">
        <v>9</v>
      </c>
      <c r="E595">
        <v>1</v>
      </c>
      <c r="F595" s="3">
        <v>812</v>
      </c>
      <c r="G595" s="2">
        <v>51.13</v>
      </c>
      <c r="H595">
        <f>Master_ventas[[#This Row],[Profit]]/Master_ventas[[#This Row],[Sales]]</f>
        <v>6.2967980295566509E-2</v>
      </c>
      <c r="I595">
        <f ca="1">Referencia_Hoy-Master_ventas[[#This Row],[Order Date]]</f>
        <v>1689</v>
      </c>
      <c r="J595" t="str">
        <f>UPPER(Master_ventas[[#This Row],[Product Name]])</f>
        <v>CAMERA</v>
      </c>
      <c r="K595" t="str">
        <f>UPPER(Master_ventas[[#This Row],[Category]])</f>
        <v>ELECTRONICS</v>
      </c>
      <c r="L595">
        <f>YEAR(Master_ventas[[#This Row],[Order Date]])</f>
        <v>2022</v>
      </c>
      <c r="M595" t="str">
        <f>CONCATENATE(LEFT(Master_ventas[[#This Row],[ProdUpper]],3),RIGHT(Master_ventas[[#This Row],[Ext-Year]],2),"-",MID(Master_ventas[[#This Row],[Category]],1,1))</f>
        <v>CAM22-E</v>
      </c>
      <c r="N595" t="str">
        <f>MID(Master_ventas[[#This Row],[ProdUpper]],1,3)</f>
        <v>CAM</v>
      </c>
      <c r="O595" t="str">
        <f>UPPER(IF(Master_ventas[[#This Row],[Profit]]&gt;500,"High","Std"))</f>
        <v>STD</v>
      </c>
      <c r="P595">
        <v>594</v>
      </c>
    </row>
    <row r="596" spans="1:16" x14ac:dyDescent="0.3">
      <c r="A596" s="1">
        <v>45122</v>
      </c>
      <c r="B596" t="s">
        <v>20</v>
      </c>
      <c r="C596" t="s">
        <v>11</v>
      </c>
      <c r="D596" t="s">
        <v>16</v>
      </c>
      <c r="E596">
        <v>6</v>
      </c>
      <c r="F596" s="3">
        <v>1764</v>
      </c>
      <c r="G596" s="2">
        <v>465.93</v>
      </c>
      <c r="H596">
        <f>Master_ventas[[#This Row],[Profit]]/Master_ventas[[#This Row],[Sales]]</f>
        <v>0.26413265306122452</v>
      </c>
      <c r="I596">
        <f ca="1">Referencia_Hoy-Master_ventas[[#This Row],[Order Date]]</f>
        <v>1201</v>
      </c>
      <c r="J596" t="str">
        <f>UPPER(Master_ventas[[#This Row],[Product Name]])</f>
        <v>MONITOR</v>
      </c>
      <c r="K596" t="str">
        <f>UPPER(Master_ventas[[#This Row],[Category]])</f>
        <v>ACCESSORIES</v>
      </c>
      <c r="L596">
        <f>YEAR(Master_ventas[[#This Row],[Order Date]])</f>
        <v>2023</v>
      </c>
      <c r="M596" t="str">
        <f>CONCATENATE(LEFT(Master_ventas[[#This Row],[ProdUpper]],3),RIGHT(Master_ventas[[#This Row],[Ext-Year]],2),"-",MID(Master_ventas[[#This Row],[Category]],1,1))</f>
        <v>MON23-A</v>
      </c>
      <c r="N596" t="str">
        <f>MID(Master_ventas[[#This Row],[ProdUpper]],1,3)</f>
        <v>MON</v>
      </c>
      <c r="O596" t="str">
        <f>UPPER(IF(Master_ventas[[#This Row],[Profit]]&gt;500,"High","Std"))</f>
        <v>STD</v>
      </c>
      <c r="P596">
        <v>595</v>
      </c>
    </row>
    <row r="597" spans="1:16" x14ac:dyDescent="0.3">
      <c r="A597" s="1">
        <v>45425</v>
      </c>
      <c r="B597" t="s">
        <v>7</v>
      </c>
      <c r="C597" t="s">
        <v>8</v>
      </c>
      <c r="D597" t="s">
        <v>16</v>
      </c>
      <c r="E597">
        <v>1</v>
      </c>
      <c r="F597" s="3">
        <v>1012</v>
      </c>
      <c r="G597" s="2">
        <v>172.67</v>
      </c>
      <c r="H597">
        <f>Master_ventas[[#This Row],[Profit]]/Master_ventas[[#This Row],[Sales]]</f>
        <v>0.17062252964426877</v>
      </c>
      <c r="I597">
        <f ca="1">Referencia_Hoy-Master_ventas[[#This Row],[Order Date]]</f>
        <v>898</v>
      </c>
      <c r="J597" t="str">
        <f>UPPER(Master_ventas[[#This Row],[Product Name]])</f>
        <v>PRINTER</v>
      </c>
      <c r="K597" t="str">
        <f>UPPER(Master_ventas[[#This Row],[Category]])</f>
        <v>OFFICE</v>
      </c>
      <c r="L597">
        <f>YEAR(Master_ventas[[#This Row],[Order Date]])</f>
        <v>2024</v>
      </c>
      <c r="M597" t="str">
        <f>CONCATENATE(LEFT(Master_ventas[[#This Row],[ProdUpper]],3),RIGHT(Master_ventas[[#This Row],[Ext-Year]],2),"-",MID(Master_ventas[[#This Row],[Category]],1,1))</f>
        <v>PRI24-O</v>
      </c>
      <c r="N597" t="str">
        <f>MID(Master_ventas[[#This Row],[ProdUpper]],1,3)</f>
        <v>PRI</v>
      </c>
      <c r="O597" t="str">
        <f>UPPER(IF(Master_ventas[[#This Row],[Profit]]&gt;500,"High","Std"))</f>
        <v>STD</v>
      </c>
      <c r="P597">
        <v>596</v>
      </c>
    </row>
    <row r="598" spans="1:16" x14ac:dyDescent="0.3">
      <c r="A598" s="1">
        <v>45049</v>
      </c>
      <c r="B598" t="s">
        <v>22</v>
      </c>
      <c r="C598" t="s">
        <v>11</v>
      </c>
      <c r="D598" t="s">
        <v>15</v>
      </c>
      <c r="E598">
        <v>2</v>
      </c>
      <c r="F598" s="3">
        <v>836</v>
      </c>
      <c r="G598" s="2">
        <v>47.07</v>
      </c>
      <c r="H598">
        <f>Master_ventas[[#This Row],[Profit]]/Master_ventas[[#This Row],[Sales]]</f>
        <v>5.6303827751196175E-2</v>
      </c>
      <c r="I598">
        <f ca="1">Referencia_Hoy-Master_ventas[[#This Row],[Order Date]]</f>
        <v>1274</v>
      </c>
      <c r="J598" t="str">
        <f>UPPER(Master_ventas[[#This Row],[Product Name]])</f>
        <v>KEYBOARD</v>
      </c>
      <c r="K598" t="str">
        <f>UPPER(Master_ventas[[#This Row],[Category]])</f>
        <v>ACCESSORIES</v>
      </c>
      <c r="L598">
        <f>YEAR(Master_ventas[[#This Row],[Order Date]])</f>
        <v>2023</v>
      </c>
      <c r="M598" t="str">
        <f>CONCATENATE(LEFT(Master_ventas[[#This Row],[ProdUpper]],3),RIGHT(Master_ventas[[#This Row],[Ext-Year]],2),"-",MID(Master_ventas[[#This Row],[Category]],1,1))</f>
        <v>KEY23-A</v>
      </c>
      <c r="N598" t="str">
        <f>MID(Master_ventas[[#This Row],[ProdUpper]],1,3)</f>
        <v>KEY</v>
      </c>
      <c r="O598" t="str">
        <f>UPPER(IF(Master_ventas[[#This Row],[Profit]]&gt;500,"High","Std"))</f>
        <v>STD</v>
      </c>
      <c r="P598">
        <v>597</v>
      </c>
    </row>
    <row r="599" spans="1:16" x14ac:dyDescent="0.3">
      <c r="A599" s="1">
        <v>45289</v>
      </c>
      <c r="B599" t="s">
        <v>19</v>
      </c>
      <c r="C599" t="s">
        <v>14</v>
      </c>
      <c r="D599" t="s">
        <v>12</v>
      </c>
      <c r="E599">
        <v>1</v>
      </c>
      <c r="F599" s="3">
        <v>723</v>
      </c>
      <c r="G599" s="2">
        <v>115.26</v>
      </c>
      <c r="H599">
        <f>Master_ventas[[#This Row],[Profit]]/Master_ventas[[#This Row],[Sales]]</f>
        <v>0.15941908713692945</v>
      </c>
      <c r="I599">
        <f ca="1">Referencia_Hoy-Master_ventas[[#This Row],[Order Date]]</f>
        <v>1034</v>
      </c>
      <c r="J599" t="str">
        <f>UPPER(Master_ventas[[#This Row],[Product Name]])</f>
        <v>SMARTWATCH</v>
      </c>
      <c r="K599" t="str">
        <f>UPPER(Master_ventas[[#This Row],[Category]])</f>
        <v>ELECTRONICS</v>
      </c>
      <c r="L599">
        <f>YEAR(Master_ventas[[#This Row],[Order Date]])</f>
        <v>2023</v>
      </c>
      <c r="M599" t="str">
        <f>CONCATENATE(LEFT(Master_ventas[[#This Row],[ProdUpper]],3),RIGHT(Master_ventas[[#This Row],[Ext-Year]],2),"-",MID(Master_ventas[[#This Row],[Category]],1,1))</f>
        <v>SMA23-E</v>
      </c>
      <c r="N599" t="str">
        <f>MID(Master_ventas[[#This Row],[ProdUpper]],1,3)</f>
        <v>SMA</v>
      </c>
      <c r="O599" t="str">
        <f>UPPER(IF(Master_ventas[[#This Row],[Profit]]&gt;500,"High","Std"))</f>
        <v>STD</v>
      </c>
      <c r="P599">
        <v>598</v>
      </c>
    </row>
    <row r="600" spans="1:16" x14ac:dyDescent="0.3">
      <c r="A600" s="1">
        <v>44900</v>
      </c>
      <c r="B600" t="s">
        <v>18</v>
      </c>
      <c r="C600" t="s">
        <v>11</v>
      </c>
      <c r="D600" t="s">
        <v>9</v>
      </c>
      <c r="E600">
        <v>6</v>
      </c>
      <c r="F600" s="3">
        <v>5628</v>
      </c>
      <c r="G600" s="2">
        <v>1033.1500000000001</v>
      </c>
      <c r="H600">
        <f>Master_ventas[[#This Row],[Profit]]/Master_ventas[[#This Row],[Sales]]</f>
        <v>0.18357320540156363</v>
      </c>
      <c r="I600">
        <f ca="1">Referencia_Hoy-Master_ventas[[#This Row],[Order Date]]</f>
        <v>1423</v>
      </c>
      <c r="J600" t="str">
        <f>UPPER(Master_ventas[[#This Row],[Product Name]])</f>
        <v>HEADPHONES</v>
      </c>
      <c r="K600" t="str">
        <f>UPPER(Master_ventas[[#This Row],[Category]])</f>
        <v>ACCESSORIES</v>
      </c>
      <c r="L600">
        <f>YEAR(Master_ventas[[#This Row],[Order Date]])</f>
        <v>2022</v>
      </c>
      <c r="M600" t="str">
        <f>CONCATENATE(LEFT(Master_ventas[[#This Row],[ProdUpper]],3),RIGHT(Master_ventas[[#This Row],[Ext-Year]],2),"-",MID(Master_ventas[[#This Row],[Category]],1,1))</f>
        <v>HEA22-A</v>
      </c>
      <c r="N600" t="str">
        <f>MID(Master_ventas[[#This Row],[ProdUpper]],1,3)</f>
        <v>HEA</v>
      </c>
      <c r="O600" t="str">
        <f>UPPER(IF(Master_ventas[[#This Row],[Profit]]&gt;500,"High","Std"))</f>
        <v>HIGH</v>
      </c>
      <c r="P600">
        <v>599</v>
      </c>
    </row>
    <row r="601" spans="1:16" x14ac:dyDescent="0.3">
      <c r="A601" s="1">
        <v>45561</v>
      </c>
      <c r="B601" t="s">
        <v>23</v>
      </c>
      <c r="C601" t="s">
        <v>14</v>
      </c>
      <c r="D601" t="s">
        <v>9</v>
      </c>
      <c r="E601">
        <v>5</v>
      </c>
      <c r="F601" s="3">
        <v>1660</v>
      </c>
      <c r="G601" s="2">
        <v>283.14</v>
      </c>
      <c r="H601">
        <f>Master_ventas[[#This Row],[Profit]]/Master_ventas[[#This Row],[Sales]]</f>
        <v>0.17056626506024095</v>
      </c>
      <c r="I601">
        <f ca="1">Referencia_Hoy-Master_ventas[[#This Row],[Order Date]]</f>
        <v>762</v>
      </c>
      <c r="J601" t="str">
        <f>UPPER(Master_ventas[[#This Row],[Product Name]])</f>
        <v>LAPTOP</v>
      </c>
      <c r="K601" t="str">
        <f>UPPER(Master_ventas[[#This Row],[Category]])</f>
        <v>ELECTRONICS</v>
      </c>
      <c r="L601">
        <f>YEAR(Master_ventas[[#This Row],[Order Date]])</f>
        <v>2024</v>
      </c>
      <c r="M601" t="str">
        <f>CONCATENATE(LEFT(Master_ventas[[#This Row],[ProdUpper]],3),RIGHT(Master_ventas[[#This Row],[Ext-Year]],2),"-",MID(Master_ventas[[#This Row],[Category]],1,1))</f>
        <v>LAP24-E</v>
      </c>
      <c r="N601" t="str">
        <f>MID(Master_ventas[[#This Row],[ProdUpper]],1,3)</f>
        <v>LAP</v>
      </c>
      <c r="O601" t="str">
        <f>UPPER(IF(Master_ventas[[#This Row],[Profit]]&gt;500,"High","Std"))</f>
        <v>STD</v>
      </c>
      <c r="P601">
        <v>600</v>
      </c>
    </row>
    <row r="602" spans="1:16" x14ac:dyDescent="0.3">
      <c r="A602" s="1">
        <v>45013</v>
      </c>
      <c r="B602" t="s">
        <v>18</v>
      </c>
      <c r="C602" t="s">
        <v>11</v>
      </c>
      <c r="D602" t="s">
        <v>16</v>
      </c>
      <c r="E602">
        <v>3</v>
      </c>
      <c r="F602" s="3">
        <v>2295</v>
      </c>
      <c r="G602" s="2">
        <v>244.83</v>
      </c>
      <c r="H602">
        <f>Master_ventas[[#This Row],[Profit]]/Master_ventas[[#This Row],[Sales]]</f>
        <v>0.10667973856209151</v>
      </c>
      <c r="I602">
        <f ca="1">Referencia_Hoy-Master_ventas[[#This Row],[Order Date]]</f>
        <v>1310</v>
      </c>
      <c r="J602" t="str">
        <f>UPPER(Master_ventas[[#This Row],[Product Name]])</f>
        <v>HEADPHONES</v>
      </c>
      <c r="K602" t="str">
        <f>UPPER(Master_ventas[[#This Row],[Category]])</f>
        <v>ACCESSORIES</v>
      </c>
      <c r="L602">
        <f>YEAR(Master_ventas[[#This Row],[Order Date]])</f>
        <v>2023</v>
      </c>
      <c r="M602" t="str">
        <f>CONCATENATE(LEFT(Master_ventas[[#This Row],[ProdUpper]],3),RIGHT(Master_ventas[[#This Row],[Ext-Year]],2),"-",MID(Master_ventas[[#This Row],[Category]],1,1))</f>
        <v>HEA23-A</v>
      </c>
      <c r="N602" t="str">
        <f>MID(Master_ventas[[#This Row],[ProdUpper]],1,3)</f>
        <v>HEA</v>
      </c>
      <c r="O602" t="str">
        <f>UPPER(IF(Master_ventas[[#This Row],[Profit]]&gt;500,"High","Std"))</f>
        <v>STD</v>
      </c>
      <c r="P602">
        <v>601</v>
      </c>
    </row>
    <row r="603" spans="1:16" x14ac:dyDescent="0.3">
      <c r="A603" s="1">
        <v>45401</v>
      </c>
      <c r="B603" t="s">
        <v>7</v>
      </c>
      <c r="C603" t="s">
        <v>8</v>
      </c>
      <c r="D603" t="s">
        <v>12</v>
      </c>
      <c r="E603">
        <v>2</v>
      </c>
      <c r="F603" s="3">
        <v>2190</v>
      </c>
      <c r="G603" s="2">
        <v>477.8</v>
      </c>
      <c r="H603">
        <f>Master_ventas[[#This Row],[Profit]]/Master_ventas[[#This Row],[Sales]]</f>
        <v>0.21817351598173518</v>
      </c>
      <c r="I603">
        <f ca="1">Referencia_Hoy-Master_ventas[[#This Row],[Order Date]]</f>
        <v>922</v>
      </c>
      <c r="J603" t="str">
        <f>UPPER(Master_ventas[[#This Row],[Product Name]])</f>
        <v>PRINTER</v>
      </c>
      <c r="K603" t="str">
        <f>UPPER(Master_ventas[[#This Row],[Category]])</f>
        <v>OFFICE</v>
      </c>
      <c r="L603">
        <f>YEAR(Master_ventas[[#This Row],[Order Date]])</f>
        <v>2024</v>
      </c>
      <c r="M603" t="str">
        <f>CONCATENATE(LEFT(Master_ventas[[#This Row],[ProdUpper]],3),RIGHT(Master_ventas[[#This Row],[Ext-Year]],2),"-",MID(Master_ventas[[#This Row],[Category]],1,1))</f>
        <v>PRI24-O</v>
      </c>
      <c r="N603" t="str">
        <f>MID(Master_ventas[[#This Row],[ProdUpper]],1,3)</f>
        <v>PRI</v>
      </c>
      <c r="O603" t="str">
        <f>UPPER(IF(Master_ventas[[#This Row],[Profit]]&gt;500,"High","Std"))</f>
        <v>STD</v>
      </c>
      <c r="P603">
        <v>602</v>
      </c>
    </row>
    <row r="604" spans="1:16" x14ac:dyDescent="0.3">
      <c r="A604" s="1">
        <v>45576</v>
      </c>
      <c r="B604" t="s">
        <v>13</v>
      </c>
      <c r="C604" t="s">
        <v>14</v>
      </c>
      <c r="D604" t="s">
        <v>12</v>
      </c>
      <c r="E604">
        <v>7</v>
      </c>
      <c r="F604" s="3">
        <v>3500</v>
      </c>
      <c r="G604" s="2">
        <v>919.35</v>
      </c>
      <c r="H604">
        <f>Master_ventas[[#This Row],[Profit]]/Master_ventas[[#This Row],[Sales]]</f>
        <v>0.26267142857142856</v>
      </c>
      <c r="I604">
        <f ca="1">Referencia_Hoy-Master_ventas[[#This Row],[Order Date]]</f>
        <v>747</v>
      </c>
      <c r="J604" t="str">
        <f>UPPER(Master_ventas[[#This Row],[Product Name]])</f>
        <v>TABLET</v>
      </c>
      <c r="K604" t="str">
        <f>UPPER(Master_ventas[[#This Row],[Category]])</f>
        <v>ELECTRONICS</v>
      </c>
      <c r="L604">
        <f>YEAR(Master_ventas[[#This Row],[Order Date]])</f>
        <v>2024</v>
      </c>
      <c r="M604" t="str">
        <f>CONCATENATE(LEFT(Master_ventas[[#This Row],[ProdUpper]],3),RIGHT(Master_ventas[[#This Row],[Ext-Year]],2),"-",MID(Master_ventas[[#This Row],[Category]],1,1))</f>
        <v>TAB24-E</v>
      </c>
      <c r="N604" t="str">
        <f>MID(Master_ventas[[#This Row],[ProdUpper]],1,3)</f>
        <v>TAB</v>
      </c>
      <c r="O604" t="str">
        <f>UPPER(IF(Master_ventas[[#This Row],[Profit]]&gt;500,"High","Std"))</f>
        <v>HIGH</v>
      </c>
      <c r="P604">
        <v>603</v>
      </c>
    </row>
    <row r="605" spans="1:16" x14ac:dyDescent="0.3">
      <c r="A605" s="1">
        <v>44674</v>
      </c>
      <c r="B605" t="s">
        <v>18</v>
      </c>
      <c r="C605" t="s">
        <v>11</v>
      </c>
      <c r="D605" t="s">
        <v>16</v>
      </c>
      <c r="E605">
        <v>2</v>
      </c>
      <c r="F605" s="3">
        <v>1098</v>
      </c>
      <c r="G605" s="2">
        <v>239.92</v>
      </c>
      <c r="H605">
        <f>Master_ventas[[#This Row],[Profit]]/Master_ventas[[#This Row],[Sales]]</f>
        <v>0.21850637522768671</v>
      </c>
      <c r="I605">
        <f ca="1">Referencia_Hoy-Master_ventas[[#This Row],[Order Date]]</f>
        <v>1649</v>
      </c>
      <c r="J605" t="str">
        <f>UPPER(Master_ventas[[#This Row],[Product Name]])</f>
        <v>HEADPHONES</v>
      </c>
      <c r="K605" t="str">
        <f>UPPER(Master_ventas[[#This Row],[Category]])</f>
        <v>ACCESSORIES</v>
      </c>
      <c r="L605">
        <f>YEAR(Master_ventas[[#This Row],[Order Date]])</f>
        <v>2022</v>
      </c>
      <c r="M605" t="str">
        <f>CONCATENATE(LEFT(Master_ventas[[#This Row],[ProdUpper]],3),RIGHT(Master_ventas[[#This Row],[Ext-Year]],2),"-",MID(Master_ventas[[#This Row],[Category]],1,1))</f>
        <v>HEA22-A</v>
      </c>
      <c r="N605" t="str">
        <f>MID(Master_ventas[[#This Row],[ProdUpper]],1,3)</f>
        <v>HEA</v>
      </c>
      <c r="O605" t="str">
        <f>UPPER(IF(Master_ventas[[#This Row],[Profit]]&gt;500,"High","Std"))</f>
        <v>STD</v>
      </c>
      <c r="P605">
        <v>604</v>
      </c>
    </row>
    <row r="606" spans="1:16" x14ac:dyDescent="0.3">
      <c r="A606" s="1">
        <v>45078</v>
      </c>
      <c r="B606" t="s">
        <v>10</v>
      </c>
      <c r="C606" t="s">
        <v>11</v>
      </c>
      <c r="D606" t="s">
        <v>9</v>
      </c>
      <c r="E606">
        <v>5</v>
      </c>
      <c r="F606" s="3">
        <v>945</v>
      </c>
      <c r="G606" s="2">
        <v>194.03</v>
      </c>
      <c r="H606">
        <f>Master_ventas[[#This Row],[Profit]]/Master_ventas[[#This Row],[Sales]]</f>
        <v>0.20532275132275132</v>
      </c>
      <c r="I606">
        <f ca="1">Referencia_Hoy-Master_ventas[[#This Row],[Order Date]]</f>
        <v>1245</v>
      </c>
      <c r="J606" t="str">
        <f>UPPER(Master_ventas[[#This Row],[Product Name]])</f>
        <v>MOUSE</v>
      </c>
      <c r="K606" t="str">
        <f>UPPER(Master_ventas[[#This Row],[Category]])</f>
        <v>ACCESSORIES</v>
      </c>
      <c r="L606">
        <f>YEAR(Master_ventas[[#This Row],[Order Date]])</f>
        <v>2023</v>
      </c>
      <c r="M606" t="str">
        <f>CONCATENATE(LEFT(Master_ventas[[#This Row],[ProdUpper]],3),RIGHT(Master_ventas[[#This Row],[Ext-Year]],2),"-",MID(Master_ventas[[#This Row],[Category]],1,1))</f>
        <v>MOU23-A</v>
      </c>
      <c r="N606" t="str">
        <f>MID(Master_ventas[[#This Row],[ProdUpper]],1,3)</f>
        <v>MOU</v>
      </c>
      <c r="O606" t="str">
        <f>UPPER(IF(Master_ventas[[#This Row],[Profit]]&gt;500,"High","Std"))</f>
        <v>STD</v>
      </c>
      <c r="P606">
        <v>605</v>
      </c>
    </row>
    <row r="607" spans="1:16" x14ac:dyDescent="0.3">
      <c r="A607" s="1">
        <v>44611</v>
      </c>
      <c r="B607" t="s">
        <v>10</v>
      </c>
      <c r="C607" t="s">
        <v>11</v>
      </c>
      <c r="D607" t="s">
        <v>16</v>
      </c>
      <c r="E607">
        <v>6</v>
      </c>
      <c r="F607" s="3">
        <v>5622</v>
      </c>
      <c r="G607" s="2">
        <v>1382.67</v>
      </c>
      <c r="H607">
        <f>Master_ventas[[#This Row],[Profit]]/Master_ventas[[#This Row],[Sales]]</f>
        <v>0.2459391675560299</v>
      </c>
      <c r="I607">
        <f ca="1">Referencia_Hoy-Master_ventas[[#This Row],[Order Date]]</f>
        <v>1712</v>
      </c>
      <c r="J607" t="str">
        <f>UPPER(Master_ventas[[#This Row],[Product Name]])</f>
        <v>MOUSE</v>
      </c>
      <c r="K607" t="str">
        <f>UPPER(Master_ventas[[#This Row],[Category]])</f>
        <v>ACCESSORIES</v>
      </c>
      <c r="L607">
        <f>YEAR(Master_ventas[[#This Row],[Order Date]])</f>
        <v>2022</v>
      </c>
      <c r="M607" t="str">
        <f>CONCATENATE(LEFT(Master_ventas[[#This Row],[ProdUpper]],3),RIGHT(Master_ventas[[#This Row],[Ext-Year]],2),"-",MID(Master_ventas[[#This Row],[Category]],1,1))</f>
        <v>MOU22-A</v>
      </c>
      <c r="N607" t="str">
        <f>MID(Master_ventas[[#This Row],[ProdUpper]],1,3)</f>
        <v>MOU</v>
      </c>
      <c r="O607" t="str">
        <f>UPPER(IF(Master_ventas[[#This Row],[Profit]]&gt;500,"High","Std"))</f>
        <v>HIGH</v>
      </c>
      <c r="P607">
        <v>606</v>
      </c>
    </row>
    <row r="608" spans="1:16" x14ac:dyDescent="0.3">
      <c r="A608" s="1">
        <v>45120</v>
      </c>
      <c r="B608" t="s">
        <v>17</v>
      </c>
      <c r="C608" t="s">
        <v>14</v>
      </c>
      <c r="D608" t="s">
        <v>12</v>
      </c>
      <c r="E608">
        <v>3</v>
      </c>
      <c r="F608" s="3">
        <v>2325</v>
      </c>
      <c r="G608" s="2">
        <v>309.49</v>
      </c>
      <c r="H608">
        <f>Master_ventas[[#This Row],[Profit]]/Master_ventas[[#This Row],[Sales]]</f>
        <v>0.13311397849462367</v>
      </c>
      <c r="I608">
        <f ca="1">Referencia_Hoy-Master_ventas[[#This Row],[Order Date]]</f>
        <v>1203</v>
      </c>
      <c r="J608" t="str">
        <f>UPPER(Master_ventas[[#This Row],[Product Name]])</f>
        <v>CAMERA</v>
      </c>
      <c r="K608" t="str">
        <f>UPPER(Master_ventas[[#This Row],[Category]])</f>
        <v>ELECTRONICS</v>
      </c>
      <c r="L608">
        <f>YEAR(Master_ventas[[#This Row],[Order Date]])</f>
        <v>2023</v>
      </c>
      <c r="M608" t="str">
        <f>CONCATENATE(LEFT(Master_ventas[[#This Row],[ProdUpper]],3),RIGHT(Master_ventas[[#This Row],[Ext-Year]],2),"-",MID(Master_ventas[[#This Row],[Category]],1,1))</f>
        <v>CAM23-E</v>
      </c>
      <c r="N608" t="str">
        <f>MID(Master_ventas[[#This Row],[ProdUpper]],1,3)</f>
        <v>CAM</v>
      </c>
      <c r="O608" t="str">
        <f>UPPER(IF(Master_ventas[[#This Row],[Profit]]&gt;500,"High","Std"))</f>
        <v>STD</v>
      </c>
      <c r="P608">
        <v>607</v>
      </c>
    </row>
    <row r="609" spans="1:16" x14ac:dyDescent="0.3">
      <c r="A609" s="1">
        <v>44776</v>
      </c>
      <c r="B609" t="s">
        <v>22</v>
      </c>
      <c r="C609" t="s">
        <v>11</v>
      </c>
      <c r="D609" t="s">
        <v>15</v>
      </c>
      <c r="E609">
        <v>1</v>
      </c>
      <c r="F609" s="3">
        <v>1157</v>
      </c>
      <c r="G609" s="2">
        <v>252.08</v>
      </c>
      <c r="H609">
        <f>Master_ventas[[#This Row],[Profit]]/Master_ventas[[#This Row],[Sales]]</f>
        <v>0.21787381158167676</v>
      </c>
      <c r="I609">
        <f ca="1">Referencia_Hoy-Master_ventas[[#This Row],[Order Date]]</f>
        <v>1547</v>
      </c>
      <c r="J609" t="str">
        <f>UPPER(Master_ventas[[#This Row],[Product Name]])</f>
        <v>KEYBOARD</v>
      </c>
      <c r="K609" t="str">
        <f>UPPER(Master_ventas[[#This Row],[Category]])</f>
        <v>ACCESSORIES</v>
      </c>
      <c r="L609">
        <f>YEAR(Master_ventas[[#This Row],[Order Date]])</f>
        <v>2022</v>
      </c>
      <c r="M609" t="str">
        <f>CONCATENATE(LEFT(Master_ventas[[#This Row],[ProdUpper]],3),RIGHT(Master_ventas[[#This Row],[Ext-Year]],2),"-",MID(Master_ventas[[#This Row],[Category]],1,1))</f>
        <v>KEY22-A</v>
      </c>
      <c r="N609" t="str">
        <f>MID(Master_ventas[[#This Row],[ProdUpper]],1,3)</f>
        <v>KEY</v>
      </c>
      <c r="O609" t="str">
        <f>UPPER(IF(Master_ventas[[#This Row],[Profit]]&gt;500,"High","Std"))</f>
        <v>STD</v>
      </c>
      <c r="P609">
        <v>608</v>
      </c>
    </row>
    <row r="610" spans="1:16" x14ac:dyDescent="0.3">
      <c r="A610" s="1">
        <v>45321</v>
      </c>
      <c r="B610" t="s">
        <v>7</v>
      </c>
      <c r="C610" t="s">
        <v>8</v>
      </c>
      <c r="D610" t="s">
        <v>16</v>
      </c>
      <c r="E610">
        <v>3</v>
      </c>
      <c r="F610" s="3">
        <v>531</v>
      </c>
      <c r="G610" s="2">
        <v>126.24</v>
      </c>
      <c r="H610">
        <f>Master_ventas[[#This Row],[Profit]]/Master_ventas[[#This Row],[Sales]]</f>
        <v>0.23774011299435027</v>
      </c>
      <c r="I610">
        <f ca="1">Referencia_Hoy-Master_ventas[[#This Row],[Order Date]]</f>
        <v>1002</v>
      </c>
      <c r="J610" t="str">
        <f>UPPER(Master_ventas[[#This Row],[Product Name]])</f>
        <v>PRINTER</v>
      </c>
      <c r="K610" t="str">
        <f>UPPER(Master_ventas[[#This Row],[Category]])</f>
        <v>OFFICE</v>
      </c>
      <c r="L610">
        <f>YEAR(Master_ventas[[#This Row],[Order Date]])</f>
        <v>2024</v>
      </c>
      <c r="M610" t="str">
        <f>CONCATENATE(LEFT(Master_ventas[[#This Row],[ProdUpper]],3),RIGHT(Master_ventas[[#This Row],[Ext-Year]],2),"-",MID(Master_ventas[[#This Row],[Category]],1,1))</f>
        <v>PRI24-O</v>
      </c>
      <c r="N610" t="str">
        <f>MID(Master_ventas[[#This Row],[ProdUpper]],1,3)</f>
        <v>PRI</v>
      </c>
      <c r="O610" t="str">
        <f>UPPER(IF(Master_ventas[[#This Row],[Profit]]&gt;500,"High","Std"))</f>
        <v>STD</v>
      </c>
      <c r="P610">
        <v>609</v>
      </c>
    </row>
    <row r="611" spans="1:16" x14ac:dyDescent="0.3">
      <c r="A611" s="1">
        <v>45130</v>
      </c>
      <c r="B611" t="s">
        <v>13</v>
      </c>
      <c r="C611" t="s">
        <v>14</v>
      </c>
      <c r="D611" t="s">
        <v>16</v>
      </c>
      <c r="E611">
        <v>2</v>
      </c>
      <c r="F611" s="3">
        <v>1760</v>
      </c>
      <c r="G611" s="2">
        <v>278.08999999999997</v>
      </c>
      <c r="H611">
        <f>Master_ventas[[#This Row],[Profit]]/Master_ventas[[#This Row],[Sales]]</f>
        <v>0.15800568181818181</v>
      </c>
      <c r="I611">
        <f ca="1">Referencia_Hoy-Master_ventas[[#This Row],[Order Date]]</f>
        <v>1193</v>
      </c>
      <c r="J611" t="str">
        <f>UPPER(Master_ventas[[#This Row],[Product Name]])</f>
        <v>TABLET</v>
      </c>
      <c r="K611" t="str">
        <f>UPPER(Master_ventas[[#This Row],[Category]])</f>
        <v>ELECTRONICS</v>
      </c>
      <c r="L611">
        <f>YEAR(Master_ventas[[#This Row],[Order Date]])</f>
        <v>2023</v>
      </c>
      <c r="M611" t="str">
        <f>CONCATENATE(LEFT(Master_ventas[[#This Row],[ProdUpper]],3),RIGHT(Master_ventas[[#This Row],[Ext-Year]],2),"-",MID(Master_ventas[[#This Row],[Category]],1,1))</f>
        <v>TAB23-E</v>
      </c>
      <c r="N611" t="str">
        <f>MID(Master_ventas[[#This Row],[ProdUpper]],1,3)</f>
        <v>TAB</v>
      </c>
      <c r="O611" t="str">
        <f>UPPER(IF(Master_ventas[[#This Row],[Profit]]&gt;500,"High","Std"))</f>
        <v>STD</v>
      </c>
      <c r="P611">
        <v>610</v>
      </c>
    </row>
    <row r="612" spans="1:16" x14ac:dyDescent="0.3">
      <c r="A612" s="1">
        <v>45242</v>
      </c>
      <c r="B612" t="s">
        <v>19</v>
      </c>
      <c r="C612" t="s">
        <v>14</v>
      </c>
      <c r="D612" t="s">
        <v>9</v>
      </c>
      <c r="E612">
        <v>1</v>
      </c>
      <c r="F612" s="3">
        <v>371</v>
      </c>
      <c r="G612" s="2">
        <v>108.58</v>
      </c>
      <c r="H612">
        <f>Master_ventas[[#This Row],[Profit]]/Master_ventas[[#This Row],[Sales]]</f>
        <v>0.29266846361185983</v>
      </c>
      <c r="I612">
        <f ca="1">Referencia_Hoy-Master_ventas[[#This Row],[Order Date]]</f>
        <v>1081</v>
      </c>
      <c r="J612" t="str">
        <f>UPPER(Master_ventas[[#This Row],[Product Name]])</f>
        <v>SMARTWATCH</v>
      </c>
      <c r="K612" t="str">
        <f>UPPER(Master_ventas[[#This Row],[Category]])</f>
        <v>ELECTRONICS</v>
      </c>
      <c r="L612">
        <f>YEAR(Master_ventas[[#This Row],[Order Date]])</f>
        <v>2023</v>
      </c>
      <c r="M612" t="str">
        <f>CONCATENATE(LEFT(Master_ventas[[#This Row],[ProdUpper]],3),RIGHT(Master_ventas[[#This Row],[Ext-Year]],2),"-",MID(Master_ventas[[#This Row],[Category]],1,1))</f>
        <v>SMA23-E</v>
      </c>
      <c r="N612" t="str">
        <f>MID(Master_ventas[[#This Row],[ProdUpper]],1,3)</f>
        <v>SMA</v>
      </c>
      <c r="O612" t="str">
        <f>UPPER(IF(Master_ventas[[#This Row],[Profit]]&gt;500,"High","Std"))</f>
        <v>STD</v>
      </c>
      <c r="P612">
        <v>611</v>
      </c>
    </row>
    <row r="613" spans="1:16" x14ac:dyDescent="0.3">
      <c r="A613" s="1">
        <v>45580</v>
      </c>
      <c r="B613" t="s">
        <v>21</v>
      </c>
      <c r="C613" t="s">
        <v>14</v>
      </c>
      <c r="D613" t="s">
        <v>12</v>
      </c>
      <c r="E613">
        <v>4</v>
      </c>
      <c r="F613" s="3">
        <v>1896</v>
      </c>
      <c r="G613" s="2">
        <v>191.7</v>
      </c>
      <c r="H613">
        <f>Master_ventas[[#This Row],[Profit]]/Master_ventas[[#This Row],[Sales]]</f>
        <v>0.10110759493670886</v>
      </c>
      <c r="I613">
        <f ca="1">Referencia_Hoy-Master_ventas[[#This Row],[Order Date]]</f>
        <v>743</v>
      </c>
      <c r="J613" t="str">
        <f>UPPER(Master_ventas[[#This Row],[Product Name]])</f>
        <v>SMARTPHONE</v>
      </c>
      <c r="K613" t="str">
        <f>UPPER(Master_ventas[[#This Row],[Category]])</f>
        <v>ELECTRONICS</v>
      </c>
      <c r="L613">
        <f>YEAR(Master_ventas[[#This Row],[Order Date]])</f>
        <v>2024</v>
      </c>
      <c r="M613" t="str">
        <f>CONCATENATE(LEFT(Master_ventas[[#This Row],[ProdUpper]],3),RIGHT(Master_ventas[[#This Row],[Ext-Year]],2),"-",MID(Master_ventas[[#This Row],[Category]],1,1))</f>
        <v>SMA24-E</v>
      </c>
      <c r="N613" t="str">
        <f>MID(Master_ventas[[#This Row],[ProdUpper]],1,3)</f>
        <v>SMA</v>
      </c>
      <c r="O613" t="str">
        <f>UPPER(IF(Master_ventas[[#This Row],[Profit]]&gt;500,"High","Std"))</f>
        <v>STD</v>
      </c>
      <c r="P613">
        <v>612</v>
      </c>
    </row>
    <row r="614" spans="1:16" x14ac:dyDescent="0.3">
      <c r="A614" s="1">
        <v>45147</v>
      </c>
      <c r="B614" t="s">
        <v>19</v>
      </c>
      <c r="C614" t="s">
        <v>14</v>
      </c>
      <c r="D614" t="s">
        <v>15</v>
      </c>
      <c r="E614">
        <v>2</v>
      </c>
      <c r="F614" s="3">
        <v>514</v>
      </c>
      <c r="G614" s="2">
        <v>106.75</v>
      </c>
      <c r="H614">
        <f>Master_ventas[[#This Row],[Profit]]/Master_ventas[[#This Row],[Sales]]</f>
        <v>0.20768482490272375</v>
      </c>
      <c r="I614">
        <f ca="1">Referencia_Hoy-Master_ventas[[#This Row],[Order Date]]</f>
        <v>1176</v>
      </c>
      <c r="J614" t="str">
        <f>UPPER(Master_ventas[[#This Row],[Product Name]])</f>
        <v>SMARTWATCH</v>
      </c>
      <c r="K614" t="str">
        <f>UPPER(Master_ventas[[#This Row],[Category]])</f>
        <v>ELECTRONICS</v>
      </c>
      <c r="L614">
        <f>YEAR(Master_ventas[[#This Row],[Order Date]])</f>
        <v>2023</v>
      </c>
      <c r="M614" t="str">
        <f>CONCATENATE(LEFT(Master_ventas[[#This Row],[ProdUpper]],3),RIGHT(Master_ventas[[#This Row],[Ext-Year]],2),"-",MID(Master_ventas[[#This Row],[Category]],1,1))</f>
        <v>SMA23-E</v>
      </c>
      <c r="N614" t="str">
        <f>MID(Master_ventas[[#This Row],[ProdUpper]],1,3)</f>
        <v>SMA</v>
      </c>
      <c r="O614" t="str">
        <f>UPPER(IF(Master_ventas[[#This Row],[Profit]]&gt;500,"High","Std"))</f>
        <v>STD</v>
      </c>
      <c r="P614">
        <v>613</v>
      </c>
    </row>
    <row r="615" spans="1:16" x14ac:dyDescent="0.3">
      <c r="A615" s="1">
        <v>44791</v>
      </c>
      <c r="B615" t="s">
        <v>20</v>
      </c>
      <c r="C615" t="s">
        <v>11</v>
      </c>
      <c r="D615" t="s">
        <v>16</v>
      </c>
      <c r="E615">
        <v>7</v>
      </c>
      <c r="F615" s="3">
        <v>1876</v>
      </c>
      <c r="G615" s="2">
        <v>129.25</v>
      </c>
      <c r="H615">
        <f>Master_ventas[[#This Row],[Profit]]/Master_ventas[[#This Row],[Sales]]</f>
        <v>6.889658848614072E-2</v>
      </c>
      <c r="I615">
        <f ca="1">Referencia_Hoy-Master_ventas[[#This Row],[Order Date]]</f>
        <v>1532</v>
      </c>
      <c r="J615" t="str">
        <f>UPPER(Master_ventas[[#This Row],[Product Name]])</f>
        <v>MONITOR</v>
      </c>
      <c r="K615" t="str">
        <f>UPPER(Master_ventas[[#This Row],[Category]])</f>
        <v>ACCESSORIES</v>
      </c>
      <c r="L615">
        <f>YEAR(Master_ventas[[#This Row],[Order Date]])</f>
        <v>2022</v>
      </c>
      <c r="M615" t="str">
        <f>CONCATENATE(LEFT(Master_ventas[[#This Row],[ProdUpper]],3),RIGHT(Master_ventas[[#This Row],[Ext-Year]],2),"-",MID(Master_ventas[[#This Row],[Category]],1,1))</f>
        <v>MON22-A</v>
      </c>
      <c r="N615" t="str">
        <f>MID(Master_ventas[[#This Row],[ProdUpper]],1,3)</f>
        <v>MON</v>
      </c>
      <c r="O615" t="str">
        <f>UPPER(IF(Master_ventas[[#This Row],[Profit]]&gt;500,"High","Std"))</f>
        <v>STD</v>
      </c>
      <c r="P615">
        <v>614</v>
      </c>
    </row>
    <row r="616" spans="1:16" x14ac:dyDescent="0.3">
      <c r="A616" s="1">
        <v>45157</v>
      </c>
      <c r="B616" t="s">
        <v>17</v>
      </c>
      <c r="C616" t="s">
        <v>14</v>
      </c>
      <c r="D616" t="s">
        <v>12</v>
      </c>
      <c r="E616">
        <v>6</v>
      </c>
      <c r="F616" s="3">
        <v>1182</v>
      </c>
      <c r="G616" s="2">
        <v>236.12</v>
      </c>
      <c r="H616">
        <f>Master_ventas[[#This Row],[Profit]]/Master_ventas[[#This Row],[Sales]]</f>
        <v>0.19976311336717428</v>
      </c>
      <c r="I616">
        <f ca="1">Referencia_Hoy-Master_ventas[[#This Row],[Order Date]]</f>
        <v>1166</v>
      </c>
      <c r="J616" t="str">
        <f>UPPER(Master_ventas[[#This Row],[Product Name]])</f>
        <v>CAMERA</v>
      </c>
      <c r="K616" t="str">
        <f>UPPER(Master_ventas[[#This Row],[Category]])</f>
        <v>ELECTRONICS</v>
      </c>
      <c r="L616">
        <f>YEAR(Master_ventas[[#This Row],[Order Date]])</f>
        <v>2023</v>
      </c>
      <c r="M616" t="str">
        <f>CONCATENATE(LEFT(Master_ventas[[#This Row],[ProdUpper]],3),RIGHT(Master_ventas[[#This Row],[Ext-Year]],2),"-",MID(Master_ventas[[#This Row],[Category]],1,1))</f>
        <v>CAM23-E</v>
      </c>
      <c r="N616" t="str">
        <f>MID(Master_ventas[[#This Row],[ProdUpper]],1,3)</f>
        <v>CAM</v>
      </c>
      <c r="O616" t="str">
        <f>UPPER(IF(Master_ventas[[#This Row],[Profit]]&gt;500,"High","Std"))</f>
        <v>STD</v>
      </c>
      <c r="P616">
        <v>615</v>
      </c>
    </row>
    <row r="617" spans="1:16" x14ac:dyDescent="0.3">
      <c r="A617" s="1">
        <v>44634</v>
      </c>
      <c r="B617" t="s">
        <v>21</v>
      </c>
      <c r="C617" t="s">
        <v>14</v>
      </c>
      <c r="D617" t="s">
        <v>9</v>
      </c>
      <c r="E617">
        <v>5</v>
      </c>
      <c r="F617" s="3">
        <v>4255</v>
      </c>
      <c r="G617" s="2">
        <v>961.41</v>
      </c>
      <c r="H617">
        <f>Master_ventas[[#This Row],[Profit]]/Master_ventas[[#This Row],[Sales]]</f>
        <v>0.22594829612220915</v>
      </c>
      <c r="I617">
        <f ca="1">Referencia_Hoy-Master_ventas[[#This Row],[Order Date]]</f>
        <v>1689</v>
      </c>
      <c r="J617" t="str">
        <f>UPPER(Master_ventas[[#This Row],[Product Name]])</f>
        <v>SMARTPHONE</v>
      </c>
      <c r="K617" t="str">
        <f>UPPER(Master_ventas[[#This Row],[Category]])</f>
        <v>ELECTRONICS</v>
      </c>
      <c r="L617">
        <f>YEAR(Master_ventas[[#This Row],[Order Date]])</f>
        <v>2022</v>
      </c>
      <c r="M617" t="str">
        <f>CONCATENATE(LEFT(Master_ventas[[#This Row],[ProdUpper]],3),RIGHT(Master_ventas[[#This Row],[Ext-Year]],2),"-",MID(Master_ventas[[#This Row],[Category]],1,1))</f>
        <v>SMA22-E</v>
      </c>
      <c r="N617" t="str">
        <f>MID(Master_ventas[[#This Row],[ProdUpper]],1,3)</f>
        <v>SMA</v>
      </c>
      <c r="O617" t="str">
        <f>UPPER(IF(Master_ventas[[#This Row],[Profit]]&gt;500,"High","Std"))</f>
        <v>HIGH</v>
      </c>
      <c r="P617">
        <v>616</v>
      </c>
    </row>
    <row r="618" spans="1:16" x14ac:dyDescent="0.3">
      <c r="A618" s="1">
        <v>44819</v>
      </c>
      <c r="B618" t="s">
        <v>20</v>
      </c>
      <c r="C618" t="s">
        <v>11</v>
      </c>
      <c r="D618" t="s">
        <v>9</v>
      </c>
      <c r="E618">
        <v>9</v>
      </c>
      <c r="F618" s="3">
        <v>1341</v>
      </c>
      <c r="G618" s="2">
        <v>150.69999999999999</v>
      </c>
      <c r="H618">
        <f>Master_ventas[[#This Row],[Profit]]/Master_ventas[[#This Row],[Sales]]</f>
        <v>0.11237882177479493</v>
      </c>
      <c r="I618">
        <f ca="1">Referencia_Hoy-Master_ventas[[#This Row],[Order Date]]</f>
        <v>1504</v>
      </c>
      <c r="J618" t="str">
        <f>UPPER(Master_ventas[[#This Row],[Product Name]])</f>
        <v>MONITOR</v>
      </c>
      <c r="K618" t="str">
        <f>UPPER(Master_ventas[[#This Row],[Category]])</f>
        <v>ACCESSORIES</v>
      </c>
      <c r="L618">
        <f>YEAR(Master_ventas[[#This Row],[Order Date]])</f>
        <v>2022</v>
      </c>
      <c r="M618" t="str">
        <f>CONCATENATE(LEFT(Master_ventas[[#This Row],[ProdUpper]],3),RIGHT(Master_ventas[[#This Row],[Ext-Year]],2),"-",MID(Master_ventas[[#This Row],[Category]],1,1))</f>
        <v>MON22-A</v>
      </c>
      <c r="N618" t="str">
        <f>MID(Master_ventas[[#This Row],[ProdUpper]],1,3)</f>
        <v>MON</v>
      </c>
      <c r="O618" t="str">
        <f>UPPER(IF(Master_ventas[[#This Row],[Profit]]&gt;500,"High","Std"))</f>
        <v>STD</v>
      </c>
      <c r="P618">
        <v>617</v>
      </c>
    </row>
    <row r="619" spans="1:16" x14ac:dyDescent="0.3">
      <c r="A619" s="1">
        <v>44827</v>
      </c>
      <c r="B619" t="s">
        <v>22</v>
      </c>
      <c r="C619" t="s">
        <v>11</v>
      </c>
      <c r="D619" t="s">
        <v>9</v>
      </c>
      <c r="E619">
        <v>1</v>
      </c>
      <c r="F619" s="3">
        <v>644</v>
      </c>
      <c r="G619" s="2">
        <v>49.25</v>
      </c>
      <c r="H619">
        <f>Master_ventas[[#This Row],[Profit]]/Master_ventas[[#This Row],[Sales]]</f>
        <v>7.6475155279503104E-2</v>
      </c>
      <c r="I619">
        <f ca="1">Referencia_Hoy-Master_ventas[[#This Row],[Order Date]]</f>
        <v>1496</v>
      </c>
      <c r="J619" t="str">
        <f>UPPER(Master_ventas[[#This Row],[Product Name]])</f>
        <v>KEYBOARD</v>
      </c>
      <c r="K619" t="str">
        <f>UPPER(Master_ventas[[#This Row],[Category]])</f>
        <v>ACCESSORIES</v>
      </c>
      <c r="L619">
        <f>YEAR(Master_ventas[[#This Row],[Order Date]])</f>
        <v>2022</v>
      </c>
      <c r="M619" t="str">
        <f>CONCATENATE(LEFT(Master_ventas[[#This Row],[ProdUpper]],3),RIGHT(Master_ventas[[#This Row],[Ext-Year]],2),"-",MID(Master_ventas[[#This Row],[Category]],1,1))</f>
        <v>KEY22-A</v>
      </c>
      <c r="N619" t="str">
        <f>MID(Master_ventas[[#This Row],[ProdUpper]],1,3)</f>
        <v>KEY</v>
      </c>
      <c r="O619" t="str">
        <f>UPPER(IF(Master_ventas[[#This Row],[Profit]]&gt;500,"High","Std"))</f>
        <v>STD</v>
      </c>
      <c r="P619">
        <v>618</v>
      </c>
    </row>
    <row r="620" spans="1:16" x14ac:dyDescent="0.3">
      <c r="A620" s="1">
        <v>45429</v>
      </c>
      <c r="B620" t="s">
        <v>20</v>
      </c>
      <c r="C620" t="s">
        <v>11</v>
      </c>
      <c r="D620" t="s">
        <v>15</v>
      </c>
      <c r="E620">
        <v>3</v>
      </c>
      <c r="F620" s="3">
        <v>1827</v>
      </c>
      <c r="G620" s="2">
        <v>94.4</v>
      </c>
      <c r="H620">
        <f>Master_ventas[[#This Row],[Profit]]/Master_ventas[[#This Row],[Sales]]</f>
        <v>5.1669403393541327E-2</v>
      </c>
      <c r="I620">
        <f ca="1">Referencia_Hoy-Master_ventas[[#This Row],[Order Date]]</f>
        <v>894</v>
      </c>
      <c r="J620" t="str">
        <f>UPPER(Master_ventas[[#This Row],[Product Name]])</f>
        <v>MONITOR</v>
      </c>
      <c r="K620" t="str">
        <f>UPPER(Master_ventas[[#This Row],[Category]])</f>
        <v>ACCESSORIES</v>
      </c>
      <c r="L620">
        <f>YEAR(Master_ventas[[#This Row],[Order Date]])</f>
        <v>2024</v>
      </c>
      <c r="M620" t="str">
        <f>CONCATENATE(LEFT(Master_ventas[[#This Row],[ProdUpper]],3),RIGHT(Master_ventas[[#This Row],[Ext-Year]],2),"-",MID(Master_ventas[[#This Row],[Category]],1,1))</f>
        <v>MON24-A</v>
      </c>
      <c r="N620" t="str">
        <f>MID(Master_ventas[[#This Row],[ProdUpper]],1,3)</f>
        <v>MON</v>
      </c>
      <c r="O620" t="str">
        <f>UPPER(IF(Master_ventas[[#This Row],[Profit]]&gt;500,"High","Std"))</f>
        <v>STD</v>
      </c>
      <c r="P620">
        <v>619</v>
      </c>
    </row>
    <row r="621" spans="1:16" x14ac:dyDescent="0.3">
      <c r="A621" s="1">
        <v>45592</v>
      </c>
      <c r="B621" t="s">
        <v>17</v>
      </c>
      <c r="C621" t="s">
        <v>14</v>
      </c>
      <c r="D621" t="s">
        <v>9</v>
      </c>
      <c r="E621">
        <v>1</v>
      </c>
      <c r="F621" s="3">
        <v>930</v>
      </c>
      <c r="G621" s="2">
        <v>136.16</v>
      </c>
      <c r="H621">
        <f>Master_ventas[[#This Row],[Profit]]/Master_ventas[[#This Row],[Sales]]</f>
        <v>0.14640860215053764</v>
      </c>
      <c r="I621">
        <f ca="1">Referencia_Hoy-Master_ventas[[#This Row],[Order Date]]</f>
        <v>731</v>
      </c>
      <c r="J621" t="str">
        <f>UPPER(Master_ventas[[#This Row],[Product Name]])</f>
        <v>CAMERA</v>
      </c>
      <c r="K621" t="str">
        <f>UPPER(Master_ventas[[#This Row],[Category]])</f>
        <v>ELECTRONICS</v>
      </c>
      <c r="L621">
        <f>YEAR(Master_ventas[[#This Row],[Order Date]])</f>
        <v>2024</v>
      </c>
      <c r="M621" t="str">
        <f>CONCATENATE(LEFT(Master_ventas[[#This Row],[ProdUpper]],3),RIGHT(Master_ventas[[#This Row],[Ext-Year]],2),"-",MID(Master_ventas[[#This Row],[Category]],1,1))</f>
        <v>CAM24-E</v>
      </c>
      <c r="N621" t="str">
        <f>MID(Master_ventas[[#This Row],[ProdUpper]],1,3)</f>
        <v>CAM</v>
      </c>
      <c r="O621" t="str">
        <f>UPPER(IF(Master_ventas[[#This Row],[Profit]]&gt;500,"High","Std"))</f>
        <v>STD</v>
      </c>
      <c r="P621">
        <v>620</v>
      </c>
    </row>
    <row r="622" spans="1:16" x14ac:dyDescent="0.3">
      <c r="A622" s="1">
        <v>44607</v>
      </c>
      <c r="B622" t="s">
        <v>17</v>
      </c>
      <c r="C622" t="s">
        <v>14</v>
      </c>
      <c r="D622" t="s">
        <v>15</v>
      </c>
      <c r="E622">
        <v>4</v>
      </c>
      <c r="F622" s="3">
        <v>528</v>
      </c>
      <c r="G622" s="2">
        <v>152.80000000000001</v>
      </c>
      <c r="H622">
        <f>Master_ventas[[#This Row],[Profit]]/Master_ventas[[#This Row],[Sales]]</f>
        <v>0.28939393939393943</v>
      </c>
      <c r="I622">
        <f ca="1">Referencia_Hoy-Master_ventas[[#This Row],[Order Date]]</f>
        <v>1716</v>
      </c>
      <c r="J622" t="str">
        <f>UPPER(Master_ventas[[#This Row],[Product Name]])</f>
        <v>CAMERA</v>
      </c>
      <c r="K622" t="str">
        <f>UPPER(Master_ventas[[#This Row],[Category]])</f>
        <v>ELECTRONICS</v>
      </c>
      <c r="L622">
        <f>YEAR(Master_ventas[[#This Row],[Order Date]])</f>
        <v>2022</v>
      </c>
      <c r="M622" t="str">
        <f>CONCATENATE(LEFT(Master_ventas[[#This Row],[ProdUpper]],3),RIGHT(Master_ventas[[#This Row],[Ext-Year]],2),"-",MID(Master_ventas[[#This Row],[Category]],1,1))</f>
        <v>CAM22-E</v>
      </c>
      <c r="N622" t="str">
        <f>MID(Master_ventas[[#This Row],[ProdUpper]],1,3)</f>
        <v>CAM</v>
      </c>
      <c r="O622" t="str">
        <f>UPPER(IF(Master_ventas[[#This Row],[Profit]]&gt;500,"High","Std"))</f>
        <v>STD</v>
      </c>
      <c r="P622">
        <v>621</v>
      </c>
    </row>
    <row r="623" spans="1:16" x14ac:dyDescent="0.3">
      <c r="A623" s="1">
        <v>44615</v>
      </c>
      <c r="B623" t="s">
        <v>20</v>
      </c>
      <c r="C623" t="s">
        <v>11</v>
      </c>
      <c r="D623" t="s">
        <v>15</v>
      </c>
      <c r="E623">
        <v>6</v>
      </c>
      <c r="F623" s="3">
        <v>4236</v>
      </c>
      <c r="G623" s="2">
        <v>739.22</v>
      </c>
      <c r="H623">
        <f>Master_ventas[[#This Row],[Profit]]/Master_ventas[[#This Row],[Sales]]</f>
        <v>0.17450897072710103</v>
      </c>
      <c r="I623">
        <f ca="1">Referencia_Hoy-Master_ventas[[#This Row],[Order Date]]</f>
        <v>1708</v>
      </c>
      <c r="J623" t="str">
        <f>UPPER(Master_ventas[[#This Row],[Product Name]])</f>
        <v>MONITOR</v>
      </c>
      <c r="K623" t="str">
        <f>UPPER(Master_ventas[[#This Row],[Category]])</f>
        <v>ACCESSORIES</v>
      </c>
      <c r="L623">
        <f>YEAR(Master_ventas[[#This Row],[Order Date]])</f>
        <v>2022</v>
      </c>
      <c r="M623" t="str">
        <f>CONCATENATE(LEFT(Master_ventas[[#This Row],[ProdUpper]],3),RIGHT(Master_ventas[[#This Row],[Ext-Year]],2),"-",MID(Master_ventas[[#This Row],[Category]],1,1))</f>
        <v>MON22-A</v>
      </c>
      <c r="N623" t="str">
        <f>MID(Master_ventas[[#This Row],[ProdUpper]],1,3)</f>
        <v>MON</v>
      </c>
      <c r="O623" t="str">
        <f>UPPER(IF(Master_ventas[[#This Row],[Profit]]&gt;500,"High","Std"))</f>
        <v>HIGH</v>
      </c>
      <c r="P623">
        <v>622</v>
      </c>
    </row>
    <row r="624" spans="1:16" x14ac:dyDescent="0.3">
      <c r="A624" s="1">
        <v>44940</v>
      </c>
      <c r="B624" t="s">
        <v>18</v>
      </c>
      <c r="C624" t="s">
        <v>11</v>
      </c>
      <c r="D624" t="s">
        <v>9</v>
      </c>
      <c r="E624">
        <v>4</v>
      </c>
      <c r="F624" s="3">
        <v>1664</v>
      </c>
      <c r="G624" s="2">
        <v>190.82</v>
      </c>
      <c r="H624">
        <f>Master_ventas[[#This Row],[Profit]]/Master_ventas[[#This Row],[Sales]]</f>
        <v>0.11467548076923076</v>
      </c>
      <c r="I624">
        <f ca="1">Referencia_Hoy-Master_ventas[[#This Row],[Order Date]]</f>
        <v>1383</v>
      </c>
      <c r="J624" t="str">
        <f>UPPER(Master_ventas[[#This Row],[Product Name]])</f>
        <v>HEADPHONES</v>
      </c>
      <c r="K624" t="str">
        <f>UPPER(Master_ventas[[#This Row],[Category]])</f>
        <v>ACCESSORIES</v>
      </c>
      <c r="L624">
        <f>YEAR(Master_ventas[[#This Row],[Order Date]])</f>
        <v>2023</v>
      </c>
      <c r="M624" t="str">
        <f>CONCATENATE(LEFT(Master_ventas[[#This Row],[ProdUpper]],3),RIGHT(Master_ventas[[#This Row],[Ext-Year]],2),"-",MID(Master_ventas[[#This Row],[Category]],1,1))</f>
        <v>HEA23-A</v>
      </c>
      <c r="N624" t="str">
        <f>MID(Master_ventas[[#This Row],[ProdUpper]],1,3)</f>
        <v>HEA</v>
      </c>
      <c r="O624" t="str">
        <f>UPPER(IF(Master_ventas[[#This Row],[Profit]]&gt;500,"High","Std"))</f>
        <v>STD</v>
      </c>
      <c r="P624">
        <v>623</v>
      </c>
    </row>
    <row r="625" spans="1:16" x14ac:dyDescent="0.3">
      <c r="A625" s="1">
        <v>44938</v>
      </c>
      <c r="B625" t="s">
        <v>19</v>
      </c>
      <c r="C625" t="s">
        <v>14</v>
      </c>
      <c r="D625" t="s">
        <v>9</v>
      </c>
      <c r="E625">
        <v>3</v>
      </c>
      <c r="F625" s="3">
        <v>2727</v>
      </c>
      <c r="G625" s="2">
        <v>554.46</v>
      </c>
      <c r="H625">
        <f>Master_ventas[[#This Row],[Profit]]/Master_ventas[[#This Row],[Sales]]</f>
        <v>0.20332233223322332</v>
      </c>
      <c r="I625">
        <f ca="1">Referencia_Hoy-Master_ventas[[#This Row],[Order Date]]</f>
        <v>1385</v>
      </c>
      <c r="J625" t="str">
        <f>UPPER(Master_ventas[[#This Row],[Product Name]])</f>
        <v>SMARTWATCH</v>
      </c>
      <c r="K625" t="str">
        <f>UPPER(Master_ventas[[#This Row],[Category]])</f>
        <v>ELECTRONICS</v>
      </c>
      <c r="L625">
        <f>YEAR(Master_ventas[[#This Row],[Order Date]])</f>
        <v>2023</v>
      </c>
      <c r="M625" t="str">
        <f>CONCATENATE(LEFT(Master_ventas[[#This Row],[ProdUpper]],3),RIGHT(Master_ventas[[#This Row],[Ext-Year]],2),"-",MID(Master_ventas[[#This Row],[Category]],1,1))</f>
        <v>SMA23-E</v>
      </c>
      <c r="N625" t="str">
        <f>MID(Master_ventas[[#This Row],[ProdUpper]],1,3)</f>
        <v>SMA</v>
      </c>
      <c r="O625" t="str">
        <f>UPPER(IF(Master_ventas[[#This Row],[Profit]]&gt;500,"High","Std"))</f>
        <v>HIGH</v>
      </c>
      <c r="P625">
        <v>624</v>
      </c>
    </row>
    <row r="626" spans="1:16" x14ac:dyDescent="0.3">
      <c r="A626" s="1">
        <v>44600</v>
      </c>
      <c r="B626" t="s">
        <v>19</v>
      </c>
      <c r="C626" t="s">
        <v>14</v>
      </c>
      <c r="D626" t="s">
        <v>9</v>
      </c>
      <c r="E626">
        <v>2</v>
      </c>
      <c r="F626" s="3">
        <v>522</v>
      </c>
      <c r="G626" s="2">
        <v>52.73</v>
      </c>
      <c r="H626">
        <f>Master_ventas[[#This Row],[Profit]]/Master_ventas[[#This Row],[Sales]]</f>
        <v>0.10101532567049808</v>
      </c>
      <c r="I626">
        <f ca="1">Referencia_Hoy-Master_ventas[[#This Row],[Order Date]]</f>
        <v>1723</v>
      </c>
      <c r="J626" t="str">
        <f>UPPER(Master_ventas[[#This Row],[Product Name]])</f>
        <v>SMARTWATCH</v>
      </c>
      <c r="K626" t="str">
        <f>UPPER(Master_ventas[[#This Row],[Category]])</f>
        <v>ELECTRONICS</v>
      </c>
      <c r="L626">
        <f>YEAR(Master_ventas[[#This Row],[Order Date]])</f>
        <v>2022</v>
      </c>
      <c r="M626" t="str">
        <f>CONCATENATE(LEFT(Master_ventas[[#This Row],[ProdUpper]],3),RIGHT(Master_ventas[[#This Row],[Ext-Year]],2),"-",MID(Master_ventas[[#This Row],[Category]],1,1))</f>
        <v>SMA22-E</v>
      </c>
      <c r="N626" t="str">
        <f>MID(Master_ventas[[#This Row],[ProdUpper]],1,3)</f>
        <v>SMA</v>
      </c>
      <c r="O626" t="str">
        <f>UPPER(IF(Master_ventas[[#This Row],[Profit]]&gt;500,"High","Std"))</f>
        <v>STD</v>
      </c>
      <c r="P626">
        <v>625</v>
      </c>
    </row>
    <row r="627" spans="1:16" x14ac:dyDescent="0.3">
      <c r="A627" s="1">
        <v>45632</v>
      </c>
      <c r="B627" t="s">
        <v>10</v>
      </c>
      <c r="C627" t="s">
        <v>11</v>
      </c>
      <c r="D627" t="s">
        <v>16</v>
      </c>
      <c r="E627">
        <v>7</v>
      </c>
      <c r="F627" s="3">
        <v>8288</v>
      </c>
      <c r="G627" s="2">
        <v>1945.03</v>
      </c>
      <c r="H627">
        <f>Master_ventas[[#This Row],[Profit]]/Master_ventas[[#This Row],[Sales]]</f>
        <v>0.23468026061776062</v>
      </c>
      <c r="I627">
        <f ca="1">Referencia_Hoy-Master_ventas[[#This Row],[Order Date]]</f>
        <v>691</v>
      </c>
      <c r="J627" t="str">
        <f>UPPER(Master_ventas[[#This Row],[Product Name]])</f>
        <v>MOUSE</v>
      </c>
      <c r="K627" t="str">
        <f>UPPER(Master_ventas[[#This Row],[Category]])</f>
        <v>ACCESSORIES</v>
      </c>
      <c r="L627">
        <f>YEAR(Master_ventas[[#This Row],[Order Date]])</f>
        <v>2024</v>
      </c>
      <c r="M627" t="str">
        <f>CONCATENATE(LEFT(Master_ventas[[#This Row],[ProdUpper]],3),RIGHT(Master_ventas[[#This Row],[Ext-Year]],2),"-",MID(Master_ventas[[#This Row],[Category]],1,1))</f>
        <v>MOU24-A</v>
      </c>
      <c r="N627" t="str">
        <f>MID(Master_ventas[[#This Row],[ProdUpper]],1,3)</f>
        <v>MOU</v>
      </c>
      <c r="O627" t="str">
        <f>UPPER(IF(Master_ventas[[#This Row],[Profit]]&gt;500,"High","Std"))</f>
        <v>HIGH</v>
      </c>
      <c r="P627">
        <v>626</v>
      </c>
    </row>
    <row r="628" spans="1:16" x14ac:dyDescent="0.3">
      <c r="A628" s="1">
        <v>45363</v>
      </c>
      <c r="B628" t="s">
        <v>23</v>
      </c>
      <c r="C628" t="s">
        <v>14</v>
      </c>
      <c r="D628" t="s">
        <v>16</v>
      </c>
      <c r="E628">
        <v>9</v>
      </c>
      <c r="F628" s="3">
        <v>1062</v>
      </c>
      <c r="G628" s="2">
        <v>73.58</v>
      </c>
      <c r="H628">
        <f>Master_ventas[[#This Row],[Profit]]/Master_ventas[[#This Row],[Sales]]</f>
        <v>6.9284369114877592E-2</v>
      </c>
      <c r="I628">
        <f ca="1">Referencia_Hoy-Master_ventas[[#This Row],[Order Date]]</f>
        <v>960</v>
      </c>
      <c r="J628" t="str">
        <f>UPPER(Master_ventas[[#This Row],[Product Name]])</f>
        <v>LAPTOP</v>
      </c>
      <c r="K628" t="str">
        <f>UPPER(Master_ventas[[#This Row],[Category]])</f>
        <v>ELECTRONICS</v>
      </c>
      <c r="L628">
        <f>YEAR(Master_ventas[[#This Row],[Order Date]])</f>
        <v>2024</v>
      </c>
      <c r="M628" t="str">
        <f>CONCATENATE(LEFT(Master_ventas[[#This Row],[ProdUpper]],3),RIGHT(Master_ventas[[#This Row],[Ext-Year]],2),"-",MID(Master_ventas[[#This Row],[Category]],1,1))</f>
        <v>LAP24-E</v>
      </c>
      <c r="N628" t="str">
        <f>MID(Master_ventas[[#This Row],[ProdUpper]],1,3)</f>
        <v>LAP</v>
      </c>
      <c r="O628" t="str">
        <f>UPPER(IF(Master_ventas[[#This Row],[Profit]]&gt;500,"High","Std"))</f>
        <v>STD</v>
      </c>
      <c r="P628">
        <v>627</v>
      </c>
    </row>
    <row r="629" spans="1:16" x14ac:dyDescent="0.3">
      <c r="A629" s="1">
        <v>45200</v>
      </c>
      <c r="B629" t="s">
        <v>21</v>
      </c>
      <c r="C629" t="s">
        <v>14</v>
      </c>
      <c r="D629" t="s">
        <v>12</v>
      </c>
      <c r="E629">
        <v>3</v>
      </c>
      <c r="F629" s="3">
        <v>1140</v>
      </c>
      <c r="G629" s="2">
        <v>226.52</v>
      </c>
      <c r="H629">
        <f>Master_ventas[[#This Row],[Profit]]/Master_ventas[[#This Row],[Sales]]</f>
        <v>0.19870175438596493</v>
      </c>
      <c r="I629">
        <f ca="1">Referencia_Hoy-Master_ventas[[#This Row],[Order Date]]</f>
        <v>1123</v>
      </c>
      <c r="J629" t="str">
        <f>UPPER(Master_ventas[[#This Row],[Product Name]])</f>
        <v>SMARTPHONE</v>
      </c>
      <c r="K629" t="str">
        <f>UPPER(Master_ventas[[#This Row],[Category]])</f>
        <v>ELECTRONICS</v>
      </c>
      <c r="L629">
        <f>YEAR(Master_ventas[[#This Row],[Order Date]])</f>
        <v>2023</v>
      </c>
      <c r="M629" t="str">
        <f>CONCATENATE(LEFT(Master_ventas[[#This Row],[ProdUpper]],3),RIGHT(Master_ventas[[#This Row],[Ext-Year]],2),"-",MID(Master_ventas[[#This Row],[Category]],1,1))</f>
        <v>SMA23-E</v>
      </c>
      <c r="N629" t="str">
        <f>MID(Master_ventas[[#This Row],[ProdUpper]],1,3)</f>
        <v>SMA</v>
      </c>
      <c r="O629" t="str">
        <f>UPPER(IF(Master_ventas[[#This Row],[Profit]]&gt;500,"High","Std"))</f>
        <v>STD</v>
      </c>
      <c r="P629">
        <v>628</v>
      </c>
    </row>
    <row r="630" spans="1:16" x14ac:dyDescent="0.3">
      <c r="A630" s="1">
        <v>45394</v>
      </c>
      <c r="B630" t="s">
        <v>22</v>
      </c>
      <c r="C630" t="s">
        <v>11</v>
      </c>
      <c r="D630" t="s">
        <v>12</v>
      </c>
      <c r="E630">
        <v>8</v>
      </c>
      <c r="F630" s="3">
        <v>3488</v>
      </c>
      <c r="G630" s="2">
        <v>712.24</v>
      </c>
      <c r="H630">
        <f>Master_ventas[[#This Row],[Profit]]/Master_ventas[[#This Row],[Sales]]</f>
        <v>0.20419724770642203</v>
      </c>
      <c r="I630">
        <f ca="1">Referencia_Hoy-Master_ventas[[#This Row],[Order Date]]</f>
        <v>929</v>
      </c>
      <c r="J630" t="str">
        <f>UPPER(Master_ventas[[#This Row],[Product Name]])</f>
        <v>KEYBOARD</v>
      </c>
      <c r="K630" t="str">
        <f>UPPER(Master_ventas[[#This Row],[Category]])</f>
        <v>ACCESSORIES</v>
      </c>
      <c r="L630">
        <f>YEAR(Master_ventas[[#This Row],[Order Date]])</f>
        <v>2024</v>
      </c>
      <c r="M630" t="str">
        <f>CONCATENATE(LEFT(Master_ventas[[#This Row],[ProdUpper]],3),RIGHT(Master_ventas[[#This Row],[Ext-Year]],2),"-",MID(Master_ventas[[#This Row],[Category]],1,1))</f>
        <v>KEY24-A</v>
      </c>
      <c r="N630" t="str">
        <f>MID(Master_ventas[[#This Row],[ProdUpper]],1,3)</f>
        <v>KEY</v>
      </c>
      <c r="O630" t="str">
        <f>UPPER(IF(Master_ventas[[#This Row],[Profit]]&gt;500,"High","Std"))</f>
        <v>HIGH</v>
      </c>
      <c r="P630">
        <v>629</v>
      </c>
    </row>
    <row r="631" spans="1:16" x14ac:dyDescent="0.3">
      <c r="A631" s="1">
        <v>45282</v>
      </c>
      <c r="B631" t="s">
        <v>13</v>
      </c>
      <c r="C631" t="s">
        <v>14</v>
      </c>
      <c r="D631" t="s">
        <v>9</v>
      </c>
      <c r="E631">
        <v>8</v>
      </c>
      <c r="F631" s="3">
        <v>5920</v>
      </c>
      <c r="G631" s="2">
        <v>1436.7</v>
      </c>
      <c r="H631">
        <f>Master_ventas[[#This Row],[Profit]]/Master_ventas[[#This Row],[Sales]]</f>
        <v>0.24268581081081081</v>
      </c>
      <c r="I631">
        <f ca="1">Referencia_Hoy-Master_ventas[[#This Row],[Order Date]]</f>
        <v>1041</v>
      </c>
      <c r="J631" t="str">
        <f>UPPER(Master_ventas[[#This Row],[Product Name]])</f>
        <v>TABLET</v>
      </c>
      <c r="K631" t="str">
        <f>UPPER(Master_ventas[[#This Row],[Category]])</f>
        <v>ELECTRONICS</v>
      </c>
      <c r="L631">
        <f>YEAR(Master_ventas[[#This Row],[Order Date]])</f>
        <v>2023</v>
      </c>
      <c r="M631" t="str">
        <f>CONCATENATE(LEFT(Master_ventas[[#This Row],[ProdUpper]],3),RIGHT(Master_ventas[[#This Row],[Ext-Year]],2),"-",MID(Master_ventas[[#This Row],[Category]],1,1))</f>
        <v>TAB23-E</v>
      </c>
      <c r="N631" t="str">
        <f>MID(Master_ventas[[#This Row],[ProdUpper]],1,3)</f>
        <v>TAB</v>
      </c>
      <c r="O631" t="str">
        <f>UPPER(IF(Master_ventas[[#This Row],[Profit]]&gt;500,"High","Std"))</f>
        <v>HIGH</v>
      </c>
      <c r="P631">
        <v>630</v>
      </c>
    </row>
    <row r="632" spans="1:16" x14ac:dyDescent="0.3">
      <c r="A632" s="1">
        <v>45357</v>
      </c>
      <c r="B632" t="s">
        <v>20</v>
      </c>
      <c r="C632" t="s">
        <v>11</v>
      </c>
      <c r="D632" t="s">
        <v>9</v>
      </c>
      <c r="E632">
        <v>9</v>
      </c>
      <c r="F632" s="3">
        <v>3096</v>
      </c>
      <c r="G632" s="2">
        <v>362.89</v>
      </c>
      <c r="H632">
        <f>Master_ventas[[#This Row],[Profit]]/Master_ventas[[#This Row],[Sales]]</f>
        <v>0.1172125322997416</v>
      </c>
      <c r="I632">
        <f ca="1">Referencia_Hoy-Master_ventas[[#This Row],[Order Date]]</f>
        <v>966</v>
      </c>
      <c r="J632" t="str">
        <f>UPPER(Master_ventas[[#This Row],[Product Name]])</f>
        <v>MONITOR</v>
      </c>
      <c r="K632" t="str">
        <f>UPPER(Master_ventas[[#This Row],[Category]])</f>
        <v>ACCESSORIES</v>
      </c>
      <c r="L632">
        <f>YEAR(Master_ventas[[#This Row],[Order Date]])</f>
        <v>2024</v>
      </c>
      <c r="M632" t="str">
        <f>CONCATENATE(LEFT(Master_ventas[[#This Row],[ProdUpper]],3),RIGHT(Master_ventas[[#This Row],[Ext-Year]],2),"-",MID(Master_ventas[[#This Row],[Category]],1,1))</f>
        <v>MON24-A</v>
      </c>
      <c r="N632" t="str">
        <f>MID(Master_ventas[[#This Row],[ProdUpper]],1,3)</f>
        <v>MON</v>
      </c>
      <c r="O632" t="str">
        <f>UPPER(IF(Master_ventas[[#This Row],[Profit]]&gt;500,"High","Std"))</f>
        <v>STD</v>
      </c>
      <c r="P632">
        <v>631</v>
      </c>
    </row>
    <row r="633" spans="1:16" x14ac:dyDescent="0.3">
      <c r="A633" s="1">
        <v>45414</v>
      </c>
      <c r="B633" t="s">
        <v>20</v>
      </c>
      <c r="C633" t="s">
        <v>11</v>
      </c>
      <c r="D633" t="s">
        <v>15</v>
      </c>
      <c r="E633">
        <v>5</v>
      </c>
      <c r="F633" s="3">
        <v>3490</v>
      </c>
      <c r="G633" s="2">
        <v>205.04</v>
      </c>
      <c r="H633">
        <f>Master_ventas[[#This Row],[Profit]]/Master_ventas[[#This Row],[Sales]]</f>
        <v>5.8750716332378224E-2</v>
      </c>
      <c r="I633">
        <f ca="1">Referencia_Hoy-Master_ventas[[#This Row],[Order Date]]</f>
        <v>909</v>
      </c>
      <c r="J633" t="str">
        <f>UPPER(Master_ventas[[#This Row],[Product Name]])</f>
        <v>MONITOR</v>
      </c>
      <c r="K633" t="str">
        <f>UPPER(Master_ventas[[#This Row],[Category]])</f>
        <v>ACCESSORIES</v>
      </c>
      <c r="L633">
        <f>YEAR(Master_ventas[[#This Row],[Order Date]])</f>
        <v>2024</v>
      </c>
      <c r="M633" t="str">
        <f>CONCATENATE(LEFT(Master_ventas[[#This Row],[ProdUpper]],3),RIGHT(Master_ventas[[#This Row],[Ext-Year]],2),"-",MID(Master_ventas[[#This Row],[Category]],1,1))</f>
        <v>MON24-A</v>
      </c>
      <c r="N633" t="str">
        <f>MID(Master_ventas[[#This Row],[ProdUpper]],1,3)</f>
        <v>MON</v>
      </c>
      <c r="O633" t="str">
        <f>UPPER(IF(Master_ventas[[#This Row],[Profit]]&gt;500,"High","Std"))</f>
        <v>STD</v>
      </c>
      <c r="P633">
        <v>632</v>
      </c>
    </row>
    <row r="634" spans="1:16" x14ac:dyDescent="0.3">
      <c r="A634" s="1">
        <v>44653</v>
      </c>
      <c r="B634" t="s">
        <v>19</v>
      </c>
      <c r="C634" t="s">
        <v>14</v>
      </c>
      <c r="D634" t="s">
        <v>15</v>
      </c>
      <c r="E634">
        <v>6</v>
      </c>
      <c r="F634" s="3">
        <v>4374</v>
      </c>
      <c r="G634" s="2">
        <v>702.62</v>
      </c>
      <c r="H634">
        <f>Master_ventas[[#This Row],[Profit]]/Master_ventas[[#This Row],[Sales]]</f>
        <v>0.16063557384545038</v>
      </c>
      <c r="I634">
        <f ca="1">Referencia_Hoy-Master_ventas[[#This Row],[Order Date]]</f>
        <v>1670</v>
      </c>
      <c r="J634" t="str">
        <f>UPPER(Master_ventas[[#This Row],[Product Name]])</f>
        <v>SMARTWATCH</v>
      </c>
      <c r="K634" t="str">
        <f>UPPER(Master_ventas[[#This Row],[Category]])</f>
        <v>ELECTRONICS</v>
      </c>
      <c r="L634">
        <f>YEAR(Master_ventas[[#This Row],[Order Date]])</f>
        <v>2022</v>
      </c>
      <c r="M634" t="str">
        <f>CONCATENATE(LEFT(Master_ventas[[#This Row],[ProdUpper]],3),RIGHT(Master_ventas[[#This Row],[Ext-Year]],2),"-",MID(Master_ventas[[#This Row],[Category]],1,1))</f>
        <v>SMA22-E</v>
      </c>
      <c r="N634" t="str">
        <f>MID(Master_ventas[[#This Row],[ProdUpper]],1,3)</f>
        <v>SMA</v>
      </c>
      <c r="O634" t="str">
        <f>UPPER(IF(Master_ventas[[#This Row],[Profit]]&gt;500,"High","Std"))</f>
        <v>HIGH</v>
      </c>
      <c r="P634">
        <v>633</v>
      </c>
    </row>
    <row r="635" spans="1:16" x14ac:dyDescent="0.3">
      <c r="A635" s="1">
        <v>45333</v>
      </c>
      <c r="B635" t="s">
        <v>21</v>
      </c>
      <c r="C635" t="s">
        <v>14</v>
      </c>
      <c r="D635" t="s">
        <v>15</v>
      </c>
      <c r="E635">
        <v>6</v>
      </c>
      <c r="F635" s="3">
        <v>3366</v>
      </c>
      <c r="G635" s="2">
        <v>541.86</v>
      </c>
      <c r="H635">
        <f>Master_ventas[[#This Row],[Profit]]/Master_ventas[[#This Row],[Sales]]</f>
        <v>0.16098039215686274</v>
      </c>
      <c r="I635">
        <f ca="1">Referencia_Hoy-Master_ventas[[#This Row],[Order Date]]</f>
        <v>990</v>
      </c>
      <c r="J635" t="str">
        <f>UPPER(Master_ventas[[#This Row],[Product Name]])</f>
        <v>SMARTPHONE</v>
      </c>
      <c r="K635" t="str">
        <f>UPPER(Master_ventas[[#This Row],[Category]])</f>
        <v>ELECTRONICS</v>
      </c>
      <c r="L635">
        <f>YEAR(Master_ventas[[#This Row],[Order Date]])</f>
        <v>2024</v>
      </c>
      <c r="M635" t="str">
        <f>CONCATENATE(LEFT(Master_ventas[[#This Row],[ProdUpper]],3),RIGHT(Master_ventas[[#This Row],[Ext-Year]],2),"-",MID(Master_ventas[[#This Row],[Category]],1,1))</f>
        <v>SMA24-E</v>
      </c>
      <c r="N635" t="str">
        <f>MID(Master_ventas[[#This Row],[ProdUpper]],1,3)</f>
        <v>SMA</v>
      </c>
      <c r="O635" t="str">
        <f>UPPER(IF(Master_ventas[[#This Row],[Profit]]&gt;500,"High","Std"))</f>
        <v>HIGH</v>
      </c>
      <c r="P635">
        <v>634</v>
      </c>
    </row>
    <row r="636" spans="1:16" x14ac:dyDescent="0.3">
      <c r="A636" s="1">
        <v>45384</v>
      </c>
      <c r="B636" t="s">
        <v>7</v>
      </c>
      <c r="C636" t="s">
        <v>8</v>
      </c>
      <c r="D636" t="s">
        <v>12</v>
      </c>
      <c r="E636">
        <v>6</v>
      </c>
      <c r="F636" s="3">
        <v>822</v>
      </c>
      <c r="G636" s="2">
        <v>231.62</v>
      </c>
      <c r="H636">
        <f>Master_ventas[[#This Row],[Profit]]/Master_ventas[[#This Row],[Sales]]</f>
        <v>0.28177615571776155</v>
      </c>
      <c r="I636">
        <f ca="1">Referencia_Hoy-Master_ventas[[#This Row],[Order Date]]</f>
        <v>939</v>
      </c>
      <c r="J636" t="str">
        <f>UPPER(Master_ventas[[#This Row],[Product Name]])</f>
        <v>PRINTER</v>
      </c>
      <c r="K636" t="str">
        <f>UPPER(Master_ventas[[#This Row],[Category]])</f>
        <v>OFFICE</v>
      </c>
      <c r="L636">
        <f>YEAR(Master_ventas[[#This Row],[Order Date]])</f>
        <v>2024</v>
      </c>
      <c r="M636" t="str">
        <f>CONCATENATE(LEFT(Master_ventas[[#This Row],[ProdUpper]],3),RIGHT(Master_ventas[[#This Row],[Ext-Year]],2),"-",MID(Master_ventas[[#This Row],[Category]],1,1))</f>
        <v>PRI24-O</v>
      </c>
      <c r="N636" t="str">
        <f>MID(Master_ventas[[#This Row],[ProdUpper]],1,3)</f>
        <v>PRI</v>
      </c>
      <c r="O636" t="str">
        <f>UPPER(IF(Master_ventas[[#This Row],[Profit]]&gt;500,"High","Std"))</f>
        <v>STD</v>
      </c>
      <c r="P636">
        <v>635</v>
      </c>
    </row>
    <row r="637" spans="1:16" x14ac:dyDescent="0.3">
      <c r="A637" s="1">
        <v>45623</v>
      </c>
      <c r="B637" t="s">
        <v>20</v>
      </c>
      <c r="C637" t="s">
        <v>11</v>
      </c>
      <c r="D637" t="s">
        <v>9</v>
      </c>
      <c r="E637">
        <v>2</v>
      </c>
      <c r="F637" s="3">
        <v>340</v>
      </c>
      <c r="G637" s="2">
        <v>39.119999999999997</v>
      </c>
      <c r="H637">
        <f>Master_ventas[[#This Row],[Profit]]/Master_ventas[[#This Row],[Sales]]</f>
        <v>0.11505882352941176</v>
      </c>
      <c r="I637">
        <f ca="1">Referencia_Hoy-Master_ventas[[#This Row],[Order Date]]</f>
        <v>700</v>
      </c>
      <c r="J637" t="str">
        <f>UPPER(Master_ventas[[#This Row],[Product Name]])</f>
        <v>MONITOR</v>
      </c>
      <c r="K637" t="str">
        <f>UPPER(Master_ventas[[#This Row],[Category]])</f>
        <v>ACCESSORIES</v>
      </c>
      <c r="L637">
        <f>YEAR(Master_ventas[[#This Row],[Order Date]])</f>
        <v>2024</v>
      </c>
      <c r="M637" t="str">
        <f>CONCATENATE(LEFT(Master_ventas[[#This Row],[ProdUpper]],3),RIGHT(Master_ventas[[#This Row],[Ext-Year]],2),"-",MID(Master_ventas[[#This Row],[Category]],1,1))</f>
        <v>MON24-A</v>
      </c>
      <c r="N637" t="str">
        <f>MID(Master_ventas[[#This Row],[ProdUpper]],1,3)</f>
        <v>MON</v>
      </c>
      <c r="O637" t="str">
        <f>UPPER(IF(Master_ventas[[#This Row],[Profit]]&gt;500,"High","Std"))</f>
        <v>STD</v>
      </c>
      <c r="P637">
        <v>636</v>
      </c>
    </row>
    <row r="638" spans="1:16" x14ac:dyDescent="0.3">
      <c r="A638" s="1">
        <v>44803</v>
      </c>
      <c r="B638" t="s">
        <v>10</v>
      </c>
      <c r="C638" t="s">
        <v>11</v>
      </c>
      <c r="D638" t="s">
        <v>12</v>
      </c>
      <c r="E638">
        <v>1</v>
      </c>
      <c r="F638" s="3">
        <v>763</v>
      </c>
      <c r="G638" s="2">
        <v>217.94</v>
      </c>
      <c r="H638">
        <f>Master_ventas[[#This Row],[Profit]]/Master_ventas[[#This Row],[Sales]]</f>
        <v>0.28563564875491482</v>
      </c>
      <c r="I638">
        <f ca="1">Referencia_Hoy-Master_ventas[[#This Row],[Order Date]]</f>
        <v>1520</v>
      </c>
      <c r="J638" t="str">
        <f>UPPER(Master_ventas[[#This Row],[Product Name]])</f>
        <v>MOUSE</v>
      </c>
      <c r="K638" t="str">
        <f>UPPER(Master_ventas[[#This Row],[Category]])</f>
        <v>ACCESSORIES</v>
      </c>
      <c r="L638">
        <f>YEAR(Master_ventas[[#This Row],[Order Date]])</f>
        <v>2022</v>
      </c>
      <c r="M638" t="str">
        <f>CONCATENATE(LEFT(Master_ventas[[#This Row],[ProdUpper]],3),RIGHT(Master_ventas[[#This Row],[Ext-Year]],2),"-",MID(Master_ventas[[#This Row],[Category]],1,1))</f>
        <v>MOU22-A</v>
      </c>
      <c r="N638" t="str">
        <f>MID(Master_ventas[[#This Row],[ProdUpper]],1,3)</f>
        <v>MOU</v>
      </c>
      <c r="O638" t="str">
        <f>UPPER(IF(Master_ventas[[#This Row],[Profit]]&gt;500,"High","Std"))</f>
        <v>STD</v>
      </c>
      <c r="P638">
        <v>637</v>
      </c>
    </row>
    <row r="639" spans="1:16" x14ac:dyDescent="0.3">
      <c r="A639" s="1">
        <v>44757</v>
      </c>
      <c r="B639" t="s">
        <v>18</v>
      </c>
      <c r="C639" t="s">
        <v>11</v>
      </c>
      <c r="D639" t="s">
        <v>16</v>
      </c>
      <c r="E639">
        <v>4</v>
      </c>
      <c r="F639" s="3">
        <v>3408</v>
      </c>
      <c r="G639" s="2">
        <v>856.98</v>
      </c>
      <c r="H639">
        <f>Master_ventas[[#This Row],[Profit]]/Master_ventas[[#This Row],[Sales]]</f>
        <v>0.25146126760563381</v>
      </c>
      <c r="I639">
        <f ca="1">Referencia_Hoy-Master_ventas[[#This Row],[Order Date]]</f>
        <v>1566</v>
      </c>
      <c r="J639" t="str">
        <f>UPPER(Master_ventas[[#This Row],[Product Name]])</f>
        <v>HEADPHONES</v>
      </c>
      <c r="K639" t="str">
        <f>UPPER(Master_ventas[[#This Row],[Category]])</f>
        <v>ACCESSORIES</v>
      </c>
      <c r="L639">
        <f>YEAR(Master_ventas[[#This Row],[Order Date]])</f>
        <v>2022</v>
      </c>
      <c r="M639" t="str">
        <f>CONCATENATE(LEFT(Master_ventas[[#This Row],[ProdUpper]],3),RIGHT(Master_ventas[[#This Row],[Ext-Year]],2),"-",MID(Master_ventas[[#This Row],[Category]],1,1))</f>
        <v>HEA22-A</v>
      </c>
      <c r="N639" t="str">
        <f>MID(Master_ventas[[#This Row],[ProdUpper]],1,3)</f>
        <v>HEA</v>
      </c>
      <c r="O639" t="str">
        <f>UPPER(IF(Master_ventas[[#This Row],[Profit]]&gt;500,"High","Std"))</f>
        <v>HIGH</v>
      </c>
      <c r="P639">
        <v>638</v>
      </c>
    </row>
    <row r="640" spans="1:16" x14ac:dyDescent="0.3">
      <c r="A640" s="1">
        <v>44613</v>
      </c>
      <c r="B640" t="s">
        <v>13</v>
      </c>
      <c r="C640" t="s">
        <v>14</v>
      </c>
      <c r="D640" t="s">
        <v>16</v>
      </c>
      <c r="E640">
        <v>7</v>
      </c>
      <c r="F640" s="3">
        <v>2282</v>
      </c>
      <c r="G640" s="2">
        <v>537.71</v>
      </c>
      <c r="H640">
        <f>Master_ventas[[#This Row],[Profit]]/Master_ventas[[#This Row],[Sales]]</f>
        <v>0.23563102541630151</v>
      </c>
      <c r="I640">
        <f ca="1">Referencia_Hoy-Master_ventas[[#This Row],[Order Date]]</f>
        <v>1710</v>
      </c>
      <c r="J640" t="str">
        <f>UPPER(Master_ventas[[#This Row],[Product Name]])</f>
        <v>TABLET</v>
      </c>
      <c r="K640" t="str">
        <f>UPPER(Master_ventas[[#This Row],[Category]])</f>
        <v>ELECTRONICS</v>
      </c>
      <c r="L640">
        <f>YEAR(Master_ventas[[#This Row],[Order Date]])</f>
        <v>2022</v>
      </c>
      <c r="M640" t="str">
        <f>CONCATENATE(LEFT(Master_ventas[[#This Row],[ProdUpper]],3),RIGHT(Master_ventas[[#This Row],[Ext-Year]],2),"-",MID(Master_ventas[[#This Row],[Category]],1,1))</f>
        <v>TAB22-E</v>
      </c>
      <c r="N640" t="str">
        <f>MID(Master_ventas[[#This Row],[ProdUpper]],1,3)</f>
        <v>TAB</v>
      </c>
      <c r="O640" t="str">
        <f>UPPER(IF(Master_ventas[[#This Row],[Profit]]&gt;500,"High","Std"))</f>
        <v>HIGH</v>
      </c>
      <c r="P640">
        <v>639</v>
      </c>
    </row>
    <row r="641" spans="1:16" x14ac:dyDescent="0.3">
      <c r="A641" s="1">
        <v>45183</v>
      </c>
      <c r="B641" t="s">
        <v>17</v>
      </c>
      <c r="C641" t="s">
        <v>14</v>
      </c>
      <c r="D641" t="s">
        <v>15</v>
      </c>
      <c r="E641">
        <v>7</v>
      </c>
      <c r="F641" s="3">
        <v>4151</v>
      </c>
      <c r="G641" s="2">
        <v>1047.43</v>
      </c>
      <c r="H641">
        <f>Master_ventas[[#This Row],[Profit]]/Master_ventas[[#This Row],[Sales]]</f>
        <v>0.25233196820043363</v>
      </c>
      <c r="I641">
        <f ca="1">Referencia_Hoy-Master_ventas[[#This Row],[Order Date]]</f>
        <v>1140</v>
      </c>
      <c r="J641" t="str">
        <f>UPPER(Master_ventas[[#This Row],[Product Name]])</f>
        <v>CAMERA</v>
      </c>
      <c r="K641" t="str">
        <f>UPPER(Master_ventas[[#This Row],[Category]])</f>
        <v>ELECTRONICS</v>
      </c>
      <c r="L641">
        <f>YEAR(Master_ventas[[#This Row],[Order Date]])</f>
        <v>2023</v>
      </c>
      <c r="M641" t="str">
        <f>CONCATENATE(LEFT(Master_ventas[[#This Row],[ProdUpper]],3),RIGHT(Master_ventas[[#This Row],[Ext-Year]],2),"-",MID(Master_ventas[[#This Row],[Category]],1,1))</f>
        <v>CAM23-E</v>
      </c>
      <c r="N641" t="str">
        <f>MID(Master_ventas[[#This Row],[ProdUpper]],1,3)</f>
        <v>CAM</v>
      </c>
      <c r="O641" t="str">
        <f>UPPER(IF(Master_ventas[[#This Row],[Profit]]&gt;500,"High","Std"))</f>
        <v>HIGH</v>
      </c>
      <c r="P641">
        <v>640</v>
      </c>
    </row>
    <row r="642" spans="1:16" x14ac:dyDescent="0.3">
      <c r="A642" s="1">
        <v>45390</v>
      </c>
      <c r="B642" t="s">
        <v>23</v>
      </c>
      <c r="C642" t="s">
        <v>14</v>
      </c>
      <c r="D642" t="s">
        <v>9</v>
      </c>
      <c r="E642">
        <v>7</v>
      </c>
      <c r="F642" s="3">
        <v>6279</v>
      </c>
      <c r="G642" s="2">
        <v>1689.55</v>
      </c>
      <c r="H642">
        <f>Master_ventas[[#This Row],[Profit]]/Master_ventas[[#This Row],[Sales]]</f>
        <v>0.26907947125338427</v>
      </c>
      <c r="I642">
        <f ca="1">Referencia_Hoy-Master_ventas[[#This Row],[Order Date]]</f>
        <v>933</v>
      </c>
      <c r="J642" t="str">
        <f>UPPER(Master_ventas[[#This Row],[Product Name]])</f>
        <v>LAPTOP</v>
      </c>
      <c r="K642" t="str">
        <f>UPPER(Master_ventas[[#This Row],[Category]])</f>
        <v>ELECTRONICS</v>
      </c>
      <c r="L642">
        <f>YEAR(Master_ventas[[#This Row],[Order Date]])</f>
        <v>2024</v>
      </c>
      <c r="M642" t="str">
        <f>CONCATENATE(LEFT(Master_ventas[[#This Row],[ProdUpper]],3),RIGHT(Master_ventas[[#This Row],[Ext-Year]],2),"-",MID(Master_ventas[[#This Row],[Category]],1,1))</f>
        <v>LAP24-E</v>
      </c>
      <c r="N642" t="str">
        <f>MID(Master_ventas[[#This Row],[ProdUpper]],1,3)</f>
        <v>LAP</v>
      </c>
      <c r="O642" t="str">
        <f>UPPER(IF(Master_ventas[[#This Row],[Profit]]&gt;500,"High","Std"))</f>
        <v>HIGH</v>
      </c>
      <c r="P642">
        <v>641</v>
      </c>
    </row>
    <row r="643" spans="1:16" x14ac:dyDescent="0.3">
      <c r="A643" s="1">
        <v>45223</v>
      </c>
      <c r="B643" t="s">
        <v>20</v>
      </c>
      <c r="C643" t="s">
        <v>11</v>
      </c>
      <c r="D643" t="s">
        <v>9</v>
      </c>
      <c r="E643">
        <v>3</v>
      </c>
      <c r="F643" s="3">
        <v>474</v>
      </c>
      <c r="G643" s="2">
        <v>83.32</v>
      </c>
      <c r="H643">
        <f>Master_ventas[[#This Row],[Profit]]/Master_ventas[[#This Row],[Sales]]</f>
        <v>0.17578059071729957</v>
      </c>
      <c r="I643">
        <f ca="1">Referencia_Hoy-Master_ventas[[#This Row],[Order Date]]</f>
        <v>1100</v>
      </c>
      <c r="J643" t="str">
        <f>UPPER(Master_ventas[[#This Row],[Product Name]])</f>
        <v>MONITOR</v>
      </c>
      <c r="K643" t="str">
        <f>UPPER(Master_ventas[[#This Row],[Category]])</f>
        <v>ACCESSORIES</v>
      </c>
      <c r="L643">
        <f>YEAR(Master_ventas[[#This Row],[Order Date]])</f>
        <v>2023</v>
      </c>
      <c r="M643" t="str">
        <f>CONCATENATE(LEFT(Master_ventas[[#This Row],[ProdUpper]],3),RIGHT(Master_ventas[[#This Row],[Ext-Year]],2),"-",MID(Master_ventas[[#This Row],[Category]],1,1))</f>
        <v>MON23-A</v>
      </c>
      <c r="N643" t="str">
        <f>MID(Master_ventas[[#This Row],[ProdUpper]],1,3)</f>
        <v>MON</v>
      </c>
      <c r="O643" t="str">
        <f>UPPER(IF(Master_ventas[[#This Row],[Profit]]&gt;500,"High","Std"))</f>
        <v>STD</v>
      </c>
      <c r="P643">
        <v>642</v>
      </c>
    </row>
    <row r="644" spans="1:16" x14ac:dyDescent="0.3">
      <c r="A644" s="1">
        <v>45032</v>
      </c>
      <c r="B644" t="s">
        <v>20</v>
      </c>
      <c r="C644" t="s">
        <v>11</v>
      </c>
      <c r="D644" t="s">
        <v>16</v>
      </c>
      <c r="E644">
        <v>5</v>
      </c>
      <c r="F644" s="3">
        <v>680</v>
      </c>
      <c r="G644" s="2">
        <v>176.44</v>
      </c>
      <c r="H644">
        <f>Master_ventas[[#This Row],[Profit]]/Master_ventas[[#This Row],[Sales]]</f>
        <v>0.25947058823529412</v>
      </c>
      <c r="I644">
        <f ca="1">Referencia_Hoy-Master_ventas[[#This Row],[Order Date]]</f>
        <v>1291</v>
      </c>
      <c r="J644" t="str">
        <f>UPPER(Master_ventas[[#This Row],[Product Name]])</f>
        <v>MONITOR</v>
      </c>
      <c r="K644" t="str">
        <f>UPPER(Master_ventas[[#This Row],[Category]])</f>
        <v>ACCESSORIES</v>
      </c>
      <c r="L644">
        <f>YEAR(Master_ventas[[#This Row],[Order Date]])</f>
        <v>2023</v>
      </c>
      <c r="M644" t="str">
        <f>CONCATENATE(LEFT(Master_ventas[[#This Row],[ProdUpper]],3),RIGHT(Master_ventas[[#This Row],[Ext-Year]],2),"-",MID(Master_ventas[[#This Row],[Category]],1,1))</f>
        <v>MON23-A</v>
      </c>
      <c r="N644" t="str">
        <f>MID(Master_ventas[[#This Row],[ProdUpper]],1,3)</f>
        <v>MON</v>
      </c>
      <c r="O644" t="str">
        <f>UPPER(IF(Master_ventas[[#This Row],[Profit]]&gt;500,"High","Std"))</f>
        <v>STD</v>
      </c>
      <c r="P644">
        <v>643</v>
      </c>
    </row>
    <row r="645" spans="1:16" x14ac:dyDescent="0.3">
      <c r="A645" s="1">
        <v>45214</v>
      </c>
      <c r="B645" t="s">
        <v>18</v>
      </c>
      <c r="C645" t="s">
        <v>11</v>
      </c>
      <c r="D645" t="s">
        <v>16</v>
      </c>
      <c r="E645">
        <v>9</v>
      </c>
      <c r="F645" s="3">
        <v>8496</v>
      </c>
      <c r="G645" s="2">
        <v>1721.6</v>
      </c>
      <c r="H645">
        <f>Master_ventas[[#This Row],[Profit]]/Master_ventas[[#This Row],[Sales]]</f>
        <v>0.20263653483992466</v>
      </c>
      <c r="I645">
        <f ca="1">Referencia_Hoy-Master_ventas[[#This Row],[Order Date]]</f>
        <v>1109</v>
      </c>
      <c r="J645" t="str">
        <f>UPPER(Master_ventas[[#This Row],[Product Name]])</f>
        <v>HEADPHONES</v>
      </c>
      <c r="K645" t="str">
        <f>UPPER(Master_ventas[[#This Row],[Category]])</f>
        <v>ACCESSORIES</v>
      </c>
      <c r="L645">
        <f>YEAR(Master_ventas[[#This Row],[Order Date]])</f>
        <v>2023</v>
      </c>
      <c r="M645" t="str">
        <f>CONCATENATE(LEFT(Master_ventas[[#This Row],[ProdUpper]],3),RIGHT(Master_ventas[[#This Row],[Ext-Year]],2),"-",MID(Master_ventas[[#This Row],[Category]],1,1))</f>
        <v>HEA23-A</v>
      </c>
      <c r="N645" t="str">
        <f>MID(Master_ventas[[#This Row],[ProdUpper]],1,3)</f>
        <v>HEA</v>
      </c>
      <c r="O645" t="str">
        <f>UPPER(IF(Master_ventas[[#This Row],[Profit]]&gt;500,"High","Std"))</f>
        <v>HIGH</v>
      </c>
      <c r="P645">
        <v>644</v>
      </c>
    </row>
    <row r="646" spans="1:16" x14ac:dyDescent="0.3">
      <c r="A646" s="1">
        <v>45158</v>
      </c>
      <c r="B646" t="s">
        <v>22</v>
      </c>
      <c r="C646" t="s">
        <v>11</v>
      </c>
      <c r="D646" t="s">
        <v>15</v>
      </c>
      <c r="E646">
        <v>7</v>
      </c>
      <c r="F646" s="3">
        <v>7826</v>
      </c>
      <c r="G646" s="2">
        <v>714.68</v>
      </c>
      <c r="H646">
        <f>Master_ventas[[#This Row],[Profit]]/Master_ventas[[#This Row],[Sales]]</f>
        <v>9.1321236902632247E-2</v>
      </c>
      <c r="I646">
        <f ca="1">Referencia_Hoy-Master_ventas[[#This Row],[Order Date]]</f>
        <v>1165</v>
      </c>
      <c r="J646" t="str">
        <f>UPPER(Master_ventas[[#This Row],[Product Name]])</f>
        <v>KEYBOARD</v>
      </c>
      <c r="K646" t="str">
        <f>UPPER(Master_ventas[[#This Row],[Category]])</f>
        <v>ACCESSORIES</v>
      </c>
      <c r="L646">
        <f>YEAR(Master_ventas[[#This Row],[Order Date]])</f>
        <v>2023</v>
      </c>
      <c r="M646" t="str">
        <f>CONCATENATE(LEFT(Master_ventas[[#This Row],[ProdUpper]],3),RIGHT(Master_ventas[[#This Row],[Ext-Year]],2),"-",MID(Master_ventas[[#This Row],[Category]],1,1))</f>
        <v>KEY23-A</v>
      </c>
      <c r="N646" t="str">
        <f>MID(Master_ventas[[#This Row],[ProdUpper]],1,3)</f>
        <v>KEY</v>
      </c>
      <c r="O646" t="str">
        <f>UPPER(IF(Master_ventas[[#This Row],[Profit]]&gt;500,"High","Std"))</f>
        <v>HIGH</v>
      </c>
      <c r="P646">
        <v>645</v>
      </c>
    </row>
    <row r="647" spans="1:16" x14ac:dyDescent="0.3">
      <c r="A647" s="1">
        <v>45223</v>
      </c>
      <c r="B647" t="s">
        <v>10</v>
      </c>
      <c r="C647" t="s">
        <v>11</v>
      </c>
      <c r="D647" t="s">
        <v>15</v>
      </c>
      <c r="E647">
        <v>6</v>
      </c>
      <c r="F647" s="3">
        <v>4014</v>
      </c>
      <c r="G647" s="2">
        <v>717.44</v>
      </c>
      <c r="H647">
        <f>Master_ventas[[#This Row],[Profit]]/Master_ventas[[#This Row],[Sales]]</f>
        <v>0.17873442949676135</v>
      </c>
      <c r="I647">
        <f ca="1">Referencia_Hoy-Master_ventas[[#This Row],[Order Date]]</f>
        <v>1100</v>
      </c>
      <c r="J647" t="str">
        <f>UPPER(Master_ventas[[#This Row],[Product Name]])</f>
        <v>MOUSE</v>
      </c>
      <c r="K647" t="str">
        <f>UPPER(Master_ventas[[#This Row],[Category]])</f>
        <v>ACCESSORIES</v>
      </c>
      <c r="L647">
        <f>YEAR(Master_ventas[[#This Row],[Order Date]])</f>
        <v>2023</v>
      </c>
      <c r="M647" t="str">
        <f>CONCATENATE(LEFT(Master_ventas[[#This Row],[ProdUpper]],3),RIGHT(Master_ventas[[#This Row],[Ext-Year]],2),"-",MID(Master_ventas[[#This Row],[Category]],1,1))</f>
        <v>MOU23-A</v>
      </c>
      <c r="N647" t="str">
        <f>MID(Master_ventas[[#This Row],[ProdUpper]],1,3)</f>
        <v>MOU</v>
      </c>
      <c r="O647" t="str">
        <f>UPPER(IF(Master_ventas[[#This Row],[Profit]]&gt;500,"High","Std"))</f>
        <v>HIGH</v>
      </c>
      <c r="P647">
        <v>646</v>
      </c>
    </row>
    <row r="648" spans="1:16" x14ac:dyDescent="0.3">
      <c r="A648" s="1">
        <v>45499</v>
      </c>
      <c r="B648" t="s">
        <v>23</v>
      </c>
      <c r="C648" t="s">
        <v>14</v>
      </c>
      <c r="D648" t="s">
        <v>12</v>
      </c>
      <c r="E648">
        <v>1</v>
      </c>
      <c r="F648" s="3">
        <v>687</v>
      </c>
      <c r="G648" s="2">
        <v>62.82</v>
      </c>
      <c r="H648">
        <f>Master_ventas[[#This Row],[Profit]]/Master_ventas[[#This Row],[Sales]]</f>
        <v>9.1441048034934497E-2</v>
      </c>
      <c r="I648">
        <f ca="1">Referencia_Hoy-Master_ventas[[#This Row],[Order Date]]</f>
        <v>824</v>
      </c>
      <c r="J648" t="str">
        <f>UPPER(Master_ventas[[#This Row],[Product Name]])</f>
        <v>LAPTOP</v>
      </c>
      <c r="K648" t="str">
        <f>UPPER(Master_ventas[[#This Row],[Category]])</f>
        <v>ELECTRONICS</v>
      </c>
      <c r="L648">
        <f>YEAR(Master_ventas[[#This Row],[Order Date]])</f>
        <v>2024</v>
      </c>
      <c r="M648" t="str">
        <f>CONCATENATE(LEFT(Master_ventas[[#This Row],[ProdUpper]],3),RIGHT(Master_ventas[[#This Row],[Ext-Year]],2),"-",MID(Master_ventas[[#This Row],[Category]],1,1))</f>
        <v>LAP24-E</v>
      </c>
      <c r="N648" t="str">
        <f>MID(Master_ventas[[#This Row],[ProdUpper]],1,3)</f>
        <v>LAP</v>
      </c>
      <c r="O648" t="str">
        <f>UPPER(IF(Master_ventas[[#This Row],[Profit]]&gt;500,"High","Std"))</f>
        <v>STD</v>
      </c>
      <c r="P648">
        <v>647</v>
      </c>
    </row>
    <row r="649" spans="1:16" x14ac:dyDescent="0.3">
      <c r="A649" s="1">
        <v>45596</v>
      </c>
      <c r="B649" t="s">
        <v>19</v>
      </c>
      <c r="C649" t="s">
        <v>14</v>
      </c>
      <c r="D649" t="s">
        <v>15</v>
      </c>
      <c r="E649">
        <v>3</v>
      </c>
      <c r="F649" s="3">
        <v>2943</v>
      </c>
      <c r="G649" s="2">
        <v>234.27</v>
      </c>
      <c r="H649">
        <f>Master_ventas[[#This Row],[Profit]]/Master_ventas[[#This Row],[Sales]]</f>
        <v>7.9602446483180433E-2</v>
      </c>
      <c r="I649">
        <f ca="1">Referencia_Hoy-Master_ventas[[#This Row],[Order Date]]</f>
        <v>727</v>
      </c>
      <c r="J649" t="str">
        <f>UPPER(Master_ventas[[#This Row],[Product Name]])</f>
        <v>SMARTWATCH</v>
      </c>
      <c r="K649" t="str">
        <f>UPPER(Master_ventas[[#This Row],[Category]])</f>
        <v>ELECTRONICS</v>
      </c>
      <c r="L649">
        <f>YEAR(Master_ventas[[#This Row],[Order Date]])</f>
        <v>2024</v>
      </c>
      <c r="M649" t="str">
        <f>CONCATENATE(LEFT(Master_ventas[[#This Row],[ProdUpper]],3),RIGHT(Master_ventas[[#This Row],[Ext-Year]],2),"-",MID(Master_ventas[[#This Row],[Category]],1,1))</f>
        <v>SMA24-E</v>
      </c>
      <c r="N649" t="str">
        <f>MID(Master_ventas[[#This Row],[ProdUpper]],1,3)</f>
        <v>SMA</v>
      </c>
      <c r="O649" t="str">
        <f>UPPER(IF(Master_ventas[[#This Row],[Profit]]&gt;500,"High","Std"))</f>
        <v>STD</v>
      </c>
      <c r="P649">
        <v>648</v>
      </c>
    </row>
    <row r="650" spans="1:16" x14ac:dyDescent="0.3">
      <c r="A650" s="1">
        <v>44679</v>
      </c>
      <c r="B650" t="s">
        <v>7</v>
      </c>
      <c r="C650" t="s">
        <v>8</v>
      </c>
      <c r="D650" t="s">
        <v>12</v>
      </c>
      <c r="E650">
        <v>7</v>
      </c>
      <c r="F650" s="3">
        <v>5649</v>
      </c>
      <c r="G650" s="2">
        <v>660.37</v>
      </c>
      <c r="H650">
        <f>Master_ventas[[#This Row],[Profit]]/Master_ventas[[#This Row],[Sales]]</f>
        <v>0.11690033634271553</v>
      </c>
      <c r="I650">
        <f ca="1">Referencia_Hoy-Master_ventas[[#This Row],[Order Date]]</f>
        <v>1644</v>
      </c>
      <c r="J650" t="str">
        <f>UPPER(Master_ventas[[#This Row],[Product Name]])</f>
        <v>PRINTER</v>
      </c>
      <c r="K650" t="str">
        <f>UPPER(Master_ventas[[#This Row],[Category]])</f>
        <v>OFFICE</v>
      </c>
      <c r="L650">
        <f>YEAR(Master_ventas[[#This Row],[Order Date]])</f>
        <v>2022</v>
      </c>
      <c r="M650" t="str">
        <f>CONCATENATE(LEFT(Master_ventas[[#This Row],[ProdUpper]],3),RIGHT(Master_ventas[[#This Row],[Ext-Year]],2),"-",MID(Master_ventas[[#This Row],[Category]],1,1))</f>
        <v>PRI22-O</v>
      </c>
      <c r="N650" t="str">
        <f>MID(Master_ventas[[#This Row],[ProdUpper]],1,3)</f>
        <v>PRI</v>
      </c>
      <c r="O650" t="str">
        <f>UPPER(IF(Master_ventas[[#This Row],[Profit]]&gt;500,"High","Std"))</f>
        <v>HIGH</v>
      </c>
      <c r="P650">
        <v>649</v>
      </c>
    </row>
    <row r="651" spans="1:16" x14ac:dyDescent="0.3">
      <c r="A651" s="1">
        <v>45519</v>
      </c>
      <c r="B651" t="s">
        <v>13</v>
      </c>
      <c r="C651" t="s">
        <v>14</v>
      </c>
      <c r="D651" t="s">
        <v>9</v>
      </c>
      <c r="E651">
        <v>8</v>
      </c>
      <c r="F651" s="3">
        <v>3296</v>
      </c>
      <c r="G651" s="2">
        <v>623.66999999999996</v>
      </c>
      <c r="H651">
        <f>Master_ventas[[#This Row],[Profit]]/Master_ventas[[#This Row],[Sales]]</f>
        <v>0.18922026699029124</v>
      </c>
      <c r="I651">
        <f ca="1">Referencia_Hoy-Master_ventas[[#This Row],[Order Date]]</f>
        <v>804</v>
      </c>
      <c r="J651" t="str">
        <f>UPPER(Master_ventas[[#This Row],[Product Name]])</f>
        <v>TABLET</v>
      </c>
      <c r="K651" t="str">
        <f>UPPER(Master_ventas[[#This Row],[Category]])</f>
        <v>ELECTRONICS</v>
      </c>
      <c r="L651">
        <f>YEAR(Master_ventas[[#This Row],[Order Date]])</f>
        <v>2024</v>
      </c>
      <c r="M651" t="str">
        <f>CONCATENATE(LEFT(Master_ventas[[#This Row],[ProdUpper]],3),RIGHT(Master_ventas[[#This Row],[Ext-Year]],2),"-",MID(Master_ventas[[#This Row],[Category]],1,1))</f>
        <v>TAB24-E</v>
      </c>
      <c r="N651" t="str">
        <f>MID(Master_ventas[[#This Row],[ProdUpper]],1,3)</f>
        <v>TAB</v>
      </c>
      <c r="O651" t="str">
        <f>UPPER(IF(Master_ventas[[#This Row],[Profit]]&gt;500,"High","Std"))</f>
        <v>HIGH</v>
      </c>
      <c r="P651">
        <v>650</v>
      </c>
    </row>
    <row r="652" spans="1:16" x14ac:dyDescent="0.3">
      <c r="A652" s="1">
        <v>45563</v>
      </c>
      <c r="B652" t="s">
        <v>18</v>
      </c>
      <c r="C652" t="s">
        <v>11</v>
      </c>
      <c r="D652" t="s">
        <v>9</v>
      </c>
      <c r="E652">
        <v>3</v>
      </c>
      <c r="F652" s="3">
        <v>1137</v>
      </c>
      <c r="G652" s="2">
        <v>173.92</v>
      </c>
      <c r="H652">
        <f>Master_ventas[[#This Row],[Profit]]/Master_ventas[[#This Row],[Sales]]</f>
        <v>0.15296394019349163</v>
      </c>
      <c r="I652">
        <f ca="1">Referencia_Hoy-Master_ventas[[#This Row],[Order Date]]</f>
        <v>760</v>
      </c>
      <c r="J652" t="str">
        <f>UPPER(Master_ventas[[#This Row],[Product Name]])</f>
        <v>HEADPHONES</v>
      </c>
      <c r="K652" t="str">
        <f>UPPER(Master_ventas[[#This Row],[Category]])</f>
        <v>ACCESSORIES</v>
      </c>
      <c r="L652">
        <f>YEAR(Master_ventas[[#This Row],[Order Date]])</f>
        <v>2024</v>
      </c>
      <c r="M652" t="str">
        <f>CONCATENATE(LEFT(Master_ventas[[#This Row],[ProdUpper]],3),RIGHT(Master_ventas[[#This Row],[Ext-Year]],2),"-",MID(Master_ventas[[#This Row],[Category]],1,1))</f>
        <v>HEA24-A</v>
      </c>
      <c r="N652" t="str">
        <f>MID(Master_ventas[[#This Row],[ProdUpper]],1,3)</f>
        <v>HEA</v>
      </c>
      <c r="O652" t="str">
        <f>UPPER(IF(Master_ventas[[#This Row],[Profit]]&gt;500,"High","Std"))</f>
        <v>STD</v>
      </c>
      <c r="P652">
        <v>651</v>
      </c>
    </row>
    <row r="653" spans="1:16" x14ac:dyDescent="0.3">
      <c r="A653" s="1">
        <v>45491</v>
      </c>
      <c r="B653" t="s">
        <v>21</v>
      </c>
      <c r="C653" t="s">
        <v>14</v>
      </c>
      <c r="D653" t="s">
        <v>9</v>
      </c>
      <c r="E653">
        <v>2</v>
      </c>
      <c r="F653" s="3">
        <v>380</v>
      </c>
      <c r="G653" s="2">
        <v>101.7</v>
      </c>
      <c r="H653">
        <f>Master_ventas[[#This Row],[Profit]]/Master_ventas[[#This Row],[Sales]]</f>
        <v>0.26763157894736844</v>
      </c>
      <c r="I653">
        <f ca="1">Referencia_Hoy-Master_ventas[[#This Row],[Order Date]]</f>
        <v>832</v>
      </c>
      <c r="J653" t="str">
        <f>UPPER(Master_ventas[[#This Row],[Product Name]])</f>
        <v>SMARTPHONE</v>
      </c>
      <c r="K653" t="str">
        <f>UPPER(Master_ventas[[#This Row],[Category]])</f>
        <v>ELECTRONICS</v>
      </c>
      <c r="L653">
        <f>YEAR(Master_ventas[[#This Row],[Order Date]])</f>
        <v>2024</v>
      </c>
      <c r="M653" t="str">
        <f>CONCATENATE(LEFT(Master_ventas[[#This Row],[ProdUpper]],3),RIGHT(Master_ventas[[#This Row],[Ext-Year]],2),"-",MID(Master_ventas[[#This Row],[Category]],1,1))</f>
        <v>SMA24-E</v>
      </c>
      <c r="N653" t="str">
        <f>MID(Master_ventas[[#This Row],[ProdUpper]],1,3)</f>
        <v>SMA</v>
      </c>
      <c r="O653" t="str">
        <f>UPPER(IF(Master_ventas[[#This Row],[Profit]]&gt;500,"High","Std"))</f>
        <v>STD</v>
      </c>
      <c r="P653">
        <v>652</v>
      </c>
    </row>
    <row r="654" spans="1:16" x14ac:dyDescent="0.3">
      <c r="A654" s="1">
        <v>44856</v>
      </c>
      <c r="B654" t="s">
        <v>23</v>
      </c>
      <c r="C654" t="s">
        <v>14</v>
      </c>
      <c r="D654" t="s">
        <v>16</v>
      </c>
      <c r="E654">
        <v>5</v>
      </c>
      <c r="F654" s="3">
        <v>4405</v>
      </c>
      <c r="G654" s="2">
        <v>1247.8599999999999</v>
      </c>
      <c r="H654">
        <f>Master_ventas[[#This Row],[Profit]]/Master_ventas[[#This Row],[Sales]]</f>
        <v>0.2832826333711691</v>
      </c>
      <c r="I654">
        <f ca="1">Referencia_Hoy-Master_ventas[[#This Row],[Order Date]]</f>
        <v>1467</v>
      </c>
      <c r="J654" t="str">
        <f>UPPER(Master_ventas[[#This Row],[Product Name]])</f>
        <v>LAPTOP</v>
      </c>
      <c r="K654" t="str">
        <f>UPPER(Master_ventas[[#This Row],[Category]])</f>
        <v>ELECTRONICS</v>
      </c>
      <c r="L654">
        <f>YEAR(Master_ventas[[#This Row],[Order Date]])</f>
        <v>2022</v>
      </c>
      <c r="M654" t="str">
        <f>CONCATENATE(LEFT(Master_ventas[[#This Row],[ProdUpper]],3),RIGHT(Master_ventas[[#This Row],[Ext-Year]],2),"-",MID(Master_ventas[[#This Row],[Category]],1,1))</f>
        <v>LAP22-E</v>
      </c>
      <c r="N654" t="str">
        <f>MID(Master_ventas[[#This Row],[ProdUpper]],1,3)</f>
        <v>LAP</v>
      </c>
      <c r="O654" t="str">
        <f>UPPER(IF(Master_ventas[[#This Row],[Profit]]&gt;500,"High","Std"))</f>
        <v>HIGH</v>
      </c>
      <c r="P654">
        <v>653</v>
      </c>
    </row>
    <row r="655" spans="1:16" x14ac:dyDescent="0.3">
      <c r="A655" s="1">
        <v>44866</v>
      </c>
      <c r="B655" t="s">
        <v>13</v>
      </c>
      <c r="C655" t="s">
        <v>14</v>
      </c>
      <c r="D655" t="s">
        <v>12</v>
      </c>
      <c r="E655">
        <v>1</v>
      </c>
      <c r="F655" s="3">
        <v>120</v>
      </c>
      <c r="G655" s="2">
        <v>9.43</v>
      </c>
      <c r="H655">
        <f>Master_ventas[[#This Row],[Profit]]/Master_ventas[[#This Row],[Sales]]</f>
        <v>7.8583333333333324E-2</v>
      </c>
      <c r="I655">
        <f ca="1">Referencia_Hoy-Master_ventas[[#This Row],[Order Date]]</f>
        <v>1457</v>
      </c>
      <c r="J655" t="str">
        <f>UPPER(Master_ventas[[#This Row],[Product Name]])</f>
        <v>TABLET</v>
      </c>
      <c r="K655" t="str">
        <f>UPPER(Master_ventas[[#This Row],[Category]])</f>
        <v>ELECTRONICS</v>
      </c>
      <c r="L655">
        <f>YEAR(Master_ventas[[#This Row],[Order Date]])</f>
        <v>2022</v>
      </c>
      <c r="M655" t="str">
        <f>CONCATENATE(LEFT(Master_ventas[[#This Row],[ProdUpper]],3),RIGHT(Master_ventas[[#This Row],[Ext-Year]],2),"-",MID(Master_ventas[[#This Row],[Category]],1,1))</f>
        <v>TAB22-E</v>
      </c>
      <c r="N655" t="str">
        <f>MID(Master_ventas[[#This Row],[ProdUpper]],1,3)</f>
        <v>TAB</v>
      </c>
      <c r="O655" t="str">
        <f>UPPER(IF(Master_ventas[[#This Row],[Profit]]&gt;500,"High","Std"))</f>
        <v>STD</v>
      </c>
      <c r="P655">
        <v>654</v>
      </c>
    </row>
    <row r="656" spans="1:16" x14ac:dyDescent="0.3">
      <c r="A656" s="1">
        <v>45090</v>
      </c>
      <c r="B656" t="s">
        <v>7</v>
      </c>
      <c r="C656" t="s">
        <v>8</v>
      </c>
      <c r="D656" t="s">
        <v>12</v>
      </c>
      <c r="E656">
        <v>1</v>
      </c>
      <c r="F656" s="3">
        <v>1176</v>
      </c>
      <c r="G656" s="2">
        <v>182.07</v>
      </c>
      <c r="H656">
        <f>Master_ventas[[#This Row],[Profit]]/Master_ventas[[#This Row],[Sales]]</f>
        <v>0.15482142857142855</v>
      </c>
      <c r="I656">
        <f ca="1">Referencia_Hoy-Master_ventas[[#This Row],[Order Date]]</f>
        <v>1233</v>
      </c>
      <c r="J656" t="str">
        <f>UPPER(Master_ventas[[#This Row],[Product Name]])</f>
        <v>PRINTER</v>
      </c>
      <c r="K656" t="str">
        <f>UPPER(Master_ventas[[#This Row],[Category]])</f>
        <v>OFFICE</v>
      </c>
      <c r="L656">
        <f>YEAR(Master_ventas[[#This Row],[Order Date]])</f>
        <v>2023</v>
      </c>
      <c r="M656" t="str">
        <f>CONCATENATE(LEFT(Master_ventas[[#This Row],[ProdUpper]],3),RIGHT(Master_ventas[[#This Row],[Ext-Year]],2),"-",MID(Master_ventas[[#This Row],[Category]],1,1))</f>
        <v>PRI23-O</v>
      </c>
      <c r="N656" t="str">
        <f>MID(Master_ventas[[#This Row],[ProdUpper]],1,3)</f>
        <v>PRI</v>
      </c>
      <c r="O656" t="str">
        <f>UPPER(IF(Master_ventas[[#This Row],[Profit]]&gt;500,"High","Std"))</f>
        <v>STD</v>
      </c>
      <c r="P656">
        <v>655</v>
      </c>
    </row>
    <row r="657" spans="1:16" x14ac:dyDescent="0.3">
      <c r="A657" s="1">
        <v>44977</v>
      </c>
      <c r="B657" t="s">
        <v>17</v>
      </c>
      <c r="C657" t="s">
        <v>14</v>
      </c>
      <c r="D657" t="s">
        <v>15</v>
      </c>
      <c r="E657">
        <v>3</v>
      </c>
      <c r="F657" s="3">
        <v>1770</v>
      </c>
      <c r="G657" s="2">
        <v>366.58</v>
      </c>
      <c r="H657">
        <f>Master_ventas[[#This Row],[Profit]]/Master_ventas[[#This Row],[Sales]]</f>
        <v>0.20710734463276836</v>
      </c>
      <c r="I657">
        <f ca="1">Referencia_Hoy-Master_ventas[[#This Row],[Order Date]]</f>
        <v>1346</v>
      </c>
      <c r="J657" t="str">
        <f>UPPER(Master_ventas[[#This Row],[Product Name]])</f>
        <v>CAMERA</v>
      </c>
      <c r="K657" t="str">
        <f>UPPER(Master_ventas[[#This Row],[Category]])</f>
        <v>ELECTRONICS</v>
      </c>
      <c r="L657">
        <f>YEAR(Master_ventas[[#This Row],[Order Date]])</f>
        <v>2023</v>
      </c>
      <c r="M657" t="str">
        <f>CONCATENATE(LEFT(Master_ventas[[#This Row],[ProdUpper]],3),RIGHT(Master_ventas[[#This Row],[Ext-Year]],2),"-",MID(Master_ventas[[#This Row],[Category]],1,1))</f>
        <v>CAM23-E</v>
      </c>
      <c r="N657" t="str">
        <f>MID(Master_ventas[[#This Row],[ProdUpper]],1,3)</f>
        <v>CAM</v>
      </c>
      <c r="O657" t="str">
        <f>UPPER(IF(Master_ventas[[#This Row],[Profit]]&gt;500,"High","Std"))</f>
        <v>STD</v>
      </c>
      <c r="P657">
        <v>656</v>
      </c>
    </row>
    <row r="658" spans="1:16" x14ac:dyDescent="0.3">
      <c r="A658" s="1">
        <v>45066</v>
      </c>
      <c r="B658" t="s">
        <v>17</v>
      </c>
      <c r="C658" t="s">
        <v>14</v>
      </c>
      <c r="D658" t="s">
        <v>15</v>
      </c>
      <c r="E658">
        <v>6</v>
      </c>
      <c r="F658" s="3">
        <v>4302</v>
      </c>
      <c r="G658" s="2">
        <v>965.02</v>
      </c>
      <c r="H658">
        <f>Master_ventas[[#This Row],[Profit]]/Master_ventas[[#This Row],[Sales]]</f>
        <v>0.22431892143189214</v>
      </c>
      <c r="I658">
        <f ca="1">Referencia_Hoy-Master_ventas[[#This Row],[Order Date]]</f>
        <v>1257</v>
      </c>
      <c r="J658" t="str">
        <f>UPPER(Master_ventas[[#This Row],[Product Name]])</f>
        <v>CAMERA</v>
      </c>
      <c r="K658" t="str">
        <f>UPPER(Master_ventas[[#This Row],[Category]])</f>
        <v>ELECTRONICS</v>
      </c>
      <c r="L658">
        <f>YEAR(Master_ventas[[#This Row],[Order Date]])</f>
        <v>2023</v>
      </c>
      <c r="M658" t="str">
        <f>CONCATENATE(LEFT(Master_ventas[[#This Row],[ProdUpper]],3),RIGHT(Master_ventas[[#This Row],[Ext-Year]],2),"-",MID(Master_ventas[[#This Row],[Category]],1,1))</f>
        <v>CAM23-E</v>
      </c>
      <c r="N658" t="str">
        <f>MID(Master_ventas[[#This Row],[ProdUpper]],1,3)</f>
        <v>CAM</v>
      </c>
      <c r="O658" t="str">
        <f>UPPER(IF(Master_ventas[[#This Row],[Profit]]&gt;500,"High","Std"))</f>
        <v>HIGH</v>
      </c>
      <c r="P658">
        <v>657</v>
      </c>
    </row>
    <row r="659" spans="1:16" x14ac:dyDescent="0.3">
      <c r="A659" s="1">
        <v>45279</v>
      </c>
      <c r="B659" t="s">
        <v>17</v>
      </c>
      <c r="C659" t="s">
        <v>14</v>
      </c>
      <c r="D659" t="s">
        <v>9</v>
      </c>
      <c r="E659">
        <v>3</v>
      </c>
      <c r="F659" s="3">
        <v>2988</v>
      </c>
      <c r="G659" s="2">
        <v>362.68</v>
      </c>
      <c r="H659">
        <f>Master_ventas[[#This Row],[Profit]]/Master_ventas[[#This Row],[Sales]]</f>
        <v>0.12137884872824632</v>
      </c>
      <c r="I659">
        <f ca="1">Referencia_Hoy-Master_ventas[[#This Row],[Order Date]]</f>
        <v>1044</v>
      </c>
      <c r="J659" t="str">
        <f>UPPER(Master_ventas[[#This Row],[Product Name]])</f>
        <v>CAMERA</v>
      </c>
      <c r="K659" t="str">
        <f>UPPER(Master_ventas[[#This Row],[Category]])</f>
        <v>ELECTRONICS</v>
      </c>
      <c r="L659">
        <f>YEAR(Master_ventas[[#This Row],[Order Date]])</f>
        <v>2023</v>
      </c>
      <c r="M659" t="str">
        <f>CONCATENATE(LEFT(Master_ventas[[#This Row],[ProdUpper]],3),RIGHT(Master_ventas[[#This Row],[Ext-Year]],2),"-",MID(Master_ventas[[#This Row],[Category]],1,1))</f>
        <v>CAM23-E</v>
      </c>
      <c r="N659" t="str">
        <f>MID(Master_ventas[[#This Row],[ProdUpper]],1,3)</f>
        <v>CAM</v>
      </c>
      <c r="O659" t="str">
        <f>UPPER(IF(Master_ventas[[#This Row],[Profit]]&gt;500,"High","Std"))</f>
        <v>STD</v>
      </c>
      <c r="P659">
        <v>658</v>
      </c>
    </row>
    <row r="660" spans="1:16" x14ac:dyDescent="0.3">
      <c r="A660" s="1">
        <v>45460</v>
      </c>
      <c r="B660" t="s">
        <v>18</v>
      </c>
      <c r="C660" t="s">
        <v>11</v>
      </c>
      <c r="D660" t="s">
        <v>12</v>
      </c>
      <c r="E660">
        <v>3</v>
      </c>
      <c r="F660" s="3">
        <v>3033</v>
      </c>
      <c r="G660" s="2">
        <v>458.41</v>
      </c>
      <c r="H660">
        <f>Master_ventas[[#This Row],[Profit]]/Master_ventas[[#This Row],[Sales]]</f>
        <v>0.15114078470161557</v>
      </c>
      <c r="I660">
        <f ca="1">Referencia_Hoy-Master_ventas[[#This Row],[Order Date]]</f>
        <v>863</v>
      </c>
      <c r="J660" t="str">
        <f>UPPER(Master_ventas[[#This Row],[Product Name]])</f>
        <v>HEADPHONES</v>
      </c>
      <c r="K660" t="str">
        <f>UPPER(Master_ventas[[#This Row],[Category]])</f>
        <v>ACCESSORIES</v>
      </c>
      <c r="L660">
        <f>YEAR(Master_ventas[[#This Row],[Order Date]])</f>
        <v>2024</v>
      </c>
      <c r="M660" t="str">
        <f>CONCATENATE(LEFT(Master_ventas[[#This Row],[ProdUpper]],3),RIGHT(Master_ventas[[#This Row],[Ext-Year]],2),"-",MID(Master_ventas[[#This Row],[Category]],1,1))</f>
        <v>HEA24-A</v>
      </c>
      <c r="N660" t="str">
        <f>MID(Master_ventas[[#This Row],[ProdUpper]],1,3)</f>
        <v>HEA</v>
      </c>
      <c r="O660" t="str">
        <f>UPPER(IF(Master_ventas[[#This Row],[Profit]]&gt;500,"High","Std"))</f>
        <v>STD</v>
      </c>
      <c r="P660">
        <v>659</v>
      </c>
    </row>
    <row r="661" spans="1:16" x14ac:dyDescent="0.3">
      <c r="A661" s="1">
        <v>45121</v>
      </c>
      <c r="B661" t="s">
        <v>10</v>
      </c>
      <c r="C661" t="s">
        <v>11</v>
      </c>
      <c r="D661" t="s">
        <v>15</v>
      </c>
      <c r="E661">
        <v>9</v>
      </c>
      <c r="F661" s="3">
        <v>6363</v>
      </c>
      <c r="G661" s="2">
        <v>1752.65</v>
      </c>
      <c r="H661">
        <f>Master_ventas[[#This Row],[Profit]]/Master_ventas[[#This Row],[Sales]]</f>
        <v>0.27544397296872547</v>
      </c>
      <c r="I661">
        <f ca="1">Referencia_Hoy-Master_ventas[[#This Row],[Order Date]]</f>
        <v>1202</v>
      </c>
      <c r="J661" t="str">
        <f>UPPER(Master_ventas[[#This Row],[Product Name]])</f>
        <v>MOUSE</v>
      </c>
      <c r="K661" t="str">
        <f>UPPER(Master_ventas[[#This Row],[Category]])</f>
        <v>ACCESSORIES</v>
      </c>
      <c r="L661">
        <f>YEAR(Master_ventas[[#This Row],[Order Date]])</f>
        <v>2023</v>
      </c>
      <c r="M661" t="str">
        <f>CONCATENATE(LEFT(Master_ventas[[#This Row],[ProdUpper]],3),RIGHT(Master_ventas[[#This Row],[Ext-Year]],2),"-",MID(Master_ventas[[#This Row],[Category]],1,1))</f>
        <v>MOU23-A</v>
      </c>
      <c r="N661" t="str">
        <f>MID(Master_ventas[[#This Row],[ProdUpper]],1,3)</f>
        <v>MOU</v>
      </c>
      <c r="O661" t="str">
        <f>UPPER(IF(Master_ventas[[#This Row],[Profit]]&gt;500,"High","Std"))</f>
        <v>HIGH</v>
      </c>
      <c r="P661">
        <v>660</v>
      </c>
    </row>
    <row r="662" spans="1:16" x14ac:dyDescent="0.3">
      <c r="A662" s="1">
        <v>44746</v>
      </c>
      <c r="B662" t="s">
        <v>13</v>
      </c>
      <c r="C662" t="s">
        <v>14</v>
      </c>
      <c r="D662" t="s">
        <v>16</v>
      </c>
      <c r="E662">
        <v>6</v>
      </c>
      <c r="F662" s="3">
        <v>3402</v>
      </c>
      <c r="G662" s="2">
        <v>501.29</v>
      </c>
      <c r="H662">
        <f>Master_ventas[[#This Row],[Profit]]/Master_ventas[[#This Row],[Sales]]</f>
        <v>0.14735155790711346</v>
      </c>
      <c r="I662">
        <f ca="1">Referencia_Hoy-Master_ventas[[#This Row],[Order Date]]</f>
        <v>1577</v>
      </c>
      <c r="J662" t="str">
        <f>UPPER(Master_ventas[[#This Row],[Product Name]])</f>
        <v>TABLET</v>
      </c>
      <c r="K662" t="str">
        <f>UPPER(Master_ventas[[#This Row],[Category]])</f>
        <v>ELECTRONICS</v>
      </c>
      <c r="L662">
        <f>YEAR(Master_ventas[[#This Row],[Order Date]])</f>
        <v>2022</v>
      </c>
      <c r="M662" t="str">
        <f>CONCATENATE(LEFT(Master_ventas[[#This Row],[ProdUpper]],3),RIGHT(Master_ventas[[#This Row],[Ext-Year]],2),"-",MID(Master_ventas[[#This Row],[Category]],1,1))</f>
        <v>TAB22-E</v>
      </c>
      <c r="N662" t="str">
        <f>MID(Master_ventas[[#This Row],[ProdUpper]],1,3)</f>
        <v>TAB</v>
      </c>
      <c r="O662" t="str">
        <f>UPPER(IF(Master_ventas[[#This Row],[Profit]]&gt;500,"High","Std"))</f>
        <v>HIGH</v>
      </c>
      <c r="P662">
        <v>661</v>
      </c>
    </row>
    <row r="663" spans="1:16" x14ac:dyDescent="0.3">
      <c r="A663" s="1">
        <v>44643</v>
      </c>
      <c r="B663" t="s">
        <v>22</v>
      </c>
      <c r="C663" t="s">
        <v>11</v>
      </c>
      <c r="D663" t="s">
        <v>15</v>
      </c>
      <c r="E663">
        <v>4</v>
      </c>
      <c r="F663" s="3">
        <v>3496</v>
      </c>
      <c r="G663" s="2">
        <v>1032.81</v>
      </c>
      <c r="H663">
        <f>Master_ventas[[#This Row],[Profit]]/Master_ventas[[#This Row],[Sales]]</f>
        <v>0.29542620137299769</v>
      </c>
      <c r="I663">
        <f ca="1">Referencia_Hoy-Master_ventas[[#This Row],[Order Date]]</f>
        <v>1680</v>
      </c>
      <c r="J663" t="str">
        <f>UPPER(Master_ventas[[#This Row],[Product Name]])</f>
        <v>KEYBOARD</v>
      </c>
      <c r="K663" t="str">
        <f>UPPER(Master_ventas[[#This Row],[Category]])</f>
        <v>ACCESSORIES</v>
      </c>
      <c r="L663">
        <f>YEAR(Master_ventas[[#This Row],[Order Date]])</f>
        <v>2022</v>
      </c>
      <c r="M663" t="str">
        <f>CONCATENATE(LEFT(Master_ventas[[#This Row],[ProdUpper]],3),RIGHT(Master_ventas[[#This Row],[Ext-Year]],2),"-",MID(Master_ventas[[#This Row],[Category]],1,1))</f>
        <v>KEY22-A</v>
      </c>
      <c r="N663" t="str">
        <f>MID(Master_ventas[[#This Row],[ProdUpper]],1,3)</f>
        <v>KEY</v>
      </c>
      <c r="O663" t="str">
        <f>UPPER(IF(Master_ventas[[#This Row],[Profit]]&gt;500,"High","Std"))</f>
        <v>HIGH</v>
      </c>
      <c r="P663">
        <v>662</v>
      </c>
    </row>
    <row r="664" spans="1:16" x14ac:dyDescent="0.3">
      <c r="A664" s="1">
        <v>44884</v>
      </c>
      <c r="B664" t="s">
        <v>20</v>
      </c>
      <c r="C664" t="s">
        <v>11</v>
      </c>
      <c r="D664" t="s">
        <v>12</v>
      </c>
      <c r="E664">
        <v>4</v>
      </c>
      <c r="F664" s="3">
        <v>1080</v>
      </c>
      <c r="G664" s="2">
        <v>204.95</v>
      </c>
      <c r="H664">
        <f>Master_ventas[[#This Row],[Profit]]/Master_ventas[[#This Row],[Sales]]</f>
        <v>0.1897685185185185</v>
      </c>
      <c r="I664">
        <f ca="1">Referencia_Hoy-Master_ventas[[#This Row],[Order Date]]</f>
        <v>1439</v>
      </c>
      <c r="J664" t="str">
        <f>UPPER(Master_ventas[[#This Row],[Product Name]])</f>
        <v>MONITOR</v>
      </c>
      <c r="K664" t="str">
        <f>UPPER(Master_ventas[[#This Row],[Category]])</f>
        <v>ACCESSORIES</v>
      </c>
      <c r="L664">
        <f>YEAR(Master_ventas[[#This Row],[Order Date]])</f>
        <v>2022</v>
      </c>
      <c r="M664" t="str">
        <f>CONCATENATE(LEFT(Master_ventas[[#This Row],[ProdUpper]],3),RIGHT(Master_ventas[[#This Row],[Ext-Year]],2),"-",MID(Master_ventas[[#This Row],[Category]],1,1))</f>
        <v>MON22-A</v>
      </c>
      <c r="N664" t="str">
        <f>MID(Master_ventas[[#This Row],[ProdUpper]],1,3)</f>
        <v>MON</v>
      </c>
      <c r="O664" t="str">
        <f>UPPER(IF(Master_ventas[[#This Row],[Profit]]&gt;500,"High","Std"))</f>
        <v>STD</v>
      </c>
      <c r="P664">
        <v>663</v>
      </c>
    </row>
    <row r="665" spans="1:16" x14ac:dyDescent="0.3">
      <c r="A665" s="1">
        <v>44620</v>
      </c>
      <c r="B665" t="s">
        <v>18</v>
      </c>
      <c r="C665" t="s">
        <v>11</v>
      </c>
      <c r="D665" t="s">
        <v>12</v>
      </c>
      <c r="E665">
        <v>6</v>
      </c>
      <c r="F665" s="3">
        <v>1530</v>
      </c>
      <c r="G665" s="2">
        <v>218.99</v>
      </c>
      <c r="H665">
        <f>Master_ventas[[#This Row],[Profit]]/Master_ventas[[#This Row],[Sales]]</f>
        <v>0.14313071895424836</v>
      </c>
      <c r="I665">
        <f ca="1">Referencia_Hoy-Master_ventas[[#This Row],[Order Date]]</f>
        <v>1703</v>
      </c>
      <c r="J665" t="str">
        <f>UPPER(Master_ventas[[#This Row],[Product Name]])</f>
        <v>HEADPHONES</v>
      </c>
      <c r="K665" t="str">
        <f>UPPER(Master_ventas[[#This Row],[Category]])</f>
        <v>ACCESSORIES</v>
      </c>
      <c r="L665">
        <f>YEAR(Master_ventas[[#This Row],[Order Date]])</f>
        <v>2022</v>
      </c>
      <c r="M665" t="str">
        <f>CONCATENATE(LEFT(Master_ventas[[#This Row],[ProdUpper]],3),RIGHT(Master_ventas[[#This Row],[Ext-Year]],2),"-",MID(Master_ventas[[#This Row],[Category]],1,1))</f>
        <v>HEA22-A</v>
      </c>
      <c r="N665" t="str">
        <f>MID(Master_ventas[[#This Row],[ProdUpper]],1,3)</f>
        <v>HEA</v>
      </c>
      <c r="O665" t="str">
        <f>UPPER(IF(Master_ventas[[#This Row],[Profit]]&gt;500,"High","Std"))</f>
        <v>STD</v>
      </c>
      <c r="P665">
        <v>664</v>
      </c>
    </row>
    <row r="666" spans="1:16" x14ac:dyDescent="0.3">
      <c r="A666" s="1">
        <v>45180</v>
      </c>
      <c r="B666" t="s">
        <v>22</v>
      </c>
      <c r="C666" t="s">
        <v>11</v>
      </c>
      <c r="D666" t="s">
        <v>16</v>
      </c>
      <c r="E666">
        <v>4</v>
      </c>
      <c r="F666" s="3">
        <v>3568</v>
      </c>
      <c r="G666" s="2">
        <v>764.2</v>
      </c>
      <c r="H666">
        <f>Master_ventas[[#This Row],[Profit]]/Master_ventas[[#This Row],[Sales]]</f>
        <v>0.21418161434977578</v>
      </c>
      <c r="I666">
        <f ca="1">Referencia_Hoy-Master_ventas[[#This Row],[Order Date]]</f>
        <v>1143</v>
      </c>
      <c r="J666" t="str">
        <f>UPPER(Master_ventas[[#This Row],[Product Name]])</f>
        <v>KEYBOARD</v>
      </c>
      <c r="K666" t="str">
        <f>UPPER(Master_ventas[[#This Row],[Category]])</f>
        <v>ACCESSORIES</v>
      </c>
      <c r="L666">
        <f>YEAR(Master_ventas[[#This Row],[Order Date]])</f>
        <v>2023</v>
      </c>
      <c r="M666" t="str">
        <f>CONCATENATE(LEFT(Master_ventas[[#This Row],[ProdUpper]],3),RIGHT(Master_ventas[[#This Row],[Ext-Year]],2),"-",MID(Master_ventas[[#This Row],[Category]],1,1))</f>
        <v>KEY23-A</v>
      </c>
      <c r="N666" t="str">
        <f>MID(Master_ventas[[#This Row],[ProdUpper]],1,3)</f>
        <v>KEY</v>
      </c>
      <c r="O666" t="str">
        <f>UPPER(IF(Master_ventas[[#This Row],[Profit]]&gt;500,"High","Std"))</f>
        <v>HIGH</v>
      </c>
      <c r="P666">
        <v>665</v>
      </c>
    </row>
    <row r="667" spans="1:16" x14ac:dyDescent="0.3">
      <c r="A667" s="1">
        <v>44878</v>
      </c>
      <c r="B667" t="s">
        <v>21</v>
      </c>
      <c r="C667" t="s">
        <v>14</v>
      </c>
      <c r="D667" t="s">
        <v>16</v>
      </c>
      <c r="E667">
        <v>1</v>
      </c>
      <c r="F667" s="3">
        <v>954</v>
      </c>
      <c r="G667" s="2">
        <v>48.97</v>
      </c>
      <c r="H667">
        <f>Master_ventas[[#This Row],[Profit]]/Master_ventas[[#This Row],[Sales]]</f>
        <v>5.1331236897274632E-2</v>
      </c>
      <c r="I667">
        <f ca="1">Referencia_Hoy-Master_ventas[[#This Row],[Order Date]]</f>
        <v>1445</v>
      </c>
      <c r="J667" t="str">
        <f>UPPER(Master_ventas[[#This Row],[Product Name]])</f>
        <v>SMARTPHONE</v>
      </c>
      <c r="K667" t="str">
        <f>UPPER(Master_ventas[[#This Row],[Category]])</f>
        <v>ELECTRONICS</v>
      </c>
      <c r="L667">
        <f>YEAR(Master_ventas[[#This Row],[Order Date]])</f>
        <v>2022</v>
      </c>
      <c r="M667" t="str">
        <f>CONCATENATE(LEFT(Master_ventas[[#This Row],[ProdUpper]],3),RIGHT(Master_ventas[[#This Row],[Ext-Year]],2),"-",MID(Master_ventas[[#This Row],[Category]],1,1))</f>
        <v>SMA22-E</v>
      </c>
      <c r="N667" t="str">
        <f>MID(Master_ventas[[#This Row],[ProdUpper]],1,3)</f>
        <v>SMA</v>
      </c>
      <c r="O667" t="str">
        <f>UPPER(IF(Master_ventas[[#This Row],[Profit]]&gt;500,"High","Std"))</f>
        <v>STD</v>
      </c>
      <c r="P667">
        <v>666</v>
      </c>
    </row>
    <row r="668" spans="1:16" x14ac:dyDescent="0.3">
      <c r="A668" s="1">
        <v>45368</v>
      </c>
      <c r="B668" t="s">
        <v>17</v>
      </c>
      <c r="C668" t="s">
        <v>14</v>
      </c>
      <c r="D668" t="s">
        <v>16</v>
      </c>
      <c r="E668">
        <v>4</v>
      </c>
      <c r="F668" s="3">
        <v>1196</v>
      </c>
      <c r="G668" s="2">
        <v>223.66</v>
      </c>
      <c r="H668">
        <f>Master_ventas[[#This Row],[Profit]]/Master_ventas[[#This Row],[Sales]]</f>
        <v>0.18700668896321071</v>
      </c>
      <c r="I668">
        <f ca="1">Referencia_Hoy-Master_ventas[[#This Row],[Order Date]]</f>
        <v>955</v>
      </c>
      <c r="J668" t="str">
        <f>UPPER(Master_ventas[[#This Row],[Product Name]])</f>
        <v>CAMERA</v>
      </c>
      <c r="K668" t="str">
        <f>UPPER(Master_ventas[[#This Row],[Category]])</f>
        <v>ELECTRONICS</v>
      </c>
      <c r="L668">
        <f>YEAR(Master_ventas[[#This Row],[Order Date]])</f>
        <v>2024</v>
      </c>
      <c r="M668" t="str">
        <f>CONCATENATE(LEFT(Master_ventas[[#This Row],[ProdUpper]],3),RIGHT(Master_ventas[[#This Row],[Ext-Year]],2),"-",MID(Master_ventas[[#This Row],[Category]],1,1))</f>
        <v>CAM24-E</v>
      </c>
      <c r="N668" t="str">
        <f>MID(Master_ventas[[#This Row],[ProdUpper]],1,3)</f>
        <v>CAM</v>
      </c>
      <c r="O668" t="str">
        <f>UPPER(IF(Master_ventas[[#This Row],[Profit]]&gt;500,"High","Std"))</f>
        <v>STD</v>
      </c>
      <c r="P668">
        <v>667</v>
      </c>
    </row>
    <row r="669" spans="1:16" x14ac:dyDescent="0.3">
      <c r="A669" s="1">
        <v>44605</v>
      </c>
      <c r="B669" t="s">
        <v>19</v>
      </c>
      <c r="C669" t="s">
        <v>14</v>
      </c>
      <c r="D669" t="s">
        <v>9</v>
      </c>
      <c r="E669">
        <v>4</v>
      </c>
      <c r="F669" s="3">
        <v>2136</v>
      </c>
      <c r="G669" s="2">
        <v>217.47</v>
      </c>
      <c r="H669">
        <f>Master_ventas[[#This Row],[Profit]]/Master_ventas[[#This Row],[Sales]]</f>
        <v>0.10181179775280899</v>
      </c>
      <c r="I669">
        <f ca="1">Referencia_Hoy-Master_ventas[[#This Row],[Order Date]]</f>
        <v>1718</v>
      </c>
      <c r="J669" t="str">
        <f>UPPER(Master_ventas[[#This Row],[Product Name]])</f>
        <v>SMARTWATCH</v>
      </c>
      <c r="K669" t="str">
        <f>UPPER(Master_ventas[[#This Row],[Category]])</f>
        <v>ELECTRONICS</v>
      </c>
      <c r="L669">
        <f>YEAR(Master_ventas[[#This Row],[Order Date]])</f>
        <v>2022</v>
      </c>
      <c r="M669" t="str">
        <f>CONCATENATE(LEFT(Master_ventas[[#This Row],[ProdUpper]],3),RIGHT(Master_ventas[[#This Row],[Ext-Year]],2),"-",MID(Master_ventas[[#This Row],[Category]],1,1))</f>
        <v>SMA22-E</v>
      </c>
      <c r="N669" t="str">
        <f>MID(Master_ventas[[#This Row],[ProdUpper]],1,3)</f>
        <v>SMA</v>
      </c>
      <c r="O669" t="str">
        <f>UPPER(IF(Master_ventas[[#This Row],[Profit]]&gt;500,"High","Std"))</f>
        <v>STD</v>
      </c>
      <c r="P669">
        <v>668</v>
      </c>
    </row>
    <row r="670" spans="1:16" x14ac:dyDescent="0.3">
      <c r="A670" s="1">
        <v>45486</v>
      </c>
      <c r="B670" t="s">
        <v>7</v>
      </c>
      <c r="C670" t="s">
        <v>8</v>
      </c>
      <c r="D670" t="s">
        <v>15</v>
      </c>
      <c r="E670">
        <v>9</v>
      </c>
      <c r="F670" s="3">
        <v>8496</v>
      </c>
      <c r="G670" s="2">
        <v>2316.0300000000002</v>
      </c>
      <c r="H670">
        <f>Master_ventas[[#This Row],[Profit]]/Master_ventas[[#This Row],[Sales]]</f>
        <v>0.27260240112994355</v>
      </c>
      <c r="I670">
        <f ca="1">Referencia_Hoy-Master_ventas[[#This Row],[Order Date]]</f>
        <v>837</v>
      </c>
      <c r="J670" t="str">
        <f>UPPER(Master_ventas[[#This Row],[Product Name]])</f>
        <v>PRINTER</v>
      </c>
      <c r="K670" t="str">
        <f>UPPER(Master_ventas[[#This Row],[Category]])</f>
        <v>OFFICE</v>
      </c>
      <c r="L670">
        <f>YEAR(Master_ventas[[#This Row],[Order Date]])</f>
        <v>2024</v>
      </c>
      <c r="M670" t="str">
        <f>CONCATENATE(LEFT(Master_ventas[[#This Row],[ProdUpper]],3),RIGHT(Master_ventas[[#This Row],[Ext-Year]],2),"-",MID(Master_ventas[[#This Row],[Category]],1,1))</f>
        <v>PRI24-O</v>
      </c>
      <c r="N670" t="str">
        <f>MID(Master_ventas[[#This Row],[ProdUpper]],1,3)</f>
        <v>PRI</v>
      </c>
      <c r="O670" t="str">
        <f>UPPER(IF(Master_ventas[[#This Row],[Profit]]&gt;500,"High","Std"))</f>
        <v>HIGH</v>
      </c>
      <c r="P670">
        <v>669</v>
      </c>
    </row>
    <row r="671" spans="1:16" x14ac:dyDescent="0.3">
      <c r="A671" s="1">
        <v>45419</v>
      </c>
      <c r="B671" t="s">
        <v>23</v>
      </c>
      <c r="C671" t="s">
        <v>14</v>
      </c>
      <c r="D671" t="s">
        <v>16</v>
      </c>
      <c r="E671">
        <v>7</v>
      </c>
      <c r="F671" s="3">
        <v>7280</v>
      </c>
      <c r="G671" s="2">
        <v>1450.82</v>
      </c>
      <c r="H671">
        <f>Master_ventas[[#This Row],[Profit]]/Master_ventas[[#This Row],[Sales]]</f>
        <v>0.19928846153846153</v>
      </c>
      <c r="I671">
        <f ca="1">Referencia_Hoy-Master_ventas[[#This Row],[Order Date]]</f>
        <v>904</v>
      </c>
      <c r="J671" t="str">
        <f>UPPER(Master_ventas[[#This Row],[Product Name]])</f>
        <v>LAPTOP</v>
      </c>
      <c r="K671" t="str">
        <f>UPPER(Master_ventas[[#This Row],[Category]])</f>
        <v>ELECTRONICS</v>
      </c>
      <c r="L671">
        <f>YEAR(Master_ventas[[#This Row],[Order Date]])</f>
        <v>2024</v>
      </c>
      <c r="M671" t="str">
        <f>CONCATENATE(LEFT(Master_ventas[[#This Row],[ProdUpper]],3),RIGHT(Master_ventas[[#This Row],[Ext-Year]],2),"-",MID(Master_ventas[[#This Row],[Category]],1,1))</f>
        <v>LAP24-E</v>
      </c>
      <c r="N671" t="str">
        <f>MID(Master_ventas[[#This Row],[ProdUpper]],1,3)</f>
        <v>LAP</v>
      </c>
      <c r="O671" t="str">
        <f>UPPER(IF(Master_ventas[[#This Row],[Profit]]&gt;500,"High","Std"))</f>
        <v>HIGH</v>
      </c>
      <c r="P671">
        <v>670</v>
      </c>
    </row>
    <row r="672" spans="1:16" x14ac:dyDescent="0.3">
      <c r="A672" s="1">
        <v>44828</v>
      </c>
      <c r="B672" t="s">
        <v>19</v>
      </c>
      <c r="C672" t="s">
        <v>14</v>
      </c>
      <c r="D672" t="s">
        <v>15</v>
      </c>
      <c r="E672">
        <v>5</v>
      </c>
      <c r="F672" s="3">
        <v>4935</v>
      </c>
      <c r="G672" s="2">
        <v>625.39</v>
      </c>
      <c r="H672">
        <f>Master_ventas[[#This Row],[Profit]]/Master_ventas[[#This Row],[Sales]]</f>
        <v>0.12672543059777103</v>
      </c>
      <c r="I672">
        <f ca="1">Referencia_Hoy-Master_ventas[[#This Row],[Order Date]]</f>
        <v>1495</v>
      </c>
      <c r="J672" t="str">
        <f>UPPER(Master_ventas[[#This Row],[Product Name]])</f>
        <v>SMARTWATCH</v>
      </c>
      <c r="K672" t="str">
        <f>UPPER(Master_ventas[[#This Row],[Category]])</f>
        <v>ELECTRONICS</v>
      </c>
      <c r="L672">
        <f>YEAR(Master_ventas[[#This Row],[Order Date]])</f>
        <v>2022</v>
      </c>
      <c r="M672" t="str">
        <f>CONCATENATE(LEFT(Master_ventas[[#This Row],[ProdUpper]],3),RIGHT(Master_ventas[[#This Row],[Ext-Year]],2),"-",MID(Master_ventas[[#This Row],[Category]],1,1))</f>
        <v>SMA22-E</v>
      </c>
      <c r="N672" t="str">
        <f>MID(Master_ventas[[#This Row],[ProdUpper]],1,3)</f>
        <v>SMA</v>
      </c>
      <c r="O672" t="str">
        <f>UPPER(IF(Master_ventas[[#This Row],[Profit]]&gt;500,"High","Std"))</f>
        <v>HIGH</v>
      </c>
      <c r="P672">
        <v>671</v>
      </c>
    </row>
    <row r="673" spans="1:16" x14ac:dyDescent="0.3">
      <c r="A673" s="1">
        <v>45516</v>
      </c>
      <c r="B673" t="s">
        <v>13</v>
      </c>
      <c r="C673" t="s">
        <v>14</v>
      </c>
      <c r="D673" t="s">
        <v>15</v>
      </c>
      <c r="E673">
        <v>8</v>
      </c>
      <c r="F673" s="3">
        <v>9056</v>
      </c>
      <c r="G673" s="2">
        <v>872.48</v>
      </c>
      <c r="H673">
        <f>Master_ventas[[#This Row],[Profit]]/Master_ventas[[#This Row],[Sales]]</f>
        <v>9.634275618374559E-2</v>
      </c>
      <c r="I673">
        <f ca="1">Referencia_Hoy-Master_ventas[[#This Row],[Order Date]]</f>
        <v>807</v>
      </c>
      <c r="J673" t="str">
        <f>UPPER(Master_ventas[[#This Row],[Product Name]])</f>
        <v>TABLET</v>
      </c>
      <c r="K673" t="str">
        <f>UPPER(Master_ventas[[#This Row],[Category]])</f>
        <v>ELECTRONICS</v>
      </c>
      <c r="L673">
        <f>YEAR(Master_ventas[[#This Row],[Order Date]])</f>
        <v>2024</v>
      </c>
      <c r="M673" t="str">
        <f>CONCATENATE(LEFT(Master_ventas[[#This Row],[ProdUpper]],3),RIGHT(Master_ventas[[#This Row],[Ext-Year]],2),"-",MID(Master_ventas[[#This Row],[Category]],1,1))</f>
        <v>TAB24-E</v>
      </c>
      <c r="N673" t="str">
        <f>MID(Master_ventas[[#This Row],[ProdUpper]],1,3)</f>
        <v>TAB</v>
      </c>
      <c r="O673" t="str">
        <f>UPPER(IF(Master_ventas[[#This Row],[Profit]]&gt;500,"High","Std"))</f>
        <v>HIGH</v>
      </c>
      <c r="P673">
        <v>672</v>
      </c>
    </row>
    <row r="674" spans="1:16" x14ac:dyDescent="0.3">
      <c r="A674" s="1">
        <v>44932</v>
      </c>
      <c r="B674" t="s">
        <v>19</v>
      </c>
      <c r="C674" t="s">
        <v>14</v>
      </c>
      <c r="D674" t="s">
        <v>15</v>
      </c>
      <c r="E674">
        <v>1</v>
      </c>
      <c r="F674" s="3">
        <v>563</v>
      </c>
      <c r="G674" s="2">
        <v>46.96</v>
      </c>
      <c r="H674">
        <f>Master_ventas[[#This Row],[Profit]]/Master_ventas[[#This Row],[Sales]]</f>
        <v>8.3410301953818836E-2</v>
      </c>
      <c r="I674">
        <f ca="1">Referencia_Hoy-Master_ventas[[#This Row],[Order Date]]</f>
        <v>1391</v>
      </c>
      <c r="J674" t="str">
        <f>UPPER(Master_ventas[[#This Row],[Product Name]])</f>
        <v>SMARTWATCH</v>
      </c>
      <c r="K674" t="str">
        <f>UPPER(Master_ventas[[#This Row],[Category]])</f>
        <v>ELECTRONICS</v>
      </c>
      <c r="L674">
        <f>YEAR(Master_ventas[[#This Row],[Order Date]])</f>
        <v>2023</v>
      </c>
      <c r="M674" t="str">
        <f>CONCATENATE(LEFT(Master_ventas[[#This Row],[ProdUpper]],3),RIGHT(Master_ventas[[#This Row],[Ext-Year]],2),"-",MID(Master_ventas[[#This Row],[Category]],1,1))</f>
        <v>SMA23-E</v>
      </c>
      <c r="N674" t="str">
        <f>MID(Master_ventas[[#This Row],[ProdUpper]],1,3)</f>
        <v>SMA</v>
      </c>
      <c r="O674" t="str">
        <f>UPPER(IF(Master_ventas[[#This Row],[Profit]]&gt;500,"High","Std"))</f>
        <v>STD</v>
      </c>
      <c r="P674">
        <v>673</v>
      </c>
    </row>
    <row r="675" spans="1:16" x14ac:dyDescent="0.3">
      <c r="A675" s="1">
        <v>44623</v>
      </c>
      <c r="B675" t="s">
        <v>7</v>
      </c>
      <c r="C675" t="s">
        <v>8</v>
      </c>
      <c r="D675" t="s">
        <v>15</v>
      </c>
      <c r="E675">
        <v>2</v>
      </c>
      <c r="F675" s="3">
        <v>1570</v>
      </c>
      <c r="G675" s="2">
        <v>247.7</v>
      </c>
      <c r="H675">
        <f>Master_ventas[[#This Row],[Profit]]/Master_ventas[[#This Row],[Sales]]</f>
        <v>0.15777070063694268</v>
      </c>
      <c r="I675">
        <f ca="1">Referencia_Hoy-Master_ventas[[#This Row],[Order Date]]</f>
        <v>1700</v>
      </c>
      <c r="J675" t="str">
        <f>UPPER(Master_ventas[[#This Row],[Product Name]])</f>
        <v>PRINTER</v>
      </c>
      <c r="K675" t="str">
        <f>UPPER(Master_ventas[[#This Row],[Category]])</f>
        <v>OFFICE</v>
      </c>
      <c r="L675">
        <f>YEAR(Master_ventas[[#This Row],[Order Date]])</f>
        <v>2022</v>
      </c>
      <c r="M675" t="str">
        <f>CONCATENATE(LEFT(Master_ventas[[#This Row],[ProdUpper]],3),RIGHT(Master_ventas[[#This Row],[Ext-Year]],2),"-",MID(Master_ventas[[#This Row],[Category]],1,1))</f>
        <v>PRI22-O</v>
      </c>
      <c r="N675" t="str">
        <f>MID(Master_ventas[[#This Row],[ProdUpper]],1,3)</f>
        <v>PRI</v>
      </c>
      <c r="O675" t="str">
        <f>UPPER(IF(Master_ventas[[#This Row],[Profit]]&gt;500,"High","Std"))</f>
        <v>STD</v>
      </c>
      <c r="P675">
        <v>674</v>
      </c>
    </row>
    <row r="676" spans="1:16" x14ac:dyDescent="0.3">
      <c r="A676" s="1">
        <v>44622</v>
      </c>
      <c r="B676" t="s">
        <v>17</v>
      </c>
      <c r="C676" t="s">
        <v>14</v>
      </c>
      <c r="D676" t="s">
        <v>9</v>
      </c>
      <c r="E676">
        <v>3</v>
      </c>
      <c r="F676" s="3">
        <v>2181</v>
      </c>
      <c r="G676" s="2">
        <v>517.02</v>
      </c>
      <c r="H676">
        <f>Master_ventas[[#This Row],[Profit]]/Master_ventas[[#This Row],[Sales]]</f>
        <v>0.2370563961485557</v>
      </c>
      <c r="I676">
        <f ca="1">Referencia_Hoy-Master_ventas[[#This Row],[Order Date]]</f>
        <v>1701</v>
      </c>
      <c r="J676" t="str">
        <f>UPPER(Master_ventas[[#This Row],[Product Name]])</f>
        <v>CAMERA</v>
      </c>
      <c r="K676" t="str">
        <f>UPPER(Master_ventas[[#This Row],[Category]])</f>
        <v>ELECTRONICS</v>
      </c>
      <c r="L676">
        <f>YEAR(Master_ventas[[#This Row],[Order Date]])</f>
        <v>2022</v>
      </c>
      <c r="M676" t="str">
        <f>CONCATENATE(LEFT(Master_ventas[[#This Row],[ProdUpper]],3),RIGHT(Master_ventas[[#This Row],[Ext-Year]],2),"-",MID(Master_ventas[[#This Row],[Category]],1,1))</f>
        <v>CAM22-E</v>
      </c>
      <c r="N676" t="str">
        <f>MID(Master_ventas[[#This Row],[ProdUpper]],1,3)</f>
        <v>CAM</v>
      </c>
      <c r="O676" t="str">
        <f>UPPER(IF(Master_ventas[[#This Row],[Profit]]&gt;500,"High","Std"))</f>
        <v>HIGH</v>
      </c>
      <c r="P676">
        <v>675</v>
      </c>
    </row>
    <row r="677" spans="1:16" x14ac:dyDescent="0.3">
      <c r="A677" s="1">
        <v>45560</v>
      </c>
      <c r="B677" t="s">
        <v>10</v>
      </c>
      <c r="C677" t="s">
        <v>11</v>
      </c>
      <c r="D677" t="s">
        <v>9</v>
      </c>
      <c r="E677">
        <v>4</v>
      </c>
      <c r="F677" s="3">
        <v>3808</v>
      </c>
      <c r="G677" s="2">
        <v>442.33</v>
      </c>
      <c r="H677">
        <f>Master_ventas[[#This Row],[Profit]]/Master_ventas[[#This Row],[Sales]]</f>
        <v>0.11615808823529411</v>
      </c>
      <c r="I677">
        <f ca="1">Referencia_Hoy-Master_ventas[[#This Row],[Order Date]]</f>
        <v>763</v>
      </c>
      <c r="J677" t="str">
        <f>UPPER(Master_ventas[[#This Row],[Product Name]])</f>
        <v>MOUSE</v>
      </c>
      <c r="K677" t="str">
        <f>UPPER(Master_ventas[[#This Row],[Category]])</f>
        <v>ACCESSORIES</v>
      </c>
      <c r="L677">
        <f>YEAR(Master_ventas[[#This Row],[Order Date]])</f>
        <v>2024</v>
      </c>
      <c r="M677" t="str">
        <f>CONCATENATE(LEFT(Master_ventas[[#This Row],[ProdUpper]],3),RIGHT(Master_ventas[[#This Row],[Ext-Year]],2),"-",MID(Master_ventas[[#This Row],[Category]],1,1))</f>
        <v>MOU24-A</v>
      </c>
      <c r="N677" t="str">
        <f>MID(Master_ventas[[#This Row],[ProdUpper]],1,3)</f>
        <v>MOU</v>
      </c>
      <c r="O677" t="str">
        <f>UPPER(IF(Master_ventas[[#This Row],[Profit]]&gt;500,"High","Std"))</f>
        <v>STD</v>
      </c>
      <c r="P677">
        <v>676</v>
      </c>
    </row>
    <row r="678" spans="1:16" x14ac:dyDescent="0.3">
      <c r="A678" s="1">
        <v>44901</v>
      </c>
      <c r="B678" t="s">
        <v>22</v>
      </c>
      <c r="C678" t="s">
        <v>11</v>
      </c>
      <c r="D678" t="s">
        <v>16</v>
      </c>
      <c r="E678">
        <v>7</v>
      </c>
      <c r="F678" s="3">
        <v>6552</v>
      </c>
      <c r="G678" s="2">
        <v>635.09</v>
      </c>
      <c r="H678">
        <f>Master_ventas[[#This Row],[Profit]]/Master_ventas[[#This Row],[Sales]]</f>
        <v>9.6930708180708189E-2</v>
      </c>
      <c r="I678">
        <f ca="1">Referencia_Hoy-Master_ventas[[#This Row],[Order Date]]</f>
        <v>1422</v>
      </c>
      <c r="J678" t="str">
        <f>UPPER(Master_ventas[[#This Row],[Product Name]])</f>
        <v>KEYBOARD</v>
      </c>
      <c r="K678" t="str">
        <f>UPPER(Master_ventas[[#This Row],[Category]])</f>
        <v>ACCESSORIES</v>
      </c>
      <c r="L678">
        <f>YEAR(Master_ventas[[#This Row],[Order Date]])</f>
        <v>2022</v>
      </c>
      <c r="M678" t="str">
        <f>CONCATENATE(LEFT(Master_ventas[[#This Row],[ProdUpper]],3),RIGHT(Master_ventas[[#This Row],[Ext-Year]],2),"-",MID(Master_ventas[[#This Row],[Category]],1,1))</f>
        <v>KEY22-A</v>
      </c>
      <c r="N678" t="str">
        <f>MID(Master_ventas[[#This Row],[ProdUpper]],1,3)</f>
        <v>KEY</v>
      </c>
      <c r="O678" t="str">
        <f>UPPER(IF(Master_ventas[[#This Row],[Profit]]&gt;500,"High","Std"))</f>
        <v>HIGH</v>
      </c>
      <c r="P678">
        <v>677</v>
      </c>
    </row>
    <row r="679" spans="1:16" x14ac:dyDescent="0.3">
      <c r="A679" s="1">
        <v>45095</v>
      </c>
      <c r="B679" t="s">
        <v>23</v>
      </c>
      <c r="C679" t="s">
        <v>14</v>
      </c>
      <c r="D679" t="s">
        <v>15</v>
      </c>
      <c r="E679">
        <v>8</v>
      </c>
      <c r="F679" s="3">
        <v>6544</v>
      </c>
      <c r="G679" s="2">
        <v>1086.29</v>
      </c>
      <c r="H679">
        <f>Master_ventas[[#This Row],[Profit]]/Master_ventas[[#This Row],[Sales]]</f>
        <v>0.16599786063569683</v>
      </c>
      <c r="I679">
        <f ca="1">Referencia_Hoy-Master_ventas[[#This Row],[Order Date]]</f>
        <v>1228</v>
      </c>
      <c r="J679" t="str">
        <f>UPPER(Master_ventas[[#This Row],[Product Name]])</f>
        <v>LAPTOP</v>
      </c>
      <c r="K679" t="str">
        <f>UPPER(Master_ventas[[#This Row],[Category]])</f>
        <v>ELECTRONICS</v>
      </c>
      <c r="L679">
        <f>YEAR(Master_ventas[[#This Row],[Order Date]])</f>
        <v>2023</v>
      </c>
      <c r="M679" t="str">
        <f>CONCATENATE(LEFT(Master_ventas[[#This Row],[ProdUpper]],3),RIGHT(Master_ventas[[#This Row],[Ext-Year]],2),"-",MID(Master_ventas[[#This Row],[Category]],1,1))</f>
        <v>LAP23-E</v>
      </c>
      <c r="N679" t="str">
        <f>MID(Master_ventas[[#This Row],[ProdUpper]],1,3)</f>
        <v>LAP</v>
      </c>
      <c r="O679" t="str">
        <f>UPPER(IF(Master_ventas[[#This Row],[Profit]]&gt;500,"High","Std"))</f>
        <v>HIGH</v>
      </c>
      <c r="P679">
        <v>678</v>
      </c>
    </row>
    <row r="680" spans="1:16" x14ac:dyDescent="0.3">
      <c r="A680" s="1">
        <v>45251</v>
      </c>
      <c r="B680" t="s">
        <v>10</v>
      </c>
      <c r="C680" t="s">
        <v>11</v>
      </c>
      <c r="D680" t="s">
        <v>16</v>
      </c>
      <c r="E680">
        <v>3</v>
      </c>
      <c r="F680" s="3">
        <v>2631</v>
      </c>
      <c r="G680" s="2">
        <v>157.19</v>
      </c>
      <c r="H680">
        <f>Master_ventas[[#This Row],[Profit]]/Master_ventas[[#This Row],[Sales]]</f>
        <v>5.9745343975674645E-2</v>
      </c>
      <c r="I680">
        <f ca="1">Referencia_Hoy-Master_ventas[[#This Row],[Order Date]]</f>
        <v>1072</v>
      </c>
      <c r="J680" t="str">
        <f>UPPER(Master_ventas[[#This Row],[Product Name]])</f>
        <v>MOUSE</v>
      </c>
      <c r="K680" t="str">
        <f>UPPER(Master_ventas[[#This Row],[Category]])</f>
        <v>ACCESSORIES</v>
      </c>
      <c r="L680">
        <f>YEAR(Master_ventas[[#This Row],[Order Date]])</f>
        <v>2023</v>
      </c>
      <c r="M680" t="str">
        <f>CONCATENATE(LEFT(Master_ventas[[#This Row],[ProdUpper]],3),RIGHT(Master_ventas[[#This Row],[Ext-Year]],2),"-",MID(Master_ventas[[#This Row],[Category]],1,1))</f>
        <v>MOU23-A</v>
      </c>
      <c r="N680" t="str">
        <f>MID(Master_ventas[[#This Row],[ProdUpper]],1,3)</f>
        <v>MOU</v>
      </c>
      <c r="O680" t="str">
        <f>UPPER(IF(Master_ventas[[#This Row],[Profit]]&gt;500,"High","Std"))</f>
        <v>STD</v>
      </c>
      <c r="P680">
        <v>679</v>
      </c>
    </row>
    <row r="681" spans="1:16" x14ac:dyDescent="0.3">
      <c r="A681" s="1">
        <v>45016</v>
      </c>
      <c r="B681" t="s">
        <v>20</v>
      </c>
      <c r="C681" t="s">
        <v>11</v>
      </c>
      <c r="D681" t="s">
        <v>16</v>
      </c>
      <c r="E681">
        <v>9</v>
      </c>
      <c r="F681" s="3">
        <v>945</v>
      </c>
      <c r="G681" s="2">
        <v>94.75</v>
      </c>
      <c r="H681">
        <f>Master_ventas[[#This Row],[Profit]]/Master_ventas[[#This Row],[Sales]]</f>
        <v>0.10026455026455026</v>
      </c>
      <c r="I681">
        <f ca="1">Referencia_Hoy-Master_ventas[[#This Row],[Order Date]]</f>
        <v>1307</v>
      </c>
      <c r="J681" t="str">
        <f>UPPER(Master_ventas[[#This Row],[Product Name]])</f>
        <v>MONITOR</v>
      </c>
      <c r="K681" t="str">
        <f>UPPER(Master_ventas[[#This Row],[Category]])</f>
        <v>ACCESSORIES</v>
      </c>
      <c r="L681">
        <f>YEAR(Master_ventas[[#This Row],[Order Date]])</f>
        <v>2023</v>
      </c>
      <c r="M681" t="str">
        <f>CONCATENATE(LEFT(Master_ventas[[#This Row],[ProdUpper]],3),RIGHT(Master_ventas[[#This Row],[Ext-Year]],2),"-",MID(Master_ventas[[#This Row],[Category]],1,1))</f>
        <v>MON23-A</v>
      </c>
      <c r="N681" t="str">
        <f>MID(Master_ventas[[#This Row],[ProdUpper]],1,3)</f>
        <v>MON</v>
      </c>
      <c r="O681" t="str">
        <f>UPPER(IF(Master_ventas[[#This Row],[Profit]]&gt;500,"High","Std"))</f>
        <v>STD</v>
      </c>
      <c r="P681">
        <v>680</v>
      </c>
    </row>
    <row r="682" spans="1:16" x14ac:dyDescent="0.3">
      <c r="A682" s="1">
        <v>45454</v>
      </c>
      <c r="B682" t="s">
        <v>20</v>
      </c>
      <c r="C682" t="s">
        <v>11</v>
      </c>
      <c r="D682" t="s">
        <v>16</v>
      </c>
      <c r="E682">
        <v>2</v>
      </c>
      <c r="F682" s="3">
        <v>760</v>
      </c>
      <c r="G682" s="2">
        <v>192.42</v>
      </c>
      <c r="H682">
        <f>Master_ventas[[#This Row],[Profit]]/Master_ventas[[#This Row],[Sales]]</f>
        <v>0.25318421052631579</v>
      </c>
      <c r="I682">
        <f ca="1">Referencia_Hoy-Master_ventas[[#This Row],[Order Date]]</f>
        <v>869</v>
      </c>
      <c r="J682" t="str">
        <f>UPPER(Master_ventas[[#This Row],[Product Name]])</f>
        <v>MONITOR</v>
      </c>
      <c r="K682" t="str">
        <f>UPPER(Master_ventas[[#This Row],[Category]])</f>
        <v>ACCESSORIES</v>
      </c>
      <c r="L682">
        <f>YEAR(Master_ventas[[#This Row],[Order Date]])</f>
        <v>2024</v>
      </c>
      <c r="M682" t="str">
        <f>CONCATENATE(LEFT(Master_ventas[[#This Row],[ProdUpper]],3),RIGHT(Master_ventas[[#This Row],[Ext-Year]],2),"-",MID(Master_ventas[[#This Row],[Category]],1,1))</f>
        <v>MON24-A</v>
      </c>
      <c r="N682" t="str">
        <f>MID(Master_ventas[[#This Row],[ProdUpper]],1,3)</f>
        <v>MON</v>
      </c>
      <c r="O682" t="str">
        <f>UPPER(IF(Master_ventas[[#This Row],[Profit]]&gt;500,"High","Std"))</f>
        <v>STD</v>
      </c>
      <c r="P682">
        <v>681</v>
      </c>
    </row>
    <row r="683" spans="1:16" x14ac:dyDescent="0.3">
      <c r="A683" s="1">
        <v>45041</v>
      </c>
      <c r="B683" t="s">
        <v>20</v>
      </c>
      <c r="C683" t="s">
        <v>11</v>
      </c>
      <c r="D683" t="s">
        <v>9</v>
      </c>
      <c r="E683">
        <v>4</v>
      </c>
      <c r="F683" s="3">
        <v>1392</v>
      </c>
      <c r="G683" s="2">
        <v>394.48</v>
      </c>
      <c r="H683">
        <f>Master_ventas[[#This Row],[Profit]]/Master_ventas[[#This Row],[Sales]]</f>
        <v>0.28339080459770116</v>
      </c>
      <c r="I683">
        <f ca="1">Referencia_Hoy-Master_ventas[[#This Row],[Order Date]]</f>
        <v>1282</v>
      </c>
      <c r="J683" t="str">
        <f>UPPER(Master_ventas[[#This Row],[Product Name]])</f>
        <v>MONITOR</v>
      </c>
      <c r="K683" t="str">
        <f>UPPER(Master_ventas[[#This Row],[Category]])</f>
        <v>ACCESSORIES</v>
      </c>
      <c r="L683">
        <f>YEAR(Master_ventas[[#This Row],[Order Date]])</f>
        <v>2023</v>
      </c>
      <c r="M683" t="str">
        <f>CONCATENATE(LEFT(Master_ventas[[#This Row],[ProdUpper]],3),RIGHT(Master_ventas[[#This Row],[Ext-Year]],2),"-",MID(Master_ventas[[#This Row],[Category]],1,1))</f>
        <v>MON23-A</v>
      </c>
      <c r="N683" t="str">
        <f>MID(Master_ventas[[#This Row],[ProdUpper]],1,3)</f>
        <v>MON</v>
      </c>
      <c r="O683" t="str">
        <f>UPPER(IF(Master_ventas[[#This Row],[Profit]]&gt;500,"High","Std"))</f>
        <v>STD</v>
      </c>
      <c r="P683">
        <v>682</v>
      </c>
    </row>
    <row r="684" spans="1:16" x14ac:dyDescent="0.3">
      <c r="A684" s="1">
        <v>44912</v>
      </c>
      <c r="B684" t="s">
        <v>19</v>
      </c>
      <c r="C684" t="s">
        <v>14</v>
      </c>
      <c r="D684" t="s">
        <v>12</v>
      </c>
      <c r="E684">
        <v>3</v>
      </c>
      <c r="F684" s="3">
        <v>1242</v>
      </c>
      <c r="G684" s="2">
        <v>206.74</v>
      </c>
      <c r="H684">
        <f>Master_ventas[[#This Row],[Profit]]/Master_ventas[[#This Row],[Sales]]</f>
        <v>0.16645732689210951</v>
      </c>
      <c r="I684">
        <f ca="1">Referencia_Hoy-Master_ventas[[#This Row],[Order Date]]</f>
        <v>1411</v>
      </c>
      <c r="J684" t="str">
        <f>UPPER(Master_ventas[[#This Row],[Product Name]])</f>
        <v>SMARTWATCH</v>
      </c>
      <c r="K684" t="str">
        <f>UPPER(Master_ventas[[#This Row],[Category]])</f>
        <v>ELECTRONICS</v>
      </c>
      <c r="L684">
        <f>YEAR(Master_ventas[[#This Row],[Order Date]])</f>
        <v>2022</v>
      </c>
      <c r="M684" t="str">
        <f>CONCATENATE(LEFT(Master_ventas[[#This Row],[ProdUpper]],3),RIGHT(Master_ventas[[#This Row],[Ext-Year]],2),"-",MID(Master_ventas[[#This Row],[Category]],1,1))</f>
        <v>SMA22-E</v>
      </c>
      <c r="N684" t="str">
        <f>MID(Master_ventas[[#This Row],[ProdUpper]],1,3)</f>
        <v>SMA</v>
      </c>
      <c r="O684" t="str">
        <f>UPPER(IF(Master_ventas[[#This Row],[Profit]]&gt;500,"High","Std"))</f>
        <v>STD</v>
      </c>
      <c r="P684">
        <v>683</v>
      </c>
    </row>
    <row r="685" spans="1:16" x14ac:dyDescent="0.3">
      <c r="A685" s="1">
        <v>45478</v>
      </c>
      <c r="B685" t="s">
        <v>23</v>
      </c>
      <c r="C685" t="s">
        <v>14</v>
      </c>
      <c r="D685" t="s">
        <v>12</v>
      </c>
      <c r="E685">
        <v>3</v>
      </c>
      <c r="F685" s="3">
        <v>3183</v>
      </c>
      <c r="G685" s="2">
        <v>868.73</v>
      </c>
      <c r="H685">
        <f>Master_ventas[[#This Row],[Profit]]/Master_ventas[[#This Row],[Sales]]</f>
        <v>0.27292805529374803</v>
      </c>
      <c r="I685">
        <f ca="1">Referencia_Hoy-Master_ventas[[#This Row],[Order Date]]</f>
        <v>845</v>
      </c>
      <c r="J685" t="str">
        <f>UPPER(Master_ventas[[#This Row],[Product Name]])</f>
        <v>LAPTOP</v>
      </c>
      <c r="K685" t="str">
        <f>UPPER(Master_ventas[[#This Row],[Category]])</f>
        <v>ELECTRONICS</v>
      </c>
      <c r="L685">
        <f>YEAR(Master_ventas[[#This Row],[Order Date]])</f>
        <v>2024</v>
      </c>
      <c r="M685" t="str">
        <f>CONCATENATE(LEFT(Master_ventas[[#This Row],[ProdUpper]],3),RIGHT(Master_ventas[[#This Row],[Ext-Year]],2),"-",MID(Master_ventas[[#This Row],[Category]],1,1))</f>
        <v>LAP24-E</v>
      </c>
      <c r="N685" t="str">
        <f>MID(Master_ventas[[#This Row],[ProdUpper]],1,3)</f>
        <v>LAP</v>
      </c>
      <c r="O685" t="str">
        <f>UPPER(IF(Master_ventas[[#This Row],[Profit]]&gt;500,"High","Std"))</f>
        <v>HIGH</v>
      </c>
      <c r="P685">
        <v>684</v>
      </c>
    </row>
    <row r="686" spans="1:16" x14ac:dyDescent="0.3">
      <c r="A686" s="1">
        <v>45023</v>
      </c>
      <c r="B686" t="s">
        <v>20</v>
      </c>
      <c r="C686" t="s">
        <v>11</v>
      </c>
      <c r="D686" t="s">
        <v>16</v>
      </c>
      <c r="E686">
        <v>5</v>
      </c>
      <c r="F686" s="3">
        <v>4260</v>
      </c>
      <c r="G686" s="2">
        <v>229.77</v>
      </c>
      <c r="H686">
        <f>Master_ventas[[#This Row],[Profit]]/Master_ventas[[#This Row],[Sales]]</f>
        <v>5.3936619718309861E-2</v>
      </c>
      <c r="I686">
        <f ca="1">Referencia_Hoy-Master_ventas[[#This Row],[Order Date]]</f>
        <v>1300</v>
      </c>
      <c r="J686" t="str">
        <f>UPPER(Master_ventas[[#This Row],[Product Name]])</f>
        <v>MONITOR</v>
      </c>
      <c r="K686" t="str">
        <f>UPPER(Master_ventas[[#This Row],[Category]])</f>
        <v>ACCESSORIES</v>
      </c>
      <c r="L686">
        <f>YEAR(Master_ventas[[#This Row],[Order Date]])</f>
        <v>2023</v>
      </c>
      <c r="M686" t="str">
        <f>CONCATENATE(LEFT(Master_ventas[[#This Row],[ProdUpper]],3),RIGHT(Master_ventas[[#This Row],[Ext-Year]],2),"-",MID(Master_ventas[[#This Row],[Category]],1,1))</f>
        <v>MON23-A</v>
      </c>
      <c r="N686" t="str">
        <f>MID(Master_ventas[[#This Row],[ProdUpper]],1,3)</f>
        <v>MON</v>
      </c>
      <c r="O686" t="str">
        <f>UPPER(IF(Master_ventas[[#This Row],[Profit]]&gt;500,"High","Std"))</f>
        <v>STD</v>
      </c>
      <c r="P686">
        <v>685</v>
      </c>
    </row>
    <row r="687" spans="1:16" x14ac:dyDescent="0.3">
      <c r="A687" s="1">
        <v>44768</v>
      </c>
      <c r="B687" t="s">
        <v>21</v>
      </c>
      <c r="C687" t="s">
        <v>14</v>
      </c>
      <c r="D687" t="s">
        <v>16</v>
      </c>
      <c r="E687">
        <v>1</v>
      </c>
      <c r="F687" s="3">
        <v>1041</v>
      </c>
      <c r="G687" s="2">
        <v>132.46</v>
      </c>
      <c r="H687">
        <f>Master_ventas[[#This Row],[Profit]]/Master_ventas[[#This Row],[Sales]]</f>
        <v>0.12724303554274738</v>
      </c>
      <c r="I687">
        <f ca="1">Referencia_Hoy-Master_ventas[[#This Row],[Order Date]]</f>
        <v>1555</v>
      </c>
      <c r="J687" t="str">
        <f>UPPER(Master_ventas[[#This Row],[Product Name]])</f>
        <v>SMARTPHONE</v>
      </c>
      <c r="K687" t="str">
        <f>UPPER(Master_ventas[[#This Row],[Category]])</f>
        <v>ELECTRONICS</v>
      </c>
      <c r="L687">
        <f>YEAR(Master_ventas[[#This Row],[Order Date]])</f>
        <v>2022</v>
      </c>
      <c r="M687" t="str">
        <f>CONCATENATE(LEFT(Master_ventas[[#This Row],[ProdUpper]],3),RIGHT(Master_ventas[[#This Row],[Ext-Year]],2),"-",MID(Master_ventas[[#This Row],[Category]],1,1))</f>
        <v>SMA22-E</v>
      </c>
      <c r="N687" t="str">
        <f>MID(Master_ventas[[#This Row],[ProdUpper]],1,3)</f>
        <v>SMA</v>
      </c>
      <c r="O687" t="str">
        <f>UPPER(IF(Master_ventas[[#This Row],[Profit]]&gt;500,"High","Std"))</f>
        <v>STD</v>
      </c>
      <c r="P687">
        <v>686</v>
      </c>
    </row>
    <row r="688" spans="1:16" x14ac:dyDescent="0.3">
      <c r="A688" s="1">
        <v>44699</v>
      </c>
      <c r="B688" t="s">
        <v>19</v>
      </c>
      <c r="C688" t="s">
        <v>14</v>
      </c>
      <c r="D688" t="s">
        <v>12</v>
      </c>
      <c r="E688">
        <v>3</v>
      </c>
      <c r="F688" s="3">
        <v>1692</v>
      </c>
      <c r="G688" s="2">
        <v>348.81</v>
      </c>
      <c r="H688">
        <f>Master_ventas[[#This Row],[Profit]]/Master_ventas[[#This Row],[Sales]]</f>
        <v>0.20615248226950356</v>
      </c>
      <c r="I688">
        <f ca="1">Referencia_Hoy-Master_ventas[[#This Row],[Order Date]]</f>
        <v>1624</v>
      </c>
      <c r="J688" t="str">
        <f>UPPER(Master_ventas[[#This Row],[Product Name]])</f>
        <v>SMARTWATCH</v>
      </c>
      <c r="K688" t="str">
        <f>UPPER(Master_ventas[[#This Row],[Category]])</f>
        <v>ELECTRONICS</v>
      </c>
      <c r="L688">
        <f>YEAR(Master_ventas[[#This Row],[Order Date]])</f>
        <v>2022</v>
      </c>
      <c r="M688" t="str">
        <f>CONCATENATE(LEFT(Master_ventas[[#This Row],[ProdUpper]],3),RIGHT(Master_ventas[[#This Row],[Ext-Year]],2),"-",MID(Master_ventas[[#This Row],[Category]],1,1))</f>
        <v>SMA22-E</v>
      </c>
      <c r="N688" t="str">
        <f>MID(Master_ventas[[#This Row],[ProdUpper]],1,3)</f>
        <v>SMA</v>
      </c>
      <c r="O688" t="str">
        <f>UPPER(IF(Master_ventas[[#This Row],[Profit]]&gt;500,"High","Std"))</f>
        <v>STD</v>
      </c>
      <c r="P688">
        <v>687</v>
      </c>
    </row>
    <row r="689" spans="1:16" x14ac:dyDescent="0.3">
      <c r="A689" s="1">
        <v>44635</v>
      </c>
      <c r="B689" t="s">
        <v>17</v>
      </c>
      <c r="C689" t="s">
        <v>14</v>
      </c>
      <c r="D689" t="s">
        <v>9</v>
      </c>
      <c r="E689">
        <v>4</v>
      </c>
      <c r="F689" s="3">
        <v>1728</v>
      </c>
      <c r="G689" s="2">
        <v>403.06</v>
      </c>
      <c r="H689">
        <f>Master_ventas[[#This Row],[Profit]]/Master_ventas[[#This Row],[Sales]]</f>
        <v>0.23325231481481482</v>
      </c>
      <c r="I689">
        <f ca="1">Referencia_Hoy-Master_ventas[[#This Row],[Order Date]]</f>
        <v>1688</v>
      </c>
      <c r="J689" t="str">
        <f>UPPER(Master_ventas[[#This Row],[Product Name]])</f>
        <v>CAMERA</v>
      </c>
      <c r="K689" t="str">
        <f>UPPER(Master_ventas[[#This Row],[Category]])</f>
        <v>ELECTRONICS</v>
      </c>
      <c r="L689">
        <f>YEAR(Master_ventas[[#This Row],[Order Date]])</f>
        <v>2022</v>
      </c>
      <c r="M689" t="str">
        <f>CONCATENATE(LEFT(Master_ventas[[#This Row],[ProdUpper]],3),RIGHT(Master_ventas[[#This Row],[Ext-Year]],2),"-",MID(Master_ventas[[#This Row],[Category]],1,1))</f>
        <v>CAM22-E</v>
      </c>
      <c r="N689" t="str">
        <f>MID(Master_ventas[[#This Row],[ProdUpper]],1,3)</f>
        <v>CAM</v>
      </c>
      <c r="O689" t="str">
        <f>UPPER(IF(Master_ventas[[#This Row],[Profit]]&gt;500,"High","Std"))</f>
        <v>STD</v>
      </c>
      <c r="P689">
        <v>688</v>
      </c>
    </row>
    <row r="690" spans="1:16" x14ac:dyDescent="0.3">
      <c r="A690" s="1">
        <v>45212</v>
      </c>
      <c r="B690" t="s">
        <v>17</v>
      </c>
      <c r="C690" t="s">
        <v>14</v>
      </c>
      <c r="D690" t="s">
        <v>15</v>
      </c>
      <c r="E690">
        <v>4</v>
      </c>
      <c r="F690" s="3">
        <v>4484</v>
      </c>
      <c r="G690" s="2">
        <v>893.27</v>
      </c>
      <c r="H690">
        <f>Master_ventas[[#This Row],[Profit]]/Master_ventas[[#This Row],[Sales]]</f>
        <v>0.19921275646743977</v>
      </c>
      <c r="I690">
        <f ca="1">Referencia_Hoy-Master_ventas[[#This Row],[Order Date]]</f>
        <v>1111</v>
      </c>
      <c r="J690" t="str">
        <f>UPPER(Master_ventas[[#This Row],[Product Name]])</f>
        <v>CAMERA</v>
      </c>
      <c r="K690" t="str">
        <f>UPPER(Master_ventas[[#This Row],[Category]])</f>
        <v>ELECTRONICS</v>
      </c>
      <c r="L690">
        <f>YEAR(Master_ventas[[#This Row],[Order Date]])</f>
        <v>2023</v>
      </c>
      <c r="M690" t="str">
        <f>CONCATENATE(LEFT(Master_ventas[[#This Row],[ProdUpper]],3),RIGHT(Master_ventas[[#This Row],[Ext-Year]],2),"-",MID(Master_ventas[[#This Row],[Category]],1,1))</f>
        <v>CAM23-E</v>
      </c>
      <c r="N690" t="str">
        <f>MID(Master_ventas[[#This Row],[ProdUpper]],1,3)</f>
        <v>CAM</v>
      </c>
      <c r="O690" t="str">
        <f>UPPER(IF(Master_ventas[[#This Row],[Profit]]&gt;500,"High","Std"))</f>
        <v>HIGH</v>
      </c>
      <c r="P690">
        <v>689</v>
      </c>
    </row>
    <row r="691" spans="1:16" x14ac:dyDescent="0.3">
      <c r="A691" s="1">
        <v>45462</v>
      </c>
      <c r="B691" t="s">
        <v>21</v>
      </c>
      <c r="C691" t="s">
        <v>14</v>
      </c>
      <c r="D691" t="s">
        <v>12</v>
      </c>
      <c r="E691">
        <v>7</v>
      </c>
      <c r="F691" s="3">
        <v>4123</v>
      </c>
      <c r="G691" s="2">
        <v>750.05</v>
      </c>
      <c r="H691">
        <f>Master_ventas[[#This Row],[Profit]]/Master_ventas[[#This Row],[Sales]]</f>
        <v>0.18191850594227504</v>
      </c>
      <c r="I691">
        <f ca="1">Referencia_Hoy-Master_ventas[[#This Row],[Order Date]]</f>
        <v>861</v>
      </c>
      <c r="J691" t="str">
        <f>UPPER(Master_ventas[[#This Row],[Product Name]])</f>
        <v>SMARTPHONE</v>
      </c>
      <c r="K691" t="str">
        <f>UPPER(Master_ventas[[#This Row],[Category]])</f>
        <v>ELECTRONICS</v>
      </c>
      <c r="L691">
        <f>YEAR(Master_ventas[[#This Row],[Order Date]])</f>
        <v>2024</v>
      </c>
      <c r="M691" t="str">
        <f>CONCATENATE(LEFT(Master_ventas[[#This Row],[ProdUpper]],3),RIGHT(Master_ventas[[#This Row],[Ext-Year]],2),"-",MID(Master_ventas[[#This Row],[Category]],1,1))</f>
        <v>SMA24-E</v>
      </c>
      <c r="N691" t="str">
        <f>MID(Master_ventas[[#This Row],[ProdUpper]],1,3)</f>
        <v>SMA</v>
      </c>
      <c r="O691" t="str">
        <f>UPPER(IF(Master_ventas[[#This Row],[Profit]]&gt;500,"High","Std"))</f>
        <v>HIGH</v>
      </c>
      <c r="P691">
        <v>690</v>
      </c>
    </row>
    <row r="692" spans="1:16" x14ac:dyDescent="0.3">
      <c r="A692" s="1">
        <v>45599</v>
      </c>
      <c r="B692" t="s">
        <v>10</v>
      </c>
      <c r="C692" t="s">
        <v>11</v>
      </c>
      <c r="D692" t="s">
        <v>12</v>
      </c>
      <c r="E692">
        <v>2</v>
      </c>
      <c r="F692" s="3">
        <v>2372</v>
      </c>
      <c r="G692" s="2">
        <v>392.07</v>
      </c>
      <c r="H692">
        <f>Master_ventas[[#This Row],[Profit]]/Master_ventas[[#This Row],[Sales]]</f>
        <v>0.16529089376053963</v>
      </c>
      <c r="I692">
        <f ca="1">Referencia_Hoy-Master_ventas[[#This Row],[Order Date]]</f>
        <v>724</v>
      </c>
      <c r="J692" t="str">
        <f>UPPER(Master_ventas[[#This Row],[Product Name]])</f>
        <v>MOUSE</v>
      </c>
      <c r="K692" t="str">
        <f>UPPER(Master_ventas[[#This Row],[Category]])</f>
        <v>ACCESSORIES</v>
      </c>
      <c r="L692">
        <f>YEAR(Master_ventas[[#This Row],[Order Date]])</f>
        <v>2024</v>
      </c>
      <c r="M692" t="str">
        <f>CONCATENATE(LEFT(Master_ventas[[#This Row],[ProdUpper]],3),RIGHT(Master_ventas[[#This Row],[Ext-Year]],2),"-",MID(Master_ventas[[#This Row],[Category]],1,1))</f>
        <v>MOU24-A</v>
      </c>
      <c r="N692" t="str">
        <f>MID(Master_ventas[[#This Row],[ProdUpper]],1,3)</f>
        <v>MOU</v>
      </c>
      <c r="O692" t="str">
        <f>UPPER(IF(Master_ventas[[#This Row],[Profit]]&gt;500,"High","Std"))</f>
        <v>STD</v>
      </c>
      <c r="P692">
        <v>691</v>
      </c>
    </row>
    <row r="693" spans="1:16" x14ac:dyDescent="0.3">
      <c r="A693" s="1">
        <v>45032</v>
      </c>
      <c r="B693" t="s">
        <v>21</v>
      </c>
      <c r="C693" t="s">
        <v>14</v>
      </c>
      <c r="D693" t="s">
        <v>12</v>
      </c>
      <c r="E693">
        <v>7</v>
      </c>
      <c r="F693" s="3">
        <v>5201</v>
      </c>
      <c r="G693" s="2">
        <v>745.2</v>
      </c>
      <c r="H693">
        <f>Master_ventas[[#This Row],[Profit]]/Master_ventas[[#This Row],[Sales]]</f>
        <v>0.14328013843491638</v>
      </c>
      <c r="I693">
        <f ca="1">Referencia_Hoy-Master_ventas[[#This Row],[Order Date]]</f>
        <v>1291</v>
      </c>
      <c r="J693" t="str">
        <f>UPPER(Master_ventas[[#This Row],[Product Name]])</f>
        <v>SMARTPHONE</v>
      </c>
      <c r="K693" t="str">
        <f>UPPER(Master_ventas[[#This Row],[Category]])</f>
        <v>ELECTRONICS</v>
      </c>
      <c r="L693">
        <f>YEAR(Master_ventas[[#This Row],[Order Date]])</f>
        <v>2023</v>
      </c>
      <c r="M693" t="str">
        <f>CONCATENATE(LEFT(Master_ventas[[#This Row],[ProdUpper]],3),RIGHT(Master_ventas[[#This Row],[Ext-Year]],2),"-",MID(Master_ventas[[#This Row],[Category]],1,1))</f>
        <v>SMA23-E</v>
      </c>
      <c r="N693" t="str">
        <f>MID(Master_ventas[[#This Row],[ProdUpper]],1,3)</f>
        <v>SMA</v>
      </c>
      <c r="O693" t="str">
        <f>UPPER(IF(Master_ventas[[#This Row],[Profit]]&gt;500,"High","Std"))</f>
        <v>HIGH</v>
      </c>
      <c r="P693">
        <v>692</v>
      </c>
    </row>
    <row r="694" spans="1:16" x14ac:dyDescent="0.3">
      <c r="A694" s="1">
        <v>45562</v>
      </c>
      <c r="B694" t="s">
        <v>10</v>
      </c>
      <c r="C694" t="s">
        <v>11</v>
      </c>
      <c r="D694" t="s">
        <v>15</v>
      </c>
      <c r="E694">
        <v>5</v>
      </c>
      <c r="F694" s="3">
        <v>3100</v>
      </c>
      <c r="G694" s="2">
        <v>695.28</v>
      </c>
      <c r="H694">
        <f>Master_ventas[[#This Row],[Profit]]/Master_ventas[[#This Row],[Sales]]</f>
        <v>0.22428387096774194</v>
      </c>
      <c r="I694">
        <f ca="1">Referencia_Hoy-Master_ventas[[#This Row],[Order Date]]</f>
        <v>761</v>
      </c>
      <c r="J694" t="str">
        <f>UPPER(Master_ventas[[#This Row],[Product Name]])</f>
        <v>MOUSE</v>
      </c>
      <c r="K694" t="str">
        <f>UPPER(Master_ventas[[#This Row],[Category]])</f>
        <v>ACCESSORIES</v>
      </c>
      <c r="L694">
        <f>YEAR(Master_ventas[[#This Row],[Order Date]])</f>
        <v>2024</v>
      </c>
      <c r="M694" t="str">
        <f>CONCATENATE(LEFT(Master_ventas[[#This Row],[ProdUpper]],3),RIGHT(Master_ventas[[#This Row],[Ext-Year]],2),"-",MID(Master_ventas[[#This Row],[Category]],1,1))</f>
        <v>MOU24-A</v>
      </c>
      <c r="N694" t="str">
        <f>MID(Master_ventas[[#This Row],[ProdUpper]],1,3)</f>
        <v>MOU</v>
      </c>
      <c r="O694" t="str">
        <f>UPPER(IF(Master_ventas[[#This Row],[Profit]]&gt;500,"High","Std"))</f>
        <v>HIGH</v>
      </c>
      <c r="P694">
        <v>693</v>
      </c>
    </row>
    <row r="695" spans="1:16" x14ac:dyDescent="0.3">
      <c r="A695" s="1">
        <v>44754</v>
      </c>
      <c r="B695" t="s">
        <v>19</v>
      </c>
      <c r="C695" t="s">
        <v>14</v>
      </c>
      <c r="D695" t="s">
        <v>12</v>
      </c>
      <c r="E695">
        <v>6</v>
      </c>
      <c r="F695" s="3">
        <v>5292</v>
      </c>
      <c r="G695" s="2">
        <v>1105.95</v>
      </c>
      <c r="H695">
        <f>Master_ventas[[#This Row],[Profit]]/Master_ventas[[#This Row],[Sales]]</f>
        <v>0.20898526077097507</v>
      </c>
      <c r="I695">
        <f ca="1">Referencia_Hoy-Master_ventas[[#This Row],[Order Date]]</f>
        <v>1569</v>
      </c>
      <c r="J695" t="str">
        <f>UPPER(Master_ventas[[#This Row],[Product Name]])</f>
        <v>SMARTWATCH</v>
      </c>
      <c r="K695" t="str">
        <f>UPPER(Master_ventas[[#This Row],[Category]])</f>
        <v>ELECTRONICS</v>
      </c>
      <c r="L695">
        <f>YEAR(Master_ventas[[#This Row],[Order Date]])</f>
        <v>2022</v>
      </c>
      <c r="M695" t="str">
        <f>CONCATENATE(LEFT(Master_ventas[[#This Row],[ProdUpper]],3),RIGHT(Master_ventas[[#This Row],[Ext-Year]],2),"-",MID(Master_ventas[[#This Row],[Category]],1,1))</f>
        <v>SMA22-E</v>
      </c>
      <c r="N695" t="str">
        <f>MID(Master_ventas[[#This Row],[ProdUpper]],1,3)</f>
        <v>SMA</v>
      </c>
      <c r="O695" t="str">
        <f>UPPER(IF(Master_ventas[[#This Row],[Profit]]&gt;500,"High","Std"))</f>
        <v>HIGH</v>
      </c>
      <c r="P695">
        <v>694</v>
      </c>
    </row>
    <row r="696" spans="1:16" x14ac:dyDescent="0.3">
      <c r="A696" s="1">
        <v>44991</v>
      </c>
      <c r="B696" t="s">
        <v>13</v>
      </c>
      <c r="C696" t="s">
        <v>14</v>
      </c>
      <c r="D696" t="s">
        <v>15</v>
      </c>
      <c r="E696">
        <v>6</v>
      </c>
      <c r="F696" s="3">
        <v>5952</v>
      </c>
      <c r="G696" s="2">
        <v>971.53</v>
      </c>
      <c r="H696">
        <f>Master_ventas[[#This Row],[Profit]]/Master_ventas[[#This Row],[Sales]]</f>
        <v>0.16322748655913977</v>
      </c>
      <c r="I696">
        <f ca="1">Referencia_Hoy-Master_ventas[[#This Row],[Order Date]]</f>
        <v>1332</v>
      </c>
      <c r="J696" t="str">
        <f>UPPER(Master_ventas[[#This Row],[Product Name]])</f>
        <v>TABLET</v>
      </c>
      <c r="K696" t="str">
        <f>UPPER(Master_ventas[[#This Row],[Category]])</f>
        <v>ELECTRONICS</v>
      </c>
      <c r="L696">
        <f>YEAR(Master_ventas[[#This Row],[Order Date]])</f>
        <v>2023</v>
      </c>
      <c r="M696" t="str">
        <f>CONCATENATE(LEFT(Master_ventas[[#This Row],[ProdUpper]],3),RIGHT(Master_ventas[[#This Row],[Ext-Year]],2),"-",MID(Master_ventas[[#This Row],[Category]],1,1))</f>
        <v>TAB23-E</v>
      </c>
      <c r="N696" t="str">
        <f>MID(Master_ventas[[#This Row],[ProdUpper]],1,3)</f>
        <v>TAB</v>
      </c>
      <c r="O696" t="str">
        <f>UPPER(IF(Master_ventas[[#This Row],[Profit]]&gt;500,"High","Std"))</f>
        <v>HIGH</v>
      </c>
      <c r="P696">
        <v>695</v>
      </c>
    </row>
    <row r="697" spans="1:16" x14ac:dyDescent="0.3">
      <c r="A697" s="1">
        <v>44936</v>
      </c>
      <c r="B697" t="s">
        <v>21</v>
      </c>
      <c r="C697" t="s">
        <v>14</v>
      </c>
      <c r="D697" t="s">
        <v>12</v>
      </c>
      <c r="E697">
        <v>4</v>
      </c>
      <c r="F697" s="3">
        <v>1932</v>
      </c>
      <c r="G697" s="2">
        <v>472.91</v>
      </c>
      <c r="H697">
        <f>Master_ventas[[#This Row],[Profit]]/Master_ventas[[#This Row],[Sales]]</f>
        <v>0.24477743271221533</v>
      </c>
      <c r="I697">
        <f ca="1">Referencia_Hoy-Master_ventas[[#This Row],[Order Date]]</f>
        <v>1387</v>
      </c>
      <c r="J697" t="str">
        <f>UPPER(Master_ventas[[#This Row],[Product Name]])</f>
        <v>SMARTPHONE</v>
      </c>
      <c r="K697" t="str">
        <f>UPPER(Master_ventas[[#This Row],[Category]])</f>
        <v>ELECTRONICS</v>
      </c>
      <c r="L697">
        <f>YEAR(Master_ventas[[#This Row],[Order Date]])</f>
        <v>2023</v>
      </c>
      <c r="M697" t="str">
        <f>CONCATENATE(LEFT(Master_ventas[[#This Row],[ProdUpper]],3),RIGHT(Master_ventas[[#This Row],[Ext-Year]],2),"-",MID(Master_ventas[[#This Row],[Category]],1,1))</f>
        <v>SMA23-E</v>
      </c>
      <c r="N697" t="str">
        <f>MID(Master_ventas[[#This Row],[ProdUpper]],1,3)</f>
        <v>SMA</v>
      </c>
      <c r="O697" t="str">
        <f>UPPER(IF(Master_ventas[[#This Row],[Profit]]&gt;500,"High","Std"))</f>
        <v>STD</v>
      </c>
      <c r="P697">
        <v>696</v>
      </c>
    </row>
    <row r="698" spans="1:16" x14ac:dyDescent="0.3">
      <c r="A698" s="1">
        <v>45204</v>
      </c>
      <c r="B698" t="s">
        <v>13</v>
      </c>
      <c r="C698" t="s">
        <v>14</v>
      </c>
      <c r="D698" t="s">
        <v>16</v>
      </c>
      <c r="E698">
        <v>6</v>
      </c>
      <c r="F698" s="3">
        <v>3486</v>
      </c>
      <c r="G698" s="2">
        <v>1011.74</v>
      </c>
      <c r="H698">
        <f>Master_ventas[[#This Row],[Profit]]/Master_ventas[[#This Row],[Sales]]</f>
        <v>0.29022948938611587</v>
      </c>
      <c r="I698">
        <f ca="1">Referencia_Hoy-Master_ventas[[#This Row],[Order Date]]</f>
        <v>1119</v>
      </c>
      <c r="J698" t="str">
        <f>UPPER(Master_ventas[[#This Row],[Product Name]])</f>
        <v>TABLET</v>
      </c>
      <c r="K698" t="str">
        <f>UPPER(Master_ventas[[#This Row],[Category]])</f>
        <v>ELECTRONICS</v>
      </c>
      <c r="L698">
        <f>YEAR(Master_ventas[[#This Row],[Order Date]])</f>
        <v>2023</v>
      </c>
      <c r="M698" t="str">
        <f>CONCATENATE(LEFT(Master_ventas[[#This Row],[ProdUpper]],3),RIGHT(Master_ventas[[#This Row],[Ext-Year]],2),"-",MID(Master_ventas[[#This Row],[Category]],1,1))</f>
        <v>TAB23-E</v>
      </c>
      <c r="N698" t="str">
        <f>MID(Master_ventas[[#This Row],[ProdUpper]],1,3)</f>
        <v>TAB</v>
      </c>
      <c r="O698" t="str">
        <f>UPPER(IF(Master_ventas[[#This Row],[Profit]]&gt;500,"High","Std"))</f>
        <v>HIGH</v>
      </c>
      <c r="P698">
        <v>697</v>
      </c>
    </row>
    <row r="699" spans="1:16" x14ac:dyDescent="0.3">
      <c r="A699" s="1">
        <v>45437</v>
      </c>
      <c r="B699" t="s">
        <v>13</v>
      </c>
      <c r="C699" t="s">
        <v>14</v>
      </c>
      <c r="D699" t="s">
        <v>16</v>
      </c>
      <c r="E699">
        <v>2</v>
      </c>
      <c r="F699" s="3">
        <v>1708</v>
      </c>
      <c r="G699" s="2">
        <v>441.43</v>
      </c>
      <c r="H699">
        <f>Master_ventas[[#This Row],[Profit]]/Master_ventas[[#This Row],[Sales]]</f>
        <v>0.25844847775175644</v>
      </c>
      <c r="I699">
        <f ca="1">Referencia_Hoy-Master_ventas[[#This Row],[Order Date]]</f>
        <v>886</v>
      </c>
      <c r="J699" t="str">
        <f>UPPER(Master_ventas[[#This Row],[Product Name]])</f>
        <v>TABLET</v>
      </c>
      <c r="K699" t="str">
        <f>UPPER(Master_ventas[[#This Row],[Category]])</f>
        <v>ELECTRONICS</v>
      </c>
      <c r="L699">
        <f>YEAR(Master_ventas[[#This Row],[Order Date]])</f>
        <v>2024</v>
      </c>
      <c r="M699" t="str">
        <f>CONCATENATE(LEFT(Master_ventas[[#This Row],[ProdUpper]],3),RIGHT(Master_ventas[[#This Row],[Ext-Year]],2),"-",MID(Master_ventas[[#This Row],[Category]],1,1))</f>
        <v>TAB24-E</v>
      </c>
      <c r="N699" t="str">
        <f>MID(Master_ventas[[#This Row],[ProdUpper]],1,3)</f>
        <v>TAB</v>
      </c>
      <c r="O699" t="str">
        <f>UPPER(IF(Master_ventas[[#This Row],[Profit]]&gt;500,"High","Std"))</f>
        <v>STD</v>
      </c>
      <c r="P699">
        <v>698</v>
      </c>
    </row>
    <row r="700" spans="1:16" x14ac:dyDescent="0.3">
      <c r="A700" s="1">
        <v>45547</v>
      </c>
      <c r="B700" t="s">
        <v>20</v>
      </c>
      <c r="C700" t="s">
        <v>11</v>
      </c>
      <c r="D700" t="s">
        <v>15</v>
      </c>
      <c r="E700">
        <v>4</v>
      </c>
      <c r="F700" s="3">
        <v>4324</v>
      </c>
      <c r="G700" s="2">
        <v>288.12</v>
      </c>
      <c r="H700">
        <f>Master_ventas[[#This Row],[Profit]]/Master_ventas[[#This Row],[Sales]]</f>
        <v>6.663274745605921E-2</v>
      </c>
      <c r="I700">
        <f ca="1">Referencia_Hoy-Master_ventas[[#This Row],[Order Date]]</f>
        <v>776</v>
      </c>
      <c r="J700" t="str">
        <f>UPPER(Master_ventas[[#This Row],[Product Name]])</f>
        <v>MONITOR</v>
      </c>
      <c r="K700" t="str">
        <f>UPPER(Master_ventas[[#This Row],[Category]])</f>
        <v>ACCESSORIES</v>
      </c>
      <c r="L700">
        <f>YEAR(Master_ventas[[#This Row],[Order Date]])</f>
        <v>2024</v>
      </c>
      <c r="M700" t="str">
        <f>CONCATENATE(LEFT(Master_ventas[[#This Row],[ProdUpper]],3),RIGHT(Master_ventas[[#This Row],[Ext-Year]],2),"-",MID(Master_ventas[[#This Row],[Category]],1,1))</f>
        <v>MON24-A</v>
      </c>
      <c r="N700" t="str">
        <f>MID(Master_ventas[[#This Row],[ProdUpper]],1,3)</f>
        <v>MON</v>
      </c>
      <c r="O700" t="str">
        <f>UPPER(IF(Master_ventas[[#This Row],[Profit]]&gt;500,"High","Std"))</f>
        <v>STD</v>
      </c>
      <c r="P700">
        <v>699</v>
      </c>
    </row>
    <row r="701" spans="1:16" x14ac:dyDescent="0.3">
      <c r="A701" s="1">
        <v>45503</v>
      </c>
      <c r="B701" t="s">
        <v>23</v>
      </c>
      <c r="C701" t="s">
        <v>14</v>
      </c>
      <c r="D701" t="s">
        <v>15</v>
      </c>
      <c r="E701">
        <v>4</v>
      </c>
      <c r="F701" s="3">
        <v>2708</v>
      </c>
      <c r="G701" s="2">
        <v>302.14</v>
      </c>
      <c r="H701">
        <f>Master_ventas[[#This Row],[Profit]]/Master_ventas[[#This Row],[Sales]]</f>
        <v>0.11157311669128507</v>
      </c>
      <c r="I701">
        <f ca="1">Referencia_Hoy-Master_ventas[[#This Row],[Order Date]]</f>
        <v>820</v>
      </c>
      <c r="J701" t="str">
        <f>UPPER(Master_ventas[[#This Row],[Product Name]])</f>
        <v>LAPTOP</v>
      </c>
      <c r="K701" t="str">
        <f>UPPER(Master_ventas[[#This Row],[Category]])</f>
        <v>ELECTRONICS</v>
      </c>
      <c r="L701">
        <f>YEAR(Master_ventas[[#This Row],[Order Date]])</f>
        <v>2024</v>
      </c>
      <c r="M701" t="str">
        <f>CONCATENATE(LEFT(Master_ventas[[#This Row],[ProdUpper]],3),RIGHT(Master_ventas[[#This Row],[Ext-Year]],2),"-",MID(Master_ventas[[#This Row],[Category]],1,1))</f>
        <v>LAP24-E</v>
      </c>
      <c r="N701" t="str">
        <f>MID(Master_ventas[[#This Row],[ProdUpper]],1,3)</f>
        <v>LAP</v>
      </c>
      <c r="O701" t="str">
        <f>UPPER(IF(Master_ventas[[#This Row],[Profit]]&gt;500,"High","Std"))</f>
        <v>STD</v>
      </c>
      <c r="P701">
        <v>700</v>
      </c>
    </row>
    <row r="702" spans="1:16" x14ac:dyDescent="0.3">
      <c r="A702" s="1">
        <v>44649</v>
      </c>
      <c r="B702" t="s">
        <v>7</v>
      </c>
      <c r="C702" t="s">
        <v>8</v>
      </c>
      <c r="D702" t="s">
        <v>16</v>
      </c>
      <c r="E702">
        <v>8</v>
      </c>
      <c r="F702" s="3">
        <v>7944</v>
      </c>
      <c r="G702" s="2">
        <v>1142.83</v>
      </c>
      <c r="H702">
        <f>Master_ventas[[#This Row],[Profit]]/Master_ventas[[#This Row],[Sales]]</f>
        <v>0.14386077542799597</v>
      </c>
      <c r="I702">
        <f ca="1">Referencia_Hoy-Master_ventas[[#This Row],[Order Date]]</f>
        <v>1674</v>
      </c>
      <c r="J702" t="str">
        <f>UPPER(Master_ventas[[#This Row],[Product Name]])</f>
        <v>PRINTER</v>
      </c>
      <c r="K702" t="str">
        <f>UPPER(Master_ventas[[#This Row],[Category]])</f>
        <v>OFFICE</v>
      </c>
      <c r="L702">
        <f>YEAR(Master_ventas[[#This Row],[Order Date]])</f>
        <v>2022</v>
      </c>
      <c r="M702" t="str">
        <f>CONCATENATE(LEFT(Master_ventas[[#This Row],[ProdUpper]],3),RIGHT(Master_ventas[[#This Row],[Ext-Year]],2),"-",MID(Master_ventas[[#This Row],[Category]],1,1))</f>
        <v>PRI22-O</v>
      </c>
      <c r="N702" t="str">
        <f>MID(Master_ventas[[#This Row],[ProdUpper]],1,3)</f>
        <v>PRI</v>
      </c>
      <c r="O702" t="str">
        <f>UPPER(IF(Master_ventas[[#This Row],[Profit]]&gt;500,"High","Std"))</f>
        <v>HIGH</v>
      </c>
      <c r="P702">
        <v>701</v>
      </c>
    </row>
    <row r="703" spans="1:16" x14ac:dyDescent="0.3">
      <c r="A703" s="1">
        <v>45026</v>
      </c>
      <c r="B703" t="s">
        <v>17</v>
      </c>
      <c r="C703" t="s">
        <v>14</v>
      </c>
      <c r="D703" t="s">
        <v>12</v>
      </c>
      <c r="E703">
        <v>3</v>
      </c>
      <c r="F703" s="3">
        <v>684</v>
      </c>
      <c r="G703" s="2">
        <v>39.33</v>
      </c>
      <c r="H703">
        <f>Master_ventas[[#This Row],[Profit]]/Master_ventas[[#This Row],[Sales]]</f>
        <v>5.7499999999999996E-2</v>
      </c>
      <c r="I703">
        <f ca="1">Referencia_Hoy-Master_ventas[[#This Row],[Order Date]]</f>
        <v>1297</v>
      </c>
      <c r="J703" t="str">
        <f>UPPER(Master_ventas[[#This Row],[Product Name]])</f>
        <v>CAMERA</v>
      </c>
      <c r="K703" t="str">
        <f>UPPER(Master_ventas[[#This Row],[Category]])</f>
        <v>ELECTRONICS</v>
      </c>
      <c r="L703">
        <f>YEAR(Master_ventas[[#This Row],[Order Date]])</f>
        <v>2023</v>
      </c>
      <c r="M703" t="str">
        <f>CONCATENATE(LEFT(Master_ventas[[#This Row],[ProdUpper]],3),RIGHT(Master_ventas[[#This Row],[Ext-Year]],2),"-",MID(Master_ventas[[#This Row],[Category]],1,1))</f>
        <v>CAM23-E</v>
      </c>
      <c r="N703" t="str">
        <f>MID(Master_ventas[[#This Row],[ProdUpper]],1,3)</f>
        <v>CAM</v>
      </c>
      <c r="O703" t="str">
        <f>UPPER(IF(Master_ventas[[#This Row],[Profit]]&gt;500,"High","Std"))</f>
        <v>STD</v>
      </c>
      <c r="P703">
        <v>702</v>
      </c>
    </row>
    <row r="704" spans="1:16" x14ac:dyDescent="0.3">
      <c r="A704" s="1">
        <v>44927</v>
      </c>
      <c r="B704" t="s">
        <v>7</v>
      </c>
      <c r="C704" t="s">
        <v>8</v>
      </c>
      <c r="D704" t="s">
        <v>16</v>
      </c>
      <c r="E704">
        <v>9</v>
      </c>
      <c r="F704" s="3">
        <v>5904</v>
      </c>
      <c r="G704" s="2">
        <v>1440.45</v>
      </c>
      <c r="H704">
        <f>Master_ventas[[#This Row],[Profit]]/Master_ventas[[#This Row],[Sales]]</f>
        <v>0.24397865853658537</v>
      </c>
      <c r="I704">
        <f ca="1">Referencia_Hoy-Master_ventas[[#This Row],[Order Date]]</f>
        <v>1396</v>
      </c>
      <c r="J704" t="str">
        <f>UPPER(Master_ventas[[#This Row],[Product Name]])</f>
        <v>PRINTER</v>
      </c>
      <c r="K704" t="str">
        <f>UPPER(Master_ventas[[#This Row],[Category]])</f>
        <v>OFFICE</v>
      </c>
      <c r="L704">
        <f>YEAR(Master_ventas[[#This Row],[Order Date]])</f>
        <v>2023</v>
      </c>
      <c r="M704" t="str">
        <f>CONCATENATE(LEFT(Master_ventas[[#This Row],[ProdUpper]],3),RIGHT(Master_ventas[[#This Row],[Ext-Year]],2),"-",MID(Master_ventas[[#This Row],[Category]],1,1))</f>
        <v>PRI23-O</v>
      </c>
      <c r="N704" t="str">
        <f>MID(Master_ventas[[#This Row],[ProdUpper]],1,3)</f>
        <v>PRI</v>
      </c>
      <c r="O704" t="str">
        <f>UPPER(IF(Master_ventas[[#This Row],[Profit]]&gt;500,"High","Std"))</f>
        <v>HIGH</v>
      </c>
      <c r="P704">
        <v>703</v>
      </c>
    </row>
    <row r="705" spans="1:16" x14ac:dyDescent="0.3">
      <c r="A705" s="1">
        <v>45371</v>
      </c>
      <c r="B705" t="s">
        <v>7</v>
      </c>
      <c r="C705" t="s">
        <v>8</v>
      </c>
      <c r="D705" t="s">
        <v>15</v>
      </c>
      <c r="E705">
        <v>5</v>
      </c>
      <c r="F705" s="3">
        <v>4970</v>
      </c>
      <c r="G705" s="2">
        <v>1080.1199999999999</v>
      </c>
      <c r="H705">
        <f>Master_ventas[[#This Row],[Profit]]/Master_ventas[[#This Row],[Sales]]</f>
        <v>0.21732796780684102</v>
      </c>
      <c r="I705">
        <f ca="1">Referencia_Hoy-Master_ventas[[#This Row],[Order Date]]</f>
        <v>952</v>
      </c>
      <c r="J705" t="str">
        <f>UPPER(Master_ventas[[#This Row],[Product Name]])</f>
        <v>PRINTER</v>
      </c>
      <c r="K705" t="str">
        <f>UPPER(Master_ventas[[#This Row],[Category]])</f>
        <v>OFFICE</v>
      </c>
      <c r="L705">
        <f>YEAR(Master_ventas[[#This Row],[Order Date]])</f>
        <v>2024</v>
      </c>
      <c r="M705" t="str">
        <f>CONCATENATE(LEFT(Master_ventas[[#This Row],[ProdUpper]],3),RIGHT(Master_ventas[[#This Row],[Ext-Year]],2),"-",MID(Master_ventas[[#This Row],[Category]],1,1))</f>
        <v>PRI24-O</v>
      </c>
      <c r="N705" t="str">
        <f>MID(Master_ventas[[#This Row],[ProdUpper]],1,3)</f>
        <v>PRI</v>
      </c>
      <c r="O705" t="str">
        <f>UPPER(IF(Master_ventas[[#This Row],[Profit]]&gt;500,"High","Std"))</f>
        <v>HIGH</v>
      </c>
      <c r="P705">
        <v>704</v>
      </c>
    </row>
    <row r="706" spans="1:16" x14ac:dyDescent="0.3">
      <c r="A706" s="1">
        <v>45324</v>
      </c>
      <c r="B706" t="s">
        <v>18</v>
      </c>
      <c r="C706" t="s">
        <v>11</v>
      </c>
      <c r="D706" t="s">
        <v>16</v>
      </c>
      <c r="E706">
        <v>2</v>
      </c>
      <c r="F706" s="3">
        <v>2288</v>
      </c>
      <c r="G706" s="2">
        <v>234.97</v>
      </c>
      <c r="H706">
        <f>Master_ventas[[#This Row],[Profit]]/Master_ventas[[#This Row],[Sales]]</f>
        <v>0.10269667832167832</v>
      </c>
      <c r="I706">
        <f ca="1">Referencia_Hoy-Master_ventas[[#This Row],[Order Date]]</f>
        <v>999</v>
      </c>
      <c r="J706" t="str">
        <f>UPPER(Master_ventas[[#This Row],[Product Name]])</f>
        <v>HEADPHONES</v>
      </c>
      <c r="K706" t="str">
        <f>UPPER(Master_ventas[[#This Row],[Category]])</f>
        <v>ACCESSORIES</v>
      </c>
      <c r="L706">
        <f>YEAR(Master_ventas[[#This Row],[Order Date]])</f>
        <v>2024</v>
      </c>
      <c r="M706" t="str">
        <f>CONCATENATE(LEFT(Master_ventas[[#This Row],[ProdUpper]],3),RIGHT(Master_ventas[[#This Row],[Ext-Year]],2),"-",MID(Master_ventas[[#This Row],[Category]],1,1))</f>
        <v>HEA24-A</v>
      </c>
      <c r="N706" t="str">
        <f>MID(Master_ventas[[#This Row],[ProdUpper]],1,3)</f>
        <v>HEA</v>
      </c>
      <c r="O706" t="str">
        <f>UPPER(IF(Master_ventas[[#This Row],[Profit]]&gt;500,"High","Std"))</f>
        <v>STD</v>
      </c>
      <c r="P706">
        <v>705</v>
      </c>
    </row>
    <row r="707" spans="1:16" x14ac:dyDescent="0.3">
      <c r="A707" s="1">
        <v>45125</v>
      </c>
      <c r="B707" t="s">
        <v>21</v>
      </c>
      <c r="C707" t="s">
        <v>14</v>
      </c>
      <c r="D707" t="s">
        <v>12</v>
      </c>
      <c r="E707">
        <v>6</v>
      </c>
      <c r="F707" s="3">
        <v>4662</v>
      </c>
      <c r="G707" s="2">
        <v>350.79</v>
      </c>
      <c r="H707">
        <f>Master_ventas[[#This Row],[Profit]]/Master_ventas[[#This Row],[Sales]]</f>
        <v>7.5244530244530247E-2</v>
      </c>
      <c r="I707">
        <f ca="1">Referencia_Hoy-Master_ventas[[#This Row],[Order Date]]</f>
        <v>1198</v>
      </c>
      <c r="J707" t="str">
        <f>UPPER(Master_ventas[[#This Row],[Product Name]])</f>
        <v>SMARTPHONE</v>
      </c>
      <c r="K707" t="str">
        <f>UPPER(Master_ventas[[#This Row],[Category]])</f>
        <v>ELECTRONICS</v>
      </c>
      <c r="L707">
        <f>YEAR(Master_ventas[[#This Row],[Order Date]])</f>
        <v>2023</v>
      </c>
      <c r="M707" t="str">
        <f>CONCATENATE(LEFT(Master_ventas[[#This Row],[ProdUpper]],3),RIGHT(Master_ventas[[#This Row],[Ext-Year]],2),"-",MID(Master_ventas[[#This Row],[Category]],1,1))</f>
        <v>SMA23-E</v>
      </c>
      <c r="N707" t="str">
        <f>MID(Master_ventas[[#This Row],[ProdUpper]],1,3)</f>
        <v>SMA</v>
      </c>
      <c r="O707" t="str">
        <f>UPPER(IF(Master_ventas[[#This Row],[Profit]]&gt;500,"High","Std"))</f>
        <v>STD</v>
      </c>
      <c r="P707">
        <v>706</v>
      </c>
    </row>
    <row r="708" spans="1:16" x14ac:dyDescent="0.3">
      <c r="A708" s="1">
        <v>44617</v>
      </c>
      <c r="B708" t="s">
        <v>10</v>
      </c>
      <c r="C708" t="s">
        <v>11</v>
      </c>
      <c r="D708" t="s">
        <v>12</v>
      </c>
      <c r="E708">
        <v>4</v>
      </c>
      <c r="F708" s="3">
        <v>2532</v>
      </c>
      <c r="G708" s="2">
        <v>404.96</v>
      </c>
      <c r="H708">
        <f>Master_ventas[[#This Row],[Profit]]/Master_ventas[[#This Row],[Sales]]</f>
        <v>0.15993680884676145</v>
      </c>
      <c r="I708">
        <f ca="1">Referencia_Hoy-Master_ventas[[#This Row],[Order Date]]</f>
        <v>1706</v>
      </c>
      <c r="J708" t="str">
        <f>UPPER(Master_ventas[[#This Row],[Product Name]])</f>
        <v>MOUSE</v>
      </c>
      <c r="K708" t="str">
        <f>UPPER(Master_ventas[[#This Row],[Category]])</f>
        <v>ACCESSORIES</v>
      </c>
      <c r="L708">
        <f>YEAR(Master_ventas[[#This Row],[Order Date]])</f>
        <v>2022</v>
      </c>
      <c r="M708" t="str">
        <f>CONCATENATE(LEFT(Master_ventas[[#This Row],[ProdUpper]],3),RIGHT(Master_ventas[[#This Row],[Ext-Year]],2),"-",MID(Master_ventas[[#This Row],[Category]],1,1))</f>
        <v>MOU22-A</v>
      </c>
      <c r="N708" t="str">
        <f>MID(Master_ventas[[#This Row],[ProdUpper]],1,3)</f>
        <v>MOU</v>
      </c>
      <c r="O708" t="str">
        <f>UPPER(IF(Master_ventas[[#This Row],[Profit]]&gt;500,"High","Std"))</f>
        <v>STD</v>
      </c>
      <c r="P708">
        <v>707</v>
      </c>
    </row>
    <row r="709" spans="1:16" x14ac:dyDescent="0.3">
      <c r="A709" s="1">
        <v>45645</v>
      </c>
      <c r="B709" t="s">
        <v>13</v>
      </c>
      <c r="C709" t="s">
        <v>14</v>
      </c>
      <c r="D709" t="s">
        <v>15</v>
      </c>
      <c r="E709">
        <v>8</v>
      </c>
      <c r="F709" s="3">
        <v>9328</v>
      </c>
      <c r="G709" s="2">
        <v>1008.6</v>
      </c>
      <c r="H709">
        <f>Master_ventas[[#This Row],[Profit]]/Master_ventas[[#This Row],[Sales]]</f>
        <v>0.10812607204116638</v>
      </c>
      <c r="I709">
        <f ca="1">Referencia_Hoy-Master_ventas[[#This Row],[Order Date]]</f>
        <v>678</v>
      </c>
      <c r="J709" t="str">
        <f>UPPER(Master_ventas[[#This Row],[Product Name]])</f>
        <v>TABLET</v>
      </c>
      <c r="K709" t="str">
        <f>UPPER(Master_ventas[[#This Row],[Category]])</f>
        <v>ELECTRONICS</v>
      </c>
      <c r="L709">
        <f>YEAR(Master_ventas[[#This Row],[Order Date]])</f>
        <v>2024</v>
      </c>
      <c r="M709" t="str">
        <f>CONCATENATE(LEFT(Master_ventas[[#This Row],[ProdUpper]],3),RIGHT(Master_ventas[[#This Row],[Ext-Year]],2),"-",MID(Master_ventas[[#This Row],[Category]],1,1))</f>
        <v>TAB24-E</v>
      </c>
      <c r="N709" t="str">
        <f>MID(Master_ventas[[#This Row],[ProdUpper]],1,3)</f>
        <v>TAB</v>
      </c>
      <c r="O709" t="str">
        <f>UPPER(IF(Master_ventas[[#This Row],[Profit]]&gt;500,"High","Std"))</f>
        <v>HIGH</v>
      </c>
      <c r="P709">
        <v>708</v>
      </c>
    </row>
    <row r="710" spans="1:16" x14ac:dyDescent="0.3">
      <c r="A710" s="1">
        <v>44597</v>
      </c>
      <c r="B710" t="s">
        <v>7</v>
      </c>
      <c r="C710" t="s">
        <v>8</v>
      </c>
      <c r="D710" t="s">
        <v>9</v>
      </c>
      <c r="E710">
        <v>1</v>
      </c>
      <c r="F710" s="3">
        <v>686</v>
      </c>
      <c r="G710" s="2">
        <v>86.18</v>
      </c>
      <c r="H710">
        <f>Master_ventas[[#This Row],[Profit]]/Master_ventas[[#This Row],[Sales]]</f>
        <v>0.12562682215743443</v>
      </c>
      <c r="I710">
        <f ca="1">Referencia_Hoy-Master_ventas[[#This Row],[Order Date]]</f>
        <v>1726</v>
      </c>
      <c r="J710" t="str">
        <f>UPPER(Master_ventas[[#This Row],[Product Name]])</f>
        <v>PRINTER</v>
      </c>
      <c r="K710" t="str">
        <f>UPPER(Master_ventas[[#This Row],[Category]])</f>
        <v>OFFICE</v>
      </c>
      <c r="L710">
        <f>YEAR(Master_ventas[[#This Row],[Order Date]])</f>
        <v>2022</v>
      </c>
      <c r="M710" t="str">
        <f>CONCATENATE(LEFT(Master_ventas[[#This Row],[ProdUpper]],3),RIGHT(Master_ventas[[#This Row],[Ext-Year]],2),"-",MID(Master_ventas[[#This Row],[Category]],1,1))</f>
        <v>PRI22-O</v>
      </c>
      <c r="N710" t="str">
        <f>MID(Master_ventas[[#This Row],[ProdUpper]],1,3)</f>
        <v>PRI</v>
      </c>
      <c r="O710" t="str">
        <f>UPPER(IF(Master_ventas[[#This Row],[Profit]]&gt;500,"High","Std"))</f>
        <v>STD</v>
      </c>
      <c r="P710">
        <v>709</v>
      </c>
    </row>
    <row r="711" spans="1:16" x14ac:dyDescent="0.3">
      <c r="A711" s="1">
        <v>45351</v>
      </c>
      <c r="B711" t="s">
        <v>19</v>
      </c>
      <c r="C711" t="s">
        <v>14</v>
      </c>
      <c r="D711" t="s">
        <v>15</v>
      </c>
      <c r="E711">
        <v>6</v>
      </c>
      <c r="F711" s="3">
        <v>1290</v>
      </c>
      <c r="G711" s="2">
        <v>343.35</v>
      </c>
      <c r="H711">
        <f>Master_ventas[[#This Row],[Profit]]/Master_ventas[[#This Row],[Sales]]</f>
        <v>0.26616279069767446</v>
      </c>
      <c r="I711">
        <f ca="1">Referencia_Hoy-Master_ventas[[#This Row],[Order Date]]</f>
        <v>972</v>
      </c>
      <c r="J711" t="str">
        <f>UPPER(Master_ventas[[#This Row],[Product Name]])</f>
        <v>SMARTWATCH</v>
      </c>
      <c r="K711" t="str">
        <f>UPPER(Master_ventas[[#This Row],[Category]])</f>
        <v>ELECTRONICS</v>
      </c>
      <c r="L711">
        <f>YEAR(Master_ventas[[#This Row],[Order Date]])</f>
        <v>2024</v>
      </c>
      <c r="M711" t="str">
        <f>CONCATENATE(LEFT(Master_ventas[[#This Row],[ProdUpper]],3),RIGHT(Master_ventas[[#This Row],[Ext-Year]],2),"-",MID(Master_ventas[[#This Row],[Category]],1,1))</f>
        <v>SMA24-E</v>
      </c>
      <c r="N711" t="str">
        <f>MID(Master_ventas[[#This Row],[ProdUpper]],1,3)</f>
        <v>SMA</v>
      </c>
      <c r="O711" t="str">
        <f>UPPER(IF(Master_ventas[[#This Row],[Profit]]&gt;500,"High","Std"))</f>
        <v>STD</v>
      </c>
      <c r="P711">
        <v>710</v>
      </c>
    </row>
    <row r="712" spans="1:16" x14ac:dyDescent="0.3">
      <c r="A712" s="1">
        <v>44799</v>
      </c>
      <c r="B712" t="s">
        <v>7</v>
      </c>
      <c r="C712" t="s">
        <v>8</v>
      </c>
      <c r="D712" t="s">
        <v>16</v>
      </c>
      <c r="E712">
        <v>5</v>
      </c>
      <c r="F712" s="3">
        <v>1205</v>
      </c>
      <c r="G712" s="2">
        <v>235.19</v>
      </c>
      <c r="H712">
        <f>Master_ventas[[#This Row],[Profit]]/Master_ventas[[#This Row],[Sales]]</f>
        <v>0.19517842323651452</v>
      </c>
      <c r="I712">
        <f ca="1">Referencia_Hoy-Master_ventas[[#This Row],[Order Date]]</f>
        <v>1524</v>
      </c>
      <c r="J712" t="str">
        <f>UPPER(Master_ventas[[#This Row],[Product Name]])</f>
        <v>PRINTER</v>
      </c>
      <c r="K712" t="str">
        <f>UPPER(Master_ventas[[#This Row],[Category]])</f>
        <v>OFFICE</v>
      </c>
      <c r="L712">
        <f>YEAR(Master_ventas[[#This Row],[Order Date]])</f>
        <v>2022</v>
      </c>
      <c r="M712" t="str">
        <f>CONCATENATE(LEFT(Master_ventas[[#This Row],[ProdUpper]],3),RIGHT(Master_ventas[[#This Row],[Ext-Year]],2),"-",MID(Master_ventas[[#This Row],[Category]],1,1))</f>
        <v>PRI22-O</v>
      </c>
      <c r="N712" t="str">
        <f>MID(Master_ventas[[#This Row],[ProdUpper]],1,3)</f>
        <v>PRI</v>
      </c>
      <c r="O712" t="str">
        <f>UPPER(IF(Master_ventas[[#This Row],[Profit]]&gt;500,"High","Std"))</f>
        <v>STD</v>
      </c>
      <c r="P712">
        <v>711</v>
      </c>
    </row>
    <row r="713" spans="1:16" x14ac:dyDescent="0.3">
      <c r="A713" s="1">
        <v>45552</v>
      </c>
      <c r="B713" t="s">
        <v>18</v>
      </c>
      <c r="C713" t="s">
        <v>11</v>
      </c>
      <c r="D713" t="s">
        <v>15</v>
      </c>
      <c r="E713">
        <v>7</v>
      </c>
      <c r="F713" s="3">
        <v>7966</v>
      </c>
      <c r="G713" s="2">
        <v>1313.56</v>
      </c>
      <c r="H713">
        <f>Master_ventas[[#This Row],[Profit]]/Master_ventas[[#This Row],[Sales]]</f>
        <v>0.16489580718051719</v>
      </c>
      <c r="I713">
        <f ca="1">Referencia_Hoy-Master_ventas[[#This Row],[Order Date]]</f>
        <v>771</v>
      </c>
      <c r="J713" t="str">
        <f>UPPER(Master_ventas[[#This Row],[Product Name]])</f>
        <v>HEADPHONES</v>
      </c>
      <c r="K713" t="str">
        <f>UPPER(Master_ventas[[#This Row],[Category]])</f>
        <v>ACCESSORIES</v>
      </c>
      <c r="L713">
        <f>YEAR(Master_ventas[[#This Row],[Order Date]])</f>
        <v>2024</v>
      </c>
      <c r="M713" t="str">
        <f>CONCATENATE(LEFT(Master_ventas[[#This Row],[ProdUpper]],3),RIGHT(Master_ventas[[#This Row],[Ext-Year]],2),"-",MID(Master_ventas[[#This Row],[Category]],1,1))</f>
        <v>HEA24-A</v>
      </c>
      <c r="N713" t="str">
        <f>MID(Master_ventas[[#This Row],[ProdUpper]],1,3)</f>
        <v>HEA</v>
      </c>
      <c r="O713" t="str">
        <f>UPPER(IF(Master_ventas[[#This Row],[Profit]]&gt;500,"High","Std"))</f>
        <v>HIGH</v>
      </c>
      <c r="P713">
        <v>712</v>
      </c>
    </row>
    <row r="714" spans="1:16" x14ac:dyDescent="0.3">
      <c r="A714" s="1">
        <v>44787</v>
      </c>
      <c r="B714" t="s">
        <v>17</v>
      </c>
      <c r="C714" t="s">
        <v>14</v>
      </c>
      <c r="D714" t="s">
        <v>9</v>
      </c>
      <c r="E714">
        <v>7</v>
      </c>
      <c r="F714" s="3">
        <v>1085</v>
      </c>
      <c r="G714" s="2">
        <v>130.72</v>
      </c>
      <c r="H714">
        <f>Master_ventas[[#This Row],[Profit]]/Master_ventas[[#This Row],[Sales]]</f>
        <v>0.12047926267281106</v>
      </c>
      <c r="I714">
        <f ca="1">Referencia_Hoy-Master_ventas[[#This Row],[Order Date]]</f>
        <v>1536</v>
      </c>
      <c r="J714" t="str">
        <f>UPPER(Master_ventas[[#This Row],[Product Name]])</f>
        <v>CAMERA</v>
      </c>
      <c r="K714" t="str">
        <f>UPPER(Master_ventas[[#This Row],[Category]])</f>
        <v>ELECTRONICS</v>
      </c>
      <c r="L714">
        <f>YEAR(Master_ventas[[#This Row],[Order Date]])</f>
        <v>2022</v>
      </c>
      <c r="M714" t="str">
        <f>CONCATENATE(LEFT(Master_ventas[[#This Row],[ProdUpper]],3),RIGHT(Master_ventas[[#This Row],[Ext-Year]],2),"-",MID(Master_ventas[[#This Row],[Category]],1,1))</f>
        <v>CAM22-E</v>
      </c>
      <c r="N714" t="str">
        <f>MID(Master_ventas[[#This Row],[ProdUpper]],1,3)</f>
        <v>CAM</v>
      </c>
      <c r="O714" t="str">
        <f>UPPER(IF(Master_ventas[[#This Row],[Profit]]&gt;500,"High","Std"))</f>
        <v>STD</v>
      </c>
      <c r="P714">
        <v>713</v>
      </c>
    </row>
    <row r="715" spans="1:16" x14ac:dyDescent="0.3">
      <c r="A715" s="1">
        <v>45533</v>
      </c>
      <c r="B715" t="s">
        <v>20</v>
      </c>
      <c r="C715" t="s">
        <v>11</v>
      </c>
      <c r="D715" t="s">
        <v>16</v>
      </c>
      <c r="E715">
        <v>9</v>
      </c>
      <c r="F715" s="3">
        <v>6633</v>
      </c>
      <c r="G715" s="2">
        <v>1239.1099999999999</v>
      </c>
      <c r="H715">
        <f>Master_ventas[[#This Row],[Profit]]/Master_ventas[[#This Row],[Sales]]</f>
        <v>0.18680988994421829</v>
      </c>
      <c r="I715">
        <f ca="1">Referencia_Hoy-Master_ventas[[#This Row],[Order Date]]</f>
        <v>790</v>
      </c>
      <c r="J715" t="str">
        <f>UPPER(Master_ventas[[#This Row],[Product Name]])</f>
        <v>MONITOR</v>
      </c>
      <c r="K715" t="str">
        <f>UPPER(Master_ventas[[#This Row],[Category]])</f>
        <v>ACCESSORIES</v>
      </c>
      <c r="L715">
        <f>YEAR(Master_ventas[[#This Row],[Order Date]])</f>
        <v>2024</v>
      </c>
      <c r="M715" t="str">
        <f>CONCATENATE(LEFT(Master_ventas[[#This Row],[ProdUpper]],3),RIGHT(Master_ventas[[#This Row],[Ext-Year]],2),"-",MID(Master_ventas[[#This Row],[Category]],1,1))</f>
        <v>MON24-A</v>
      </c>
      <c r="N715" t="str">
        <f>MID(Master_ventas[[#This Row],[ProdUpper]],1,3)</f>
        <v>MON</v>
      </c>
      <c r="O715" t="str">
        <f>UPPER(IF(Master_ventas[[#This Row],[Profit]]&gt;500,"High","Std"))</f>
        <v>HIGH</v>
      </c>
      <c r="P715">
        <v>714</v>
      </c>
    </row>
    <row r="716" spans="1:16" x14ac:dyDescent="0.3">
      <c r="A716" s="1">
        <v>45617</v>
      </c>
      <c r="B716" t="s">
        <v>23</v>
      </c>
      <c r="C716" t="s">
        <v>14</v>
      </c>
      <c r="D716" t="s">
        <v>9</v>
      </c>
      <c r="E716">
        <v>7</v>
      </c>
      <c r="F716" s="3">
        <v>5096</v>
      </c>
      <c r="G716" s="2">
        <v>971.5</v>
      </c>
      <c r="H716">
        <f>Master_ventas[[#This Row],[Profit]]/Master_ventas[[#This Row],[Sales]]</f>
        <v>0.1906397174254317</v>
      </c>
      <c r="I716">
        <f ca="1">Referencia_Hoy-Master_ventas[[#This Row],[Order Date]]</f>
        <v>706</v>
      </c>
      <c r="J716" t="str">
        <f>UPPER(Master_ventas[[#This Row],[Product Name]])</f>
        <v>LAPTOP</v>
      </c>
      <c r="K716" t="str">
        <f>UPPER(Master_ventas[[#This Row],[Category]])</f>
        <v>ELECTRONICS</v>
      </c>
      <c r="L716">
        <f>YEAR(Master_ventas[[#This Row],[Order Date]])</f>
        <v>2024</v>
      </c>
      <c r="M716" t="str">
        <f>CONCATENATE(LEFT(Master_ventas[[#This Row],[ProdUpper]],3),RIGHT(Master_ventas[[#This Row],[Ext-Year]],2),"-",MID(Master_ventas[[#This Row],[Category]],1,1))</f>
        <v>LAP24-E</v>
      </c>
      <c r="N716" t="str">
        <f>MID(Master_ventas[[#This Row],[ProdUpper]],1,3)</f>
        <v>LAP</v>
      </c>
      <c r="O716" t="str">
        <f>UPPER(IF(Master_ventas[[#This Row],[Profit]]&gt;500,"High","Std"))</f>
        <v>HIGH</v>
      </c>
      <c r="P716">
        <v>715</v>
      </c>
    </row>
    <row r="717" spans="1:16" x14ac:dyDescent="0.3">
      <c r="A717" s="1">
        <v>44762</v>
      </c>
      <c r="B717" t="s">
        <v>13</v>
      </c>
      <c r="C717" t="s">
        <v>14</v>
      </c>
      <c r="D717" t="s">
        <v>12</v>
      </c>
      <c r="E717">
        <v>4</v>
      </c>
      <c r="F717" s="3">
        <v>4120</v>
      </c>
      <c r="G717" s="2">
        <v>710.07</v>
      </c>
      <c r="H717">
        <f>Master_ventas[[#This Row],[Profit]]/Master_ventas[[#This Row],[Sales]]</f>
        <v>0.1723470873786408</v>
      </c>
      <c r="I717">
        <f ca="1">Referencia_Hoy-Master_ventas[[#This Row],[Order Date]]</f>
        <v>1561</v>
      </c>
      <c r="J717" t="str">
        <f>UPPER(Master_ventas[[#This Row],[Product Name]])</f>
        <v>TABLET</v>
      </c>
      <c r="K717" t="str">
        <f>UPPER(Master_ventas[[#This Row],[Category]])</f>
        <v>ELECTRONICS</v>
      </c>
      <c r="L717">
        <f>YEAR(Master_ventas[[#This Row],[Order Date]])</f>
        <v>2022</v>
      </c>
      <c r="M717" t="str">
        <f>CONCATENATE(LEFT(Master_ventas[[#This Row],[ProdUpper]],3),RIGHT(Master_ventas[[#This Row],[Ext-Year]],2),"-",MID(Master_ventas[[#This Row],[Category]],1,1))</f>
        <v>TAB22-E</v>
      </c>
      <c r="N717" t="str">
        <f>MID(Master_ventas[[#This Row],[ProdUpper]],1,3)</f>
        <v>TAB</v>
      </c>
      <c r="O717" t="str">
        <f>UPPER(IF(Master_ventas[[#This Row],[Profit]]&gt;500,"High","Std"))</f>
        <v>HIGH</v>
      </c>
      <c r="P717">
        <v>716</v>
      </c>
    </row>
    <row r="718" spans="1:16" x14ac:dyDescent="0.3">
      <c r="A718" s="1">
        <v>44788</v>
      </c>
      <c r="B718" t="s">
        <v>20</v>
      </c>
      <c r="C718" t="s">
        <v>11</v>
      </c>
      <c r="D718" t="s">
        <v>16</v>
      </c>
      <c r="E718">
        <v>3</v>
      </c>
      <c r="F718" s="3">
        <v>1479</v>
      </c>
      <c r="G718" s="2">
        <v>207.58</v>
      </c>
      <c r="H718">
        <f>Master_ventas[[#This Row],[Profit]]/Master_ventas[[#This Row],[Sales]]</f>
        <v>0.14035158891142666</v>
      </c>
      <c r="I718">
        <f ca="1">Referencia_Hoy-Master_ventas[[#This Row],[Order Date]]</f>
        <v>1535</v>
      </c>
      <c r="J718" t="str">
        <f>UPPER(Master_ventas[[#This Row],[Product Name]])</f>
        <v>MONITOR</v>
      </c>
      <c r="K718" t="str">
        <f>UPPER(Master_ventas[[#This Row],[Category]])</f>
        <v>ACCESSORIES</v>
      </c>
      <c r="L718">
        <f>YEAR(Master_ventas[[#This Row],[Order Date]])</f>
        <v>2022</v>
      </c>
      <c r="M718" t="str">
        <f>CONCATENATE(LEFT(Master_ventas[[#This Row],[ProdUpper]],3),RIGHT(Master_ventas[[#This Row],[Ext-Year]],2),"-",MID(Master_ventas[[#This Row],[Category]],1,1))</f>
        <v>MON22-A</v>
      </c>
      <c r="N718" t="str">
        <f>MID(Master_ventas[[#This Row],[ProdUpper]],1,3)</f>
        <v>MON</v>
      </c>
      <c r="O718" t="str">
        <f>UPPER(IF(Master_ventas[[#This Row],[Profit]]&gt;500,"High","Std"))</f>
        <v>STD</v>
      </c>
      <c r="P718">
        <v>717</v>
      </c>
    </row>
    <row r="719" spans="1:16" x14ac:dyDescent="0.3">
      <c r="A719" s="1">
        <v>45391</v>
      </c>
      <c r="B719" t="s">
        <v>21</v>
      </c>
      <c r="C719" t="s">
        <v>14</v>
      </c>
      <c r="D719" t="s">
        <v>16</v>
      </c>
      <c r="E719">
        <v>7</v>
      </c>
      <c r="F719" s="3">
        <v>1652</v>
      </c>
      <c r="G719" s="2">
        <v>397.49</v>
      </c>
      <c r="H719">
        <f>Master_ventas[[#This Row],[Profit]]/Master_ventas[[#This Row],[Sales]]</f>
        <v>0.24061138014527847</v>
      </c>
      <c r="I719">
        <f ca="1">Referencia_Hoy-Master_ventas[[#This Row],[Order Date]]</f>
        <v>932</v>
      </c>
      <c r="J719" t="str">
        <f>UPPER(Master_ventas[[#This Row],[Product Name]])</f>
        <v>SMARTPHONE</v>
      </c>
      <c r="K719" t="str">
        <f>UPPER(Master_ventas[[#This Row],[Category]])</f>
        <v>ELECTRONICS</v>
      </c>
      <c r="L719">
        <f>YEAR(Master_ventas[[#This Row],[Order Date]])</f>
        <v>2024</v>
      </c>
      <c r="M719" t="str">
        <f>CONCATENATE(LEFT(Master_ventas[[#This Row],[ProdUpper]],3),RIGHT(Master_ventas[[#This Row],[Ext-Year]],2),"-",MID(Master_ventas[[#This Row],[Category]],1,1))</f>
        <v>SMA24-E</v>
      </c>
      <c r="N719" t="str">
        <f>MID(Master_ventas[[#This Row],[ProdUpper]],1,3)</f>
        <v>SMA</v>
      </c>
      <c r="O719" t="str">
        <f>UPPER(IF(Master_ventas[[#This Row],[Profit]]&gt;500,"High","Std"))</f>
        <v>STD</v>
      </c>
      <c r="P719">
        <v>718</v>
      </c>
    </row>
    <row r="720" spans="1:16" x14ac:dyDescent="0.3">
      <c r="A720" s="1">
        <v>44749</v>
      </c>
      <c r="B720" t="s">
        <v>23</v>
      </c>
      <c r="C720" t="s">
        <v>14</v>
      </c>
      <c r="D720" t="s">
        <v>15</v>
      </c>
      <c r="E720">
        <v>1</v>
      </c>
      <c r="F720" s="3">
        <v>1028</v>
      </c>
      <c r="G720" s="2">
        <v>240.61</v>
      </c>
      <c r="H720">
        <f>Master_ventas[[#This Row],[Profit]]/Master_ventas[[#This Row],[Sales]]</f>
        <v>0.23405642023346304</v>
      </c>
      <c r="I720">
        <f ca="1">Referencia_Hoy-Master_ventas[[#This Row],[Order Date]]</f>
        <v>1574</v>
      </c>
      <c r="J720" t="str">
        <f>UPPER(Master_ventas[[#This Row],[Product Name]])</f>
        <v>LAPTOP</v>
      </c>
      <c r="K720" t="str">
        <f>UPPER(Master_ventas[[#This Row],[Category]])</f>
        <v>ELECTRONICS</v>
      </c>
      <c r="L720">
        <f>YEAR(Master_ventas[[#This Row],[Order Date]])</f>
        <v>2022</v>
      </c>
      <c r="M720" t="str">
        <f>CONCATENATE(LEFT(Master_ventas[[#This Row],[ProdUpper]],3),RIGHT(Master_ventas[[#This Row],[Ext-Year]],2),"-",MID(Master_ventas[[#This Row],[Category]],1,1))</f>
        <v>LAP22-E</v>
      </c>
      <c r="N720" t="str">
        <f>MID(Master_ventas[[#This Row],[ProdUpper]],1,3)</f>
        <v>LAP</v>
      </c>
      <c r="O720" t="str">
        <f>UPPER(IF(Master_ventas[[#This Row],[Profit]]&gt;500,"High","Std"))</f>
        <v>STD</v>
      </c>
      <c r="P720">
        <v>719</v>
      </c>
    </row>
    <row r="721" spans="1:16" x14ac:dyDescent="0.3">
      <c r="A721" s="1">
        <v>45047</v>
      </c>
      <c r="B721" t="s">
        <v>20</v>
      </c>
      <c r="C721" t="s">
        <v>11</v>
      </c>
      <c r="D721" t="s">
        <v>12</v>
      </c>
      <c r="E721">
        <v>4</v>
      </c>
      <c r="F721" s="3">
        <v>4580</v>
      </c>
      <c r="G721" s="2">
        <v>655.14</v>
      </c>
      <c r="H721">
        <f>Master_ventas[[#This Row],[Profit]]/Master_ventas[[#This Row],[Sales]]</f>
        <v>0.14304366812227073</v>
      </c>
      <c r="I721">
        <f ca="1">Referencia_Hoy-Master_ventas[[#This Row],[Order Date]]</f>
        <v>1276</v>
      </c>
      <c r="J721" t="str">
        <f>UPPER(Master_ventas[[#This Row],[Product Name]])</f>
        <v>MONITOR</v>
      </c>
      <c r="K721" t="str">
        <f>UPPER(Master_ventas[[#This Row],[Category]])</f>
        <v>ACCESSORIES</v>
      </c>
      <c r="L721">
        <f>YEAR(Master_ventas[[#This Row],[Order Date]])</f>
        <v>2023</v>
      </c>
      <c r="M721" t="str">
        <f>CONCATENATE(LEFT(Master_ventas[[#This Row],[ProdUpper]],3),RIGHT(Master_ventas[[#This Row],[Ext-Year]],2),"-",MID(Master_ventas[[#This Row],[Category]],1,1))</f>
        <v>MON23-A</v>
      </c>
      <c r="N721" t="str">
        <f>MID(Master_ventas[[#This Row],[ProdUpper]],1,3)</f>
        <v>MON</v>
      </c>
      <c r="O721" t="str">
        <f>UPPER(IF(Master_ventas[[#This Row],[Profit]]&gt;500,"High","Std"))</f>
        <v>HIGH</v>
      </c>
      <c r="P721">
        <v>720</v>
      </c>
    </row>
    <row r="722" spans="1:16" x14ac:dyDescent="0.3">
      <c r="A722" s="1">
        <v>45319</v>
      </c>
      <c r="B722" t="s">
        <v>20</v>
      </c>
      <c r="C722" t="s">
        <v>11</v>
      </c>
      <c r="D722" t="s">
        <v>15</v>
      </c>
      <c r="E722">
        <v>8</v>
      </c>
      <c r="F722" s="3">
        <v>2152</v>
      </c>
      <c r="G722" s="2">
        <v>196.53</v>
      </c>
      <c r="H722">
        <f>Master_ventas[[#This Row],[Profit]]/Master_ventas[[#This Row],[Sales]]</f>
        <v>9.1324349442379188E-2</v>
      </c>
      <c r="I722">
        <f ca="1">Referencia_Hoy-Master_ventas[[#This Row],[Order Date]]</f>
        <v>1004</v>
      </c>
      <c r="J722" t="str">
        <f>UPPER(Master_ventas[[#This Row],[Product Name]])</f>
        <v>MONITOR</v>
      </c>
      <c r="K722" t="str">
        <f>UPPER(Master_ventas[[#This Row],[Category]])</f>
        <v>ACCESSORIES</v>
      </c>
      <c r="L722">
        <f>YEAR(Master_ventas[[#This Row],[Order Date]])</f>
        <v>2024</v>
      </c>
      <c r="M722" t="str">
        <f>CONCATENATE(LEFT(Master_ventas[[#This Row],[ProdUpper]],3),RIGHT(Master_ventas[[#This Row],[Ext-Year]],2),"-",MID(Master_ventas[[#This Row],[Category]],1,1))</f>
        <v>MON24-A</v>
      </c>
      <c r="N722" t="str">
        <f>MID(Master_ventas[[#This Row],[ProdUpper]],1,3)</f>
        <v>MON</v>
      </c>
      <c r="O722" t="str">
        <f>UPPER(IF(Master_ventas[[#This Row],[Profit]]&gt;500,"High","Std"))</f>
        <v>STD</v>
      </c>
      <c r="P722">
        <v>721</v>
      </c>
    </row>
    <row r="723" spans="1:16" x14ac:dyDescent="0.3">
      <c r="A723" s="1">
        <v>44746</v>
      </c>
      <c r="B723" t="s">
        <v>20</v>
      </c>
      <c r="C723" t="s">
        <v>11</v>
      </c>
      <c r="D723" t="s">
        <v>15</v>
      </c>
      <c r="E723">
        <v>6</v>
      </c>
      <c r="F723" s="3">
        <v>4566</v>
      </c>
      <c r="G723" s="2">
        <v>866.13</v>
      </c>
      <c r="H723">
        <f>Master_ventas[[#This Row],[Profit]]/Master_ventas[[#This Row],[Sales]]</f>
        <v>0.18969119579500657</v>
      </c>
      <c r="I723">
        <f ca="1">Referencia_Hoy-Master_ventas[[#This Row],[Order Date]]</f>
        <v>1577</v>
      </c>
      <c r="J723" t="str">
        <f>UPPER(Master_ventas[[#This Row],[Product Name]])</f>
        <v>MONITOR</v>
      </c>
      <c r="K723" t="str">
        <f>UPPER(Master_ventas[[#This Row],[Category]])</f>
        <v>ACCESSORIES</v>
      </c>
      <c r="L723">
        <f>YEAR(Master_ventas[[#This Row],[Order Date]])</f>
        <v>2022</v>
      </c>
      <c r="M723" t="str">
        <f>CONCATENATE(LEFT(Master_ventas[[#This Row],[ProdUpper]],3),RIGHT(Master_ventas[[#This Row],[Ext-Year]],2),"-",MID(Master_ventas[[#This Row],[Category]],1,1))</f>
        <v>MON22-A</v>
      </c>
      <c r="N723" t="str">
        <f>MID(Master_ventas[[#This Row],[ProdUpper]],1,3)</f>
        <v>MON</v>
      </c>
      <c r="O723" t="str">
        <f>UPPER(IF(Master_ventas[[#This Row],[Profit]]&gt;500,"High","Std"))</f>
        <v>HIGH</v>
      </c>
      <c r="P723">
        <v>722</v>
      </c>
    </row>
    <row r="724" spans="1:16" x14ac:dyDescent="0.3">
      <c r="A724" s="1">
        <v>45388</v>
      </c>
      <c r="B724" t="s">
        <v>18</v>
      </c>
      <c r="C724" t="s">
        <v>11</v>
      </c>
      <c r="D724" t="s">
        <v>12</v>
      </c>
      <c r="E724">
        <v>3</v>
      </c>
      <c r="F724" s="3">
        <v>2244</v>
      </c>
      <c r="G724" s="2">
        <v>301.52999999999997</v>
      </c>
      <c r="H724">
        <f>Master_ventas[[#This Row],[Profit]]/Master_ventas[[#This Row],[Sales]]</f>
        <v>0.13437165775401069</v>
      </c>
      <c r="I724">
        <f ca="1">Referencia_Hoy-Master_ventas[[#This Row],[Order Date]]</f>
        <v>935</v>
      </c>
      <c r="J724" t="str">
        <f>UPPER(Master_ventas[[#This Row],[Product Name]])</f>
        <v>HEADPHONES</v>
      </c>
      <c r="K724" t="str">
        <f>UPPER(Master_ventas[[#This Row],[Category]])</f>
        <v>ACCESSORIES</v>
      </c>
      <c r="L724">
        <f>YEAR(Master_ventas[[#This Row],[Order Date]])</f>
        <v>2024</v>
      </c>
      <c r="M724" t="str">
        <f>CONCATENATE(LEFT(Master_ventas[[#This Row],[ProdUpper]],3),RIGHT(Master_ventas[[#This Row],[Ext-Year]],2),"-",MID(Master_ventas[[#This Row],[Category]],1,1))</f>
        <v>HEA24-A</v>
      </c>
      <c r="N724" t="str">
        <f>MID(Master_ventas[[#This Row],[ProdUpper]],1,3)</f>
        <v>HEA</v>
      </c>
      <c r="O724" t="str">
        <f>UPPER(IF(Master_ventas[[#This Row],[Profit]]&gt;500,"High","Std"))</f>
        <v>STD</v>
      </c>
      <c r="P724">
        <v>723</v>
      </c>
    </row>
    <row r="725" spans="1:16" x14ac:dyDescent="0.3">
      <c r="A725" s="1">
        <v>45323</v>
      </c>
      <c r="B725" t="s">
        <v>10</v>
      </c>
      <c r="C725" t="s">
        <v>11</v>
      </c>
      <c r="D725" t="s">
        <v>16</v>
      </c>
      <c r="E725">
        <v>4</v>
      </c>
      <c r="F725" s="3">
        <v>1344</v>
      </c>
      <c r="G725" s="2">
        <v>140.52000000000001</v>
      </c>
      <c r="H725">
        <f>Master_ventas[[#This Row],[Profit]]/Master_ventas[[#This Row],[Sales]]</f>
        <v>0.10455357142857144</v>
      </c>
      <c r="I725">
        <f ca="1">Referencia_Hoy-Master_ventas[[#This Row],[Order Date]]</f>
        <v>1000</v>
      </c>
      <c r="J725" t="str">
        <f>UPPER(Master_ventas[[#This Row],[Product Name]])</f>
        <v>MOUSE</v>
      </c>
      <c r="K725" t="str">
        <f>UPPER(Master_ventas[[#This Row],[Category]])</f>
        <v>ACCESSORIES</v>
      </c>
      <c r="L725">
        <f>YEAR(Master_ventas[[#This Row],[Order Date]])</f>
        <v>2024</v>
      </c>
      <c r="M725" t="str">
        <f>CONCATENATE(LEFT(Master_ventas[[#This Row],[ProdUpper]],3),RIGHT(Master_ventas[[#This Row],[Ext-Year]],2),"-",MID(Master_ventas[[#This Row],[Category]],1,1))</f>
        <v>MOU24-A</v>
      </c>
      <c r="N725" t="str">
        <f>MID(Master_ventas[[#This Row],[ProdUpper]],1,3)</f>
        <v>MOU</v>
      </c>
      <c r="O725" t="str">
        <f>UPPER(IF(Master_ventas[[#This Row],[Profit]]&gt;500,"High","Std"))</f>
        <v>STD</v>
      </c>
      <c r="P725">
        <v>724</v>
      </c>
    </row>
    <row r="726" spans="1:16" x14ac:dyDescent="0.3">
      <c r="A726" s="1">
        <v>45200</v>
      </c>
      <c r="B726" t="s">
        <v>7</v>
      </c>
      <c r="C726" t="s">
        <v>8</v>
      </c>
      <c r="D726" t="s">
        <v>15</v>
      </c>
      <c r="E726">
        <v>6</v>
      </c>
      <c r="F726" s="3">
        <v>2622</v>
      </c>
      <c r="G726" s="2">
        <v>131.53</v>
      </c>
      <c r="H726">
        <f>Master_ventas[[#This Row],[Profit]]/Master_ventas[[#This Row],[Sales]]</f>
        <v>5.0163996948893973E-2</v>
      </c>
      <c r="I726">
        <f ca="1">Referencia_Hoy-Master_ventas[[#This Row],[Order Date]]</f>
        <v>1123</v>
      </c>
      <c r="J726" t="str">
        <f>UPPER(Master_ventas[[#This Row],[Product Name]])</f>
        <v>PRINTER</v>
      </c>
      <c r="K726" t="str">
        <f>UPPER(Master_ventas[[#This Row],[Category]])</f>
        <v>OFFICE</v>
      </c>
      <c r="L726">
        <f>YEAR(Master_ventas[[#This Row],[Order Date]])</f>
        <v>2023</v>
      </c>
      <c r="M726" t="str">
        <f>CONCATENATE(LEFT(Master_ventas[[#This Row],[ProdUpper]],3),RIGHT(Master_ventas[[#This Row],[Ext-Year]],2),"-",MID(Master_ventas[[#This Row],[Category]],1,1))</f>
        <v>PRI23-O</v>
      </c>
      <c r="N726" t="str">
        <f>MID(Master_ventas[[#This Row],[ProdUpper]],1,3)</f>
        <v>PRI</v>
      </c>
      <c r="O726" t="str">
        <f>UPPER(IF(Master_ventas[[#This Row],[Profit]]&gt;500,"High","Std"))</f>
        <v>STD</v>
      </c>
      <c r="P726">
        <v>725</v>
      </c>
    </row>
    <row r="727" spans="1:16" x14ac:dyDescent="0.3">
      <c r="A727" s="1">
        <v>44898</v>
      </c>
      <c r="B727" t="s">
        <v>21</v>
      </c>
      <c r="C727" t="s">
        <v>14</v>
      </c>
      <c r="D727" t="s">
        <v>15</v>
      </c>
      <c r="E727">
        <v>1</v>
      </c>
      <c r="F727" s="3">
        <v>325</v>
      </c>
      <c r="G727" s="2">
        <v>46.84</v>
      </c>
      <c r="H727">
        <f>Master_ventas[[#This Row],[Profit]]/Master_ventas[[#This Row],[Sales]]</f>
        <v>0.14412307692307694</v>
      </c>
      <c r="I727">
        <f ca="1">Referencia_Hoy-Master_ventas[[#This Row],[Order Date]]</f>
        <v>1425</v>
      </c>
      <c r="J727" t="str">
        <f>UPPER(Master_ventas[[#This Row],[Product Name]])</f>
        <v>SMARTPHONE</v>
      </c>
      <c r="K727" t="str">
        <f>UPPER(Master_ventas[[#This Row],[Category]])</f>
        <v>ELECTRONICS</v>
      </c>
      <c r="L727">
        <f>YEAR(Master_ventas[[#This Row],[Order Date]])</f>
        <v>2022</v>
      </c>
      <c r="M727" t="str">
        <f>CONCATENATE(LEFT(Master_ventas[[#This Row],[ProdUpper]],3),RIGHT(Master_ventas[[#This Row],[Ext-Year]],2),"-",MID(Master_ventas[[#This Row],[Category]],1,1))</f>
        <v>SMA22-E</v>
      </c>
      <c r="N727" t="str">
        <f>MID(Master_ventas[[#This Row],[ProdUpper]],1,3)</f>
        <v>SMA</v>
      </c>
      <c r="O727" t="str">
        <f>UPPER(IF(Master_ventas[[#This Row],[Profit]]&gt;500,"High","Std"))</f>
        <v>STD</v>
      </c>
      <c r="P727">
        <v>726</v>
      </c>
    </row>
    <row r="728" spans="1:16" x14ac:dyDescent="0.3">
      <c r="A728" s="1">
        <v>45643</v>
      </c>
      <c r="B728" t="s">
        <v>22</v>
      </c>
      <c r="C728" t="s">
        <v>11</v>
      </c>
      <c r="D728" t="s">
        <v>16</v>
      </c>
      <c r="E728">
        <v>1</v>
      </c>
      <c r="F728" s="3">
        <v>960</v>
      </c>
      <c r="G728" s="2">
        <v>95.88</v>
      </c>
      <c r="H728">
        <f>Master_ventas[[#This Row],[Profit]]/Master_ventas[[#This Row],[Sales]]</f>
        <v>9.9874999999999992E-2</v>
      </c>
      <c r="I728">
        <f ca="1">Referencia_Hoy-Master_ventas[[#This Row],[Order Date]]</f>
        <v>680</v>
      </c>
      <c r="J728" t="str">
        <f>UPPER(Master_ventas[[#This Row],[Product Name]])</f>
        <v>KEYBOARD</v>
      </c>
      <c r="K728" t="str">
        <f>UPPER(Master_ventas[[#This Row],[Category]])</f>
        <v>ACCESSORIES</v>
      </c>
      <c r="L728">
        <f>YEAR(Master_ventas[[#This Row],[Order Date]])</f>
        <v>2024</v>
      </c>
      <c r="M728" t="str">
        <f>CONCATENATE(LEFT(Master_ventas[[#This Row],[ProdUpper]],3),RIGHT(Master_ventas[[#This Row],[Ext-Year]],2),"-",MID(Master_ventas[[#This Row],[Category]],1,1))</f>
        <v>KEY24-A</v>
      </c>
      <c r="N728" t="str">
        <f>MID(Master_ventas[[#This Row],[ProdUpper]],1,3)</f>
        <v>KEY</v>
      </c>
      <c r="O728" t="str">
        <f>UPPER(IF(Master_ventas[[#This Row],[Profit]]&gt;500,"High","Std"))</f>
        <v>STD</v>
      </c>
      <c r="P728">
        <v>727</v>
      </c>
    </row>
    <row r="729" spans="1:16" x14ac:dyDescent="0.3">
      <c r="A729" s="1">
        <v>45260</v>
      </c>
      <c r="B729" t="s">
        <v>21</v>
      </c>
      <c r="C729" t="s">
        <v>14</v>
      </c>
      <c r="D729" t="s">
        <v>9</v>
      </c>
      <c r="E729">
        <v>7</v>
      </c>
      <c r="F729" s="3">
        <v>2639</v>
      </c>
      <c r="G729" s="2">
        <v>268.88</v>
      </c>
      <c r="H729">
        <f>Master_ventas[[#This Row],[Profit]]/Master_ventas[[#This Row],[Sales]]</f>
        <v>0.10188707843880257</v>
      </c>
      <c r="I729">
        <f ca="1">Referencia_Hoy-Master_ventas[[#This Row],[Order Date]]</f>
        <v>1063</v>
      </c>
      <c r="J729" t="str">
        <f>UPPER(Master_ventas[[#This Row],[Product Name]])</f>
        <v>SMARTPHONE</v>
      </c>
      <c r="K729" t="str">
        <f>UPPER(Master_ventas[[#This Row],[Category]])</f>
        <v>ELECTRONICS</v>
      </c>
      <c r="L729">
        <f>YEAR(Master_ventas[[#This Row],[Order Date]])</f>
        <v>2023</v>
      </c>
      <c r="M729" t="str">
        <f>CONCATENATE(LEFT(Master_ventas[[#This Row],[ProdUpper]],3),RIGHT(Master_ventas[[#This Row],[Ext-Year]],2),"-",MID(Master_ventas[[#This Row],[Category]],1,1))</f>
        <v>SMA23-E</v>
      </c>
      <c r="N729" t="str">
        <f>MID(Master_ventas[[#This Row],[ProdUpper]],1,3)</f>
        <v>SMA</v>
      </c>
      <c r="O729" t="str">
        <f>UPPER(IF(Master_ventas[[#This Row],[Profit]]&gt;500,"High","Std"))</f>
        <v>STD</v>
      </c>
      <c r="P729">
        <v>728</v>
      </c>
    </row>
    <row r="730" spans="1:16" x14ac:dyDescent="0.3">
      <c r="A730" s="1">
        <v>45448</v>
      </c>
      <c r="B730" t="s">
        <v>7</v>
      </c>
      <c r="C730" t="s">
        <v>8</v>
      </c>
      <c r="D730" t="s">
        <v>15</v>
      </c>
      <c r="E730">
        <v>5</v>
      </c>
      <c r="F730" s="3">
        <v>1025</v>
      </c>
      <c r="G730" s="2">
        <v>246.15</v>
      </c>
      <c r="H730">
        <f>Master_ventas[[#This Row],[Profit]]/Master_ventas[[#This Row],[Sales]]</f>
        <v>0.24014634146341465</v>
      </c>
      <c r="I730">
        <f ca="1">Referencia_Hoy-Master_ventas[[#This Row],[Order Date]]</f>
        <v>875</v>
      </c>
      <c r="J730" t="str">
        <f>UPPER(Master_ventas[[#This Row],[Product Name]])</f>
        <v>PRINTER</v>
      </c>
      <c r="K730" t="str">
        <f>UPPER(Master_ventas[[#This Row],[Category]])</f>
        <v>OFFICE</v>
      </c>
      <c r="L730">
        <f>YEAR(Master_ventas[[#This Row],[Order Date]])</f>
        <v>2024</v>
      </c>
      <c r="M730" t="str">
        <f>CONCATENATE(LEFT(Master_ventas[[#This Row],[ProdUpper]],3),RIGHT(Master_ventas[[#This Row],[Ext-Year]],2),"-",MID(Master_ventas[[#This Row],[Category]],1,1))</f>
        <v>PRI24-O</v>
      </c>
      <c r="N730" t="str">
        <f>MID(Master_ventas[[#This Row],[ProdUpper]],1,3)</f>
        <v>PRI</v>
      </c>
      <c r="O730" t="str">
        <f>UPPER(IF(Master_ventas[[#This Row],[Profit]]&gt;500,"High","Std"))</f>
        <v>STD</v>
      </c>
      <c r="P730">
        <v>729</v>
      </c>
    </row>
    <row r="731" spans="1:16" x14ac:dyDescent="0.3">
      <c r="A731" s="1">
        <v>44574</v>
      </c>
      <c r="B731" t="s">
        <v>20</v>
      </c>
      <c r="C731" t="s">
        <v>11</v>
      </c>
      <c r="D731" t="s">
        <v>16</v>
      </c>
      <c r="E731">
        <v>2</v>
      </c>
      <c r="F731" s="3">
        <v>1924</v>
      </c>
      <c r="G731" s="2">
        <v>434.86</v>
      </c>
      <c r="H731">
        <f>Master_ventas[[#This Row],[Profit]]/Master_ventas[[#This Row],[Sales]]</f>
        <v>0.22601871101871102</v>
      </c>
      <c r="I731">
        <f ca="1">Referencia_Hoy-Master_ventas[[#This Row],[Order Date]]</f>
        <v>1749</v>
      </c>
      <c r="J731" t="str">
        <f>UPPER(Master_ventas[[#This Row],[Product Name]])</f>
        <v>MONITOR</v>
      </c>
      <c r="K731" t="str">
        <f>UPPER(Master_ventas[[#This Row],[Category]])</f>
        <v>ACCESSORIES</v>
      </c>
      <c r="L731">
        <f>YEAR(Master_ventas[[#This Row],[Order Date]])</f>
        <v>2022</v>
      </c>
      <c r="M731" t="str">
        <f>CONCATENATE(LEFT(Master_ventas[[#This Row],[ProdUpper]],3),RIGHT(Master_ventas[[#This Row],[Ext-Year]],2),"-",MID(Master_ventas[[#This Row],[Category]],1,1))</f>
        <v>MON22-A</v>
      </c>
      <c r="N731" t="str">
        <f>MID(Master_ventas[[#This Row],[ProdUpper]],1,3)</f>
        <v>MON</v>
      </c>
      <c r="O731" t="str">
        <f>UPPER(IF(Master_ventas[[#This Row],[Profit]]&gt;500,"High","Std"))</f>
        <v>STD</v>
      </c>
      <c r="P731">
        <v>730</v>
      </c>
    </row>
    <row r="732" spans="1:16" x14ac:dyDescent="0.3">
      <c r="A732" s="1">
        <v>45167</v>
      </c>
      <c r="B732" t="s">
        <v>21</v>
      </c>
      <c r="C732" t="s">
        <v>14</v>
      </c>
      <c r="D732" t="s">
        <v>9</v>
      </c>
      <c r="E732">
        <v>2</v>
      </c>
      <c r="F732" s="3">
        <v>1660</v>
      </c>
      <c r="G732" s="2">
        <v>362.88</v>
      </c>
      <c r="H732">
        <f>Master_ventas[[#This Row],[Profit]]/Master_ventas[[#This Row],[Sales]]</f>
        <v>0.21860240963855421</v>
      </c>
      <c r="I732">
        <f ca="1">Referencia_Hoy-Master_ventas[[#This Row],[Order Date]]</f>
        <v>1156</v>
      </c>
      <c r="J732" t="str">
        <f>UPPER(Master_ventas[[#This Row],[Product Name]])</f>
        <v>SMARTPHONE</v>
      </c>
      <c r="K732" t="str">
        <f>UPPER(Master_ventas[[#This Row],[Category]])</f>
        <v>ELECTRONICS</v>
      </c>
      <c r="L732">
        <f>YEAR(Master_ventas[[#This Row],[Order Date]])</f>
        <v>2023</v>
      </c>
      <c r="M732" t="str">
        <f>CONCATENATE(LEFT(Master_ventas[[#This Row],[ProdUpper]],3),RIGHT(Master_ventas[[#This Row],[Ext-Year]],2),"-",MID(Master_ventas[[#This Row],[Category]],1,1))</f>
        <v>SMA23-E</v>
      </c>
      <c r="N732" t="str">
        <f>MID(Master_ventas[[#This Row],[ProdUpper]],1,3)</f>
        <v>SMA</v>
      </c>
      <c r="O732" t="str">
        <f>UPPER(IF(Master_ventas[[#This Row],[Profit]]&gt;500,"High","Std"))</f>
        <v>STD</v>
      </c>
      <c r="P732">
        <v>731</v>
      </c>
    </row>
    <row r="733" spans="1:16" x14ac:dyDescent="0.3">
      <c r="A733" s="1">
        <v>44704</v>
      </c>
      <c r="B733" t="s">
        <v>7</v>
      </c>
      <c r="C733" t="s">
        <v>8</v>
      </c>
      <c r="D733" t="s">
        <v>9</v>
      </c>
      <c r="E733">
        <v>1</v>
      </c>
      <c r="F733" s="3">
        <v>985</v>
      </c>
      <c r="G733" s="2">
        <v>105.09</v>
      </c>
      <c r="H733">
        <f>Master_ventas[[#This Row],[Profit]]/Master_ventas[[#This Row],[Sales]]</f>
        <v>0.10669035532994924</v>
      </c>
      <c r="I733">
        <f ca="1">Referencia_Hoy-Master_ventas[[#This Row],[Order Date]]</f>
        <v>1619</v>
      </c>
      <c r="J733" t="str">
        <f>UPPER(Master_ventas[[#This Row],[Product Name]])</f>
        <v>PRINTER</v>
      </c>
      <c r="K733" t="str">
        <f>UPPER(Master_ventas[[#This Row],[Category]])</f>
        <v>OFFICE</v>
      </c>
      <c r="L733">
        <f>YEAR(Master_ventas[[#This Row],[Order Date]])</f>
        <v>2022</v>
      </c>
      <c r="M733" t="str">
        <f>CONCATENATE(LEFT(Master_ventas[[#This Row],[ProdUpper]],3),RIGHT(Master_ventas[[#This Row],[Ext-Year]],2),"-",MID(Master_ventas[[#This Row],[Category]],1,1))</f>
        <v>PRI22-O</v>
      </c>
      <c r="N733" t="str">
        <f>MID(Master_ventas[[#This Row],[ProdUpper]],1,3)</f>
        <v>PRI</v>
      </c>
      <c r="O733" t="str">
        <f>UPPER(IF(Master_ventas[[#This Row],[Profit]]&gt;500,"High","Std"))</f>
        <v>STD</v>
      </c>
      <c r="P733">
        <v>732</v>
      </c>
    </row>
    <row r="734" spans="1:16" x14ac:dyDescent="0.3">
      <c r="A734" s="1">
        <v>45487</v>
      </c>
      <c r="B734" t="s">
        <v>22</v>
      </c>
      <c r="C734" t="s">
        <v>11</v>
      </c>
      <c r="D734" t="s">
        <v>9</v>
      </c>
      <c r="E734">
        <v>5</v>
      </c>
      <c r="F734" s="3">
        <v>2600</v>
      </c>
      <c r="G734" s="2">
        <v>537.11</v>
      </c>
      <c r="H734">
        <f>Master_ventas[[#This Row],[Profit]]/Master_ventas[[#This Row],[Sales]]</f>
        <v>0.20658076923076923</v>
      </c>
      <c r="I734">
        <f ca="1">Referencia_Hoy-Master_ventas[[#This Row],[Order Date]]</f>
        <v>836</v>
      </c>
      <c r="J734" t="str">
        <f>UPPER(Master_ventas[[#This Row],[Product Name]])</f>
        <v>KEYBOARD</v>
      </c>
      <c r="K734" t="str">
        <f>UPPER(Master_ventas[[#This Row],[Category]])</f>
        <v>ACCESSORIES</v>
      </c>
      <c r="L734">
        <f>YEAR(Master_ventas[[#This Row],[Order Date]])</f>
        <v>2024</v>
      </c>
      <c r="M734" t="str">
        <f>CONCATENATE(LEFT(Master_ventas[[#This Row],[ProdUpper]],3),RIGHT(Master_ventas[[#This Row],[Ext-Year]],2),"-",MID(Master_ventas[[#This Row],[Category]],1,1))</f>
        <v>KEY24-A</v>
      </c>
      <c r="N734" t="str">
        <f>MID(Master_ventas[[#This Row],[ProdUpper]],1,3)</f>
        <v>KEY</v>
      </c>
      <c r="O734" t="str">
        <f>UPPER(IF(Master_ventas[[#This Row],[Profit]]&gt;500,"High","Std"))</f>
        <v>HIGH</v>
      </c>
      <c r="P734">
        <v>733</v>
      </c>
    </row>
    <row r="735" spans="1:16" x14ac:dyDescent="0.3">
      <c r="A735" s="1">
        <v>45586</v>
      </c>
      <c r="B735" t="s">
        <v>17</v>
      </c>
      <c r="C735" t="s">
        <v>14</v>
      </c>
      <c r="D735" t="s">
        <v>16</v>
      </c>
      <c r="E735">
        <v>4</v>
      </c>
      <c r="F735" s="3">
        <v>2792</v>
      </c>
      <c r="G735" s="2">
        <v>725.35</v>
      </c>
      <c r="H735">
        <f>Master_ventas[[#This Row],[Profit]]/Master_ventas[[#This Row],[Sales]]</f>
        <v>0.25979584527220634</v>
      </c>
      <c r="I735">
        <f ca="1">Referencia_Hoy-Master_ventas[[#This Row],[Order Date]]</f>
        <v>737</v>
      </c>
      <c r="J735" t="str">
        <f>UPPER(Master_ventas[[#This Row],[Product Name]])</f>
        <v>CAMERA</v>
      </c>
      <c r="K735" t="str">
        <f>UPPER(Master_ventas[[#This Row],[Category]])</f>
        <v>ELECTRONICS</v>
      </c>
      <c r="L735">
        <f>YEAR(Master_ventas[[#This Row],[Order Date]])</f>
        <v>2024</v>
      </c>
      <c r="M735" t="str">
        <f>CONCATENATE(LEFT(Master_ventas[[#This Row],[ProdUpper]],3),RIGHT(Master_ventas[[#This Row],[Ext-Year]],2),"-",MID(Master_ventas[[#This Row],[Category]],1,1))</f>
        <v>CAM24-E</v>
      </c>
      <c r="N735" t="str">
        <f>MID(Master_ventas[[#This Row],[ProdUpper]],1,3)</f>
        <v>CAM</v>
      </c>
      <c r="O735" t="str">
        <f>UPPER(IF(Master_ventas[[#This Row],[Profit]]&gt;500,"High","Std"))</f>
        <v>HIGH</v>
      </c>
      <c r="P735">
        <v>734</v>
      </c>
    </row>
    <row r="736" spans="1:16" x14ac:dyDescent="0.3">
      <c r="A736" s="1">
        <v>45535</v>
      </c>
      <c r="B736" t="s">
        <v>18</v>
      </c>
      <c r="C736" t="s">
        <v>11</v>
      </c>
      <c r="D736" t="s">
        <v>9</v>
      </c>
      <c r="E736">
        <v>2</v>
      </c>
      <c r="F736" s="3">
        <v>378</v>
      </c>
      <c r="G736" s="2">
        <v>87.37</v>
      </c>
      <c r="H736">
        <f>Master_ventas[[#This Row],[Profit]]/Master_ventas[[#This Row],[Sales]]</f>
        <v>0.23113756613756614</v>
      </c>
      <c r="I736">
        <f ca="1">Referencia_Hoy-Master_ventas[[#This Row],[Order Date]]</f>
        <v>788</v>
      </c>
      <c r="J736" t="str">
        <f>UPPER(Master_ventas[[#This Row],[Product Name]])</f>
        <v>HEADPHONES</v>
      </c>
      <c r="K736" t="str">
        <f>UPPER(Master_ventas[[#This Row],[Category]])</f>
        <v>ACCESSORIES</v>
      </c>
      <c r="L736">
        <f>YEAR(Master_ventas[[#This Row],[Order Date]])</f>
        <v>2024</v>
      </c>
      <c r="M736" t="str">
        <f>CONCATENATE(LEFT(Master_ventas[[#This Row],[ProdUpper]],3),RIGHT(Master_ventas[[#This Row],[Ext-Year]],2),"-",MID(Master_ventas[[#This Row],[Category]],1,1))</f>
        <v>HEA24-A</v>
      </c>
      <c r="N736" t="str">
        <f>MID(Master_ventas[[#This Row],[ProdUpper]],1,3)</f>
        <v>HEA</v>
      </c>
      <c r="O736" t="str">
        <f>UPPER(IF(Master_ventas[[#This Row],[Profit]]&gt;500,"High","Std"))</f>
        <v>STD</v>
      </c>
      <c r="P736">
        <v>735</v>
      </c>
    </row>
    <row r="737" spans="1:16" x14ac:dyDescent="0.3">
      <c r="A737" s="1">
        <v>44668</v>
      </c>
      <c r="B737" t="s">
        <v>17</v>
      </c>
      <c r="C737" t="s">
        <v>14</v>
      </c>
      <c r="D737" t="s">
        <v>16</v>
      </c>
      <c r="E737">
        <v>8</v>
      </c>
      <c r="F737" s="3">
        <v>968</v>
      </c>
      <c r="G737" s="2">
        <v>271.61</v>
      </c>
      <c r="H737">
        <f>Master_ventas[[#This Row],[Profit]]/Master_ventas[[#This Row],[Sales]]</f>
        <v>0.28058884297520664</v>
      </c>
      <c r="I737">
        <f ca="1">Referencia_Hoy-Master_ventas[[#This Row],[Order Date]]</f>
        <v>1655</v>
      </c>
      <c r="J737" t="str">
        <f>UPPER(Master_ventas[[#This Row],[Product Name]])</f>
        <v>CAMERA</v>
      </c>
      <c r="K737" t="str">
        <f>UPPER(Master_ventas[[#This Row],[Category]])</f>
        <v>ELECTRONICS</v>
      </c>
      <c r="L737">
        <f>YEAR(Master_ventas[[#This Row],[Order Date]])</f>
        <v>2022</v>
      </c>
      <c r="M737" t="str">
        <f>CONCATENATE(LEFT(Master_ventas[[#This Row],[ProdUpper]],3),RIGHT(Master_ventas[[#This Row],[Ext-Year]],2),"-",MID(Master_ventas[[#This Row],[Category]],1,1))</f>
        <v>CAM22-E</v>
      </c>
      <c r="N737" t="str">
        <f>MID(Master_ventas[[#This Row],[ProdUpper]],1,3)</f>
        <v>CAM</v>
      </c>
      <c r="O737" t="str">
        <f>UPPER(IF(Master_ventas[[#This Row],[Profit]]&gt;500,"High","Std"))</f>
        <v>STD</v>
      </c>
      <c r="P737">
        <v>736</v>
      </c>
    </row>
    <row r="738" spans="1:16" x14ac:dyDescent="0.3">
      <c r="A738" s="1">
        <v>45424</v>
      </c>
      <c r="B738" t="s">
        <v>19</v>
      </c>
      <c r="C738" t="s">
        <v>14</v>
      </c>
      <c r="D738" t="s">
        <v>9</v>
      </c>
      <c r="E738">
        <v>3</v>
      </c>
      <c r="F738" s="3">
        <v>564</v>
      </c>
      <c r="G738" s="2">
        <v>108.35</v>
      </c>
      <c r="H738">
        <f>Master_ventas[[#This Row],[Profit]]/Master_ventas[[#This Row],[Sales]]</f>
        <v>0.19210992907801416</v>
      </c>
      <c r="I738">
        <f ca="1">Referencia_Hoy-Master_ventas[[#This Row],[Order Date]]</f>
        <v>899</v>
      </c>
      <c r="J738" t="str">
        <f>UPPER(Master_ventas[[#This Row],[Product Name]])</f>
        <v>SMARTWATCH</v>
      </c>
      <c r="K738" t="str">
        <f>UPPER(Master_ventas[[#This Row],[Category]])</f>
        <v>ELECTRONICS</v>
      </c>
      <c r="L738">
        <f>YEAR(Master_ventas[[#This Row],[Order Date]])</f>
        <v>2024</v>
      </c>
      <c r="M738" t="str">
        <f>CONCATENATE(LEFT(Master_ventas[[#This Row],[ProdUpper]],3),RIGHT(Master_ventas[[#This Row],[Ext-Year]],2),"-",MID(Master_ventas[[#This Row],[Category]],1,1))</f>
        <v>SMA24-E</v>
      </c>
      <c r="N738" t="str">
        <f>MID(Master_ventas[[#This Row],[ProdUpper]],1,3)</f>
        <v>SMA</v>
      </c>
      <c r="O738" t="str">
        <f>UPPER(IF(Master_ventas[[#This Row],[Profit]]&gt;500,"High","Std"))</f>
        <v>STD</v>
      </c>
      <c r="P738">
        <v>737</v>
      </c>
    </row>
    <row r="739" spans="1:16" x14ac:dyDescent="0.3">
      <c r="A739" s="1">
        <v>44951</v>
      </c>
      <c r="B739" t="s">
        <v>23</v>
      </c>
      <c r="C739" t="s">
        <v>14</v>
      </c>
      <c r="D739" t="s">
        <v>15</v>
      </c>
      <c r="E739">
        <v>5</v>
      </c>
      <c r="F739" s="3">
        <v>2365</v>
      </c>
      <c r="G739" s="2">
        <v>667.61</v>
      </c>
      <c r="H739">
        <f>Master_ventas[[#This Row],[Profit]]/Master_ventas[[#This Row],[Sales]]</f>
        <v>0.28228752642706134</v>
      </c>
      <c r="I739">
        <f ca="1">Referencia_Hoy-Master_ventas[[#This Row],[Order Date]]</f>
        <v>1372</v>
      </c>
      <c r="J739" t="str">
        <f>UPPER(Master_ventas[[#This Row],[Product Name]])</f>
        <v>LAPTOP</v>
      </c>
      <c r="K739" t="str">
        <f>UPPER(Master_ventas[[#This Row],[Category]])</f>
        <v>ELECTRONICS</v>
      </c>
      <c r="L739">
        <f>YEAR(Master_ventas[[#This Row],[Order Date]])</f>
        <v>2023</v>
      </c>
      <c r="M739" t="str">
        <f>CONCATENATE(LEFT(Master_ventas[[#This Row],[ProdUpper]],3),RIGHT(Master_ventas[[#This Row],[Ext-Year]],2),"-",MID(Master_ventas[[#This Row],[Category]],1,1))</f>
        <v>LAP23-E</v>
      </c>
      <c r="N739" t="str">
        <f>MID(Master_ventas[[#This Row],[ProdUpper]],1,3)</f>
        <v>LAP</v>
      </c>
      <c r="O739" t="str">
        <f>UPPER(IF(Master_ventas[[#This Row],[Profit]]&gt;500,"High","Std"))</f>
        <v>HIGH</v>
      </c>
      <c r="P739">
        <v>738</v>
      </c>
    </row>
    <row r="740" spans="1:16" x14ac:dyDescent="0.3">
      <c r="A740" s="1">
        <v>45383</v>
      </c>
      <c r="B740" t="s">
        <v>21</v>
      </c>
      <c r="C740" t="s">
        <v>14</v>
      </c>
      <c r="D740" t="s">
        <v>16</v>
      </c>
      <c r="E740">
        <v>6</v>
      </c>
      <c r="F740" s="3">
        <v>3252</v>
      </c>
      <c r="G740" s="2">
        <v>834.84</v>
      </c>
      <c r="H740">
        <f>Master_ventas[[#This Row],[Profit]]/Master_ventas[[#This Row],[Sales]]</f>
        <v>0.25671586715867162</v>
      </c>
      <c r="I740">
        <f ca="1">Referencia_Hoy-Master_ventas[[#This Row],[Order Date]]</f>
        <v>940</v>
      </c>
      <c r="J740" t="str">
        <f>UPPER(Master_ventas[[#This Row],[Product Name]])</f>
        <v>SMARTPHONE</v>
      </c>
      <c r="K740" t="str">
        <f>UPPER(Master_ventas[[#This Row],[Category]])</f>
        <v>ELECTRONICS</v>
      </c>
      <c r="L740">
        <f>YEAR(Master_ventas[[#This Row],[Order Date]])</f>
        <v>2024</v>
      </c>
      <c r="M740" t="str">
        <f>CONCATENATE(LEFT(Master_ventas[[#This Row],[ProdUpper]],3),RIGHT(Master_ventas[[#This Row],[Ext-Year]],2),"-",MID(Master_ventas[[#This Row],[Category]],1,1))</f>
        <v>SMA24-E</v>
      </c>
      <c r="N740" t="str">
        <f>MID(Master_ventas[[#This Row],[ProdUpper]],1,3)</f>
        <v>SMA</v>
      </c>
      <c r="O740" t="str">
        <f>UPPER(IF(Master_ventas[[#This Row],[Profit]]&gt;500,"High","Std"))</f>
        <v>HIGH</v>
      </c>
      <c r="P740">
        <v>739</v>
      </c>
    </row>
    <row r="741" spans="1:16" x14ac:dyDescent="0.3">
      <c r="A741" s="1">
        <v>45417</v>
      </c>
      <c r="B741" t="s">
        <v>17</v>
      </c>
      <c r="C741" t="s">
        <v>14</v>
      </c>
      <c r="D741" t="s">
        <v>9</v>
      </c>
      <c r="E741">
        <v>1</v>
      </c>
      <c r="F741" s="3">
        <v>276</v>
      </c>
      <c r="G741" s="2">
        <v>42.68</v>
      </c>
      <c r="H741">
        <f>Master_ventas[[#This Row],[Profit]]/Master_ventas[[#This Row],[Sales]]</f>
        <v>0.15463768115942028</v>
      </c>
      <c r="I741">
        <f ca="1">Referencia_Hoy-Master_ventas[[#This Row],[Order Date]]</f>
        <v>906</v>
      </c>
      <c r="J741" t="str">
        <f>UPPER(Master_ventas[[#This Row],[Product Name]])</f>
        <v>CAMERA</v>
      </c>
      <c r="K741" t="str">
        <f>UPPER(Master_ventas[[#This Row],[Category]])</f>
        <v>ELECTRONICS</v>
      </c>
      <c r="L741">
        <f>YEAR(Master_ventas[[#This Row],[Order Date]])</f>
        <v>2024</v>
      </c>
      <c r="M741" t="str">
        <f>CONCATENATE(LEFT(Master_ventas[[#This Row],[ProdUpper]],3),RIGHT(Master_ventas[[#This Row],[Ext-Year]],2),"-",MID(Master_ventas[[#This Row],[Category]],1,1))</f>
        <v>CAM24-E</v>
      </c>
      <c r="N741" t="str">
        <f>MID(Master_ventas[[#This Row],[ProdUpper]],1,3)</f>
        <v>CAM</v>
      </c>
      <c r="O741" t="str">
        <f>UPPER(IF(Master_ventas[[#This Row],[Profit]]&gt;500,"High","Std"))</f>
        <v>STD</v>
      </c>
      <c r="P741">
        <v>740</v>
      </c>
    </row>
    <row r="742" spans="1:16" x14ac:dyDescent="0.3">
      <c r="A742" s="1">
        <v>45432</v>
      </c>
      <c r="B742" t="s">
        <v>10</v>
      </c>
      <c r="C742" t="s">
        <v>11</v>
      </c>
      <c r="D742" t="s">
        <v>16</v>
      </c>
      <c r="E742">
        <v>3</v>
      </c>
      <c r="F742" s="3">
        <v>3408</v>
      </c>
      <c r="G742" s="2">
        <v>205.76</v>
      </c>
      <c r="H742">
        <f>Master_ventas[[#This Row],[Profit]]/Master_ventas[[#This Row],[Sales]]</f>
        <v>6.0375586854460088E-2</v>
      </c>
      <c r="I742">
        <f ca="1">Referencia_Hoy-Master_ventas[[#This Row],[Order Date]]</f>
        <v>891</v>
      </c>
      <c r="J742" t="str">
        <f>UPPER(Master_ventas[[#This Row],[Product Name]])</f>
        <v>MOUSE</v>
      </c>
      <c r="K742" t="str">
        <f>UPPER(Master_ventas[[#This Row],[Category]])</f>
        <v>ACCESSORIES</v>
      </c>
      <c r="L742">
        <f>YEAR(Master_ventas[[#This Row],[Order Date]])</f>
        <v>2024</v>
      </c>
      <c r="M742" t="str">
        <f>CONCATENATE(LEFT(Master_ventas[[#This Row],[ProdUpper]],3),RIGHT(Master_ventas[[#This Row],[Ext-Year]],2),"-",MID(Master_ventas[[#This Row],[Category]],1,1))</f>
        <v>MOU24-A</v>
      </c>
      <c r="N742" t="str">
        <f>MID(Master_ventas[[#This Row],[ProdUpper]],1,3)</f>
        <v>MOU</v>
      </c>
      <c r="O742" t="str">
        <f>UPPER(IF(Master_ventas[[#This Row],[Profit]]&gt;500,"High","Std"))</f>
        <v>STD</v>
      </c>
      <c r="P742">
        <v>741</v>
      </c>
    </row>
    <row r="743" spans="1:16" x14ac:dyDescent="0.3">
      <c r="A743" s="1">
        <v>44854</v>
      </c>
      <c r="B743" t="s">
        <v>23</v>
      </c>
      <c r="C743" t="s">
        <v>14</v>
      </c>
      <c r="D743" t="s">
        <v>12</v>
      </c>
      <c r="E743">
        <v>6</v>
      </c>
      <c r="F743" s="3">
        <v>1398</v>
      </c>
      <c r="G743" s="2">
        <v>180.88</v>
      </c>
      <c r="H743">
        <f>Master_ventas[[#This Row],[Profit]]/Master_ventas[[#This Row],[Sales]]</f>
        <v>0.12938483547925608</v>
      </c>
      <c r="I743">
        <f ca="1">Referencia_Hoy-Master_ventas[[#This Row],[Order Date]]</f>
        <v>1469</v>
      </c>
      <c r="J743" t="str">
        <f>UPPER(Master_ventas[[#This Row],[Product Name]])</f>
        <v>LAPTOP</v>
      </c>
      <c r="K743" t="str">
        <f>UPPER(Master_ventas[[#This Row],[Category]])</f>
        <v>ELECTRONICS</v>
      </c>
      <c r="L743">
        <f>YEAR(Master_ventas[[#This Row],[Order Date]])</f>
        <v>2022</v>
      </c>
      <c r="M743" t="str">
        <f>CONCATENATE(LEFT(Master_ventas[[#This Row],[ProdUpper]],3),RIGHT(Master_ventas[[#This Row],[Ext-Year]],2),"-",MID(Master_ventas[[#This Row],[Category]],1,1))</f>
        <v>LAP22-E</v>
      </c>
      <c r="N743" t="str">
        <f>MID(Master_ventas[[#This Row],[ProdUpper]],1,3)</f>
        <v>LAP</v>
      </c>
      <c r="O743" t="str">
        <f>UPPER(IF(Master_ventas[[#This Row],[Profit]]&gt;500,"High","Std"))</f>
        <v>STD</v>
      </c>
      <c r="P743">
        <v>742</v>
      </c>
    </row>
    <row r="744" spans="1:16" x14ac:dyDescent="0.3">
      <c r="A744" s="1">
        <v>44619</v>
      </c>
      <c r="B744" t="s">
        <v>22</v>
      </c>
      <c r="C744" t="s">
        <v>11</v>
      </c>
      <c r="D744" t="s">
        <v>9</v>
      </c>
      <c r="E744">
        <v>4</v>
      </c>
      <c r="F744" s="3">
        <v>904</v>
      </c>
      <c r="G744" s="2">
        <v>108.85</v>
      </c>
      <c r="H744">
        <f>Master_ventas[[#This Row],[Profit]]/Master_ventas[[#This Row],[Sales]]</f>
        <v>0.12040929203539823</v>
      </c>
      <c r="I744">
        <f ca="1">Referencia_Hoy-Master_ventas[[#This Row],[Order Date]]</f>
        <v>1704</v>
      </c>
      <c r="J744" t="str">
        <f>UPPER(Master_ventas[[#This Row],[Product Name]])</f>
        <v>KEYBOARD</v>
      </c>
      <c r="K744" t="str">
        <f>UPPER(Master_ventas[[#This Row],[Category]])</f>
        <v>ACCESSORIES</v>
      </c>
      <c r="L744">
        <f>YEAR(Master_ventas[[#This Row],[Order Date]])</f>
        <v>2022</v>
      </c>
      <c r="M744" t="str">
        <f>CONCATENATE(LEFT(Master_ventas[[#This Row],[ProdUpper]],3),RIGHT(Master_ventas[[#This Row],[Ext-Year]],2),"-",MID(Master_ventas[[#This Row],[Category]],1,1))</f>
        <v>KEY22-A</v>
      </c>
      <c r="N744" t="str">
        <f>MID(Master_ventas[[#This Row],[ProdUpper]],1,3)</f>
        <v>KEY</v>
      </c>
      <c r="O744" t="str">
        <f>UPPER(IF(Master_ventas[[#This Row],[Profit]]&gt;500,"High","Std"))</f>
        <v>STD</v>
      </c>
      <c r="P744">
        <v>743</v>
      </c>
    </row>
    <row r="745" spans="1:16" x14ac:dyDescent="0.3">
      <c r="A745" s="1">
        <v>45261</v>
      </c>
      <c r="B745" t="s">
        <v>22</v>
      </c>
      <c r="C745" t="s">
        <v>11</v>
      </c>
      <c r="D745" t="s">
        <v>15</v>
      </c>
      <c r="E745">
        <v>1</v>
      </c>
      <c r="F745" s="3">
        <v>1178</v>
      </c>
      <c r="G745" s="2">
        <v>161.06</v>
      </c>
      <c r="H745">
        <f>Master_ventas[[#This Row],[Profit]]/Master_ventas[[#This Row],[Sales]]</f>
        <v>0.13672325976230901</v>
      </c>
      <c r="I745">
        <f ca="1">Referencia_Hoy-Master_ventas[[#This Row],[Order Date]]</f>
        <v>1062</v>
      </c>
      <c r="J745" t="str">
        <f>UPPER(Master_ventas[[#This Row],[Product Name]])</f>
        <v>KEYBOARD</v>
      </c>
      <c r="K745" t="str">
        <f>UPPER(Master_ventas[[#This Row],[Category]])</f>
        <v>ACCESSORIES</v>
      </c>
      <c r="L745">
        <f>YEAR(Master_ventas[[#This Row],[Order Date]])</f>
        <v>2023</v>
      </c>
      <c r="M745" t="str">
        <f>CONCATENATE(LEFT(Master_ventas[[#This Row],[ProdUpper]],3),RIGHT(Master_ventas[[#This Row],[Ext-Year]],2),"-",MID(Master_ventas[[#This Row],[Category]],1,1))</f>
        <v>KEY23-A</v>
      </c>
      <c r="N745" t="str">
        <f>MID(Master_ventas[[#This Row],[ProdUpper]],1,3)</f>
        <v>KEY</v>
      </c>
      <c r="O745" t="str">
        <f>UPPER(IF(Master_ventas[[#This Row],[Profit]]&gt;500,"High","Std"))</f>
        <v>STD</v>
      </c>
      <c r="P745">
        <v>744</v>
      </c>
    </row>
    <row r="746" spans="1:16" x14ac:dyDescent="0.3">
      <c r="A746" s="1">
        <v>44771</v>
      </c>
      <c r="B746" t="s">
        <v>18</v>
      </c>
      <c r="C746" t="s">
        <v>11</v>
      </c>
      <c r="D746" t="s">
        <v>16</v>
      </c>
      <c r="E746">
        <v>3</v>
      </c>
      <c r="F746" s="3">
        <v>2535</v>
      </c>
      <c r="G746" s="2">
        <v>292.19</v>
      </c>
      <c r="H746">
        <f>Master_ventas[[#This Row],[Profit]]/Master_ventas[[#This Row],[Sales]]</f>
        <v>0.11526232741617357</v>
      </c>
      <c r="I746">
        <f ca="1">Referencia_Hoy-Master_ventas[[#This Row],[Order Date]]</f>
        <v>1552</v>
      </c>
      <c r="J746" t="str">
        <f>UPPER(Master_ventas[[#This Row],[Product Name]])</f>
        <v>HEADPHONES</v>
      </c>
      <c r="K746" t="str">
        <f>UPPER(Master_ventas[[#This Row],[Category]])</f>
        <v>ACCESSORIES</v>
      </c>
      <c r="L746">
        <f>YEAR(Master_ventas[[#This Row],[Order Date]])</f>
        <v>2022</v>
      </c>
      <c r="M746" t="str">
        <f>CONCATENATE(LEFT(Master_ventas[[#This Row],[ProdUpper]],3),RIGHT(Master_ventas[[#This Row],[Ext-Year]],2),"-",MID(Master_ventas[[#This Row],[Category]],1,1))</f>
        <v>HEA22-A</v>
      </c>
      <c r="N746" t="str">
        <f>MID(Master_ventas[[#This Row],[ProdUpper]],1,3)</f>
        <v>HEA</v>
      </c>
      <c r="O746" t="str">
        <f>UPPER(IF(Master_ventas[[#This Row],[Profit]]&gt;500,"High","Std"))</f>
        <v>STD</v>
      </c>
      <c r="P746">
        <v>745</v>
      </c>
    </row>
    <row r="747" spans="1:16" x14ac:dyDescent="0.3">
      <c r="A747" s="1">
        <v>45033</v>
      </c>
      <c r="B747" t="s">
        <v>13</v>
      </c>
      <c r="C747" t="s">
        <v>14</v>
      </c>
      <c r="D747" t="s">
        <v>16</v>
      </c>
      <c r="E747">
        <v>1</v>
      </c>
      <c r="F747" s="3">
        <v>496</v>
      </c>
      <c r="G747" s="2">
        <v>146.91999999999999</v>
      </c>
      <c r="H747">
        <f>Master_ventas[[#This Row],[Profit]]/Master_ventas[[#This Row],[Sales]]</f>
        <v>0.29620967741935483</v>
      </c>
      <c r="I747">
        <f ca="1">Referencia_Hoy-Master_ventas[[#This Row],[Order Date]]</f>
        <v>1290</v>
      </c>
      <c r="J747" t="str">
        <f>UPPER(Master_ventas[[#This Row],[Product Name]])</f>
        <v>TABLET</v>
      </c>
      <c r="K747" t="str">
        <f>UPPER(Master_ventas[[#This Row],[Category]])</f>
        <v>ELECTRONICS</v>
      </c>
      <c r="L747">
        <f>YEAR(Master_ventas[[#This Row],[Order Date]])</f>
        <v>2023</v>
      </c>
      <c r="M747" t="str">
        <f>CONCATENATE(LEFT(Master_ventas[[#This Row],[ProdUpper]],3),RIGHT(Master_ventas[[#This Row],[Ext-Year]],2),"-",MID(Master_ventas[[#This Row],[Category]],1,1))</f>
        <v>TAB23-E</v>
      </c>
      <c r="N747" t="str">
        <f>MID(Master_ventas[[#This Row],[ProdUpper]],1,3)</f>
        <v>TAB</v>
      </c>
      <c r="O747" t="str">
        <f>UPPER(IF(Master_ventas[[#This Row],[Profit]]&gt;500,"High","Std"))</f>
        <v>STD</v>
      </c>
      <c r="P747">
        <v>746</v>
      </c>
    </row>
    <row r="748" spans="1:16" x14ac:dyDescent="0.3">
      <c r="A748" s="1">
        <v>45473</v>
      </c>
      <c r="B748" t="s">
        <v>21</v>
      </c>
      <c r="C748" t="s">
        <v>14</v>
      </c>
      <c r="D748" t="s">
        <v>16</v>
      </c>
      <c r="E748">
        <v>4</v>
      </c>
      <c r="F748" s="3">
        <v>3888</v>
      </c>
      <c r="G748" s="2">
        <v>284.17</v>
      </c>
      <c r="H748">
        <f>Master_ventas[[#This Row],[Profit]]/Master_ventas[[#This Row],[Sales]]</f>
        <v>7.3088991769547335E-2</v>
      </c>
      <c r="I748">
        <f ca="1">Referencia_Hoy-Master_ventas[[#This Row],[Order Date]]</f>
        <v>850</v>
      </c>
      <c r="J748" t="str">
        <f>UPPER(Master_ventas[[#This Row],[Product Name]])</f>
        <v>SMARTPHONE</v>
      </c>
      <c r="K748" t="str">
        <f>UPPER(Master_ventas[[#This Row],[Category]])</f>
        <v>ELECTRONICS</v>
      </c>
      <c r="L748">
        <f>YEAR(Master_ventas[[#This Row],[Order Date]])</f>
        <v>2024</v>
      </c>
      <c r="M748" t="str">
        <f>CONCATENATE(LEFT(Master_ventas[[#This Row],[ProdUpper]],3),RIGHT(Master_ventas[[#This Row],[Ext-Year]],2),"-",MID(Master_ventas[[#This Row],[Category]],1,1))</f>
        <v>SMA24-E</v>
      </c>
      <c r="N748" t="str">
        <f>MID(Master_ventas[[#This Row],[ProdUpper]],1,3)</f>
        <v>SMA</v>
      </c>
      <c r="O748" t="str">
        <f>UPPER(IF(Master_ventas[[#This Row],[Profit]]&gt;500,"High","Std"))</f>
        <v>STD</v>
      </c>
      <c r="P748">
        <v>747</v>
      </c>
    </row>
    <row r="749" spans="1:16" x14ac:dyDescent="0.3">
      <c r="A749" s="1">
        <v>45363</v>
      </c>
      <c r="B749" t="s">
        <v>13</v>
      </c>
      <c r="C749" t="s">
        <v>14</v>
      </c>
      <c r="D749" t="s">
        <v>12</v>
      </c>
      <c r="E749">
        <v>7</v>
      </c>
      <c r="F749" s="3">
        <v>4921</v>
      </c>
      <c r="G749" s="2">
        <v>798.16</v>
      </c>
      <c r="H749">
        <f>Master_ventas[[#This Row],[Profit]]/Master_ventas[[#This Row],[Sales]]</f>
        <v>0.16219467587888639</v>
      </c>
      <c r="I749">
        <f ca="1">Referencia_Hoy-Master_ventas[[#This Row],[Order Date]]</f>
        <v>960</v>
      </c>
      <c r="J749" t="str">
        <f>UPPER(Master_ventas[[#This Row],[Product Name]])</f>
        <v>TABLET</v>
      </c>
      <c r="K749" t="str">
        <f>UPPER(Master_ventas[[#This Row],[Category]])</f>
        <v>ELECTRONICS</v>
      </c>
      <c r="L749">
        <f>YEAR(Master_ventas[[#This Row],[Order Date]])</f>
        <v>2024</v>
      </c>
      <c r="M749" t="str">
        <f>CONCATENATE(LEFT(Master_ventas[[#This Row],[ProdUpper]],3),RIGHT(Master_ventas[[#This Row],[Ext-Year]],2),"-",MID(Master_ventas[[#This Row],[Category]],1,1))</f>
        <v>TAB24-E</v>
      </c>
      <c r="N749" t="str">
        <f>MID(Master_ventas[[#This Row],[ProdUpper]],1,3)</f>
        <v>TAB</v>
      </c>
      <c r="O749" t="str">
        <f>UPPER(IF(Master_ventas[[#This Row],[Profit]]&gt;500,"High","Std"))</f>
        <v>HIGH</v>
      </c>
      <c r="P749">
        <v>748</v>
      </c>
    </row>
    <row r="750" spans="1:16" x14ac:dyDescent="0.3">
      <c r="A750" s="1">
        <v>45477</v>
      </c>
      <c r="B750" t="s">
        <v>19</v>
      </c>
      <c r="C750" t="s">
        <v>14</v>
      </c>
      <c r="D750" t="s">
        <v>16</v>
      </c>
      <c r="E750">
        <v>8</v>
      </c>
      <c r="F750" s="3">
        <v>4472</v>
      </c>
      <c r="G750" s="2">
        <v>290.79000000000002</v>
      </c>
      <c r="H750">
        <f>Master_ventas[[#This Row],[Profit]]/Master_ventas[[#This Row],[Sales]]</f>
        <v>6.5024597495527733E-2</v>
      </c>
      <c r="I750">
        <f ca="1">Referencia_Hoy-Master_ventas[[#This Row],[Order Date]]</f>
        <v>846</v>
      </c>
      <c r="J750" t="str">
        <f>UPPER(Master_ventas[[#This Row],[Product Name]])</f>
        <v>SMARTWATCH</v>
      </c>
      <c r="K750" t="str">
        <f>UPPER(Master_ventas[[#This Row],[Category]])</f>
        <v>ELECTRONICS</v>
      </c>
      <c r="L750">
        <f>YEAR(Master_ventas[[#This Row],[Order Date]])</f>
        <v>2024</v>
      </c>
      <c r="M750" t="str">
        <f>CONCATENATE(LEFT(Master_ventas[[#This Row],[ProdUpper]],3),RIGHT(Master_ventas[[#This Row],[Ext-Year]],2),"-",MID(Master_ventas[[#This Row],[Category]],1,1))</f>
        <v>SMA24-E</v>
      </c>
      <c r="N750" t="str">
        <f>MID(Master_ventas[[#This Row],[ProdUpper]],1,3)</f>
        <v>SMA</v>
      </c>
      <c r="O750" t="str">
        <f>UPPER(IF(Master_ventas[[#This Row],[Profit]]&gt;500,"High","Std"))</f>
        <v>STD</v>
      </c>
      <c r="P750">
        <v>749</v>
      </c>
    </row>
    <row r="751" spans="1:16" x14ac:dyDescent="0.3">
      <c r="A751" s="1">
        <v>45025</v>
      </c>
      <c r="B751" t="s">
        <v>13</v>
      </c>
      <c r="C751" t="s">
        <v>14</v>
      </c>
      <c r="D751" t="s">
        <v>9</v>
      </c>
      <c r="E751">
        <v>3</v>
      </c>
      <c r="F751" s="3">
        <v>603</v>
      </c>
      <c r="G751" s="2">
        <v>153.37</v>
      </c>
      <c r="H751">
        <f>Master_ventas[[#This Row],[Profit]]/Master_ventas[[#This Row],[Sales]]</f>
        <v>0.25434494195688229</v>
      </c>
      <c r="I751">
        <f ca="1">Referencia_Hoy-Master_ventas[[#This Row],[Order Date]]</f>
        <v>1298</v>
      </c>
      <c r="J751" t="str">
        <f>UPPER(Master_ventas[[#This Row],[Product Name]])</f>
        <v>TABLET</v>
      </c>
      <c r="K751" t="str">
        <f>UPPER(Master_ventas[[#This Row],[Category]])</f>
        <v>ELECTRONICS</v>
      </c>
      <c r="L751">
        <f>YEAR(Master_ventas[[#This Row],[Order Date]])</f>
        <v>2023</v>
      </c>
      <c r="M751" t="str">
        <f>CONCATENATE(LEFT(Master_ventas[[#This Row],[ProdUpper]],3),RIGHT(Master_ventas[[#This Row],[Ext-Year]],2),"-",MID(Master_ventas[[#This Row],[Category]],1,1))</f>
        <v>TAB23-E</v>
      </c>
      <c r="N751" t="str">
        <f>MID(Master_ventas[[#This Row],[ProdUpper]],1,3)</f>
        <v>TAB</v>
      </c>
      <c r="O751" t="str">
        <f>UPPER(IF(Master_ventas[[#This Row],[Profit]]&gt;500,"High","Std"))</f>
        <v>STD</v>
      </c>
      <c r="P751">
        <v>750</v>
      </c>
    </row>
    <row r="752" spans="1:16" x14ac:dyDescent="0.3">
      <c r="A752" s="1">
        <v>44995</v>
      </c>
      <c r="B752" t="s">
        <v>18</v>
      </c>
      <c r="C752" t="s">
        <v>11</v>
      </c>
      <c r="D752" t="s">
        <v>16</v>
      </c>
      <c r="E752">
        <v>9</v>
      </c>
      <c r="F752" s="3">
        <v>1899</v>
      </c>
      <c r="G752" s="2">
        <v>501.4</v>
      </c>
      <c r="H752">
        <f>Master_ventas[[#This Row],[Profit]]/Master_ventas[[#This Row],[Sales]]</f>
        <v>0.26403370194839387</v>
      </c>
      <c r="I752">
        <f ca="1">Referencia_Hoy-Master_ventas[[#This Row],[Order Date]]</f>
        <v>1328</v>
      </c>
      <c r="J752" t="str">
        <f>UPPER(Master_ventas[[#This Row],[Product Name]])</f>
        <v>HEADPHONES</v>
      </c>
      <c r="K752" t="str">
        <f>UPPER(Master_ventas[[#This Row],[Category]])</f>
        <v>ACCESSORIES</v>
      </c>
      <c r="L752">
        <f>YEAR(Master_ventas[[#This Row],[Order Date]])</f>
        <v>2023</v>
      </c>
      <c r="M752" t="str">
        <f>CONCATENATE(LEFT(Master_ventas[[#This Row],[ProdUpper]],3),RIGHT(Master_ventas[[#This Row],[Ext-Year]],2),"-",MID(Master_ventas[[#This Row],[Category]],1,1))</f>
        <v>HEA23-A</v>
      </c>
      <c r="N752" t="str">
        <f>MID(Master_ventas[[#This Row],[ProdUpper]],1,3)</f>
        <v>HEA</v>
      </c>
      <c r="O752" t="str">
        <f>UPPER(IF(Master_ventas[[#This Row],[Profit]]&gt;500,"High","Std"))</f>
        <v>HIGH</v>
      </c>
      <c r="P752">
        <v>751</v>
      </c>
    </row>
    <row r="753" spans="1:16" x14ac:dyDescent="0.3">
      <c r="A753" s="1">
        <v>44929</v>
      </c>
      <c r="B753" t="s">
        <v>7</v>
      </c>
      <c r="C753" t="s">
        <v>8</v>
      </c>
      <c r="D753" t="s">
        <v>9</v>
      </c>
      <c r="E753">
        <v>4</v>
      </c>
      <c r="F753" s="3">
        <v>544</v>
      </c>
      <c r="G753" s="2">
        <v>67.84</v>
      </c>
      <c r="H753">
        <f>Master_ventas[[#This Row],[Profit]]/Master_ventas[[#This Row],[Sales]]</f>
        <v>0.12470588235294118</v>
      </c>
      <c r="I753">
        <f ca="1">Referencia_Hoy-Master_ventas[[#This Row],[Order Date]]</f>
        <v>1394</v>
      </c>
      <c r="J753" t="str">
        <f>UPPER(Master_ventas[[#This Row],[Product Name]])</f>
        <v>PRINTER</v>
      </c>
      <c r="K753" t="str">
        <f>UPPER(Master_ventas[[#This Row],[Category]])</f>
        <v>OFFICE</v>
      </c>
      <c r="L753">
        <f>YEAR(Master_ventas[[#This Row],[Order Date]])</f>
        <v>2023</v>
      </c>
      <c r="M753" t="str">
        <f>CONCATENATE(LEFT(Master_ventas[[#This Row],[ProdUpper]],3),RIGHT(Master_ventas[[#This Row],[Ext-Year]],2),"-",MID(Master_ventas[[#This Row],[Category]],1,1))</f>
        <v>PRI23-O</v>
      </c>
      <c r="N753" t="str">
        <f>MID(Master_ventas[[#This Row],[ProdUpper]],1,3)</f>
        <v>PRI</v>
      </c>
      <c r="O753" t="str">
        <f>UPPER(IF(Master_ventas[[#This Row],[Profit]]&gt;500,"High","Std"))</f>
        <v>STD</v>
      </c>
      <c r="P753">
        <v>752</v>
      </c>
    </row>
    <row r="754" spans="1:16" x14ac:dyDescent="0.3">
      <c r="A754" s="1">
        <v>44710</v>
      </c>
      <c r="B754" t="s">
        <v>20</v>
      </c>
      <c r="C754" t="s">
        <v>11</v>
      </c>
      <c r="D754" t="s">
        <v>9</v>
      </c>
      <c r="E754">
        <v>9</v>
      </c>
      <c r="F754" s="3">
        <v>6471</v>
      </c>
      <c r="G754" s="2">
        <v>1844.59</v>
      </c>
      <c r="H754">
        <f>Master_ventas[[#This Row],[Profit]]/Master_ventas[[#This Row],[Sales]]</f>
        <v>0.28505486014526349</v>
      </c>
      <c r="I754">
        <f ca="1">Referencia_Hoy-Master_ventas[[#This Row],[Order Date]]</f>
        <v>1613</v>
      </c>
      <c r="J754" t="str">
        <f>UPPER(Master_ventas[[#This Row],[Product Name]])</f>
        <v>MONITOR</v>
      </c>
      <c r="K754" t="str">
        <f>UPPER(Master_ventas[[#This Row],[Category]])</f>
        <v>ACCESSORIES</v>
      </c>
      <c r="L754">
        <f>YEAR(Master_ventas[[#This Row],[Order Date]])</f>
        <v>2022</v>
      </c>
      <c r="M754" t="str">
        <f>CONCATENATE(LEFT(Master_ventas[[#This Row],[ProdUpper]],3),RIGHT(Master_ventas[[#This Row],[Ext-Year]],2),"-",MID(Master_ventas[[#This Row],[Category]],1,1))</f>
        <v>MON22-A</v>
      </c>
      <c r="N754" t="str">
        <f>MID(Master_ventas[[#This Row],[ProdUpper]],1,3)</f>
        <v>MON</v>
      </c>
      <c r="O754" t="str">
        <f>UPPER(IF(Master_ventas[[#This Row],[Profit]]&gt;500,"High","Std"))</f>
        <v>HIGH</v>
      </c>
      <c r="P754">
        <v>753</v>
      </c>
    </row>
    <row r="755" spans="1:16" x14ac:dyDescent="0.3">
      <c r="A755" s="1">
        <v>45007</v>
      </c>
      <c r="B755" t="s">
        <v>22</v>
      </c>
      <c r="C755" t="s">
        <v>11</v>
      </c>
      <c r="D755" t="s">
        <v>9</v>
      </c>
      <c r="E755">
        <v>1</v>
      </c>
      <c r="F755" s="3">
        <v>677</v>
      </c>
      <c r="G755" s="2">
        <v>54.14</v>
      </c>
      <c r="H755">
        <f>Master_ventas[[#This Row],[Profit]]/Master_ventas[[#This Row],[Sales]]</f>
        <v>7.9970457902511075E-2</v>
      </c>
      <c r="I755">
        <f ca="1">Referencia_Hoy-Master_ventas[[#This Row],[Order Date]]</f>
        <v>1316</v>
      </c>
      <c r="J755" t="str">
        <f>UPPER(Master_ventas[[#This Row],[Product Name]])</f>
        <v>KEYBOARD</v>
      </c>
      <c r="K755" t="str">
        <f>UPPER(Master_ventas[[#This Row],[Category]])</f>
        <v>ACCESSORIES</v>
      </c>
      <c r="L755">
        <f>YEAR(Master_ventas[[#This Row],[Order Date]])</f>
        <v>2023</v>
      </c>
      <c r="M755" t="str">
        <f>CONCATENATE(LEFT(Master_ventas[[#This Row],[ProdUpper]],3),RIGHT(Master_ventas[[#This Row],[Ext-Year]],2),"-",MID(Master_ventas[[#This Row],[Category]],1,1))</f>
        <v>KEY23-A</v>
      </c>
      <c r="N755" t="str">
        <f>MID(Master_ventas[[#This Row],[ProdUpper]],1,3)</f>
        <v>KEY</v>
      </c>
      <c r="O755" t="str">
        <f>UPPER(IF(Master_ventas[[#This Row],[Profit]]&gt;500,"High","Std"))</f>
        <v>STD</v>
      </c>
      <c r="P755">
        <v>754</v>
      </c>
    </row>
    <row r="756" spans="1:16" x14ac:dyDescent="0.3">
      <c r="A756" s="1">
        <v>44811</v>
      </c>
      <c r="B756" t="s">
        <v>23</v>
      </c>
      <c r="C756" t="s">
        <v>14</v>
      </c>
      <c r="D756" t="s">
        <v>15</v>
      </c>
      <c r="E756">
        <v>4</v>
      </c>
      <c r="F756" s="3">
        <v>1372</v>
      </c>
      <c r="G756" s="2">
        <v>302.58</v>
      </c>
      <c r="H756">
        <f>Master_ventas[[#This Row],[Profit]]/Master_ventas[[#This Row],[Sales]]</f>
        <v>0.22053935860058307</v>
      </c>
      <c r="I756">
        <f ca="1">Referencia_Hoy-Master_ventas[[#This Row],[Order Date]]</f>
        <v>1512</v>
      </c>
      <c r="J756" t="str">
        <f>UPPER(Master_ventas[[#This Row],[Product Name]])</f>
        <v>LAPTOP</v>
      </c>
      <c r="K756" t="str">
        <f>UPPER(Master_ventas[[#This Row],[Category]])</f>
        <v>ELECTRONICS</v>
      </c>
      <c r="L756">
        <f>YEAR(Master_ventas[[#This Row],[Order Date]])</f>
        <v>2022</v>
      </c>
      <c r="M756" t="str">
        <f>CONCATENATE(LEFT(Master_ventas[[#This Row],[ProdUpper]],3),RIGHT(Master_ventas[[#This Row],[Ext-Year]],2),"-",MID(Master_ventas[[#This Row],[Category]],1,1))</f>
        <v>LAP22-E</v>
      </c>
      <c r="N756" t="str">
        <f>MID(Master_ventas[[#This Row],[ProdUpper]],1,3)</f>
        <v>LAP</v>
      </c>
      <c r="O756" t="str">
        <f>UPPER(IF(Master_ventas[[#This Row],[Profit]]&gt;500,"High","Std"))</f>
        <v>STD</v>
      </c>
      <c r="P756">
        <v>755</v>
      </c>
    </row>
    <row r="757" spans="1:16" x14ac:dyDescent="0.3">
      <c r="A757" s="1">
        <v>45451</v>
      </c>
      <c r="B757" t="s">
        <v>22</v>
      </c>
      <c r="C757" t="s">
        <v>11</v>
      </c>
      <c r="D757" t="s">
        <v>9</v>
      </c>
      <c r="E757">
        <v>9</v>
      </c>
      <c r="F757" s="3">
        <v>7542</v>
      </c>
      <c r="G757" s="2">
        <v>1477.49</v>
      </c>
      <c r="H757">
        <f>Master_ventas[[#This Row],[Profit]]/Master_ventas[[#This Row],[Sales]]</f>
        <v>0.19590161760806152</v>
      </c>
      <c r="I757">
        <f ca="1">Referencia_Hoy-Master_ventas[[#This Row],[Order Date]]</f>
        <v>872</v>
      </c>
      <c r="J757" t="str">
        <f>UPPER(Master_ventas[[#This Row],[Product Name]])</f>
        <v>KEYBOARD</v>
      </c>
      <c r="K757" t="str">
        <f>UPPER(Master_ventas[[#This Row],[Category]])</f>
        <v>ACCESSORIES</v>
      </c>
      <c r="L757">
        <f>YEAR(Master_ventas[[#This Row],[Order Date]])</f>
        <v>2024</v>
      </c>
      <c r="M757" t="str">
        <f>CONCATENATE(LEFT(Master_ventas[[#This Row],[ProdUpper]],3),RIGHT(Master_ventas[[#This Row],[Ext-Year]],2),"-",MID(Master_ventas[[#This Row],[Category]],1,1))</f>
        <v>KEY24-A</v>
      </c>
      <c r="N757" t="str">
        <f>MID(Master_ventas[[#This Row],[ProdUpper]],1,3)</f>
        <v>KEY</v>
      </c>
      <c r="O757" t="str">
        <f>UPPER(IF(Master_ventas[[#This Row],[Profit]]&gt;500,"High","Std"))</f>
        <v>HIGH</v>
      </c>
      <c r="P757">
        <v>756</v>
      </c>
    </row>
    <row r="758" spans="1:16" x14ac:dyDescent="0.3">
      <c r="A758" s="1">
        <v>45032</v>
      </c>
      <c r="B758" t="s">
        <v>20</v>
      </c>
      <c r="C758" t="s">
        <v>11</v>
      </c>
      <c r="D758" t="s">
        <v>16</v>
      </c>
      <c r="E758">
        <v>1</v>
      </c>
      <c r="F758" s="3">
        <v>924</v>
      </c>
      <c r="G758" s="2">
        <v>125.65</v>
      </c>
      <c r="H758">
        <f>Master_ventas[[#This Row],[Profit]]/Master_ventas[[#This Row],[Sales]]</f>
        <v>0.13598484848484849</v>
      </c>
      <c r="I758">
        <f ca="1">Referencia_Hoy-Master_ventas[[#This Row],[Order Date]]</f>
        <v>1291</v>
      </c>
      <c r="J758" t="str">
        <f>UPPER(Master_ventas[[#This Row],[Product Name]])</f>
        <v>MONITOR</v>
      </c>
      <c r="K758" t="str">
        <f>UPPER(Master_ventas[[#This Row],[Category]])</f>
        <v>ACCESSORIES</v>
      </c>
      <c r="L758">
        <f>YEAR(Master_ventas[[#This Row],[Order Date]])</f>
        <v>2023</v>
      </c>
      <c r="M758" t="str">
        <f>CONCATENATE(LEFT(Master_ventas[[#This Row],[ProdUpper]],3),RIGHT(Master_ventas[[#This Row],[Ext-Year]],2),"-",MID(Master_ventas[[#This Row],[Category]],1,1))</f>
        <v>MON23-A</v>
      </c>
      <c r="N758" t="str">
        <f>MID(Master_ventas[[#This Row],[ProdUpper]],1,3)</f>
        <v>MON</v>
      </c>
      <c r="O758" t="str">
        <f>UPPER(IF(Master_ventas[[#This Row],[Profit]]&gt;500,"High","Std"))</f>
        <v>STD</v>
      </c>
      <c r="P758">
        <v>757</v>
      </c>
    </row>
    <row r="759" spans="1:16" x14ac:dyDescent="0.3">
      <c r="A759" s="1">
        <v>44753</v>
      </c>
      <c r="B759" t="s">
        <v>21</v>
      </c>
      <c r="C759" t="s">
        <v>14</v>
      </c>
      <c r="D759" t="s">
        <v>12</v>
      </c>
      <c r="E759">
        <v>5</v>
      </c>
      <c r="F759" s="3">
        <v>3940</v>
      </c>
      <c r="G759" s="2">
        <v>755.11</v>
      </c>
      <c r="H759">
        <f>Master_ventas[[#This Row],[Profit]]/Master_ventas[[#This Row],[Sales]]</f>
        <v>0.19165228426395939</v>
      </c>
      <c r="I759">
        <f ca="1">Referencia_Hoy-Master_ventas[[#This Row],[Order Date]]</f>
        <v>1570</v>
      </c>
      <c r="J759" t="str">
        <f>UPPER(Master_ventas[[#This Row],[Product Name]])</f>
        <v>SMARTPHONE</v>
      </c>
      <c r="K759" t="str">
        <f>UPPER(Master_ventas[[#This Row],[Category]])</f>
        <v>ELECTRONICS</v>
      </c>
      <c r="L759">
        <f>YEAR(Master_ventas[[#This Row],[Order Date]])</f>
        <v>2022</v>
      </c>
      <c r="M759" t="str">
        <f>CONCATENATE(LEFT(Master_ventas[[#This Row],[ProdUpper]],3),RIGHT(Master_ventas[[#This Row],[Ext-Year]],2),"-",MID(Master_ventas[[#This Row],[Category]],1,1))</f>
        <v>SMA22-E</v>
      </c>
      <c r="N759" t="str">
        <f>MID(Master_ventas[[#This Row],[ProdUpper]],1,3)</f>
        <v>SMA</v>
      </c>
      <c r="O759" t="str">
        <f>UPPER(IF(Master_ventas[[#This Row],[Profit]]&gt;500,"High","Std"))</f>
        <v>HIGH</v>
      </c>
      <c r="P759">
        <v>758</v>
      </c>
    </row>
    <row r="760" spans="1:16" x14ac:dyDescent="0.3">
      <c r="A760" s="1">
        <v>45570</v>
      </c>
      <c r="B760" t="s">
        <v>13</v>
      </c>
      <c r="C760" t="s">
        <v>14</v>
      </c>
      <c r="D760" t="s">
        <v>16</v>
      </c>
      <c r="E760">
        <v>2</v>
      </c>
      <c r="F760" s="3">
        <v>374</v>
      </c>
      <c r="G760" s="2">
        <v>49.26</v>
      </c>
      <c r="H760">
        <f>Master_ventas[[#This Row],[Profit]]/Master_ventas[[#This Row],[Sales]]</f>
        <v>0.13171122994652407</v>
      </c>
      <c r="I760">
        <f ca="1">Referencia_Hoy-Master_ventas[[#This Row],[Order Date]]</f>
        <v>753</v>
      </c>
      <c r="J760" t="str">
        <f>UPPER(Master_ventas[[#This Row],[Product Name]])</f>
        <v>TABLET</v>
      </c>
      <c r="K760" t="str">
        <f>UPPER(Master_ventas[[#This Row],[Category]])</f>
        <v>ELECTRONICS</v>
      </c>
      <c r="L760">
        <f>YEAR(Master_ventas[[#This Row],[Order Date]])</f>
        <v>2024</v>
      </c>
      <c r="M760" t="str">
        <f>CONCATENATE(LEFT(Master_ventas[[#This Row],[ProdUpper]],3),RIGHT(Master_ventas[[#This Row],[Ext-Year]],2),"-",MID(Master_ventas[[#This Row],[Category]],1,1))</f>
        <v>TAB24-E</v>
      </c>
      <c r="N760" t="str">
        <f>MID(Master_ventas[[#This Row],[ProdUpper]],1,3)</f>
        <v>TAB</v>
      </c>
      <c r="O760" t="str">
        <f>UPPER(IF(Master_ventas[[#This Row],[Profit]]&gt;500,"High","Std"))</f>
        <v>STD</v>
      </c>
      <c r="P760">
        <v>759</v>
      </c>
    </row>
    <row r="761" spans="1:16" x14ac:dyDescent="0.3">
      <c r="A761" s="1">
        <v>45004</v>
      </c>
      <c r="B761" t="s">
        <v>7</v>
      </c>
      <c r="C761" t="s">
        <v>8</v>
      </c>
      <c r="D761" t="s">
        <v>9</v>
      </c>
      <c r="E761">
        <v>5</v>
      </c>
      <c r="F761" s="3">
        <v>1800</v>
      </c>
      <c r="G761" s="2">
        <v>252.69</v>
      </c>
      <c r="H761">
        <f>Master_ventas[[#This Row],[Profit]]/Master_ventas[[#This Row],[Sales]]</f>
        <v>0.14038333333333333</v>
      </c>
      <c r="I761">
        <f ca="1">Referencia_Hoy-Master_ventas[[#This Row],[Order Date]]</f>
        <v>1319</v>
      </c>
      <c r="J761" t="str">
        <f>UPPER(Master_ventas[[#This Row],[Product Name]])</f>
        <v>PRINTER</v>
      </c>
      <c r="K761" t="str">
        <f>UPPER(Master_ventas[[#This Row],[Category]])</f>
        <v>OFFICE</v>
      </c>
      <c r="L761">
        <f>YEAR(Master_ventas[[#This Row],[Order Date]])</f>
        <v>2023</v>
      </c>
      <c r="M761" t="str">
        <f>CONCATENATE(LEFT(Master_ventas[[#This Row],[ProdUpper]],3),RIGHT(Master_ventas[[#This Row],[Ext-Year]],2),"-",MID(Master_ventas[[#This Row],[Category]],1,1))</f>
        <v>PRI23-O</v>
      </c>
      <c r="N761" t="str">
        <f>MID(Master_ventas[[#This Row],[ProdUpper]],1,3)</f>
        <v>PRI</v>
      </c>
      <c r="O761" t="str">
        <f>UPPER(IF(Master_ventas[[#This Row],[Profit]]&gt;500,"High","Std"))</f>
        <v>STD</v>
      </c>
      <c r="P761">
        <v>760</v>
      </c>
    </row>
    <row r="762" spans="1:16" x14ac:dyDescent="0.3">
      <c r="A762" s="1">
        <v>44921</v>
      </c>
      <c r="B762" t="s">
        <v>20</v>
      </c>
      <c r="C762" t="s">
        <v>11</v>
      </c>
      <c r="D762" t="s">
        <v>16</v>
      </c>
      <c r="E762">
        <v>5</v>
      </c>
      <c r="F762" s="3">
        <v>3170</v>
      </c>
      <c r="G762" s="2">
        <v>868.34</v>
      </c>
      <c r="H762">
        <f>Master_ventas[[#This Row],[Profit]]/Master_ventas[[#This Row],[Sales]]</f>
        <v>0.27392429022082021</v>
      </c>
      <c r="I762">
        <f ca="1">Referencia_Hoy-Master_ventas[[#This Row],[Order Date]]</f>
        <v>1402</v>
      </c>
      <c r="J762" t="str">
        <f>UPPER(Master_ventas[[#This Row],[Product Name]])</f>
        <v>MONITOR</v>
      </c>
      <c r="K762" t="str">
        <f>UPPER(Master_ventas[[#This Row],[Category]])</f>
        <v>ACCESSORIES</v>
      </c>
      <c r="L762">
        <f>YEAR(Master_ventas[[#This Row],[Order Date]])</f>
        <v>2022</v>
      </c>
      <c r="M762" t="str">
        <f>CONCATENATE(LEFT(Master_ventas[[#This Row],[ProdUpper]],3),RIGHT(Master_ventas[[#This Row],[Ext-Year]],2),"-",MID(Master_ventas[[#This Row],[Category]],1,1))</f>
        <v>MON22-A</v>
      </c>
      <c r="N762" t="str">
        <f>MID(Master_ventas[[#This Row],[ProdUpper]],1,3)</f>
        <v>MON</v>
      </c>
      <c r="O762" t="str">
        <f>UPPER(IF(Master_ventas[[#This Row],[Profit]]&gt;500,"High","Std"))</f>
        <v>HIGH</v>
      </c>
      <c r="P762">
        <v>761</v>
      </c>
    </row>
    <row r="763" spans="1:16" x14ac:dyDescent="0.3">
      <c r="A763" s="1">
        <v>45521</v>
      </c>
      <c r="B763" t="s">
        <v>18</v>
      </c>
      <c r="C763" t="s">
        <v>11</v>
      </c>
      <c r="D763" t="s">
        <v>9</v>
      </c>
      <c r="E763">
        <v>7</v>
      </c>
      <c r="F763" s="3">
        <v>5362</v>
      </c>
      <c r="G763" s="2">
        <v>1029.47</v>
      </c>
      <c r="H763">
        <f>Master_ventas[[#This Row],[Profit]]/Master_ventas[[#This Row],[Sales]]</f>
        <v>0.19199365908243193</v>
      </c>
      <c r="I763">
        <f ca="1">Referencia_Hoy-Master_ventas[[#This Row],[Order Date]]</f>
        <v>802</v>
      </c>
      <c r="J763" t="str">
        <f>UPPER(Master_ventas[[#This Row],[Product Name]])</f>
        <v>HEADPHONES</v>
      </c>
      <c r="K763" t="str">
        <f>UPPER(Master_ventas[[#This Row],[Category]])</f>
        <v>ACCESSORIES</v>
      </c>
      <c r="L763">
        <f>YEAR(Master_ventas[[#This Row],[Order Date]])</f>
        <v>2024</v>
      </c>
      <c r="M763" t="str">
        <f>CONCATENATE(LEFT(Master_ventas[[#This Row],[ProdUpper]],3),RIGHT(Master_ventas[[#This Row],[Ext-Year]],2),"-",MID(Master_ventas[[#This Row],[Category]],1,1))</f>
        <v>HEA24-A</v>
      </c>
      <c r="N763" t="str">
        <f>MID(Master_ventas[[#This Row],[ProdUpper]],1,3)</f>
        <v>HEA</v>
      </c>
      <c r="O763" t="str">
        <f>UPPER(IF(Master_ventas[[#This Row],[Profit]]&gt;500,"High","Std"))</f>
        <v>HIGH</v>
      </c>
      <c r="P763">
        <v>762</v>
      </c>
    </row>
    <row r="764" spans="1:16" x14ac:dyDescent="0.3">
      <c r="A764" s="1">
        <v>45235</v>
      </c>
      <c r="B764" t="s">
        <v>20</v>
      </c>
      <c r="C764" t="s">
        <v>11</v>
      </c>
      <c r="D764" t="s">
        <v>12</v>
      </c>
      <c r="E764">
        <v>9</v>
      </c>
      <c r="F764" s="3">
        <v>5976</v>
      </c>
      <c r="G764" s="2">
        <v>1747.57</v>
      </c>
      <c r="H764">
        <f>Master_ventas[[#This Row],[Profit]]/Master_ventas[[#This Row],[Sales]]</f>
        <v>0.2924313922356091</v>
      </c>
      <c r="I764">
        <f ca="1">Referencia_Hoy-Master_ventas[[#This Row],[Order Date]]</f>
        <v>1088</v>
      </c>
      <c r="J764" t="str">
        <f>UPPER(Master_ventas[[#This Row],[Product Name]])</f>
        <v>MONITOR</v>
      </c>
      <c r="K764" t="str">
        <f>UPPER(Master_ventas[[#This Row],[Category]])</f>
        <v>ACCESSORIES</v>
      </c>
      <c r="L764">
        <f>YEAR(Master_ventas[[#This Row],[Order Date]])</f>
        <v>2023</v>
      </c>
      <c r="M764" t="str">
        <f>CONCATENATE(LEFT(Master_ventas[[#This Row],[ProdUpper]],3),RIGHT(Master_ventas[[#This Row],[Ext-Year]],2),"-",MID(Master_ventas[[#This Row],[Category]],1,1))</f>
        <v>MON23-A</v>
      </c>
      <c r="N764" t="str">
        <f>MID(Master_ventas[[#This Row],[ProdUpper]],1,3)</f>
        <v>MON</v>
      </c>
      <c r="O764" t="str">
        <f>UPPER(IF(Master_ventas[[#This Row],[Profit]]&gt;500,"High","Std"))</f>
        <v>HIGH</v>
      </c>
      <c r="P764">
        <v>763</v>
      </c>
    </row>
    <row r="765" spans="1:16" x14ac:dyDescent="0.3">
      <c r="A765" s="1">
        <v>45113</v>
      </c>
      <c r="B765" t="s">
        <v>22</v>
      </c>
      <c r="C765" t="s">
        <v>11</v>
      </c>
      <c r="D765" t="s">
        <v>9</v>
      </c>
      <c r="E765">
        <v>9</v>
      </c>
      <c r="F765" s="3">
        <v>8514</v>
      </c>
      <c r="G765" s="2">
        <v>1400.4</v>
      </c>
      <c r="H765">
        <f>Master_ventas[[#This Row],[Profit]]/Master_ventas[[#This Row],[Sales]]</f>
        <v>0.16448202959830868</v>
      </c>
      <c r="I765">
        <f ca="1">Referencia_Hoy-Master_ventas[[#This Row],[Order Date]]</f>
        <v>1210</v>
      </c>
      <c r="J765" t="str">
        <f>UPPER(Master_ventas[[#This Row],[Product Name]])</f>
        <v>KEYBOARD</v>
      </c>
      <c r="K765" t="str">
        <f>UPPER(Master_ventas[[#This Row],[Category]])</f>
        <v>ACCESSORIES</v>
      </c>
      <c r="L765">
        <f>YEAR(Master_ventas[[#This Row],[Order Date]])</f>
        <v>2023</v>
      </c>
      <c r="M765" t="str">
        <f>CONCATENATE(LEFT(Master_ventas[[#This Row],[ProdUpper]],3),RIGHT(Master_ventas[[#This Row],[Ext-Year]],2),"-",MID(Master_ventas[[#This Row],[Category]],1,1))</f>
        <v>KEY23-A</v>
      </c>
      <c r="N765" t="str">
        <f>MID(Master_ventas[[#This Row],[ProdUpper]],1,3)</f>
        <v>KEY</v>
      </c>
      <c r="O765" t="str">
        <f>UPPER(IF(Master_ventas[[#This Row],[Profit]]&gt;500,"High","Std"))</f>
        <v>HIGH</v>
      </c>
      <c r="P765">
        <v>764</v>
      </c>
    </row>
    <row r="766" spans="1:16" x14ac:dyDescent="0.3">
      <c r="A766" s="1">
        <v>45255</v>
      </c>
      <c r="B766" t="s">
        <v>23</v>
      </c>
      <c r="C766" t="s">
        <v>14</v>
      </c>
      <c r="D766" t="s">
        <v>15</v>
      </c>
      <c r="E766">
        <v>1</v>
      </c>
      <c r="F766" s="3">
        <v>810</v>
      </c>
      <c r="G766" s="2">
        <v>157.47</v>
      </c>
      <c r="H766">
        <f>Master_ventas[[#This Row],[Profit]]/Master_ventas[[#This Row],[Sales]]</f>
        <v>0.19440740740740742</v>
      </c>
      <c r="I766">
        <f ca="1">Referencia_Hoy-Master_ventas[[#This Row],[Order Date]]</f>
        <v>1068</v>
      </c>
      <c r="J766" t="str">
        <f>UPPER(Master_ventas[[#This Row],[Product Name]])</f>
        <v>LAPTOP</v>
      </c>
      <c r="K766" t="str">
        <f>UPPER(Master_ventas[[#This Row],[Category]])</f>
        <v>ELECTRONICS</v>
      </c>
      <c r="L766">
        <f>YEAR(Master_ventas[[#This Row],[Order Date]])</f>
        <v>2023</v>
      </c>
      <c r="M766" t="str">
        <f>CONCATENATE(LEFT(Master_ventas[[#This Row],[ProdUpper]],3),RIGHT(Master_ventas[[#This Row],[Ext-Year]],2),"-",MID(Master_ventas[[#This Row],[Category]],1,1))</f>
        <v>LAP23-E</v>
      </c>
      <c r="N766" t="str">
        <f>MID(Master_ventas[[#This Row],[ProdUpper]],1,3)</f>
        <v>LAP</v>
      </c>
      <c r="O766" t="str">
        <f>UPPER(IF(Master_ventas[[#This Row],[Profit]]&gt;500,"High","Std"))</f>
        <v>STD</v>
      </c>
      <c r="P766">
        <v>765</v>
      </c>
    </row>
    <row r="767" spans="1:16" x14ac:dyDescent="0.3">
      <c r="A767" s="1">
        <v>44569</v>
      </c>
      <c r="B767" t="s">
        <v>10</v>
      </c>
      <c r="C767" t="s">
        <v>11</v>
      </c>
      <c r="D767" t="s">
        <v>15</v>
      </c>
      <c r="E767">
        <v>1</v>
      </c>
      <c r="F767" s="3">
        <v>71</v>
      </c>
      <c r="G767" s="2">
        <v>12.02</v>
      </c>
      <c r="H767">
        <f>Master_ventas[[#This Row],[Profit]]/Master_ventas[[#This Row],[Sales]]</f>
        <v>0.16929577464788731</v>
      </c>
      <c r="I767">
        <f ca="1">Referencia_Hoy-Master_ventas[[#This Row],[Order Date]]</f>
        <v>1754</v>
      </c>
      <c r="J767" t="str">
        <f>UPPER(Master_ventas[[#This Row],[Product Name]])</f>
        <v>MOUSE</v>
      </c>
      <c r="K767" t="str">
        <f>UPPER(Master_ventas[[#This Row],[Category]])</f>
        <v>ACCESSORIES</v>
      </c>
      <c r="L767">
        <f>YEAR(Master_ventas[[#This Row],[Order Date]])</f>
        <v>2022</v>
      </c>
      <c r="M767" t="str">
        <f>CONCATENATE(LEFT(Master_ventas[[#This Row],[ProdUpper]],3),RIGHT(Master_ventas[[#This Row],[Ext-Year]],2),"-",MID(Master_ventas[[#This Row],[Category]],1,1))</f>
        <v>MOU22-A</v>
      </c>
      <c r="N767" t="str">
        <f>MID(Master_ventas[[#This Row],[ProdUpper]],1,3)</f>
        <v>MOU</v>
      </c>
      <c r="O767" t="str">
        <f>UPPER(IF(Master_ventas[[#This Row],[Profit]]&gt;500,"High","Std"))</f>
        <v>STD</v>
      </c>
      <c r="P767">
        <v>766</v>
      </c>
    </row>
    <row r="768" spans="1:16" x14ac:dyDescent="0.3">
      <c r="A768" s="1">
        <v>44727</v>
      </c>
      <c r="B768" t="s">
        <v>23</v>
      </c>
      <c r="C768" t="s">
        <v>14</v>
      </c>
      <c r="D768" t="s">
        <v>9</v>
      </c>
      <c r="E768">
        <v>1</v>
      </c>
      <c r="F768" s="3">
        <v>651</v>
      </c>
      <c r="G768" s="2">
        <v>57.94</v>
      </c>
      <c r="H768">
        <f>Master_ventas[[#This Row],[Profit]]/Master_ventas[[#This Row],[Sales]]</f>
        <v>8.9001536098310283E-2</v>
      </c>
      <c r="I768">
        <f ca="1">Referencia_Hoy-Master_ventas[[#This Row],[Order Date]]</f>
        <v>1596</v>
      </c>
      <c r="J768" t="str">
        <f>UPPER(Master_ventas[[#This Row],[Product Name]])</f>
        <v>LAPTOP</v>
      </c>
      <c r="K768" t="str">
        <f>UPPER(Master_ventas[[#This Row],[Category]])</f>
        <v>ELECTRONICS</v>
      </c>
      <c r="L768">
        <f>YEAR(Master_ventas[[#This Row],[Order Date]])</f>
        <v>2022</v>
      </c>
      <c r="M768" t="str">
        <f>CONCATENATE(LEFT(Master_ventas[[#This Row],[ProdUpper]],3),RIGHT(Master_ventas[[#This Row],[Ext-Year]],2),"-",MID(Master_ventas[[#This Row],[Category]],1,1))</f>
        <v>LAP22-E</v>
      </c>
      <c r="N768" t="str">
        <f>MID(Master_ventas[[#This Row],[ProdUpper]],1,3)</f>
        <v>LAP</v>
      </c>
      <c r="O768" t="str">
        <f>UPPER(IF(Master_ventas[[#This Row],[Profit]]&gt;500,"High","Std"))</f>
        <v>STD</v>
      </c>
      <c r="P768">
        <v>767</v>
      </c>
    </row>
    <row r="769" spans="1:16" x14ac:dyDescent="0.3">
      <c r="A769" s="1">
        <v>44633</v>
      </c>
      <c r="B769" t="s">
        <v>20</v>
      </c>
      <c r="C769" t="s">
        <v>11</v>
      </c>
      <c r="D769" t="s">
        <v>9</v>
      </c>
      <c r="E769">
        <v>3</v>
      </c>
      <c r="F769" s="3">
        <v>1245</v>
      </c>
      <c r="G769" s="2">
        <v>119.11</v>
      </c>
      <c r="H769">
        <f>Master_ventas[[#This Row],[Profit]]/Master_ventas[[#This Row],[Sales]]</f>
        <v>9.567068273092369E-2</v>
      </c>
      <c r="I769">
        <f ca="1">Referencia_Hoy-Master_ventas[[#This Row],[Order Date]]</f>
        <v>1690</v>
      </c>
      <c r="J769" t="str">
        <f>UPPER(Master_ventas[[#This Row],[Product Name]])</f>
        <v>MONITOR</v>
      </c>
      <c r="K769" t="str">
        <f>UPPER(Master_ventas[[#This Row],[Category]])</f>
        <v>ACCESSORIES</v>
      </c>
      <c r="L769">
        <f>YEAR(Master_ventas[[#This Row],[Order Date]])</f>
        <v>2022</v>
      </c>
      <c r="M769" t="str">
        <f>CONCATENATE(LEFT(Master_ventas[[#This Row],[ProdUpper]],3),RIGHT(Master_ventas[[#This Row],[Ext-Year]],2),"-",MID(Master_ventas[[#This Row],[Category]],1,1))</f>
        <v>MON22-A</v>
      </c>
      <c r="N769" t="str">
        <f>MID(Master_ventas[[#This Row],[ProdUpper]],1,3)</f>
        <v>MON</v>
      </c>
      <c r="O769" t="str">
        <f>UPPER(IF(Master_ventas[[#This Row],[Profit]]&gt;500,"High","Std"))</f>
        <v>STD</v>
      </c>
      <c r="P769">
        <v>768</v>
      </c>
    </row>
    <row r="770" spans="1:16" x14ac:dyDescent="0.3">
      <c r="A770" s="1">
        <v>45236</v>
      </c>
      <c r="B770" t="s">
        <v>20</v>
      </c>
      <c r="C770" t="s">
        <v>11</v>
      </c>
      <c r="D770" t="s">
        <v>16</v>
      </c>
      <c r="E770">
        <v>1</v>
      </c>
      <c r="F770" s="3">
        <v>464</v>
      </c>
      <c r="G770" s="2">
        <v>58.38</v>
      </c>
      <c r="H770">
        <f>Master_ventas[[#This Row],[Profit]]/Master_ventas[[#This Row],[Sales]]</f>
        <v>0.12581896551724139</v>
      </c>
      <c r="I770">
        <f ca="1">Referencia_Hoy-Master_ventas[[#This Row],[Order Date]]</f>
        <v>1087</v>
      </c>
      <c r="J770" t="str">
        <f>UPPER(Master_ventas[[#This Row],[Product Name]])</f>
        <v>MONITOR</v>
      </c>
      <c r="K770" t="str">
        <f>UPPER(Master_ventas[[#This Row],[Category]])</f>
        <v>ACCESSORIES</v>
      </c>
      <c r="L770">
        <f>YEAR(Master_ventas[[#This Row],[Order Date]])</f>
        <v>2023</v>
      </c>
      <c r="M770" t="str">
        <f>CONCATENATE(LEFT(Master_ventas[[#This Row],[ProdUpper]],3),RIGHT(Master_ventas[[#This Row],[Ext-Year]],2),"-",MID(Master_ventas[[#This Row],[Category]],1,1))</f>
        <v>MON23-A</v>
      </c>
      <c r="N770" t="str">
        <f>MID(Master_ventas[[#This Row],[ProdUpper]],1,3)</f>
        <v>MON</v>
      </c>
      <c r="O770" t="str">
        <f>UPPER(IF(Master_ventas[[#This Row],[Profit]]&gt;500,"High","Std"))</f>
        <v>STD</v>
      </c>
      <c r="P770">
        <v>769</v>
      </c>
    </row>
    <row r="771" spans="1:16" x14ac:dyDescent="0.3">
      <c r="A771" s="1">
        <v>44968</v>
      </c>
      <c r="B771" t="s">
        <v>20</v>
      </c>
      <c r="C771" t="s">
        <v>11</v>
      </c>
      <c r="D771" t="s">
        <v>9</v>
      </c>
      <c r="E771">
        <v>5</v>
      </c>
      <c r="F771" s="3">
        <v>5155</v>
      </c>
      <c r="G771" s="2">
        <v>356.43</v>
      </c>
      <c r="H771">
        <f>Master_ventas[[#This Row],[Profit]]/Master_ventas[[#This Row],[Sales]]</f>
        <v>6.9142580019398645E-2</v>
      </c>
      <c r="I771">
        <f ca="1">Referencia_Hoy-Master_ventas[[#This Row],[Order Date]]</f>
        <v>1355</v>
      </c>
      <c r="J771" t="str">
        <f>UPPER(Master_ventas[[#This Row],[Product Name]])</f>
        <v>MONITOR</v>
      </c>
      <c r="K771" t="str">
        <f>UPPER(Master_ventas[[#This Row],[Category]])</f>
        <v>ACCESSORIES</v>
      </c>
      <c r="L771">
        <f>YEAR(Master_ventas[[#This Row],[Order Date]])</f>
        <v>2023</v>
      </c>
      <c r="M771" t="str">
        <f>CONCATENATE(LEFT(Master_ventas[[#This Row],[ProdUpper]],3),RIGHT(Master_ventas[[#This Row],[Ext-Year]],2),"-",MID(Master_ventas[[#This Row],[Category]],1,1))</f>
        <v>MON23-A</v>
      </c>
      <c r="N771" t="str">
        <f>MID(Master_ventas[[#This Row],[ProdUpper]],1,3)</f>
        <v>MON</v>
      </c>
      <c r="O771" t="str">
        <f>UPPER(IF(Master_ventas[[#This Row],[Profit]]&gt;500,"High","Std"))</f>
        <v>STD</v>
      </c>
      <c r="P771">
        <v>770</v>
      </c>
    </row>
    <row r="772" spans="1:16" x14ac:dyDescent="0.3">
      <c r="A772" s="1">
        <v>45271</v>
      </c>
      <c r="B772" t="s">
        <v>21</v>
      </c>
      <c r="C772" t="s">
        <v>14</v>
      </c>
      <c r="D772" t="s">
        <v>12</v>
      </c>
      <c r="E772">
        <v>5</v>
      </c>
      <c r="F772" s="3">
        <v>5175</v>
      </c>
      <c r="G772" s="2">
        <v>786.27</v>
      </c>
      <c r="H772">
        <f>Master_ventas[[#This Row],[Profit]]/Master_ventas[[#This Row],[Sales]]</f>
        <v>0.15193623188405797</v>
      </c>
      <c r="I772">
        <f ca="1">Referencia_Hoy-Master_ventas[[#This Row],[Order Date]]</f>
        <v>1052</v>
      </c>
      <c r="J772" t="str">
        <f>UPPER(Master_ventas[[#This Row],[Product Name]])</f>
        <v>SMARTPHONE</v>
      </c>
      <c r="K772" t="str">
        <f>UPPER(Master_ventas[[#This Row],[Category]])</f>
        <v>ELECTRONICS</v>
      </c>
      <c r="L772">
        <f>YEAR(Master_ventas[[#This Row],[Order Date]])</f>
        <v>2023</v>
      </c>
      <c r="M772" t="str">
        <f>CONCATENATE(LEFT(Master_ventas[[#This Row],[ProdUpper]],3),RIGHT(Master_ventas[[#This Row],[Ext-Year]],2),"-",MID(Master_ventas[[#This Row],[Category]],1,1))</f>
        <v>SMA23-E</v>
      </c>
      <c r="N772" t="str">
        <f>MID(Master_ventas[[#This Row],[ProdUpper]],1,3)</f>
        <v>SMA</v>
      </c>
      <c r="O772" t="str">
        <f>UPPER(IF(Master_ventas[[#This Row],[Profit]]&gt;500,"High","Std"))</f>
        <v>HIGH</v>
      </c>
      <c r="P772">
        <v>771</v>
      </c>
    </row>
    <row r="773" spans="1:16" x14ac:dyDescent="0.3">
      <c r="A773" s="1">
        <v>44574</v>
      </c>
      <c r="B773" t="s">
        <v>21</v>
      </c>
      <c r="C773" t="s">
        <v>14</v>
      </c>
      <c r="D773" t="s">
        <v>12</v>
      </c>
      <c r="E773">
        <v>2</v>
      </c>
      <c r="F773" s="3">
        <v>1668</v>
      </c>
      <c r="G773" s="2">
        <v>470.42</v>
      </c>
      <c r="H773">
        <f>Master_ventas[[#This Row],[Profit]]/Master_ventas[[#This Row],[Sales]]</f>
        <v>0.28202637889688248</v>
      </c>
      <c r="I773">
        <f ca="1">Referencia_Hoy-Master_ventas[[#This Row],[Order Date]]</f>
        <v>1749</v>
      </c>
      <c r="J773" t="str">
        <f>UPPER(Master_ventas[[#This Row],[Product Name]])</f>
        <v>SMARTPHONE</v>
      </c>
      <c r="K773" t="str">
        <f>UPPER(Master_ventas[[#This Row],[Category]])</f>
        <v>ELECTRONICS</v>
      </c>
      <c r="L773">
        <f>YEAR(Master_ventas[[#This Row],[Order Date]])</f>
        <v>2022</v>
      </c>
      <c r="M773" t="str">
        <f>CONCATENATE(LEFT(Master_ventas[[#This Row],[ProdUpper]],3),RIGHT(Master_ventas[[#This Row],[Ext-Year]],2),"-",MID(Master_ventas[[#This Row],[Category]],1,1))</f>
        <v>SMA22-E</v>
      </c>
      <c r="N773" t="str">
        <f>MID(Master_ventas[[#This Row],[ProdUpper]],1,3)</f>
        <v>SMA</v>
      </c>
      <c r="O773" t="str">
        <f>UPPER(IF(Master_ventas[[#This Row],[Profit]]&gt;500,"High","Std"))</f>
        <v>STD</v>
      </c>
      <c r="P773">
        <v>772</v>
      </c>
    </row>
    <row r="774" spans="1:16" x14ac:dyDescent="0.3">
      <c r="A774" s="1">
        <v>45565</v>
      </c>
      <c r="B774" t="s">
        <v>7</v>
      </c>
      <c r="C774" t="s">
        <v>8</v>
      </c>
      <c r="D774" t="s">
        <v>12</v>
      </c>
      <c r="E774">
        <v>3</v>
      </c>
      <c r="F774" s="3">
        <v>1872</v>
      </c>
      <c r="G774" s="2">
        <v>532.80999999999995</v>
      </c>
      <c r="H774">
        <f>Master_ventas[[#This Row],[Profit]]/Master_ventas[[#This Row],[Sales]]</f>
        <v>0.28462072649572645</v>
      </c>
      <c r="I774">
        <f ca="1">Referencia_Hoy-Master_ventas[[#This Row],[Order Date]]</f>
        <v>758</v>
      </c>
      <c r="J774" t="str">
        <f>UPPER(Master_ventas[[#This Row],[Product Name]])</f>
        <v>PRINTER</v>
      </c>
      <c r="K774" t="str">
        <f>UPPER(Master_ventas[[#This Row],[Category]])</f>
        <v>OFFICE</v>
      </c>
      <c r="L774">
        <f>YEAR(Master_ventas[[#This Row],[Order Date]])</f>
        <v>2024</v>
      </c>
      <c r="M774" t="str">
        <f>CONCATENATE(LEFT(Master_ventas[[#This Row],[ProdUpper]],3),RIGHT(Master_ventas[[#This Row],[Ext-Year]],2),"-",MID(Master_ventas[[#This Row],[Category]],1,1))</f>
        <v>PRI24-O</v>
      </c>
      <c r="N774" t="str">
        <f>MID(Master_ventas[[#This Row],[ProdUpper]],1,3)</f>
        <v>PRI</v>
      </c>
      <c r="O774" t="str">
        <f>UPPER(IF(Master_ventas[[#This Row],[Profit]]&gt;500,"High","Std"))</f>
        <v>HIGH</v>
      </c>
      <c r="P774">
        <v>773</v>
      </c>
    </row>
    <row r="775" spans="1:16" x14ac:dyDescent="0.3">
      <c r="A775" s="1">
        <v>44942</v>
      </c>
      <c r="B775" t="s">
        <v>23</v>
      </c>
      <c r="C775" t="s">
        <v>14</v>
      </c>
      <c r="D775" t="s">
        <v>9</v>
      </c>
      <c r="E775">
        <v>3</v>
      </c>
      <c r="F775" s="3">
        <v>513</v>
      </c>
      <c r="G775" s="2">
        <v>132.56</v>
      </c>
      <c r="H775">
        <f>Master_ventas[[#This Row],[Profit]]/Master_ventas[[#This Row],[Sales]]</f>
        <v>0.25840155945419102</v>
      </c>
      <c r="I775">
        <f ca="1">Referencia_Hoy-Master_ventas[[#This Row],[Order Date]]</f>
        <v>1381</v>
      </c>
      <c r="J775" t="str">
        <f>UPPER(Master_ventas[[#This Row],[Product Name]])</f>
        <v>LAPTOP</v>
      </c>
      <c r="K775" t="str">
        <f>UPPER(Master_ventas[[#This Row],[Category]])</f>
        <v>ELECTRONICS</v>
      </c>
      <c r="L775">
        <f>YEAR(Master_ventas[[#This Row],[Order Date]])</f>
        <v>2023</v>
      </c>
      <c r="M775" t="str">
        <f>CONCATENATE(LEFT(Master_ventas[[#This Row],[ProdUpper]],3),RIGHT(Master_ventas[[#This Row],[Ext-Year]],2),"-",MID(Master_ventas[[#This Row],[Category]],1,1))</f>
        <v>LAP23-E</v>
      </c>
      <c r="N775" t="str">
        <f>MID(Master_ventas[[#This Row],[ProdUpper]],1,3)</f>
        <v>LAP</v>
      </c>
      <c r="O775" t="str">
        <f>UPPER(IF(Master_ventas[[#This Row],[Profit]]&gt;500,"High","Std"))</f>
        <v>STD</v>
      </c>
      <c r="P775">
        <v>774</v>
      </c>
    </row>
    <row r="776" spans="1:16" x14ac:dyDescent="0.3">
      <c r="A776" s="1">
        <v>45387</v>
      </c>
      <c r="B776" t="s">
        <v>7</v>
      </c>
      <c r="C776" t="s">
        <v>8</v>
      </c>
      <c r="D776" t="s">
        <v>16</v>
      </c>
      <c r="E776">
        <v>2</v>
      </c>
      <c r="F776" s="3">
        <v>2276</v>
      </c>
      <c r="G776" s="2">
        <v>366.5</v>
      </c>
      <c r="H776">
        <f>Master_ventas[[#This Row],[Profit]]/Master_ventas[[#This Row],[Sales]]</f>
        <v>0.1610281195079086</v>
      </c>
      <c r="I776">
        <f ca="1">Referencia_Hoy-Master_ventas[[#This Row],[Order Date]]</f>
        <v>936</v>
      </c>
      <c r="J776" t="str">
        <f>UPPER(Master_ventas[[#This Row],[Product Name]])</f>
        <v>PRINTER</v>
      </c>
      <c r="K776" t="str">
        <f>UPPER(Master_ventas[[#This Row],[Category]])</f>
        <v>OFFICE</v>
      </c>
      <c r="L776">
        <f>YEAR(Master_ventas[[#This Row],[Order Date]])</f>
        <v>2024</v>
      </c>
      <c r="M776" t="str">
        <f>CONCATENATE(LEFT(Master_ventas[[#This Row],[ProdUpper]],3),RIGHT(Master_ventas[[#This Row],[Ext-Year]],2),"-",MID(Master_ventas[[#This Row],[Category]],1,1))</f>
        <v>PRI24-O</v>
      </c>
      <c r="N776" t="str">
        <f>MID(Master_ventas[[#This Row],[ProdUpper]],1,3)</f>
        <v>PRI</v>
      </c>
      <c r="O776" t="str">
        <f>UPPER(IF(Master_ventas[[#This Row],[Profit]]&gt;500,"High","Std"))</f>
        <v>STD</v>
      </c>
      <c r="P776">
        <v>775</v>
      </c>
    </row>
    <row r="777" spans="1:16" x14ac:dyDescent="0.3">
      <c r="A777" s="1">
        <v>45293</v>
      </c>
      <c r="B777" t="s">
        <v>10</v>
      </c>
      <c r="C777" t="s">
        <v>11</v>
      </c>
      <c r="D777" t="s">
        <v>16</v>
      </c>
      <c r="E777">
        <v>4</v>
      </c>
      <c r="F777" s="3">
        <v>3428</v>
      </c>
      <c r="G777" s="2">
        <v>305.79000000000002</v>
      </c>
      <c r="H777">
        <f>Master_ventas[[#This Row],[Profit]]/Master_ventas[[#This Row],[Sales]]</f>
        <v>8.9203617269544927E-2</v>
      </c>
      <c r="I777">
        <f ca="1">Referencia_Hoy-Master_ventas[[#This Row],[Order Date]]</f>
        <v>1030</v>
      </c>
      <c r="J777" t="str">
        <f>UPPER(Master_ventas[[#This Row],[Product Name]])</f>
        <v>MOUSE</v>
      </c>
      <c r="K777" t="str">
        <f>UPPER(Master_ventas[[#This Row],[Category]])</f>
        <v>ACCESSORIES</v>
      </c>
      <c r="L777">
        <f>YEAR(Master_ventas[[#This Row],[Order Date]])</f>
        <v>2024</v>
      </c>
      <c r="M777" t="str">
        <f>CONCATENATE(LEFT(Master_ventas[[#This Row],[ProdUpper]],3),RIGHT(Master_ventas[[#This Row],[Ext-Year]],2),"-",MID(Master_ventas[[#This Row],[Category]],1,1))</f>
        <v>MOU24-A</v>
      </c>
      <c r="N777" t="str">
        <f>MID(Master_ventas[[#This Row],[ProdUpper]],1,3)</f>
        <v>MOU</v>
      </c>
      <c r="O777" t="str">
        <f>UPPER(IF(Master_ventas[[#This Row],[Profit]]&gt;500,"High","Std"))</f>
        <v>STD</v>
      </c>
      <c r="P777">
        <v>776</v>
      </c>
    </row>
    <row r="778" spans="1:16" x14ac:dyDescent="0.3">
      <c r="A778" s="1">
        <v>45353</v>
      </c>
      <c r="B778" t="s">
        <v>22</v>
      </c>
      <c r="C778" t="s">
        <v>11</v>
      </c>
      <c r="D778" t="s">
        <v>12</v>
      </c>
      <c r="E778">
        <v>2</v>
      </c>
      <c r="F778" s="3">
        <v>1640</v>
      </c>
      <c r="G778" s="2">
        <v>176.87</v>
      </c>
      <c r="H778">
        <f>Master_ventas[[#This Row],[Profit]]/Master_ventas[[#This Row],[Sales]]</f>
        <v>0.10784756097560975</v>
      </c>
      <c r="I778">
        <f ca="1">Referencia_Hoy-Master_ventas[[#This Row],[Order Date]]</f>
        <v>970</v>
      </c>
      <c r="J778" t="str">
        <f>UPPER(Master_ventas[[#This Row],[Product Name]])</f>
        <v>KEYBOARD</v>
      </c>
      <c r="K778" t="str">
        <f>UPPER(Master_ventas[[#This Row],[Category]])</f>
        <v>ACCESSORIES</v>
      </c>
      <c r="L778">
        <f>YEAR(Master_ventas[[#This Row],[Order Date]])</f>
        <v>2024</v>
      </c>
      <c r="M778" t="str">
        <f>CONCATENATE(LEFT(Master_ventas[[#This Row],[ProdUpper]],3),RIGHT(Master_ventas[[#This Row],[Ext-Year]],2),"-",MID(Master_ventas[[#This Row],[Category]],1,1))</f>
        <v>KEY24-A</v>
      </c>
      <c r="N778" t="str">
        <f>MID(Master_ventas[[#This Row],[ProdUpper]],1,3)</f>
        <v>KEY</v>
      </c>
      <c r="O778" t="str">
        <f>UPPER(IF(Master_ventas[[#This Row],[Profit]]&gt;500,"High","Std"))</f>
        <v>STD</v>
      </c>
      <c r="P778">
        <v>777</v>
      </c>
    </row>
    <row r="779" spans="1:16" x14ac:dyDescent="0.3">
      <c r="A779" s="1">
        <v>45437</v>
      </c>
      <c r="B779" t="s">
        <v>17</v>
      </c>
      <c r="C779" t="s">
        <v>14</v>
      </c>
      <c r="D779" t="s">
        <v>12</v>
      </c>
      <c r="E779">
        <v>7</v>
      </c>
      <c r="F779" s="3">
        <v>7077</v>
      </c>
      <c r="G779" s="2">
        <v>1921.73</v>
      </c>
      <c r="H779">
        <f>Master_ventas[[#This Row],[Profit]]/Master_ventas[[#This Row],[Sales]]</f>
        <v>0.27154585276246995</v>
      </c>
      <c r="I779">
        <f ca="1">Referencia_Hoy-Master_ventas[[#This Row],[Order Date]]</f>
        <v>886</v>
      </c>
      <c r="J779" t="str">
        <f>UPPER(Master_ventas[[#This Row],[Product Name]])</f>
        <v>CAMERA</v>
      </c>
      <c r="K779" t="str">
        <f>UPPER(Master_ventas[[#This Row],[Category]])</f>
        <v>ELECTRONICS</v>
      </c>
      <c r="L779">
        <f>YEAR(Master_ventas[[#This Row],[Order Date]])</f>
        <v>2024</v>
      </c>
      <c r="M779" t="str">
        <f>CONCATENATE(LEFT(Master_ventas[[#This Row],[ProdUpper]],3),RIGHT(Master_ventas[[#This Row],[Ext-Year]],2),"-",MID(Master_ventas[[#This Row],[Category]],1,1))</f>
        <v>CAM24-E</v>
      </c>
      <c r="N779" t="str">
        <f>MID(Master_ventas[[#This Row],[ProdUpper]],1,3)</f>
        <v>CAM</v>
      </c>
      <c r="O779" t="str">
        <f>UPPER(IF(Master_ventas[[#This Row],[Profit]]&gt;500,"High","Std"))</f>
        <v>HIGH</v>
      </c>
      <c r="P779">
        <v>778</v>
      </c>
    </row>
    <row r="780" spans="1:16" x14ac:dyDescent="0.3">
      <c r="A780" s="1">
        <v>45219</v>
      </c>
      <c r="B780" t="s">
        <v>7</v>
      </c>
      <c r="C780" t="s">
        <v>8</v>
      </c>
      <c r="D780" t="s">
        <v>15</v>
      </c>
      <c r="E780">
        <v>9</v>
      </c>
      <c r="F780" s="3">
        <v>9225</v>
      </c>
      <c r="G780" s="2">
        <v>1391.15</v>
      </c>
      <c r="H780">
        <f>Master_ventas[[#This Row],[Profit]]/Master_ventas[[#This Row],[Sales]]</f>
        <v>0.15080216802168023</v>
      </c>
      <c r="I780">
        <f ca="1">Referencia_Hoy-Master_ventas[[#This Row],[Order Date]]</f>
        <v>1104</v>
      </c>
      <c r="J780" t="str">
        <f>UPPER(Master_ventas[[#This Row],[Product Name]])</f>
        <v>PRINTER</v>
      </c>
      <c r="K780" t="str">
        <f>UPPER(Master_ventas[[#This Row],[Category]])</f>
        <v>OFFICE</v>
      </c>
      <c r="L780">
        <f>YEAR(Master_ventas[[#This Row],[Order Date]])</f>
        <v>2023</v>
      </c>
      <c r="M780" t="str">
        <f>CONCATENATE(LEFT(Master_ventas[[#This Row],[ProdUpper]],3),RIGHT(Master_ventas[[#This Row],[Ext-Year]],2),"-",MID(Master_ventas[[#This Row],[Category]],1,1))</f>
        <v>PRI23-O</v>
      </c>
      <c r="N780" t="str">
        <f>MID(Master_ventas[[#This Row],[ProdUpper]],1,3)</f>
        <v>PRI</v>
      </c>
      <c r="O780" t="str">
        <f>UPPER(IF(Master_ventas[[#This Row],[Profit]]&gt;500,"High","Std"))</f>
        <v>HIGH</v>
      </c>
      <c r="P780">
        <v>779</v>
      </c>
    </row>
    <row r="781" spans="1:16" x14ac:dyDescent="0.3">
      <c r="A781" s="1">
        <v>44732</v>
      </c>
      <c r="B781" t="s">
        <v>10</v>
      </c>
      <c r="C781" t="s">
        <v>11</v>
      </c>
      <c r="D781" t="s">
        <v>15</v>
      </c>
      <c r="E781">
        <v>5</v>
      </c>
      <c r="F781" s="3">
        <v>3910</v>
      </c>
      <c r="G781" s="2">
        <v>584.77</v>
      </c>
      <c r="H781">
        <f>Master_ventas[[#This Row],[Profit]]/Master_ventas[[#This Row],[Sales]]</f>
        <v>0.14955754475703326</v>
      </c>
      <c r="I781">
        <f ca="1">Referencia_Hoy-Master_ventas[[#This Row],[Order Date]]</f>
        <v>1591</v>
      </c>
      <c r="J781" t="str">
        <f>UPPER(Master_ventas[[#This Row],[Product Name]])</f>
        <v>MOUSE</v>
      </c>
      <c r="K781" t="str">
        <f>UPPER(Master_ventas[[#This Row],[Category]])</f>
        <v>ACCESSORIES</v>
      </c>
      <c r="L781">
        <f>YEAR(Master_ventas[[#This Row],[Order Date]])</f>
        <v>2022</v>
      </c>
      <c r="M781" t="str">
        <f>CONCATENATE(LEFT(Master_ventas[[#This Row],[ProdUpper]],3),RIGHT(Master_ventas[[#This Row],[Ext-Year]],2),"-",MID(Master_ventas[[#This Row],[Category]],1,1))</f>
        <v>MOU22-A</v>
      </c>
      <c r="N781" t="str">
        <f>MID(Master_ventas[[#This Row],[ProdUpper]],1,3)</f>
        <v>MOU</v>
      </c>
      <c r="O781" t="str">
        <f>UPPER(IF(Master_ventas[[#This Row],[Profit]]&gt;500,"High","Std"))</f>
        <v>HIGH</v>
      </c>
      <c r="P781">
        <v>780</v>
      </c>
    </row>
    <row r="782" spans="1:16" x14ac:dyDescent="0.3">
      <c r="A782" s="1">
        <v>45055</v>
      </c>
      <c r="B782" t="s">
        <v>7</v>
      </c>
      <c r="C782" t="s">
        <v>8</v>
      </c>
      <c r="D782" t="s">
        <v>16</v>
      </c>
      <c r="E782">
        <v>5</v>
      </c>
      <c r="F782" s="3">
        <v>1995</v>
      </c>
      <c r="G782" s="2">
        <v>369.22</v>
      </c>
      <c r="H782">
        <f>Master_ventas[[#This Row],[Profit]]/Master_ventas[[#This Row],[Sales]]</f>
        <v>0.18507268170426067</v>
      </c>
      <c r="I782">
        <f ca="1">Referencia_Hoy-Master_ventas[[#This Row],[Order Date]]</f>
        <v>1268</v>
      </c>
      <c r="J782" t="str">
        <f>UPPER(Master_ventas[[#This Row],[Product Name]])</f>
        <v>PRINTER</v>
      </c>
      <c r="K782" t="str">
        <f>UPPER(Master_ventas[[#This Row],[Category]])</f>
        <v>OFFICE</v>
      </c>
      <c r="L782">
        <f>YEAR(Master_ventas[[#This Row],[Order Date]])</f>
        <v>2023</v>
      </c>
      <c r="M782" t="str">
        <f>CONCATENATE(LEFT(Master_ventas[[#This Row],[ProdUpper]],3),RIGHT(Master_ventas[[#This Row],[Ext-Year]],2),"-",MID(Master_ventas[[#This Row],[Category]],1,1))</f>
        <v>PRI23-O</v>
      </c>
      <c r="N782" t="str">
        <f>MID(Master_ventas[[#This Row],[ProdUpper]],1,3)</f>
        <v>PRI</v>
      </c>
      <c r="O782" t="str">
        <f>UPPER(IF(Master_ventas[[#This Row],[Profit]]&gt;500,"High","Std"))</f>
        <v>STD</v>
      </c>
      <c r="P782">
        <v>781</v>
      </c>
    </row>
    <row r="783" spans="1:16" x14ac:dyDescent="0.3">
      <c r="A783" s="1">
        <v>45169</v>
      </c>
      <c r="B783" t="s">
        <v>22</v>
      </c>
      <c r="C783" t="s">
        <v>11</v>
      </c>
      <c r="D783" t="s">
        <v>9</v>
      </c>
      <c r="E783">
        <v>7</v>
      </c>
      <c r="F783" s="3">
        <v>385</v>
      </c>
      <c r="G783" s="2">
        <v>43.43</v>
      </c>
      <c r="H783">
        <f>Master_ventas[[#This Row],[Profit]]/Master_ventas[[#This Row],[Sales]]</f>
        <v>0.11280519480519481</v>
      </c>
      <c r="I783">
        <f ca="1">Referencia_Hoy-Master_ventas[[#This Row],[Order Date]]</f>
        <v>1154</v>
      </c>
      <c r="J783" t="str">
        <f>UPPER(Master_ventas[[#This Row],[Product Name]])</f>
        <v>KEYBOARD</v>
      </c>
      <c r="K783" t="str">
        <f>UPPER(Master_ventas[[#This Row],[Category]])</f>
        <v>ACCESSORIES</v>
      </c>
      <c r="L783">
        <f>YEAR(Master_ventas[[#This Row],[Order Date]])</f>
        <v>2023</v>
      </c>
      <c r="M783" t="str">
        <f>CONCATENATE(LEFT(Master_ventas[[#This Row],[ProdUpper]],3),RIGHT(Master_ventas[[#This Row],[Ext-Year]],2),"-",MID(Master_ventas[[#This Row],[Category]],1,1))</f>
        <v>KEY23-A</v>
      </c>
      <c r="N783" t="str">
        <f>MID(Master_ventas[[#This Row],[ProdUpper]],1,3)</f>
        <v>KEY</v>
      </c>
      <c r="O783" t="str">
        <f>UPPER(IF(Master_ventas[[#This Row],[Profit]]&gt;500,"High","Std"))</f>
        <v>STD</v>
      </c>
      <c r="P783">
        <v>782</v>
      </c>
    </row>
    <row r="784" spans="1:16" x14ac:dyDescent="0.3">
      <c r="A784" s="1">
        <v>45008</v>
      </c>
      <c r="B784" t="s">
        <v>10</v>
      </c>
      <c r="C784" t="s">
        <v>11</v>
      </c>
      <c r="D784" t="s">
        <v>12</v>
      </c>
      <c r="E784">
        <v>4</v>
      </c>
      <c r="F784" s="3">
        <v>4316</v>
      </c>
      <c r="G784" s="2">
        <v>566.70000000000005</v>
      </c>
      <c r="H784">
        <f>Master_ventas[[#This Row],[Profit]]/Master_ventas[[#This Row],[Sales]]</f>
        <v>0.13130213160333642</v>
      </c>
      <c r="I784">
        <f ca="1">Referencia_Hoy-Master_ventas[[#This Row],[Order Date]]</f>
        <v>1315</v>
      </c>
      <c r="J784" t="str">
        <f>UPPER(Master_ventas[[#This Row],[Product Name]])</f>
        <v>MOUSE</v>
      </c>
      <c r="K784" t="str">
        <f>UPPER(Master_ventas[[#This Row],[Category]])</f>
        <v>ACCESSORIES</v>
      </c>
      <c r="L784">
        <f>YEAR(Master_ventas[[#This Row],[Order Date]])</f>
        <v>2023</v>
      </c>
      <c r="M784" t="str">
        <f>CONCATENATE(LEFT(Master_ventas[[#This Row],[ProdUpper]],3),RIGHT(Master_ventas[[#This Row],[Ext-Year]],2),"-",MID(Master_ventas[[#This Row],[Category]],1,1))</f>
        <v>MOU23-A</v>
      </c>
      <c r="N784" t="str">
        <f>MID(Master_ventas[[#This Row],[ProdUpper]],1,3)</f>
        <v>MOU</v>
      </c>
      <c r="O784" t="str">
        <f>UPPER(IF(Master_ventas[[#This Row],[Profit]]&gt;500,"High","Std"))</f>
        <v>HIGH</v>
      </c>
      <c r="P784">
        <v>783</v>
      </c>
    </row>
    <row r="785" spans="1:16" x14ac:dyDescent="0.3">
      <c r="A785" s="1">
        <v>45410</v>
      </c>
      <c r="B785" t="s">
        <v>19</v>
      </c>
      <c r="C785" t="s">
        <v>14</v>
      </c>
      <c r="D785" t="s">
        <v>9</v>
      </c>
      <c r="E785">
        <v>1</v>
      </c>
      <c r="F785" s="3">
        <v>1169</v>
      </c>
      <c r="G785" s="2">
        <v>340.69</v>
      </c>
      <c r="H785">
        <f>Master_ventas[[#This Row],[Profit]]/Master_ventas[[#This Row],[Sales]]</f>
        <v>0.291437125748503</v>
      </c>
      <c r="I785">
        <f ca="1">Referencia_Hoy-Master_ventas[[#This Row],[Order Date]]</f>
        <v>913</v>
      </c>
      <c r="J785" t="str">
        <f>UPPER(Master_ventas[[#This Row],[Product Name]])</f>
        <v>SMARTWATCH</v>
      </c>
      <c r="K785" t="str">
        <f>UPPER(Master_ventas[[#This Row],[Category]])</f>
        <v>ELECTRONICS</v>
      </c>
      <c r="L785">
        <f>YEAR(Master_ventas[[#This Row],[Order Date]])</f>
        <v>2024</v>
      </c>
      <c r="M785" t="str">
        <f>CONCATENATE(LEFT(Master_ventas[[#This Row],[ProdUpper]],3),RIGHT(Master_ventas[[#This Row],[Ext-Year]],2),"-",MID(Master_ventas[[#This Row],[Category]],1,1))</f>
        <v>SMA24-E</v>
      </c>
      <c r="N785" t="str">
        <f>MID(Master_ventas[[#This Row],[ProdUpper]],1,3)</f>
        <v>SMA</v>
      </c>
      <c r="O785" t="str">
        <f>UPPER(IF(Master_ventas[[#This Row],[Profit]]&gt;500,"High","Std"))</f>
        <v>STD</v>
      </c>
      <c r="P785">
        <v>784</v>
      </c>
    </row>
    <row r="786" spans="1:16" x14ac:dyDescent="0.3">
      <c r="A786" s="1">
        <v>45015</v>
      </c>
      <c r="B786" t="s">
        <v>18</v>
      </c>
      <c r="C786" t="s">
        <v>11</v>
      </c>
      <c r="D786" t="s">
        <v>12</v>
      </c>
      <c r="E786">
        <v>5</v>
      </c>
      <c r="F786" s="3">
        <v>2325</v>
      </c>
      <c r="G786" s="2">
        <v>506.32</v>
      </c>
      <c r="H786">
        <f>Master_ventas[[#This Row],[Profit]]/Master_ventas[[#This Row],[Sales]]</f>
        <v>0.21777204301075268</v>
      </c>
      <c r="I786">
        <f ca="1">Referencia_Hoy-Master_ventas[[#This Row],[Order Date]]</f>
        <v>1308</v>
      </c>
      <c r="J786" t="str">
        <f>UPPER(Master_ventas[[#This Row],[Product Name]])</f>
        <v>HEADPHONES</v>
      </c>
      <c r="K786" t="str">
        <f>UPPER(Master_ventas[[#This Row],[Category]])</f>
        <v>ACCESSORIES</v>
      </c>
      <c r="L786">
        <f>YEAR(Master_ventas[[#This Row],[Order Date]])</f>
        <v>2023</v>
      </c>
      <c r="M786" t="str">
        <f>CONCATENATE(LEFT(Master_ventas[[#This Row],[ProdUpper]],3),RIGHT(Master_ventas[[#This Row],[Ext-Year]],2),"-",MID(Master_ventas[[#This Row],[Category]],1,1))</f>
        <v>HEA23-A</v>
      </c>
      <c r="N786" t="str">
        <f>MID(Master_ventas[[#This Row],[ProdUpper]],1,3)</f>
        <v>HEA</v>
      </c>
      <c r="O786" t="str">
        <f>UPPER(IF(Master_ventas[[#This Row],[Profit]]&gt;500,"High","Std"))</f>
        <v>HIGH</v>
      </c>
      <c r="P786">
        <v>785</v>
      </c>
    </row>
    <row r="787" spans="1:16" x14ac:dyDescent="0.3">
      <c r="A787" s="1">
        <v>45340</v>
      </c>
      <c r="B787" t="s">
        <v>20</v>
      </c>
      <c r="C787" t="s">
        <v>11</v>
      </c>
      <c r="D787" t="s">
        <v>9</v>
      </c>
      <c r="E787">
        <v>1</v>
      </c>
      <c r="F787" s="3">
        <v>199</v>
      </c>
      <c r="G787" s="2">
        <v>48.92</v>
      </c>
      <c r="H787">
        <f>Master_ventas[[#This Row],[Profit]]/Master_ventas[[#This Row],[Sales]]</f>
        <v>0.24582914572864323</v>
      </c>
      <c r="I787">
        <f ca="1">Referencia_Hoy-Master_ventas[[#This Row],[Order Date]]</f>
        <v>983</v>
      </c>
      <c r="J787" t="str">
        <f>UPPER(Master_ventas[[#This Row],[Product Name]])</f>
        <v>MONITOR</v>
      </c>
      <c r="K787" t="str">
        <f>UPPER(Master_ventas[[#This Row],[Category]])</f>
        <v>ACCESSORIES</v>
      </c>
      <c r="L787">
        <f>YEAR(Master_ventas[[#This Row],[Order Date]])</f>
        <v>2024</v>
      </c>
      <c r="M787" t="str">
        <f>CONCATENATE(LEFT(Master_ventas[[#This Row],[ProdUpper]],3),RIGHT(Master_ventas[[#This Row],[Ext-Year]],2),"-",MID(Master_ventas[[#This Row],[Category]],1,1))</f>
        <v>MON24-A</v>
      </c>
      <c r="N787" t="str">
        <f>MID(Master_ventas[[#This Row],[ProdUpper]],1,3)</f>
        <v>MON</v>
      </c>
      <c r="O787" t="str">
        <f>UPPER(IF(Master_ventas[[#This Row],[Profit]]&gt;500,"High","Std"))</f>
        <v>STD</v>
      </c>
      <c r="P787">
        <v>786</v>
      </c>
    </row>
    <row r="788" spans="1:16" x14ac:dyDescent="0.3">
      <c r="A788" s="1">
        <v>44786</v>
      </c>
      <c r="B788" t="s">
        <v>19</v>
      </c>
      <c r="C788" t="s">
        <v>14</v>
      </c>
      <c r="D788" t="s">
        <v>15</v>
      </c>
      <c r="E788">
        <v>3</v>
      </c>
      <c r="F788" s="3">
        <v>375</v>
      </c>
      <c r="G788" s="2">
        <v>80.58</v>
      </c>
      <c r="H788">
        <f>Master_ventas[[#This Row],[Profit]]/Master_ventas[[#This Row],[Sales]]</f>
        <v>0.21487999999999999</v>
      </c>
      <c r="I788">
        <f ca="1">Referencia_Hoy-Master_ventas[[#This Row],[Order Date]]</f>
        <v>1537</v>
      </c>
      <c r="J788" t="str">
        <f>UPPER(Master_ventas[[#This Row],[Product Name]])</f>
        <v>SMARTWATCH</v>
      </c>
      <c r="K788" t="str">
        <f>UPPER(Master_ventas[[#This Row],[Category]])</f>
        <v>ELECTRONICS</v>
      </c>
      <c r="L788">
        <f>YEAR(Master_ventas[[#This Row],[Order Date]])</f>
        <v>2022</v>
      </c>
      <c r="M788" t="str">
        <f>CONCATENATE(LEFT(Master_ventas[[#This Row],[ProdUpper]],3),RIGHT(Master_ventas[[#This Row],[Ext-Year]],2),"-",MID(Master_ventas[[#This Row],[Category]],1,1))</f>
        <v>SMA22-E</v>
      </c>
      <c r="N788" t="str">
        <f>MID(Master_ventas[[#This Row],[ProdUpper]],1,3)</f>
        <v>SMA</v>
      </c>
      <c r="O788" t="str">
        <f>UPPER(IF(Master_ventas[[#This Row],[Profit]]&gt;500,"High","Std"))</f>
        <v>STD</v>
      </c>
      <c r="P788">
        <v>787</v>
      </c>
    </row>
    <row r="789" spans="1:16" x14ac:dyDescent="0.3">
      <c r="A789" s="1">
        <v>44686</v>
      </c>
      <c r="B789" t="s">
        <v>23</v>
      </c>
      <c r="C789" t="s">
        <v>14</v>
      </c>
      <c r="D789" t="s">
        <v>12</v>
      </c>
      <c r="E789">
        <v>9</v>
      </c>
      <c r="F789" s="3">
        <v>8010</v>
      </c>
      <c r="G789" s="2">
        <v>763.32</v>
      </c>
      <c r="H789">
        <f>Master_ventas[[#This Row],[Profit]]/Master_ventas[[#This Row],[Sales]]</f>
        <v>9.5295880149812745E-2</v>
      </c>
      <c r="I789">
        <f ca="1">Referencia_Hoy-Master_ventas[[#This Row],[Order Date]]</f>
        <v>1637</v>
      </c>
      <c r="J789" t="str">
        <f>UPPER(Master_ventas[[#This Row],[Product Name]])</f>
        <v>LAPTOP</v>
      </c>
      <c r="K789" t="str">
        <f>UPPER(Master_ventas[[#This Row],[Category]])</f>
        <v>ELECTRONICS</v>
      </c>
      <c r="L789">
        <f>YEAR(Master_ventas[[#This Row],[Order Date]])</f>
        <v>2022</v>
      </c>
      <c r="M789" t="str">
        <f>CONCATENATE(LEFT(Master_ventas[[#This Row],[ProdUpper]],3),RIGHT(Master_ventas[[#This Row],[Ext-Year]],2),"-",MID(Master_ventas[[#This Row],[Category]],1,1))</f>
        <v>LAP22-E</v>
      </c>
      <c r="N789" t="str">
        <f>MID(Master_ventas[[#This Row],[ProdUpper]],1,3)</f>
        <v>LAP</v>
      </c>
      <c r="O789" t="str">
        <f>UPPER(IF(Master_ventas[[#This Row],[Profit]]&gt;500,"High","Std"))</f>
        <v>HIGH</v>
      </c>
      <c r="P789">
        <v>788</v>
      </c>
    </row>
    <row r="790" spans="1:16" x14ac:dyDescent="0.3">
      <c r="A790" s="1">
        <v>44929</v>
      </c>
      <c r="B790" t="s">
        <v>10</v>
      </c>
      <c r="C790" t="s">
        <v>11</v>
      </c>
      <c r="D790" t="s">
        <v>12</v>
      </c>
      <c r="E790">
        <v>4</v>
      </c>
      <c r="F790" s="3">
        <v>316</v>
      </c>
      <c r="G790" s="2">
        <v>77.13</v>
      </c>
      <c r="H790">
        <f>Master_ventas[[#This Row],[Profit]]/Master_ventas[[#This Row],[Sales]]</f>
        <v>0.24408227848101263</v>
      </c>
      <c r="I790">
        <f ca="1">Referencia_Hoy-Master_ventas[[#This Row],[Order Date]]</f>
        <v>1394</v>
      </c>
      <c r="J790" t="str">
        <f>UPPER(Master_ventas[[#This Row],[Product Name]])</f>
        <v>MOUSE</v>
      </c>
      <c r="K790" t="str">
        <f>UPPER(Master_ventas[[#This Row],[Category]])</f>
        <v>ACCESSORIES</v>
      </c>
      <c r="L790">
        <f>YEAR(Master_ventas[[#This Row],[Order Date]])</f>
        <v>2023</v>
      </c>
      <c r="M790" t="str">
        <f>CONCATENATE(LEFT(Master_ventas[[#This Row],[ProdUpper]],3),RIGHT(Master_ventas[[#This Row],[Ext-Year]],2),"-",MID(Master_ventas[[#This Row],[Category]],1,1))</f>
        <v>MOU23-A</v>
      </c>
      <c r="N790" t="str">
        <f>MID(Master_ventas[[#This Row],[ProdUpper]],1,3)</f>
        <v>MOU</v>
      </c>
      <c r="O790" t="str">
        <f>UPPER(IF(Master_ventas[[#This Row],[Profit]]&gt;500,"High","Std"))</f>
        <v>STD</v>
      </c>
      <c r="P790">
        <v>789</v>
      </c>
    </row>
    <row r="791" spans="1:16" x14ac:dyDescent="0.3">
      <c r="A791" s="1">
        <v>45610</v>
      </c>
      <c r="B791" t="s">
        <v>17</v>
      </c>
      <c r="C791" t="s">
        <v>14</v>
      </c>
      <c r="D791" t="s">
        <v>15</v>
      </c>
      <c r="E791">
        <v>9</v>
      </c>
      <c r="F791" s="3">
        <v>5895</v>
      </c>
      <c r="G791" s="2">
        <v>442.49</v>
      </c>
      <c r="H791">
        <f>Master_ventas[[#This Row],[Profit]]/Master_ventas[[#This Row],[Sales]]</f>
        <v>7.5061916878710777E-2</v>
      </c>
      <c r="I791">
        <f ca="1">Referencia_Hoy-Master_ventas[[#This Row],[Order Date]]</f>
        <v>713</v>
      </c>
      <c r="J791" t="str">
        <f>UPPER(Master_ventas[[#This Row],[Product Name]])</f>
        <v>CAMERA</v>
      </c>
      <c r="K791" t="str">
        <f>UPPER(Master_ventas[[#This Row],[Category]])</f>
        <v>ELECTRONICS</v>
      </c>
      <c r="L791">
        <f>YEAR(Master_ventas[[#This Row],[Order Date]])</f>
        <v>2024</v>
      </c>
      <c r="M791" t="str">
        <f>CONCATENATE(LEFT(Master_ventas[[#This Row],[ProdUpper]],3),RIGHT(Master_ventas[[#This Row],[Ext-Year]],2),"-",MID(Master_ventas[[#This Row],[Category]],1,1))</f>
        <v>CAM24-E</v>
      </c>
      <c r="N791" t="str">
        <f>MID(Master_ventas[[#This Row],[ProdUpper]],1,3)</f>
        <v>CAM</v>
      </c>
      <c r="O791" t="str">
        <f>UPPER(IF(Master_ventas[[#This Row],[Profit]]&gt;500,"High","Std"))</f>
        <v>STD</v>
      </c>
      <c r="P791">
        <v>790</v>
      </c>
    </row>
    <row r="792" spans="1:16" x14ac:dyDescent="0.3">
      <c r="A792" s="1">
        <v>44660</v>
      </c>
      <c r="B792" t="s">
        <v>18</v>
      </c>
      <c r="C792" t="s">
        <v>11</v>
      </c>
      <c r="D792" t="s">
        <v>12</v>
      </c>
      <c r="E792">
        <v>4</v>
      </c>
      <c r="F792" s="3">
        <v>388</v>
      </c>
      <c r="G792" s="2">
        <v>35.21</v>
      </c>
      <c r="H792">
        <f>Master_ventas[[#This Row],[Profit]]/Master_ventas[[#This Row],[Sales]]</f>
        <v>9.0747422680412373E-2</v>
      </c>
      <c r="I792">
        <f ca="1">Referencia_Hoy-Master_ventas[[#This Row],[Order Date]]</f>
        <v>1663</v>
      </c>
      <c r="J792" t="str">
        <f>UPPER(Master_ventas[[#This Row],[Product Name]])</f>
        <v>HEADPHONES</v>
      </c>
      <c r="K792" t="str">
        <f>UPPER(Master_ventas[[#This Row],[Category]])</f>
        <v>ACCESSORIES</v>
      </c>
      <c r="L792">
        <f>YEAR(Master_ventas[[#This Row],[Order Date]])</f>
        <v>2022</v>
      </c>
      <c r="M792" t="str">
        <f>CONCATENATE(LEFT(Master_ventas[[#This Row],[ProdUpper]],3),RIGHT(Master_ventas[[#This Row],[Ext-Year]],2),"-",MID(Master_ventas[[#This Row],[Category]],1,1))</f>
        <v>HEA22-A</v>
      </c>
      <c r="N792" t="str">
        <f>MID(Master_ventas[[#This Row],[ProdUpper]],1,3)</f>
        <v>HEA</v>
      </c>
      <c r="O792" t="str">
        <f>UPPER(IF(Master_ventas[[#This Row],[Profit]]&gt;500,"High","Std"))</f>
        <v>STD</v>
      </c>
      <c r="P792">
        <v>791</v>
      </c>
    </row>
    <row r="793" spans="1:16" x14ac:dyDescent="0.3">
      <c r="A793" s="1">
        <v>45455</v>
      </c>
      <c r="B793" t="s">
        <v>10</v>
      </c>
      <c r="C793" t="s">
        <v>11</v>
      </c>
      <c r="D793" t="s">
        <v>16</v>
      </c>
      <c r="E793">
        <v>5</v>
      </c>
      <c r="F793" s="3">
        <v>3670</v>
      </c>
      <c r="G793" s="2">
        <v>462.97</v>
      </c>
      <c r="H793">
        <f>Master_ventas[[#This Row],[Profit]]/Master_ventas[[#This Row],[Sales]]</f>
        <v>0.126149863760218</v>
      </c>
      <c r="I793">
        <f ca="1">Referencia_Hoy-Master_ventas[[#This Row],[Order Date]]</f>
        <v>868</v>
      </c>
      <c r="J793" t="str">
        <f>UPPER(Master_ventas[[#This Row],[Product Name]])</f>
        <v>MOUSE</v>
      </c>
      <c r="K793" t="str">
        <f>UPPER(Master_ventas[[#This Row],[Category]])</f>
        <v>ACCESSORIES</v>
      </c>
      <c r="L793">
        <f>YEAR(Master_ventas[[#This Row],[Order Date]])</f>
        <v>2024</v>
      </c>
      <c r="M793" t="str">
        <f>CONCATENATE(LEFT(Master_ventas[[#This Row],[ProdUpper]],3),RIGHT(Master_ventas[[#This Row],[Ext-Year]],2),"-",MID(Master_ventas[[#This Row],[Category]],1,1))</f>
        <v>MOU24-A</v>
      </c>
      <c r="N793" t="str">
        <f>MID(Master_ventas[[#This Row],[ProdUpper]],1,3)</f>
        <v>MOU</v>
      </c>
      <c r="O793" t="str">
        <f>UPPER(IF(Master_ventas[[#This Row],[Profit]]&gt;500,"High","Std"))</f>
        <v>STD</v>
      </c>
      <c r="P793">
        <v>792</v>
      </c>
    </row>
    <row r="794" spans="1:16" x14ac:dyDescent="0.3">
      <c r="A794" s="1">
        <v>45580</v>
      </c>
      <c r="B794" t="s">
        <v>21</v>
      </c>
      <c r="C794" t="s">
        <v>14</v>
      </c>
      <c r="D794" t="s">
        <v>12</v>
      </c>
      <c r="E794">
        <v>9</v>
      </c>
      <c r="F794" s="3">
        <v>7731</v>
      </c>
      <c r="G794" s="2">
        <v>2178.0500000000002</v>
      </c>
      <c r="H794">
        <f>Master_ventas[[#This Row],[Profit]]/Master_ventas[[#This Row],[Sales]]</f>
        <v>0.28172940111240463</v>
      </c>
      <c r="I794">
        <f ca="1">Referencia_Hoy-Master_ventas[[#This Row],[Order Date]]</f>
        <v>743</v>
      </c>
      <c r="J794" t="str">
        <f>UPPER(Master_ventas[[#This Row],[Product Name]])</f>
        <v>SMARTPHONE</v>
      </c>
      <c r="K794" t="str">
        <f>UPPER(Master_ventas[[#This Row],[Category]])</f>
        <v>ELECTRONICS</v>
      </c>
      <c r="L794">
        <f>YEAR(Master_ventas[[#This Row],[Order Date]])</f>
        <v>2024</v>
      </c>
      <c r="M794" t="str">
        <f>CONCATENATE(LEFT(Master_ventas[[#This Row],[ProdUpper]],3),RIGHT(Master_ventas[[#This Row],[Ext-Year]],2),"-",MID(Master_ventas[[#This Row],[Category]],1,1))</f>
        <v>SMA24-E</v>
      </c>
      <c r="N794" t="str">
        <f>MID(Master_ventas[[#This Row],[ProdUpper]],1,3)</f>
        <v>SMA</v>
      </c>
      <c r="O794" t="str">
        <f>UPPER(IF(Master_ventas[[#This Row],[Profit]]&gt;500,"High","Std"))</f>
        <v>HIGH</v>
      </c>
      <c r="P794">
        <v>793</v>
      </c>
    </row>
    <row r="795" spans="1:16" x14ac:dyDescent="0.3">
      <c r="A795" s="1">
        <v>45217</v>
      </c>
      <c r="B795" t="s">
        <v>23</v>
      </c>
      <c r="C795" t="s">
        <v>14</v>
      </c>
      <c r="D795" t="s">
        <v>15</v>
      </c>
      <c r="E795">
        <v>3</v>
      </c>
      <c r="F795" s="3">
        <v>1596</v>
      </c>
      <c r="G795" s="2">
        <v>91.23</v>
      </c>
      <c r="H795">
        <f>Master_ventas[[#This Row],[Profit]]/Master_ventas[[#This Row],[Sales]]</f>
        <v>5.7161654135338351E-2</v>
      </c>
      <c r="I795">
        <f ca="1">Referencia_Hoy-Master_ventas[[#This Row],[Order Date]]</f>
        <v>1106</v>
      </c>
      <c r="J795" t="str">
        <f>UPPER(Master_ventas[[#This Row],[Product Name]])</f>
        <v>LAPTOP</v>
      </c>
      <c r="K795" t="str">
        <f>UPPER(Master_ventas[[#This Row],[Category]])</f>
        <v>ELECTRONICS</v>
      </c>
      <c r="L795">
        <f>YEAR(Master_ventas[[#This Row],[Order Date]])</f>
        <v>2023</v>
      </c>
      <c r="M795" t="str">
        <f>CONCATENATE(LEFT(Master_ventas[[#This Row],[ProdUpper]],3),RIGHT(Master_ventas[[#This Row],[Ext-Year]],2),"-",MID(Master_ventas[[#This Row],[Category]],1,1))</f>
        <v>LAP23-E</v>
      </c>
      <c r="N795" t="str">
        <f>MID(Master_ventas[[#This Row],[ProdUpper]],1,3)</f>
        <v>LAP</v>
      </c>
      <c r="O795" t="str">
        <f>UPPER(IF(Master_ventas[[#This Row],[Profit]]&gt;500,"High","Std"))</f>
        <v>STD</v>
      </c>
      <c r="P795">
        <v>794</v>
      </c>
    </row>
    <row r="796" spans="1:16" x14ac:dyDescent="0.3">
      <c r="A796" s="1">
        <v>45388</v>
      </c>
      <c r="B796" t="s">
        <v>17</v>
      </c>
      <c r="C796" t="s">
        <v>14</v>
      </c>
      <c r="D796" t="s">
        <v>12</v>
      </c>
      <c r="E796">
        <v>4</v>
      </c>
      <c r="F796" s="3">
        <v>4192</v>
      </c>
      <c r="G796" s="2">
        <v>216.16</v>
      </c>
      <c r="H796">
        <f>Master_ventas[[#This Row],[Profit]]/Master_ventas[[#This Row],[Sales]]</f>
        <v>5.1564885496183203E-2</v>
      </c>
      <c r="I796">
        <f ca="1">Referencia_Hoy-Master_ventas[[#This Row],[Order Date]]</f>
        <v>935</v>
      </c>
      <c r="J796" t="str">
        <f>UPPER(Master_ventas[[#This Row],[Product Name]])</f>
        <v>CAMERA</v>
      </c>
      <c r="K796" t="str">
        <f>UPPER(Master_ventas[[#This Row],[Category]])</f>
        <v>ELECTRONICS</v>
      </c>
      <c r="L796">
        <f>YEAR(Master_ventas[[#This Row],[Order Date]])</f>
        <v>2024</v>
      </c>
      <c r="M796" t="str">
        <f>CONCATENATE(LEFT(Master_ventas[[#This Row],[ProdUpper]],3),RIGHT(Master_ventas[[#This Row],[Ext-Year]],2),"-",MID(Master_ventas[[#This Row],[Category]],1,1))</f>
        <v>CAM24-E</v>
      </c>
      <c r="N796" t="str">
        <f>MID(Master_ventas[[#This Row],[ProdUpper]],1,3)</f>
        <v>CAM</v>
      </c>
      <c r="O796" t="str">
        <f>UPPER(IF(Master_ventas[[#This Row],[Profit]]&gt;500,"High","Std"))</f>
        <v>STD</v>
      </c>
      <c r="P796">
        <v>795</v>
      </c>
    </row>
    <row r="797" spans="1:16" x14ac:dyDescent="0.3">
      <c r="A797" s="1">
        <v>45136</v>
      </c>
      <c r="B797" t="s">
        <v>13</v>
      </c>
      <c r="C797" t="s">
        <v>14</v>
      </c>
      <c r="D797" t="s">
        <v>16</v>
      </c>
      <c r="E797">
        <v>7</v>
      </c>
      <c r="F797" s="3">
        <v>5264</v>
      </c>
      <c r="G797" s="2">
        <v>756.33</v>
      </c>
      <c r="H797">
        <f>Master_ventas[[#This Row],[Profit]]/Master_ventas[[#This Row],[Sales]]</f>
        <v>0.1436797112462006</v>
      </c>
      <c r="I797">
        <f ca="1">Referencia_Hoy-Master_ventas[[#This Row],[Order Date]]</f>
        <v>1187</v>
      </c>
      <c r="J797" t="str">
        <f>UPPER(Master_ventas[[#This Row],[Product Name]])</f>
        <v>TABLET</v>
      </c>
      <c r="K797" t="str">
        <f>UPPER(Master_ventas[[#This Row],[Category]])</f>
        <v>ELECTRONICS</v>
      </c>
      <c r="L797">
        <f>YEAR(Master_ventas[[#This Row],[Order Date]])</f>
        <v>2023</v>
      </c>
      <c r="M797" t="str">
        <f>CONCATENATE(LEFT(Master_ventas[[#This Row],[ProdUpper]],3),RIGHT(Master_ventas[[#This Row],[Ext-Year]],2),"-",MID(Master_ventas[[#This Row],[Category]],1,1))</f>
        <v>TAB23-E</v>
      </c>
      <c r="N797" t="str">
        <f>MID(Master_ventas[[#This Row],[ProdUpper]],1,3)</f>
        <v>TAB</v>
      </c>
      <c r="O797" t="str">
        <f>UPPER(IF(Master_ventas[[#This Row],[Profit]]&gt;500,"High","Std"))</f>
        <v>HIGH</v>
      </c>
      <c r="P797">
        <v>796</v>
      </c>
    </row>
    <row r="798" spans="1:16" x14ac:dyDescent="0.3">
      <c r="A798" s="1">
        <v>45081</v>
      </c>
      <c r="B798" t="s">
        <v>23</v>
      </c>
      <c r="C798" t="s">
        <v>14</v>
      </c>
      <c r="D798" t="s">
        <v>9</v>
      </c>
      <c r="E798">
        <v>1</v>
      </c>
      <c r="F798" s="3">
        <v>425</v>
      </c>
      <c r="G798" s="2">
        <v>48.81</v>
      </c>
      <c r="H798">
        <f>Master_ventas[[#This Row],[Profit]]/Master_ventas[[#This Row],[Sales]]</f>
        <v>0.11484705882352941</v>
      </c>
      <c r="I798">
        <f ca="1">Referencia_Hoy-Master_ventas[[#This Row],[Order Date]]</f>
        <v>1242</v>
      </c>
      <c r="J798" t="str">
        <f>UPPER(Master_ventas[[#This Row],[Product Name]])</f>
        <v>LAPTOP</v>
      </c>
      <c r="K798" t="str">
        <f>UPPER(Master_ventas[[#This Row],[Category]])</f>
        <v>ELECTRONICS</v>
      </c>
      <c r="L798">
        <f>YEAR(Master_ventas[[#This Row],[Order Date]])</f>
        <v>2023</v>
      </c>
      <c r="M798" t="str">
        <f>CONCATENATE(LEFT(Master_ventas[[#This Row],[ProdUpper]],3),RIGHT(Master_ventas[[#This Row],[Ext-Year]],2),"-",MID(Master_ventas[[#This Row],[Category]],1,1))</f>
        <v>LAP23-E</v>
      </c>
      <c r="N798" t="str">
        <f>MID(Master_ventas[[#This Row],[ProdUpper]],1,3)</f>
        <v>LAP</v>
      </c>
      <c r="O798" t="str">
        <f>UPPER(IF(Master_ventas[[#This Row],[Profit]]&gt;500,"High","Std"))</f>
        <v>STD</v>
      </c>
      <c r="P798">
        <v>797</v>
      </c>
    </row>
    <row r="799" spans="1:16" x14ac:dyDescent="0.3">
      <c r="A799" s="1">
        <v>44637</v>
      </c>
      <c r="B799" t="s">
        <v>19</v>
      </c>
      <c r="C799" t="s">
        <v>14</v>
      </c>
      <c r="D799" t="s">
        <v>9</v>
      </c>
      <c r="E799">
        <v>4</v>
      </c>
      <c r="F799" s="3">
        <v>3380</v>
      </c>
      <c r="G799" s="2">
        <v>211.72</v>
      </c>
      <c r="H799">
        <f>Master_ventas[[#This Row],[Profit]]/Master_ventas[[#This Row],[Sales]]</f>
        <v>6.2639053254437874E-2</v>
      </c>
      <c r="I799">
        <f ca="1">Referencia_Hoy-Master_ventas[[#This Row],[Order Date]]</f>
        <v>1686</v>
      </c>
      <c r="J799" t="str">
        <f>UPPER(Master_ventas[[#This Row],[Product Name]])</f>
        <v>SMARTWATCH</v>
      </c>
      <c r="K799" t="str">
        <f>UPPER(Master_ventas[[#This Row],[Category]])</f>
        <v>ELECTRONICS</v>
      </c>
      <c r="L799">
        <f>YEAR(Master_ventas[[#This Row],[Order Date]])</f>
        <v>2022</v>
      </c>
      <c r="M799" t="str">
        <f>CONCATENATE(LEFT(Master_ventas[[#This Row],[ProdUpper]],3),RIGHT(Master_ventas[[#This Row],[Ext-Year]],2),"-",MID(Master_ventas[[#This Row],[Category]],1,1))</f>
        <v>SMA22-E</v>
      </c>
      <c r="N799" t="str">
        <f>MID(Master_ventas[[#This Row],[ProdUpper]],1,3)</f>
        <v>SMA</v>
      </c>
      <c r="O799" t="str">
        <f>UPPER(IF(Master_ventas[[#This Row],[Profit]]&gt;500,"High","Std"))</f>
        <v>STD</v>
      </c>
      <c r="P799">
        <v>798</v>
      </c>
    </row>
    <row r="800" spans="1:16" x14ac:dyDescent="0.3">
      <c r="A800" s="1">
        <v>45358</v>
      </c>
      <c r="B800" t="s">
        <v>7</v>
      </c>
      <c r="C800" t="s">
        <v>8</v>
      </c>
      <c r="D800" t="s">
        <v>12</v>
      </c>
      <c r="E800">
        <v>7</v>
      </c>
      <c r="F800" s="3">
        <v>8379</v>
      </c>
      <c r="G800" s="2">
        <v>2009.05</v>
      </c>
      <c r="H800">
        <f>Master_ventas[[#This Row],[Profit]]/Master_ventas[[#This Row],[Sales]]</f>
        <v>0.2397720491705454</v>
      </c>
      <c r="I800">
        <f ca="1">Referencia_Hoy-Master_ventas[[#This Row],[Order Date]]</f>
        <v>965</v>
      </c>
      <c r="J800" t="str">
        <f>UPPER(Master_ventas[[#This Row],[Product Name]])</f>
        <v>PRINTER</v>
      </c>
      <c r="K800" t="str">
        <f>UPPER(Master_ventas[[#This Row],[Category]])</f>
        <v>OFFICE</v>
      </c>
      <c r="L800">
        <f>YEAR(Master_ventas[[#This Row],[Order Date]])</f>
        <v>2024</v>
      </c>
      <c r="M800" t="str">
        <f>CONCATENATE(LEFT(Master_ventas[[#This Row],[ProdUpper]],3),RIGHT(Master_ventas[[#This Row],[Ext-Year]],2),"-",MID(Master_ventas[[#This Row],[Category]],1,1))</f>
        <v>PRI24-O</v>
      </c>
      <c r="N800" t="str">
        <f>MID(Master_ventas[[#This Row],[ProdUpper]],1,3)</f>
        <v>PRI</v>
      </c>
      <c r="O800" t="str">
        <f>UPPER(IF(Master_ventas[[#This Row],[Profit]]&gt;500,"High","Std"))</f>
        <v>HIGH</v>
      </c>
      <c r="P800">
        <v>799</v>
      </c>
    </row>
    <row r="801" spans="1:16" x14ac:dyDescent="0.3">
      <c r="A801" s="1">
        <v>44625</v>
      </c>
      <c r="B801" t="s">
        <v>22</v>
      </c>
      <c r="C801" t="s">
        <v>11</v>
      </c>
      <c r="D801" t="s">
        <v>9</v>
      </c>
      <c r="E801">
        <v>4</v>
      </c>
      <c r="F801" s="3">
        <v>2040</v>
      </c>
      <c r="G801" s="2">
        <v>393.72</v>
      </c>
      <c r="H801">
        <f>Master_ventas[[#This Row],[Profit]]/Master_ventas[[#This Row],[Sales]]</f>
        <v>0.193</v>
      </c>
      <c r="I801">
        <f ca="1">Referencia_Hoy-Master_ventas[[#This Row],[Order Date]]</f>
        <v>1698</v>
      </c>
      <c r="J801" t="str">
        <f>UPPER(Master_ventas[[#This Row],[Product Name]])</f>
        <v>KEYBOARD</v>
      </c>
      <c r="K801" t="str">
        <f>UPPER(Master_ventas[[#This Row],[Category]])</f>
        <v>ACCESSORIES</v>
      </c>
      <c r="L801">
        <f>YEAR(Master_ventas[[#This Row],[Order Date]])</f>
        <v>2022</v>
      </c>
      <c r="M801" t="str">
        <f>CONCATENATE(LEFT(Master_ventas[[#This Row],[ProdUpper]],3),RIGHT(Master_ventas[[#This Row],[Ext-Year]],2),"-",MID(Master_ventas[[#This Row],[Category]],1,1))</f>
        <v>KEY22-A</v>
      </c>
      <c r="N801" t="str">
        <f>MID(Master_ventas[[#This Row],[ProdUpper]],1,3)</f>
        <v>KEY</v>
      </c>
      <c r="O801" t="str">
        <f>UPPER(IF(Master_ventas[[#This Row],[Profit]]&gt;500,"High","Std"))</f>
        <v>STD</v>
      </c>
      <c r="P801">
        <v>800</v>
      </c>
    </row>
    <row r="802" spans="1:16" x14ac:dyDescent="0.3">
      <c r="A802" s="1">
        <v>45399</v>
      </c>
      <c r="B802" t="s">
        <v>7</v>
      </c>
      <c r="C802" t="s">
        <v>8</v>
      </c>
      <c r="D802" t="s">
        <v>12</v>
      </c>
      <c r="E802">
        <v>4</v>
      </c>
      <c r="F802" s="3">
        <v>1336</v>
      </c>
      <c r="G802" s="2">
        <v>116.65</v>
      </c>
      <c r="H802">
        <f>Master_ventas[[#This Row],[Profit]]/Master_ventas[[#This Row],[Sales]]</f>
        <v>8.7312874251497016E-2</v>
      </c>
      <c r="I802">
        <f ca="1">Referencia_Hoy-Master_ventas[[#This Row],[Order Date]]</f>
        <v>924</v>
      </c>
      <c r="J802" t="str">
        <f>UPPER(Master_ventas[[#This Row],[Product Name]])</f>
        <v>PRINTER</v>
      </c>
      <c r="K802" t="str">
        <f>UPPER(Master_ventas[[#This Row],[Category]])</f>
        <v>OFFICE</v>
      </c>
      <c r="L802">
        <f>YEAR(Master_ventas[[#This Row],[Order Date]])</f>
        <v>2024</v>
      </c>
      <c r="M802" t="str">
        <f>CONCATENATE(LEFT(Master_ventas[[#This Row],[ProdUpper]],3),RIGHT(Master_ventas[[#This Row],[Ext-Year]],2),"-",MID(Master_ventas[[#This Row],[Category]],1,1))</f>
        <v>PRI24-O</v>
      </c>
      <c r="N802" t="str">
        <f>MID(Master_ventas[[#This Row],[ProdUpper]],1,3)</f>
        <v>PRI</v>
      </c>
      <c r="O802" t="str">
        <f>UPPER(IF(Master_ventas[[#This Row],[Profit]]&gt;500,"High","Std"))</f>
        <v>STD</v>
      </c>
      <c r="P802">
        <v>801</v>
      </c>
    </row>
    <row r="803" spans="1:16" x14ac:dyDescent="0.3">
      <c r="A803" s="1">
        <v>45526</v>
      </c>
      <c r="B803" t="s">
        <v>22</v>
      </c>
      <c r="C803" t="s">
        <v>11</v>
      </c>
      <c r="D803" t="s">
        <v>15</v>
      </c>
      <c r="E803">
        <v>2</v>
      </c>
      <c r="F803" s="3">
        <v>1934</v>
      </c>
      <c r="G803" s="2">
        <v>157.41</v>
      </c>
      <c r="H803">
        <f>Master_ventas[[#This Row],[Profit]]/Master_ventas[[#This Row],[Sales]]</f>
        <v>8.1390899689762153E-2</v>
      </c>
      <c r="I803">
        <f ca="1">Referencia_Hoy-Master_ventas[[#This Row],[Order Date]]</f>
        <v>797</v>
      </c>
      <c r="J803" t="str">
        <f>UPPER(Master_ventas[[#This Row],[Product Name]])</f>
        <v>KEYBOARD</v>
      </c>
      <c r="K803" t="str">
        <f>UPPER(Master_ventas[[#This Row],[Category]])</f>
        <v>ACCESSORIES</v>
      </c>
      <c r="L803">
        <f>YEAR(Master_ventas[[#This Row],[Order Date]])</f>
        <v>2024</v>
      </c>
      <c r="M803" t="str">
        <f>CONCATENATE(LEFT(Master_ventas[[#This Row],[ProdUpper]],3),RIGHT(Master_ventas[[#This Row],[Ext-Year]],2),"-",MID(Master_ventas[[#This Row],[Category]],1,1))</f>
        <v>KEY24-A</v>
      </c>
      <c r="N803" t="str">
        <f>MID(Master_ventas[[#This Row],[ProdUpper]],1,3)</f>
        <v>KEY</v>
      </c>
      <c r="O803" t="str">
        <f>UPPER(IF(Master_ventas[[#This Row],[Profit]]&gt;500,"High","Std"))</f>
        <v>STD</v>
      </c>
      <c r="P803">
        <v>802</v>
      </c>
    </row>
    <row r="804" spans="1:16" x14ac:dyDescent="0.3">
      <c r="A804" s="1">
        <v>45391</v>
      </c>
      <c r="B804" t="s">
        <v>22</v>
      </c>
      <c r="C804" t="s">
        <v>11</v>
      </c>
      <c r="D804" t="s">
        <v>15</v>
      </c>
      <c r="E804">
        <v>3</v>
      </c>
      <c r="F804" s="3">
        <v>1560</v>
      </c>
      <c r="G804" s="2">
        <v>391.11</v>
      </c>
      <c r="H804">
        <f>Master_ventas[[#This Row],[Profit]]/Master_ventas[[#This Row],[Sales]]</f>
        <v>0.25071153846153849</v>
      </c>
      <c r="I804">
        <f ca="1">Referencia_Hoy-Master_ventas[[#This Row],[Order Date]]</f>
        <v>932</v>
      </c>
      <c r="J804" t="str">
        <f>UPPER(Master_ventas[[#This Row],[Product Name]])</f>
        <v>KEYBOARD</v>
      </c>
      <c r="K804" t="str">
        <f>UPPER(Master_ventas[[#This Row],[Category]])</f>
        <v>ACCESSORIES</v>
      </c>
      <c r="L804">
        <f>YEAR(Master_ventas[[#This Row],[Order Date]])</f>
        <v>2024</v>
      </c>
      <c r="M804" t="str">
        <f>CONCATENATE(LEFT(Master_ventas[[#This Row],[ProdUpper]],3),RIGHT(Master_ventas[[#This Row],[Ext-Year]],2),"-",MID(Master_ventas[[#This Row],[Category]],1,1))</f>
        <v>KEY24-A</v>
      </c>
      <c r="N804" t="str">
        <f>MID(Master_ventas[[#This Row],[ProdUpper]],1,3)</f>
        <v>KEY</v>
      </c>
      <c r="O804" t="str">
        <f>UPPER(IF(Master_ventas[[#This Row],[Profit]]&gt;500,"High","Std"))</f>
        <v>STD</v>
      </c>
      <c r="P804">
        <v>803</v>
      </c>
    </row>
    <row r="805" spans="1:16" x14ac:dyDescent="0.3">
      <c r="A805" s="1">
        <v>45493</v>
      </c>
      <c r="B805" t="s">
        <v>22</v>
      </c>
      <c r="C805" t="s">
        <v>11</v>
      </c>
      <c r="D805" t="s">
        <v>9</v>
      </c>
      <c r="E805">
        <v>6</v>
      </c>
      <c r="F805" s="3">
        <v>4446</v>
      </c>
      <c r="G805" s="2">
        <v>1217.8599999999999</v>
      </c>
      <c r="H805">
        <f>Master_ventas[[#This Row],[Profit]]/Master_ventas[[#This Row],[Sales]]</f>
        <v>0.27392262708052179</v>
      </c>
      <c r="I805">
        <f ca="1">Referencia_Hoy-Master_ventas[[#This Row],[Order Date]]</f>
        <v>830</v>
      </c>
      <c r="J805" t="str">
        <f>UPPER(Master_ventas[[#This Row],[Product Name]])</f>
        <v>KEYBOARD</v>
      </c>
      <c r="K805" t="str">
        <f>UPPER(Master_ventas[[#This Row],[Category]])</f>
        <v>ACCESSORIES</v>
      </c>
      <c r="L805">
        <f>YEAR(Master_ventas[[#This Row],[Order Date]])</f>
        <v>2024</v>
      </c>
      <c r="M805" t="str">
        <f>CONCATENATE(LEFT(Master_ventas[[#This Row],[ProdUpper]],3),RIGHT(Master_ventas[[#This Row],[Ext-Year]],2),"-",MID(Master_ventas[[#This Row],[Category]],1,1))</f>
        <v>KEY24-A</v>
      </c>
      <c r="N805" t="str">
        <f>MID(Master_ventas[[#This Row],[ProdUpper]],1,3)</f>
        <v>KEY</v>
      </c>
      <c r="O805" t="str">
        <f>UPPER(IF(Master_ventas[[#This Row],[Profit]]&gt;500,"High","Std"))</f>
        <v>HIGH</v>
      </c>
      <c r="P805">
        <v>804</v>
      </c>
    </row>
    <row r="806" spans="1:16" x14ac:dyDescent="0.3">
      <c r="A806" s="1">
        <v>45002</v>
      </c>
      <c r="B806" t="s">
        <v>7</v>
      </c>
      <c r="C806" t="s">
        <v>8</v>
      </c>
      <c r="D806" t="s">
        <v>16</v>
      </c>
      <c r="E806">
        <v>3</v>
      </c>
      <c r="F806" s="3">
        <v>1893</v>
      </c>
      <c r="G806" s="2">
        <v>508.8</v>
      </c>
      <c r="H806">
        <f>Master_ventas[[#This Row],[Profit]]/Master_ventas[[#This Row],[Sales]]</f>
        <v>0.26877971473851031</v>
      </c>
      <c r="I806">
        <f ca="1">Referencia_Hoy-Master_ventas[[#This Row],[Order Date]]</f>
        <v>1321</v>
      </c>
      <c r="J806" t="str">
        <f>UPPER(Master_ventas[[#This Row],[Product Name]])</f>
        <v>PRINTER</v>
      </c>
      <c r="K806" t="str">
        <f>UPPER(Master_ventas[[#This Row],[Category]])</f>
        <v>OFFICE</v>
      </c>
      <c r="L806">
        <f>YEAR(Master_ventas[[#This Row],[Order Date]])</f>
        <v>2023</v>
      </c>
      <c r="M806" t="str">
        <f>CONCATENATE(LEFT(Master_ventas[[#This Row],[ProdUpper]],3),RIGHT(Master_ventas[[#This Row],[Ext-Year]],2),"-",MID(Master_ventas[[#This Row],[Category]],1,1))</f>
        <v>PRI23-O</v>
      </c>
      <c r="N806" t="str">
        <f>MID(Master_ventas[[#This Row],[ProdUpper]],1,3)</f>
        <v>PRI</v>
      </c>
      <c r="O806" t="str">
        <f>UPPER(IF(Master_ventas[[#This Row],[Profit]]&gt;500,"High","Std"))</f>
        <v>HIGH</v>
      </c>
      <c r="P806">
        <v>805</v>
      </c>
    </row>
    <row r="807" spans="1:16" x14ac:dyDescent="0.3">
      <c r="A807" s="1">
        <v>45477</v>
      </c>
      <c r="B807" t="s">
        <v>17</v>
      </c>
      <c r="C807" t="s">
        <v>14</v>
      </c>
      <c r="D807" t="s">
        <v>12</v>
      </c>
      <c r="E807">
        <v>4</v>
      </c>
      <c r="F807" s="3">
        <v>4492</v>
      </c>
      <c r="G807" s="2">
        <v>670.42</v>
      </c>
      <c r="H807">
        <f>Master_ventas[[#This Row],[Profit]]/Master_ventas[[#This Row],[Sales]]</f>
        <v>0.14924755120213712</v>
      </c>
      <c r="I807">
        <f ca="1">Referencia_Hoy-Master_ventas[[#This Row],[Order Date]]</f>
        <v>846</v>
      </c>
      <c r="J807" t="str">
        <f>UPPER(Master_ventas[[#This Row],[Product Name]])</f>
        <v>CAMERA</v>
      </c>
      <c r="K807" t="str">
        <f>UPPER(Master_ventas[[#This Row],[Category]])</f>
        <v>ELECTRONICS</v>
      </c>
      <c r="L807">
        <f>YEAR(Master_ventas[[#This Row],[Order Date]])</f>
        <v>2024</v>
      </c>
      <c r="M807" t="str">
        <f>CONCATENATE(LEFT(Master_ventas[[#This Row],[ProdUpper]],3),RIGHT(Master_ventas[[#This Row],[Ext-Year]],2),"-",MID(Master_ventas[[#This Row],[Category]],1,1))</f>
        <v>CAM24-E</v>
      </c>
      <c r="N807" t="str">
        <f>MID(Master_ventas[[#This Row],[ProdUpper]],1,3)</f>
        <v>CAM</v>
      </c>
      <c r="O807" t="str">
        <f>UPPER(IF(Master_ventas[[#This Row],[Profit]]&gt;500,"High","Std"))</f>
        <v>HIGH</v>
      </c>
      <c r="P807">
        <v>806</v>
      </c>
    </row>
    <row r="808" spans="1:16" x14ac:dyDescent="0.3">
      <c r="A808" s="1">
        <v>45150</v>
      </c>
      <c r="B808" t="s">
        <v>10</v>
      </c>
      <c r="C808" t="s">
        <v>11</v>
      </c>
      <c r="D808" t="s">
        <v>15</v>
      </c>
      <c r="E808">
        <v>6</v>
      </c>
      <c r="F808" s="3">
        <v>6228</v>
      </c>
      <c r="G808" s="2">
        <v>1852.45</v>
      </c>
      <c r="H808">
        <f>Master_ventas[[#This Row],[Profit]]/Master_ventas[[#This Row],[Sales]]</f>
        <v>0.29743898522800255</v>
      </c>
      <c r="I808">
        <f ca="1">Referencia_Hoy-Master_ventas[[#This Row],[Order Date]]</f>
        <v>1173</v>
      </c>
      <c r="J808" t="str">
        <f>UPPER(Master_ventas[[#This Row],[Product Name]])</f>
        <v>MOUSE</v>
      </c>
      <c r="K808" t="str">
        <f>UPPER(Master_ventas[[#This Row],[Category]])</f>
        <v>ACCESSORIES</v>
      </c>
      <c r="L808">
        <f>YEAR(Master_ventas[[#This Row],[Order Date]])</f>
        <v>2023</v>
      </c>
      <c r="M808" t="str">
        <f>CONCATENATE(LEFT(Master_ventas[[#This Row],[ProdUpper]],3),RIGHT(Master_ventas[[#This Row],[Ext-Year]],2),"-",MID(Master_ventas[[#This Row],[Category]],1,1))</f>
        <v>MOU23-A</v>
      </c>
      <c r="N808" t="str">
        <f>MID(Master_ventas[[#This Row],[ProdUpper]],1,3)</f>
        <v>MOU</v>
      </c>
      <c r="O808" t="str">
        <f>UPPER(IF(Master_ventas[[#This Row],[Profit]]&gt;500,"High","Std"))</f>
        <v>HIGH</v>
      </c>
      <c r="P808">
        <v>807</v>
      </c>
    </row>
    <row r="809" spans="1:16" x14ac:dyDescent="0.3">
      <c r="A809" s="1">
        <v>45039</v>
      </c>
      <c r="B809" t="s">
        <v>17</v>
      </c>
      <c r="C809" t="s">
        <v>14</v>
      </c>
      <c r="D809" t="s">
        <v>12</v>
      </c>
      <c r="E809">
        <v>7</v>
      </c>
      <c r="F809" s="3">
        <v>4403</v>
      </c>
      <c r="G809" s="2">
        <v>1295.8900000000001</v>
      </c>
      <c r="H809">
        <f>Master_ventas[[#This Row],[Profit]]/Master_ventas[[#This Row],[Sales]]</f>
        <v>0.29431978196684083</v>
      </c>
      <c r="I809">
        <f ca="1">Referencia_Hoy-Master_ventas[[#This Row],[Order Date]]</f>
        <v>1284</v>
      </c>
      <c r="J809" t="str">
        <f>UPPER(Master_ventas[[#This Row],[Product Name]])</f>
        <v>CAMERA</v>
      </c>
      <c r="K809" t="str">
        <f>UPPER(Master_ventas[[#This Row],[Category]])</f>
        <v>ELECTRONICS</v>
      </c>
      <c r="L809">
        <f>YEAR(Master_ventas[[#This Row],[Order Date]])</f>
        <v>2023</v>
      </c>
      <c r="M809" t="str">
        <f>CONCATENATE(LEFT(Master_ventas[[#This Row],[ProdUpper]],3),RIGHT(Master_ventas[[#This Row],[Ext-Year]],2),"-",MID(Master_ventas[[#This Row],[Category]],1,1))</f>
        <v>CAM23-E</v>
      </c>
      <c r="N809" t="str">
        <f>MID(Master_ventas[[#This Row],[ProdUpper]],1,3)</f>
        <v>CAM</v>
      </c>
      <c r="O809" t="str">
        <f>UPPER(IF(Master_ventas[[#This Row],[Profit]]&gt;500,"High","Std"))</f>
        <v>HIGH</v>
      </c>
      <c r="P809">
        <v>808</v>
      </c>
    </row>
    <row r="810" spans="1:16" x14ac:dyDescent="0.3">
      <c r="A810" s="1">
        <v>44849</v>
      </c>
      <c r="B810" t="s">
        <v>18</v>
      </c>
      <c r="C810" t="s">
        <v>11</v>
      </c>
      <c r="D810" t="s">
        <v>15</v>
      </c>
      <c r="E810">
        <v>9</v>
      </c>
      <c r="F810" s="3">
        <v>4176</v>
      </c>
      <c r="G810" s="2">
        <v>510.97</v>
      </c>
      <c r="H810">
        <f>Master_ventas[[#This Row],[Profit]]/Master_ventas[[#This Row],[Sales]]</f>
        <v>0.12235871647509579</v>
      </c>
      <c r="I810">
        <f ca="1">Referencia_Hoy-Master_ventas[[#This Row],[Order Date]]</f>
        <v>1474</v>
      </c>
      <c r="J810" t="str">
        <f>UPPER(Master_ventas[[#This Row],[Product Name]])</f>
        <v>HEADPHONES</v>
      </c>
      <c r="K810" t="str">
        <f>UPPER(Master_ventas[[#This Row],[Category]])</f>
        <v>ACCESSORIES</v>
      </c>
      <c r="L810">
        <f>YEAR(Master_ventas[[#This Row],[Order Date]])</f>
        <v>2022</v>
      </c>
      <c r="M810" t="str">
        <f>CONCATENATE(LEFT(Master_ventas[[#This Row],[ProdUpper]],3),RIGHT(Master_ventas[[#This Row],[Ext-Year]],2),"-",MID(Master_ventas[[#This Row],[Category]],1,1))</f>
        <v>HEA22-A</v>
      </c>
      <c r="N810" t="str">
        <f>MID(Master_ventas[[#This Row],[ProdUpper]],1,3)</f>
        <v>HEA</v>
      </c>
      <c r="O810" t="str">
        <f>UPPER(IF(Master_ventas[[#This Row],[Profit]]&gt;500,"High","Std"))</f>
        <v>HIGH</v>
      </c>
      <c r="P810">
        <v>809</v>
      </c>
    </row>
    <row r="811" spans="1:16" x14ac:dyDescent="0.3">
      <c r="A811" s="1">
        <v>44705</v>
      </c>
      <c r="B811" t="s">
        <v>22</v>
      </c>
      <c r="C811" t="s">
        <v>11</v>
      </c>
      <c r="D811" t="s">
        <v>16</v>
      </c>
      <c r="E811">
        <v>2</v>
      </c>
      <c r="F811" s="3">
        <v>486</v>
      </c>
      <c r="G811" s="2">
        <v>64.430000000000007</v>
      </c>
      <c r="H811">
        <f>Master_ventas[[#This Row],[Profit]]/Master_ventas[[#This Row],[Sales]]</f>
        <v>0.13257201646090536</v>
      </c>
      <c r="I811">
        <f ca="1">Referencia_Hoy-Master_ventas[[#This Row],[Order Date]]</f>
        <v>1618</v>
      </c>
      <c r="J811" t="str">
        <f>UPPER(Master_ventas[[#This Row],[Product Name]])</f>
        <v>KEYBOARD</v>
      </c>
      <c r="K811" t="str">
        <f>UPPER(Master_ventas[[#This Row],[Category]])</f>
        <v>ACCESSORIES</v>
      </c>
      <c r="L811">
        <f>YEAR(Master_ventas[[#This Row],[Order Date]])</f>
        <v>2022</v>
      </c>
      <c r="M811" t="str">
        <f>CONCATENATE(LEFT(Master_ventas[[#This Row],[ProdUpper]],3),RIGHT(Master_ventas[[#This Row],[Ext-Year]],2),"-",MID(Master_ventas[[#This Row],[Category]],1,1))</f>
        <v>KEY22-A</v>
      </c>
      <c r="N811" t="str">
        <f>MID(Master_ventas[[#This Row],[ProdUpper]],1,3)</f>
        <v>KEY</v>
      </c>
      <c r="O811" t="str">
        <f>UPPER(IF(Master_ventas[[#This Row],[Profit]]&gt;500,"High","Std"))</f>
        <v>STD</v>
      </c>
      <c r="P811">
        <v>810</v>
      </c>
    </row>
    <row r="812" spans="1:16" x14ac:dyDescent="0.3">
      <c r="A812" s="1">
        <v>44690</v>
      </c>
      <c r="B812" t="s">
        <v>7</v>
      </c>
      <c r="C812" t="s">
        <v>8</v>
      </c>
      <c r="D812" t="s">
        <v>12</v>
      </c>
      <c r="E812">
        <v>5</v>
      </c>
      <c r="F812" s="3">
        <v>4880</v>
      </c>
      <c r="G812" s="2">
        <v>1084.69</v>
      </c>
      <c r="H812">
        <f>Master_ventas[[#This Row],[Profit]]/Master_ventas[[#This Row],[Sales]]</f>
        <v>0.22227254098360658</v>
      </c>
      <c r="I812">
        <f ca="1">Referencia_Hoy-Master_ventas[[#This Row],[Order Date]]</f>
        <v>1633</v>
      </c>
      <c r="J812" t="str">
        <f>UPPER(Master_ventas[[#This Row],[Product Name]])</f>
        <v>PRINTER</v>
      </c>
      <c r="K812" t="str">
        <f>UPPER(Master_ventas[[#This Row],[Category]])</f>
        <v>OFFICE</v>
      </c>
      <c r="L812">
        <f>YEAR(Master_ventas[[#This Row],[Order Date]])</f>
        <v>2022</v>
      </c>
      <c r="M812" t="str">
        <f>CONCATENATE(LEFT(Master_ventas[[#This Row],[ProdUpper]],3),RIGHT(Master_ventas[[#This Row],[Ext-Year]],2),"-",MID(Master_ventas[[#This Row],[Category]],1,1))</f>
        <v>PRI22-O</v>
      </c>
      <c r="N812" t="str">
        <f>MID(Master_ventas[[#This Row],[ProdUpper]],1,3)</f>
        <v>PRI</v>
      </c>
      <c r="O812" t="str">
        <f>UPPER(IF(Master_ventas[[#This Row],[Profit]]&gt;500,"High","Std"))</f>
        <v>HIGH</v>
      </c>
      <c r="P812">
        <v>811</v>
      </c>
    </row>
    <row r="813" spans="1:16" x14ac:dyDescent="0.3">
      <c r="A813" s="1">
        <v>44867</v>
      </c>
      <c r="B813" t="s">
        <v>7</v>
      </c>
      <c r="C813" t="s">
        <v>8</v>
      </c>
      <c r="D813" t="s">
        <v>16</v>
      </c>
      <c r="E813">
        <v>5</v>
      </c>
      <c r="F813" s="3">
        <v>265</v>
      </c>
      <c r="G813" s="2">
        <v>53.21</v>
      </c>
      <c r="H813">
        <f>Master_ventas[[#This Row],[Profit]]/Master_ventas[[#This Row],[Sales]]</f>
        <v>0.20079245283018868</v>
      </c>
      <c r="I813">
        <f ca="1">Referencia_Hoy-Master_ventas[[#This Row],[Order Date]]</f>
        <v>1456</v>
      </c>
      <c r="J813" t="str">
        <f>UPPER(Master_ventas[[#This Row],[Product Name]])</f>
        <v>PRINTER</v>
      </c>
      <c r="K813" t="str">
        <f>UPPER(Master_ventas[[#This Row],[Category]])</f>
        <v>OFFICE</v>
      </c>
      <c r="L813">
        <f>YEAR(Master_ventas[[#This Row],[Order Date]])</f>
        <v>2022</v>
      </c>
      <c r="M813" t="str">
        <f>CONCATENATE(LEFT(Master_ventas[[#This Row],[ProdUpper]],3),RIGHT(Master_ventas[[#This Row],[Ext-Year]],2),"-",MID(Master_ventas[[#This Row],[Category]],1,1))</f>
        <v>PRI22-O</v>
      </c>
      <c r="N813" t="str">
        <f>MID(Master_ventas[[#This Row],[ProdUpper]],1,3)</f>
        <v>PRI</v>
      </c>
      <c r="O813" t="str">
        <f>UPPER(IF(Master_ventas[[#This Row],[Profit]]&gt;500,"High","Std"))</f>
        <v>STD</v>
      </c>
      <c r="P813">
        <v>812</v>
      </c>
    </row>
    <row r="814" spans="1:16" x14ac:dyDescent="0.3">
      <c r="A814" s="1">
        <v>45179</v>
      </c>
      <c r="B814" t="s">
        <v>23</v>
      </c>
      <c r="C814" t="s">
        <v>14</v>
      </c>
      <c r="D814" t="s">
        <v>12</v>
      </c>
      <c r="E814">
        <v>1</v>
      </c>
      <c r="F814" s="3">
        <v>1041</v>
      </c>
      <c r="G814" s="2">
        <v>128.58000000000001</v>
      </c>
      <c r="H814">
        <f>Master_ventas[[#This Row],[Profit]]/Master_ventas[[#This Row],[Sales]]</f>
        <v>0.12351585014409223</v>
      </c>
      <c r="I814">
        <f ca="1">Referencia_Hoy-Master_ventas[[#This Row],[Order Date]]</f>
        <v>1144</v>
      </c>
      <c r="J814" t="str">
        <f>UPPER(Master_ventas[[#This Row],[Product Name]])</f>
        <v>LAPTOP</v>
      </c>
      <c r="K814" t="str">
        <f>UPPER(Master_ventas[[#This Row],[Category]])</f>
        <v>ELECTRONICS</v>
      </c>
      <c r="L814">
        <f>YEAR(Master_ventas[[#This Row],[Order Date]])</f>
        <v>2023</v>
      </c>
      <c r="M814" t="str">
        <f>CONCATENATE(LEFT(Master_ventas[[#This Row],[ProdUpper]],3),RIGHT(Master_ventas[[#This Row],[Ext-Year]],2),"-",MID(Master_ventas[[#This Row],[Category]],1,1))</f>
        <v>LAP23-E</v>
      </c>
      <c r="N814" t="str">
        <f>MID(Master_ventas[[#This Row],[ProdUpper]],1,3)</f>
        <v>LAP</v>
      </c>
      <c r="O814" t="str">
        <f>UPPER(IF(Master_ventas[[#This Row],[Profit]]&gt;500,"High","Std"))</f>
        <v>STD</v>
      </c>
      <c r="P814">
        <v>813</v>
      </c>
    </row>
    <row r="815" spans="1:16" x14ac:dyDescent="0.3">
      <c r="A815" s="1">
        <v>45379</v>
      </c>
      <c r="B815" t="s">
        <v>21</v>
      </c>
      <c r="C815" t="s">
        <v>14</v>
      </c>
      <c r="D815" t="s">
        <v>12</v>
      </c>
      <c r="E815">
        <v>8</v>
      </c>
      <c r="F815" s="3">
        <v>9448</v>
      </c>
      <c r="G815" s="2">
        <v>616.5</v>
      </c>
      <c r="H815">
        <f>Master_ventas[[#This Row],[Profit]]/Master_ventas[[#This Row],[Sales]]</f>
        <v>6.525190516511431E-2</v>
      </c>
      <c r="I815">
        <f ca="1">Referencia_Hoy-Master_ventas[[#This Row],[Order Date]]</f>
        <v>944</v>
      </c>
      <c r="J815" t="str">
        <f>UPPER(Master_ventas[[#This Row],[Product Name]])</f>
        <v>SMARTPHONE</v>
      </c>
      <c r="K815" t="str">
        <f>UPPER(Master_ventas[[#This Row],[Category]])</f>
        <v>ELECTRONICS</v>
      </c>
      <c r="L815">
        <f>YEAR(Master_ventas[[#This Row],[Order Date]])</f>
        <v>2024</v>
      </c>
      <c r="M815" t="str">
        <f>CONCATENATE(LEFT(Master_ventas[[#This Row],[ProdUpper]],3),RIGHT(Master_ventas[[#This Row],[Ext-Year]],2),"-",MID(Master_ventas[[#This Row],[Category]],1,1))</f>
        <v>SMA24-E</v>
      </c>
      <c r="N815" t="str">
        <f>MID(Master_ventas[[#This Row],[ProdUpper]],1,3)</f>
        <v>SMA</v>
      </c>
      <c r="O815" t="str">
        <f>UPPER(IF(Master_ventas[[#This Row],[Profit]]&gt;500,"High","Std"))</f>
        <v>HIGH</v>
      </c>
      <c r="P815">
        <v>814</v>
      </c>
    </row>
    <row r="816" spans="1:16" x14ac:dyDescent="0.3">
      <c r="A816" s="1">
        <v>44743</v>
      </c>
      <c r="B816" t="s">
        <v>18</v>
      </c>
      <c r="C816" t="s">
        <v>11</v>
      </c>
      <c r="D816" t="s">
        <v>15</v>
      </c>
      <c r="E816">
        <v>3</v>
      </c>
      <c r="F816" s="3">
        <v>1617</v>
      </c>
      <c r="G816" s="2">
        <v>440.46</v>
      </c>
      <c r="H816">
        <f>Master_ventas[[#This Row],[Profit]]/Master_ventas[[#This Row],[Sales]]</f>
        <v>0.2723933209647495</v>
      </c>
      <c r="I816">
        <f ca="1">Referencia_Hoy-Master_ventas[[#This Row],[Order Date]]</f>
        <v>1580</v>
      </c>
      <c r="J816" t="str">
        <f>UPPER(Master_ventas[[#This Row],[Product Name]])</f>
        <v>HEADPHONES</v>
      </c>
      <c r="K816" t="str">
        <f>UPPER(Master_ventas[[#This Row],[Category]])</f>
        <v>ACCESSORIES</v>
      </c>
      <c r="L816">
        <f>YEAR(Master_ventas[[#This Row],[Order Date]])</f>
        <v>2022</v>
      </c>
      <c r="M816" t="str">
        <f>CONCATENATE(LEFT(Master_ventas[[#This Row],[ProdUpper]],3),RIGHT(Master_ventas[[#This Row],[Ext-Year]],2),"-",MID(Master_ventas[[#This Row],[Category]],1,1))</f>
        <v>HEA22-A</v>
      </c>
      <c r="N816" t="str">
        <f>MID(Master_ventas[[#This Row],[ProdUpper]],1,3)</f>
        <v>HEA</v>
      </c>
      <c r="O816" t="str">
        <f>UPPER(IF(Master_ventas[[#This Row],[Profit]]&gt;500,"High","Std"))</f>
        <v>STD</v>
      </c>
      <c r="P816">
        <v>815</v>
      </c>
    </row>
    <row r="817" spans="1:16" x14ac:dyDescent="0.3">
      <c r="A817" s="1">
        <v>45339</v>
      </c>
      <c r="B817" t="s">
        <v>23</v>
      </c>
      <c r="C817" t="s">
        <v>14</v>
      </c>
      <c r="D817" t="s">
        <v>16</v>
      </c>
      <c r="E817">
        <v>2</v>
      </c>
      <c r="F817" s="3">
        <v>1486</v>
      </c>
      <c r="G817" s="2">
        <v>233.7</v>
      </c>
      <c r="H817">
        <f>Master_ventas[[#This Row],[Profit]]/Master_ventas[[#This Row],[Sales]]</f>
        <v>0.15726783310901749</v>
      </c>
      <c r="I817">
        <f ca="1">Referencia_Hoy-Master_ventas[[#This Row],[Order Date]]</f>
        <v>984</v>
      </c>
      <c r="J817" t="str">
        <f>UPPER(Master_ventas[[#This Row],[Product Name]])</f>
        <v>LAPTOP</v>
      </c>
      <c r="K817" t="str">
        <f>UPPER(Master_ventas[[#This Row],[Category]])</f>
        <v>ELECTRONICS</v>
      </c>
      <c r="L817">
        <f>YEAR(Master_ventas[[#This Row],[Order Date]])</f>
        <v>2024</v>
      </c>
      <c r="M817" t="str">
        <f>CONCATENATE(LEFT(Master_ventas[[#This Row],[ProdUpper]],3),RIGHT(Master_ventas[[#This Row],[Ext-Year]],2),"-",MID(Master_ventas[[#This Row],[Category]],1,1))</f>
        <v>LAP24-E</v>
      </c>
      <c r="N817" t="str">
        <f>MID(Master_ventas[[#This Row],[ProdUpper]],1,3)</f>
        <v>LAP</v>
      </c>
      <c r="O817" t="str">
        <f>UPPER(IF(Master_ventas[[#This Row],[Profit]]&gt;500,"High","Std"))</f>
        <v>STD</v>
      </c>
      <c r="P817">
        <v>816</v>
      </c>
    </row>
    <row r="818" spans="1:16" x14ac:dyDescent="0.3">
      <c r="A818" s="1">
        <v>45115</v>
      </c>
      <c r="B818" t="s">
        <v>19</v>
      </c>
      <c r="C818" t="s">
        <v>14</v>
      </c>
      <c r="D818" t="s">
        <v>12</v>
      </c>
      <c r="E818">
        <v>8</v>
      </c>
      <c r="F818" s="3">
        <v>7152</v>
      </c>
      <c r="G818" s="2">
        <v>1539.72</v>
      </c>
      <c r="H818">
        <f>Master_ventas[[#This Row],[Profit]]/Master_ventas[[#This Row],[Sales]]</f>
        <v>0.21528523489932885</v>
      </c>
      <c r="I818">
        <f ca="1">Referencia_Hoy-Master_ventas[[#This Row],[Order Date]]</f>
        <v>1208</v>
      </c>
      <c r="J818" t="str">
        <f>UPPER(Master_ventas[[#This Row],[Product Name]])</f>
        <v>SMARTWATCH</v>
      </c>
      <c r="K818" t="str">
        <f>UPPER(Master_ventas[[#This Row],[Category]])</f>
        <v>ELECTRONICS</v>
      </c>
      <c r="L818">
        <f>YEAR(Master_ventas[[#This Row],[Order Date]])</f>
        <v>2023</v>
      </c>
      <c r="M818" t="str">
        <f>CONCATENATE(LEFT(Master_ventas[[#This Row],[ProdUpper]],3),RIGHT(Master_ventas[[#This Row],[Ext-Year]],2),"-",MID(Master_ventas[[#This Row],[Category]],1,1))</f>
        <v>SMA23-E</v>
      </c>
      <c r="N818" t="str">
        <f>MID(Master_ventas[[#This Row],[ProdUpper]],1,3)</f>
        <v>SMA</v>
      </c>
      <c r="O818" t="str">
        <f>UPPER(IF(Master_ventas[[#This Row],[Profit]]&gt;500,"High","Std"))</f>
        <v>HIGH</v>
      </c>
      <c r="P818">
        <v>817</v>
      </c>
    </row>
    <row r="819" spans="1:16" x14ac:dyDescent="0.3">
      <c r="A819" s="1">
        <v>44924</v>
      </c>
      <c r="B819" t="s">
        <v>10</v>
      </c>
      <c r="C819" t="s">
        <v>11</v>
      </c>
      <c r="D819" t="s">
        <v>12</v>
      </c>
      <c r="E819">
        <v>6</v>
      </c>
      <c r="F819" s="3">
        <v>1404</v>
      </c>
      <c r="G819" s="2">
        <v>368.36</v>
      </c>
      <c r="H819">
        <f>Master_ventas[[#This Row],[Profit]]/Master_ventas[[#This Row],[Sales]]</f>
        <v>0.26236467236467237</v>
      </c>
      <c r="I819">
        <f ca="1">Referencia_Hoy-Master_ventas[[#This Row],[Order Date]]</f>
        <v>1399</v>
      </c>
      <c r="J819" t="str">
        <f>UPPER(Master_ventas[[#This Row],[Product Name]])</f>
        <v>MOUSE</v>
      </c>
      <c r="K819" t="str">
        <f>UPPER(Master_ventas[[#This Row],[Category]])</f>
        <v>ACCESSORIES</v>
      </c>
      <c r="L819">
        <f>YEAR(Master_ventas[[#This Row],[Order Date]])</f>
        <v>2022</v>
      </c>
      <c r="M819" t="str">
        <f>CONCATENATE(LEFT(Master_ventas[[#This Row],[ProdUpper]],3),RIGHT(Master_ventas[[#This Row],[Ext-Year]],2),"-",MID(Master_ventas[[#This Row],[Category]],1,1))</f>
        <v>MOU22-A</v>
      </c>
      <c r="N819" t="str">
        <f>MID(Master_ventas[[#This Row],[ProdUpper]],1,3)</f>
        <v>MOU</v>
      </c>
      <c r="O819" t="str">
        <f>UPPER(IF(Master_ventas[[#This Row],[Profit]]&gt;500,"High","Std"))</f>
        <v>STD</v>
      </c>
      <c r="P819">
        <v>818</v>
      </c>
    </row>
    <row r="820" spans="1:16" x14ac:dyDescent="0.3">
      <c r="A820" s="1">
        <v>45149</v>
      </c>
      <c r="B820" t="s">
        <v>17</v>
      </c>
      <c r="C820" t="s">
        <v>14</v>
      </c>
      <c r="D820" t="s">
        <v>15</v>
      </c>
      <c r="E820">
        <v>2</v>
      </c>
      <c r="F820" s="3">
        <v>122</v>
      </c>
      <c r="G820" s="2">
        <v>16.23</v>
      </c>
      <c r="H820">
        <f>Master_ventas[[#This Row],[Profit]]/Master_ventas[[#This Row],[Sales]]</f>
        <v>0.13303278688524592</v>
      </c>
      <c r="I820">
        <f ca="1">Referencia_Hoy-Master_ventas[[#This Row],[Order Date]]</f>
        <v>1174</v>
      </c>
      <c r="J820" t="str">
        <f>UPPER(Master_ventas[[#This Row],[Product Name]])</f>
        <v>CAMERA</v>
      </c>
      <c r="K820" t="str">
        <f>UPPER(Master_ventas[[#This Row],[Category]])</f>
        <v>ELECTRONICS</v>
      </c>
      <c r="L820">
        <f>YEAR(Master_ventas[[#This Row],[Order Date]])</f>
        <v>2023</v>
      </c>
      <c r="M820" t="str">
        <f>CONCATENATE(LEFT(Master_ventas[[#This Row],[ProdUpper]],3),RIGHT(Master_ventas[[#This Row],[Ext-Year]],2),"-",MID(Master_ventas[[#This Row],[Category]],1,1))</f>
        <v>CAM23-E</v>
      </c>
      <c r="N820" t="str">
        <f>MID(Master_ventas[[#This Row],[ProdUpper]],1,3)</f>
        <v>CAM</v>
      </c>
      <c r="O820" t="str">
        <f>UPPER(IF(Master_ventas[[#This Row],[Profit]]&gt;500,"High","Std"))</f>
        <v>STD</v>
      </c>
      <c r="P820">
        <v>819</v>
      </c>
    </row>
    <row r="821" spans="1:16" x14ac:dyDescent="0.3">
      <c r="A821" s="1">
        <v>45139</v>
      </c>
      <c r="B821" t="s">
        <v>17</v>
      </c>
      <c r="C821" t="s">
        <v>14</v>
      </c>
      <c r="D821" t="s">
        <v>9</v>
      </c>
      <c r="E821">
        <v>9</v>
      </c>
      <c r="F821" s="3">
        <v>7533</v>
      </c>
      <c r="G821" s="2">
        <v>1285.72</v>
      </c>
      <c r="H821">
        <f>Master_ventas[[#This Row],[Profit]]/Master_ventas[[#This Row],[Sales]]</f>
        <v>0.17067834859949554</v>
      </c>
      <c r="I821">
        <f ca="1">Referencia_Hoy-Master_ventas[[#This Row],[Order Date]]</f>
        <v>1184</v>
      </c>
      <c r="J821" t="str">
        <f>UPPER(Master_ventas[[#This Row],[Product Name]])</f>
        <v>CAMERA</v>
      </c>
      <c r="K821" t="str">
        <f>UPPER(Master_ventas[[#This Row],[Category]])</f>
        <v>ELECTRONICS</v>
      </c>
      <c r="L821">
        <f>YEAR(Master_ventas[[#This Row],[Order Date]])</f>
        <v>2023</v>
      </c>
      <c r="M821" t="str">
        <f>CONCATENATE(LEFT(Master_ventas[[#This Row],[ProdUpper]],3),RIGHT(Master_ventas[[#This Row],[Ext-Year]],2),"-",MID(Master_ventas[[#This Row],[Category]],1,1))</f>
        <v>CAM23-E</v>
      </c>
      <c r="N821" t="str">
        <f>MID(Master_ventas[[#This Row],[ProdUpper]],1,3)</f>
        <v>CAM</v>
      </c>
      <c r="O821" t="str">
        <f>UPPER(IF(Master_ventas[[#This Row],[Profit]]&gt;500,"High","Std"))</f>
        <v>HIGH</v>
      </c>
      <c r="P821">
        <v>820</v>
      </c>
    </row>
    <row r="822" spans="1:16" x14ac:dyDescent="0.3">
      <c r="A822" s="1">
        <v>45130</v>
      </c>
      <c r="B822" t="s">
        <v>18</v>
      </c>
      <c r="C822" t="s">
        <v>11</v>
      </c>
      <c r="D822" t="s">
        <v>15</v>
      </c>
      <c r="E822">
        <v>4</v>
      </c>
      <c r="F822" s="3">
        <v>3888</v>
      </c>
      <c r="G822" s="2">
        <v>810.08</v>
      </c>
      <c r="H822">
        <f>Master_ventas[[#This Row],[Profit]]/Master_ventas[[#This Row],[Sales]]</f>
        <v>0.20835390946502058</v>
      </c>
      <c r="I822">
        <f ca="1">Referencia_Hoy-Master_ventas[[#This Row],[Order Date]]</f>
        <v>1193</v>
      </c>
      <c r="J822" t="str">
        <f>UPPER(Master_ventas[[#This Row],[Product Name]])</f>
        <v>HEADPHONES</v>
      </c>
      <c r="K822" t="str">
        <f>UPPER(Master_ventas[[#This Row],[Category]])</f>
        <v>ACCESSORIES</v>
      </c>
      <c r="L822">
        <f>YEAR(Master_ventas[[#This Row],[Order Date]])</f>
        <v>2023</v>
      </c>
      <c r="M822" t="str">
        <f>CONCATENATE(LEFT(Master_ventas[[#This Row],[ProdUpper]],3),RIGHT(Master_ventas[[#This Row],[Ext-Year]],2),"-",MID(Master_ventas[[#This Row],[Category]],1,1))</f>
        <v>HEA23-A</v>
      </c>
      <c r="N822" t="str">
        <f>MID(Master_ventas[[#This Row],[ProdUpper]],1,3)</f>
        <v>HEA</v>
      </c>
      <c r="O822" t="str">
        <f>UPPER(IF(Master_ventas[[#This Row],[Profit]]&gt;500,"High","Std"))</f>
        <v>HIGH</v>
      </c>
      <c r="P822">
        <v>821</v>
      </c>
    </row>
    <row r="823" spans="1:16" x14ac:dyDescent="0.3">
      <c r="A823" s="1">
        <v>45478</v>
      </c>
      <c r="B823" t="s">
        <v>21</v>
      </c>
      <c r="C823" t="s">
        <v>14</v>
      </c>
      <c r="D823" t="s">
        <v>15</v>
      </c>
      <c r="E823">
        <v>5</v>
      </c>
      <c r="F823" s="3">
        <v>870</v>
      </c>
      <c r="G823" s="2">
        <v>48.87</v>
      </c>
      <c r="H823">
        <f>Master_ventas[[#This Row],[Profit]]/Master_ventas[[#This Row],[Sales]]</f>
        <v>5.6172413793103448E-2</v>
      </c>
      <c r="I823">
        <f ca="1">Referencia_Hoy-Master_ventas[[#This Row],[Order Date]]</f>
        <v>845</v>
      </c>
      <c r="J823" t="str">
        <f>UPPER(Master_ventas[[#This Row],[Product Name]])</f>
        <v>SMARTPHONE</v>
      </c>
      <c r="K823" t="str">
        <f>UPPER(Master_ventas[[#This Row],[Category]])</f>
        <v>ELECTRONICS</v>
      </c>
      <c r="L823">
        <f>YEAR(Master_ventas[[#This Row],[Order Date]])</f>
        <v>2024</v>
      </c>
      <c r="M823" t="str">
        <f>CONCATENATE(LEFT(Master_ventas[[#This Row],[ProdUpper]],3),RIGHT(Master_ventas[[#This Row],[Ext-Year]],2),"-",MID(Master_ventas[[#This Row],[Category]],1,1))</f>
        <v>SMA24-E</v>
      </c>
      <c r="N823" t="str">
        <f>MID(Master_ventas[[#This Row],[ProdUpper]],1,3)</f>
        <v>SMA</v>
      </c>
      <c r="O823" t="str">
        <f>UPPER(IF(Master_ventas[[#This Row],[Profit]]&gt;500,"High","Std"))</f>
        <v>STD</v>
      </c>
      <c r="P823">
        <v>822</v>
      </c>
    </row>
    <row r="824" spans="1:16" x14ac:dyDescent="0.3">
      <c r="A824" s="1">
        <v>44893</v>
      </c>
      <c r="B824" t="s">
        <v>10</v>
      </c>
      <c r="C824" t="s">
        <v>11</v>
      </c>
      <c r="D824" t="s">
        <v>15</v>
      </c>
      <c r="E824">
        <v>2</v>
      </c>
      <c r="F824" s="3">
        <v>1446</v>
      </c>
      <c r="G824" s="2">
        <v>403.89</v>
      </c>
      <c r="H824">
        <f>Master_ventas[[#This Row],[Profit]]/Master_ventas[[#This Row],[Sales]]</f>
        <v>0.27931535269709545</v>
      </c>
      <c r="I824">
        <f ca="1">Referencia_Hoy-Master_ventas[[#This Row],[Order Date]]</f>
        <v>1430</v>
      </c>
      <c r="J824" t="str">
        <f>UPPER(Master_ventas[[#This Row],[Product Name]])</f>
        <v>MOUSE</v>
      </c>
      <c r="K824" t="str">
        <f>UPPER(Master_ventas[[#This Row],[Category]])</f>
        <v>ACCESSORIES</v>
      </c>
      <c r="L824">
        <f>YEAR(Master_ventas[[#This Row],[Order Date]])</f>
        <v>2022</v>
      </c>
      <c r="M824" t="str">
        <f>CONCATENATE(LEFT(Master_ventas[[#This Row],[ProdUpper]],3),RIGHT(Master_ventas[[#This Row],[Ext-Year]],2),"-",MID(Master_ventas[[#This Row],[Category]],1,1))</f>
        <v>MOU22-A</v>
      </c>
      <c r="N824" t="str">
        <f>MID(Master_ventas[[#This Row],[ProdUpper]],1,3)</f>
        <v>MOU</v>
      </c>
      <c r="O824" t="str">
        <f>UPPER(IF(Master_ventas[[#This Row],[Profit]]&gt;500,"High","Std"))</f>
        <v>STD</v>
      </c>
      <c r="P824">
        <v>823</v>
      </c>
    </row>
    <row r="825" spans="1:16" x14ac:dyDescent="0.3">
      <c r="A825" s="1">
        <v>45607</v>
      </c>
      <c r="B825" t="s">
        <v>13</v>
      </c>
      <c r="C825" t="s">
        <v>14</v>
      </c>
      <c r="D825" t="s">
        <v>15</v>
      </c>
      <c r="E825">
        <v>6</v>
      </c>
      <c r="F825" s="3">
        <v>510</v>
      </c>
      <c r="G825" s="2">
        <v>151.91</v>
      </c>
      <c r="H825">
        <f>Master_ventas[[#This Row],[Profit]]/Master_ventas[[#This Row],[Sales]]</f>
        <v>0.29786274509803923</v>
      </c>
      <c r="I825">
        <f ca="1">Referencia_Hoy-Master_ventas[[#This Row],[Order Date]]</f>
        <v>716</v>
      </c>
      <c r="J825" t="str">
        <f>UPPER(Master_ventas[[#This Row],[Product Name]])</f>
        <v>TABLET</v>
      </c>
      <c r="K825" t="str">
        <f>UPPER(Master_ventas[[#This Row],[Category]])</f>
        <v>ELECTRONICS</v>
      </c>
      <c r="L825">
        <f>YEAR(Master_ventas[[#This Row],[Order Date]])</f>
        <v>2024</v>
      </c>
      <c r="M825" t="str">
        <f>CONCATENATE(LEFT(Master_ventas[[#This Row],[ProdUpper]],3),RIGHT(Master_ventas[[#This Row],[Ext-Year]],2),"-",MID(Master_ventas[[#This Row],[Category]],1,1))</f>
        <v>TAB24-E</v>
      </c>
      <c r="N825" t="str">
        <f>MID(Master_ventas[[#This Row],[ProdUpper]],1,3)</f>
        <v>TAB</v>
      </c>
      <c r="O825" t="str">
        <f>UPPER(IF(Master_ventas[[#This Row],[Profit]]&gt;500,"High","Std"))</f>
        <v>STD</v>
      </c>
      <c r="P825">
        <v>824</v>
      </c>
    </row>
    <row r="826" spans="1:16" x14ac:dyDescent="0.3">
      <c r="A826" s="1">
        <v>45502</v>
      </c>
      <c r="B826" t="s">
        <v>22</v>
      </c>
      <c r="C826" t="s">
        <v>11</v>
      </c>
      <c r="D826" t="s">
        <v>16</v>
      </c>
      <c r="E826">
        <v>8</v>
      </c>
      <c r="F826" s="3">
        <v>6224</v>
      </c>
      <c r="G826" s="2">
        <v>790.27</v>
      </c>
      <c r="H826">
        <f>Master_ventas[[#This Row],[Profit]]/Master_ventas[[#This Row],[Sales]]</f>
        <v>0.12697140102827764</v>
      </c>
      <c r="I826">
        <f ca="1">Referencia_Hoy-Master_ventas[[#This Row],[Order Date]]</f>
        <v>821</v>
      </c>
      <c r="J826" t="str">
        <f>UPPER(Master_ventas[[#This Row],[Product Name]])</f>
        <v>KEYBOARD</v>
      </c>
      <c r="K826" t="str">
        <f>UPPER(Master_ventas[[#This Row],[Category]])</f>
        <v>ACCESSORIES</v>
      </c>
      <c r="L826">
        <f>YEAR(Master_ventas[[#This Row],[Order Date]])</f>
        <v>2024</v>
      </c>
      <c r="M826" t="str">
        <f>CONCATENATE(LEFT(Master_ventas[[#This Row],[ProdUpper]],3),RIGHT(Master_ventas[[#This Row],[Ext-Year]],2),"-",MID(Master_ventas[[#This Row],[Category]],1,1))</f>
        <v>KEY24-A</v>
      </c>
      <c r="N826" t="str">
        <f>MID(Master_ventas[[#This Row],[ProdUpper]],1,3)</f>
        <v>KEY</v>
      </c>
      <c r="O826" t="str">
        <f>UPPER(IF(Master_ventas[[#This Row],[Profit]]&gt;500,"High","Std"))</f>
        <v>HIGH</v>
      </c>
      <c r="P826">
        <v>825</v>
      </c>
    </row>
    <row r="827" spans="1:16" x14ac:dyDescent="0.3">
      <c r="A827" s="1">
        <v>45041</v>
      </c>
      <c r="B827" t="s">
        <v>22</v>
      </c>
      <c r="C827" t="s">
        <v>11</v>
      </c>
      <c r="D827" t="s">
        <v>9</v>
      </c>
      <c r="E827">
        <v>2</v>
      </c>
      <c r="F827" s="3">
        <v>686</v>
      </c>
      <c r="G827" s="2">
        <v>85.03</v>
      </c>
      <c r="H827">
        <f>Master_ventas[[#This Row],[Profit]]/Master_ventas[[#This Row],[Sales]]</f>
        <v>0.12395043731778425</v>
      </c>
      <c r="I827">
        <f ca="1">Referencia_Hoy-Master_ventas[[#This Row],[Order Date]]</f>
        <v>1282</v>
      </c>
      <c r="J827" t="str">
        <f>UPPER(Master_ventas[[#This Row],[Product Name]])</f>
        <v>KEYBOARD</v>
      </c>
      <c r="K827" t="str">
        <f>UPPER(Master_ventas[[#This Row],[Category]])</f>
        <v>ACCESSORIES</v>
      </c>
      <c r="L827">
        <f>YEAR(Master_ventas[[#This Row],[Order Date]])</f>
        <v>2023</v>
      </c>
      <c r="M827" t="str">
        <f>CONCATENATE(LEFT(Master_ventas[[#This Row],[ProdUpper]],3),RIGHT(Master_ventas[[#This Row],[Ext-Year]],2),"-",MID(Master_ventas[[#This Row],[Category]],1,1))</f>
        <v>KEY23-A</v>
      </c>
      <c r="N827" t="str">
        <f>MID(Master_ventas[[#This Row],[ProdUpper]],1,3)</f>
        <v>KEY</v>
      </c>
      <c r="O827" t="str">
        <f>UPPER(IF(Master_ventas[[#This Row],[Profit]]&gt;500,"High","Std"))</f>
        <v>STD</v>
      </c>
      <c r="P827">
        <v>826</v>
      </c>
    </row>
    <row r="828" spans="1:16" x14ac:dyDescent="0.3">
      <c r="A828" s="1">
        <v>45271</v>
      </c>
      <c r="B828" t="s">
        <v>10</v>
      </c>
      <c r="C828" t="s">
        <v>11</v>
      </c>
      <c r="D828" t="s">
        <v>16</v>
      </c>
      <c r="E828">
        <v>4</v>
      </c>
      <c r="F828" s="3">
        <v>2840</v>
      </c>
      <c r="G828" s="2">
        <v>591.94000000000005</v>
      </c>
      <c r="H828">
        <f>Master_ventas[[#This Row],[Profit]]/Master_ventas[[#This Row],[Sales]]</f>
        <v>0.20842957746478874</v>
      </c>
      <c r="I828">
        <f ca="1">Referencia_Hoy-Master_ventas[[#This Row],[Order Date]]</f>
        <v>1052</v>
      </c>
      <c r="J828" t="str">
        <f>UPPER(Master_ventas[[#This Row],[Product Name]])</f>
        <v>MOUSE</v>
      </c>
      <c r="K828" t="str">
        <f>UPPER(Master_ventas[[#This Row],[Category]])</f>
        <v>ACCESSORIES</v>
      </c>
      <c r="L828">
        <f>YEAR(Master_ventas[[#This Row],[Order Date]])</f>
        <v>2023</v>
      </c>
      <c r="M828" t="str">
        <f>CONCATENATE(LEFT(Master_ventas[[#This Row],[ProdUpper]],3),RIGHT(Master_ventas[[#This Row],[Ext-Year]],2),"-",MID(Master_ventas[[#This Row],[Category]],1,1))</f>
        <v>MOU23-A</v>
      </c>
      <c r="N828" t="str">
        <f>MID(Master_ventas[[#This Row],[ProdUpper]],1,3)</f>
        <v>MOU</v>
      </c>
      <c r="O828" t="str">
        <f>UPPER(IF(Master_ventas[[#This Row],[Profit]]&gt;500,"High","Std"))</f>
        <v>HIGH</v>
      </c>
      <c r="P828">
        <v>827</v>
      </c>
    </row>
    <row r="829" spans="1:16" x14ac:dyDescent="0.3">
      <c r="A829" s="1">
        <v>45242</v>
      </c>
      <c r="B829" t="s">
        <v>23</v>
      </c>
      <c r="C829" t="s">
        <v>14</v>
      </c>
      <c r="D829" t="s">
        <v>15</v>
      </c>
      <c r="E829">
        <v>7</v>
      </c>
      <c r="F829" s="3">
        <v>2562</v>
      </c>
      <c r="G829" s="2">
        <v>347.62</v>
      </c>
      <c r="H829">
        <f>Master_ventas[[#This Row],[Profit]]/Master_ventas[[#This Row],[Sales]]</f>
        <v>0.13568306010928963</v>
      </c>
      <c r="I829">
        <f ca="1">Referencia_Hoy-Master_ventas[[#This Row],[Order Date]]</f>
        <v>1081</v>
      </c>
      <c r="J829" t="str">
        <f>UPPER(Master_ventas[[#This Row],[Product Name]])</f>
        <v>LAPTOP</v>
      </c>
      <c r="K829" t="str">
        <f>UPPER(Master_ventas[[#This Row],[Category]])</f>
        <v>ELECTRONICS</v>
      </c>
      <c r="L829">
        <f>YEAR(Master_ventas[[#This Row],[Order Date]])</f>
        <v>2023</v>
      </c>
      <c r="M829" t="str">
        <f>CONCATENATE(LEFT(Master_ventas[[#This Row],[ProdUpper]],3),RIGHT(Master_ventas[[#This Row],[Ext-Year]],2),"-",MID(Master_ventas[[#This Row],[Category]],1,1))</f>
        <v>LAP23-E</v>
      </c>
      <c r="N829" t="str">
        <f>MID(Master_ventas[[#This Row],[ProdUpper]],1,3)</f>
        <v>LAP</v>
      </c>
      <c r="O829" t="str">
        <f>UPPER(IF(Master_ventas[[#This Row],[Profit]]&gt;500,"High","Std"))</f>
        <v>STD</v>
      </c>
      <c r="P829">
        <v>828</v>
      </c>
    </row>
    <row r="830" spans="1:16" x14ac:dyDescent="0.3">
      <c r="A830" s="1">
        <v>45416</v>
      </c>
      <c r="B830" t="s">
        <v>21</v>
      </c>
      <c r="C830" t="s">
        <v>14</v>
      </c>
      <c r="D830" t="s">
        <v>16</v>
      </c>
      <c r="E830">
        <v>5</v>
      </c>
      <c r="F830" s="3">
        <v>790</v>
      </c>
      <c r="G830" s="2">
        <v>216.12</v>
      </c>
      <c r="H830">
        <f>Master_ventas[[#This Row],[Profit]]/Master_ventas[[#This Row],[Sales]]</f>
        <v>0.27356962025316456</v>
      </c>
      <c r="I830">
        <f ca="1">Referencia_Hoy-Master_ventas[[#This Row],[Order Date]]</f>
        <v>907</v>
      </c>
      <c r="J830" t="str">
        <f>UPPER(Master_ventas[[#This Row],[Product Name]])</f>
        <v>SMARTPHONE</v>
      </c>
      <c r="K830" t="str">
        <f>UPPER(Master_ventas[[#This Row],[Category]])</f>
        <v>ELECTRONICS</v>
      </c>
      <c r="L830">
        <f>YEAR(Master_ventas[[#This Row],[Order Date]])</f>
        <v>2024</v>
      </c>
      <c r="M830" t="str">
        <f>CONCATENATE(LEFT(Master_ventas[[#This Row],[ProdUpper]],3),RIGHT(Master_ventas[[#This Row],[Ext-Year]],2),"-",MID(Master_ventas[[#This Row],[Category]],1,1))</f>
        <v>SMA24-E</v>
      </c>
      <c r="N830" t="str">
        <f>MID(Master_ventas[[#This Row],[ProdUpper]],1,3)</f>
        <v>SMA</v>
      </c>
      <c r="O830" t="str">
        <f>UPPER(IF(Master_ventas[[#This Row],[Profit]]&gt;500,"High","Std"))</f>
        <v>STD</v>
      </c>
      <c r="P830">
        <v>829</v>
      </c>
    </row>
    <row r="831" spans="1:16" x14ac:dyDescent="0.3">
      <c r="A831" s="1">
        <v>44751</v>
      </c>
      <c r="B831" t="s">
        <v>23</v>
      </c>
      <c r="C831" t="s">
        <v>14</v>
      </c>
      <c r="D831" t="s">
        <v>12</v>
      </c>
      <c r="E831">
        <v>5</v>
      </c>
      <c r="F831" s="3">
        <v>4170</v>
      </c>
      <c r="G831" s="2">
        <v>786.42</v>
      </c>
      <c r="H831">
        <f>Master_ventas[[#This Row],[Profit]]/Master_ventas[[#This Row],[Sales]]</f>
        <v>0.18858992805755395</v>
      </c>
      <c r="I831">
        <f ca="1">Referencia_Hoy-Master_ventas[[#This Row],[Order Date]]</f>
        <v>1572</v>
      </c>
      <c r="J831" t="str">
        <f>UPPER(Master_ventas[[#This Row],[Product Name]])</f>
        <v>LAPTOP</v>
      </c>
      <c r="K831" t="str">
        <f>UPPER(Master_ventas[[#This Row],[Category]])</f>
        <v>ELECTRONICS</v>
      </c>
      <c r="L831">
        <f>YEAR(Master_ventas[[#This Row],[Order Date]])</f>
        <v>2022</v>
      </c>
      <c r="M831" t="str">
        <f>CONCATENATE(LEFT(Master_ventas[[#This Row],[ProdUpper]],3),RIGHT(Master_ventas[[#This Row],[Ext-Year]],2),"-",MID(Master_ventas[[#This Row],[Category]],1,1))</f>
        <v>LAP22-E</v>
      </c>
      <c r="N831" t="str">
        <f>MID(Master_ventas[[#This Row],[ProdUpper]],1,3)</f>
        <v>LAP</v>
      </c>
      <c r="O831" t="str">
        <f>UPPER(IF(Master_ventas[[#This Row],[Profit]]&gt;500,"High","Std"))</f>
        <v>HIGH</v>
      </c>
      <c r="P831">
        <v>830</v>
      </c>
    </row>
    <row r="832" spans="1:16" x14ac:dyDescent="0.3">
      <c r="A832" s="1">
        <v>44887</v>
      </c>
      <c r="B832" t="s">
        <v>13</v>
      </c>
      <c r="C832" t="s">
        <v>14</v>
      </c>
      <c r="D832" t="s">
        <v>12</v>
      </c>
      <c r="E832">
        <v>4</v>
      </c>
      <c r="F832" s="3">
        <v>1360</v>
      </c>
      <c r="G832" s="2">
        <v>373.59</v>
      </c>
      <c r="H832">
        <f>Master_ventas[[#This Row],[Profit]]/Master_ventas[[#This Row],[Sales]]</f>
        <v>0.2746985294117647</v>
      </c>
      <c r="I832">
        <f ca="1">Referencia_Hoy-Master_ventas[[#This Row],[Order Date]]</f>
        <v>1436</v>
      </c>
      <c r="J832" t="str">
        <f>UPPER(Master_ventas[[#This Row],[Product Name]])</f>
        <v>TABLET</v>
      </c>
      <c r="K832" t="str">
        <f>UPPER(Master_ventas[[#This Row],[Category]])</f>
        <v>ELECTRONICS</v>
      </c>
      <c r="L832">
        <f>YEAR(Master_ventas[[#This Row],[Order Date]])</f>
        <v>2022</v>
      </c>
      <c r="M832" t="str">
        <f>CONCATENATE(LEFT(Master_ventas[[#This Row],[ProdUpper]],3),RIGHT(Master_ventas[[#This Row],[Ext-Year]],2),"-",MID(Master_ventas[[#This Row],[Category]],1,1))</f>
        <v>TAB22-E</v>
      </c>
      <c r="N832" t="str">
        <f>MID(Master_ventas[[#This Row],[ProdUpper]],1,3)</f>
        <v>TAB</v>
      </c>
      <c r="O832" t="str">
        <f>UPPER(IF(Master_ventas[[#This Row],[Profit]]&gt;500,"High","Std"))</f>
        <v>STD</v>
      </c>
      <c r="P832">
        <v>831</v>
      </c>
    </row>
    <row r="833" spans="1:16" x14ac:dyDescent="0.3">
      <c r="A833" s="1">
        <v>44633</v>
      </c>
      <c r="B833" t="s">
        <v>17</v>
      </c>
      <c r="C833" t="s">
        <v>14</v>
      </c>
      <c r="D833" t="s">
        <v>12</v>
      </c>
      <c r="E833">
        <v>6</v>
      </c>
      <c r="F833" s="3">
        <v>5316</v>
      </c>
      <c r="G833" s="2">
        <v>782.42</v>
      </c>
      <c r="H833">
        <f>Master_ventas[[#This Row],[Profit]]/Master_ventas[[#This Row],[Sales]]</f>
        <v>0.1471820917983446</v>
      </c>
      <c r="I833">
        <f ca="1">Referencia_Hoy-Master_ventas[[#This Row],[Order Date]]</f>
        <v>1690</v>
      </c>
      <c r="J833" t="str">
        <f>UPPER(Master_ventas[[#This Row],[Product Name]])</f>
        <v>CAMERA</v>
      </c>
      <c r="K833" t="str">
        <f>UPPER(Master_ventas[[#This Row],[Category]])</f>
        <v>ELECTRONICS</v>
      </c>
      <c r="L833">
        <f>YEAR(Master_ventas[[#This Row],[Order Date]])</f>
        <v>2022</v>
      </c>
      <c r="M833" t="str">
        <f>CONCATENATE(LEFT(Master_ventas[[#This Row],[ProdUpper]],3),RIGHT(Master_ventas[[#This Row],[Ext-Year]],2),"-",MID(Master_ventas[[#This Row],[Category]],1,1))</f>
        <v>CAM22-E</v>
      </c>
      <c r="N833" t="str">
        <f>MID(Master_ventas[[#This Row],[ProdUpper]],1,3)</f>
        <v>CAM</v>
      </c>
      <c r="O833" t="str">
        <f>UPPER(IF(Master_ventas[[#This Row],[Profit]]&gt;500,"High","Std"))</f>
        <v>HIGH</v>
      </c>
      <c r="P833">
        <v>832</v>
      </c>
    </row>
    <row r="834" spans="1:16" x14ac:dyDescent="0.3">
      <c r="A834" s="1">
        <v>45127</v>
      </c>
      <c r="B834" t="s">
        <v>23</v>
      </c>
      <c r="C834" t="s">
        <v>14</v>
      </c>
      <c r="D834" t="s">
        <v>16</v>
      </c>
      <c r="E834">
        <v>4</v>
      </c>
      <c r="F834" s="3">
        <v>3956</v>
      </c>
      <c r="G834" s="2">
        <v>293.38</v>
      </c>
      <c r="H834">
        <f>Master_ventas[[#This Row],[Profit]]/Master_ventas[[#This Row],[Sales]]</f>
        <v>7.4160768452982806E-2</v>
      </c>
      <c r="I834">
        <f ca="1">Referencia_Hoy-Master_ventas[[#This Row],[Order Date]]</f>
        <v>1196</v>
      </c>
      <c r="J834" t="str">
        <f>UPPER(Master_ventas[[#This Row],[Product Name]])</f>
        <v>LAPTOP</v>
      </c>
      <c r="K834" t="str">
        <f>UPPER(Master_ventas[[#This Row],[Category]])</f>
        <v>ELECTRONICS</v>
      </c>
      <c r="L834">
        <f>YEAR(Master_ventas[[#This Row],[Order Date]])</f>
        <v>2023</v>
      </c>
      <c r="M834" t="str">
        <f>CONCATENATE(LEFT(Master_ventas[[#This Row],[ProdUpper]],3),RIGHT(Master_ventas[[#This Row],[Ext-Year]],2),"-",MID(Master_ventas[[#This Row],[Category]],1,1))</f>
        <v>LAP23-E</v>
      </c>
      <c r="N834" t="str">
        <f>MID(Master_ventas[[#This Row],[ProdUpper]],1,3)</f>
        <v>LAP</v>
      </c>
      <c r="O834" t="str">
        <f>UPPER(IF(Master_ventas[[#This Row],[Profit]]&gt;500,"High","Std"))</f>
        <v>STD</v>
      </c>
      <c r="P834">
        <v>833</v>
      </c>
    </row>
    <row r="835" spans="1:16" x14ac:dyDescent="0.3">
      <c r="A835" s="1">
        <v>44690</v>
      </c>
      <c r="B835" t="s">
        <v>20</v>
      </c>
      <c r="C835" t="s">
        <v>11</v>
      </c>
      <c r="D835" t="s">
        <v>9</v>
      </c>
      <c r="E835">
        <v>3</v>
      </c>
      <c r="F835" s="3">
        <v>726</v>
      </c>
      <c r="G835" s="2">
        <v>94.38</v>
      </c>
      <c r="H835">
        <f>Master_ventas[[#This Row],[Profit]]/Master_ventas[[#This Row],[Sales]]</f>
        <v>0.13</v>
      </c>
      <c r="I835">
        <f ca="1">Referencia_Hoy-Master_ventas[[#This Row],[Order Date]]</f>
        <v>1633</v>
      </c>
      <c r="J835" t="str">
        <f>UPPER(Master_ventas[[#This Row],[Product Name]])</f>
        <v>MONITOR</v>
      </c>
      <c r="K835" t="str">
        <f>UPPER(Master_ventas[[#This Row],[Category]])</f>
        <v>ACCESSORIES</v>
      </c>
      <c r="L835">
        <f>YEAR(Master_ventas[[#This Row],[Order Date]])</f>
        <v>2022</v>
      </c>
      <c r="M835" t="str">
        <f>CONCATENATE(LEFT(Master_ventas[[#This Row],[ProdUpper]],3),RIGHT(Master_ventas[[#This Row],[Ext-Year]],2),"-",MID(Master_ventas[[#This Row],[Category]],1,1))</f>
        <v>MON22-A</v>
      </c>
      <c r="N835" t="str">
        <f>MID(Master_ventas[[#This Row],[ProdUpper]],1,3)</f>
        <v>MON</v>
      </c>
      <c r="O835" t="str">
        <f>UPPER(IF(Master_ventas[[#This Row],[Profit]]&gt;500,"High","Std"))</f>
        <v>STD</v>
      </c>
      <c r="P835">
        <v>834</v>
      </c>
    </row>
    <row r="836" spans="1:16" x14ac:dyDescent="0.3">
      <c r="A836" s="1">
        <v>45508</v>
      </c>
      <c r="B836" t="s">
        <v>21</v>
      </c>
      <c r="C836" t="s">
        <v>14</v>
      </c>
      <c r="D836" t="s">
        <v>9</v>
      </c>
      <c r="E836">
        <v>4</v>
      </c>
      <c r="F836" s="3">
        <v>228</v>
      </c>
      <c r="G836" s="2">
        <v>29.37</v>
      </c>
      <c r="H836">
        <f>Master_ventas[[#This Row],[Profit]]/Master_ventas[[#This Row],[Sales]]</f>
        <v>0.12881578947368422</v>
      </c>
      <c r="I836">
        <f ca="1">Referencia_Hoy-Master_ventas[[#This Row],[Order Date]]</f>
        <v>815</v>
      </c>
      <c r="J836" t="str">
        <f>UPPER(Master_ventas[[#This Row],[Product Name]])</f>
        <v>SMARTPHONE</v>
      </c>
      <c r="K836" t="str">
        <f>UPPER(Master_ventas[[#This Row],[Category]])</f>
        <v>ELECTRONICS</v>
      </c>
      <c r="L836">
        <f>YEAR(Master_ventas[[#This Row],[Order Date]])</f>
        <v>2024</v>
      </c>
      <c r="M836" t="str">
        <f>CONCATENATE(LEFT(Master_ventas[[#This Row],[ProdUpper]],3),RIGHT(Master_ventas[[#This Row],[Ext-Year]],2),"-",MID(Master_ventas[[#This Row],[Category]],1,1))</f>
        <v>SMA24-E</v>
      </c>
      <c r="N836" t="str">
        <f>MID(Master_ventas[[#This Row],[ProdUpper]],1,3)</f>
        <v>SMA</v>
      </c>
      <c r="O836" t="str">
        <f>UPPER(IF(Master_ventas[[#This Row],[Profit]]&gt;500,"High","Std"))</f>
        <v>STD</v>
      </c>
      <c r="P836">
        <v>835</v>
      </c>
    </row>
    <row r="837" spans="1:16" x14ac:dyDescent="0.3">
      <c r="A837" s="1">
        <v>44773</v>
      </c>
      <c r="B837" t="s">
        <v>18</v>
      </c>
      <c r="C837" t="s">
        <v>11</v>
      </c>
      <c r="D837" t="s">
        <v>9</v>
      </c>
      <c r="E837">
        <v>3</v>
      </c>
      <c r="F837" s="3">
        <v>2274</v>
      </c>
      <c r="G837" s="2">
        <v>442.57</v>
      </c>
      <c r="H837">
        <f>Master_ventas[[#This Row],[Profit]]/Master_ventas[[#This Row],[Sales]]</f>
        <v>0.19462181178540017</v>
      </c>
      <c r="I837">
        <f ca="1">Referencia_Hoy-Master_ventas[[#This Row],[Order Date]]</f>
        <v>1550</v>
      </c>
      <c r="J837" t="str">
        <f>UPPER(Master_ventas[[#This Row],[Product Name]])</f>
        <v>HEADPHONES</v>
      </c>
      <c r="K837" t="str">
        <f>UPPER(Master_ventas[[#This Row],[Category]])</f>
        <v>ACCESSORIES</v>
      </c>
      <c r="L837">
        <f>YEAR(Master_ventas[[#This Row],[Order Date]])</f>
        <v>2022</v>
      </c>
      <c r="M837" t="str">
        <f>CONCATENATE(LEFT(Master_ventas[[#This Row],[ProdUpper]],3),RIGHT(Master_ventas[[#This Row],[Ext-Year]],2),"-",MID(Master_ventas[[#This Row],[Category]],1,1))</f>
        <v>HEA22-A</v>
      </c>
      <c r="N837" t="str">
        <f>MID(Master_ventas[[#This Row],[ProdUpper]],1,3)</f>
        <v>HEA</v>
      </c>
      <c r="O837" t="str">
        <f>UPPER(IF(Master_ventas[[#This Row],[Profit]]&gt;500,"High","Std"))</f>
        <v>STD</v>
      </c>
      <c r="P837">
        <v>836</v>
      </c>
    </row>
    <row r="838" spans="1:16" x14ac:dyDescent="0.3">
      <c r="A838" s="1">
        <v>45548</v>
      </c>
      <c r="B838" t="s">
        <v>22</v>
      </c>
      <c r="C838" t="s">
        <v>11</v>
      </c>
      <c r="D838" t="s">
        <v>9</v>
      </c>
      <c r="E838">
        <v>9</v>
      </c>
      <c r="F838" s="3">
        <v>2628</v>
      </c>
      <c r="G838" s="2">
        <v>459.87</v>
      </c>
      <c r="H838">
        <f>Master_ventas[[#This Row],[Profit]]/Master_ventas[[#This Row],[Sales]]</f>
        <v>0.17498858447488586</v>
      </c>
      <c r="I838">
        <f ca="1">Referencia_Hoy-Master_ventas[[#This Row],[Order Date]]</f>
        <v>775</v>
      </c>
      <c r="J838" t="str">
        <f>UPPER(Master_ventas[[#This Row],[Product Name]])</f>
        <v>KEYBOARD</v>
      </c>
      <c r="K838" t="str">
        <f>UPPER(Master_ventas[[#This Row],[Category]])</f>
        <v>ACCESSORIES</v>
      </c>
      <c r="L838">
        <f>YEAR(Master_ventas[[#This Row],[Order Date]])</f>
        <v>2024</v>
      </c>
      <c r="M838" t="str">
        <f>CONCATENATE(LEFT(Master_ventas[[#This Row],[ProdUpper]],3),RIGHT(Master_ventas[[#This Row],[Ext-Year]],2),"-",MID(Master_ventas[[#This Row],[Category]],1,1))</f>
        <v>KEY24-A</v>
      </c>
      <c r="N838" t="str">
        <f>MID(Master_ventas[[#This Row],[ProdUpper]],1,3)</f>
        <v>KEY</v>
      </c>
      <c r="O838" t="str">
        <f>UPPER(IF(Master_ventas[[#This Row],[Profit]]&gt;500,"High","Std"))</f>
        <v>STD</v>
      </c>
      <c r="P838">
        <v>837</v>
      </c>
    </row>
    <row r="839" spans="1:16" x14ac:dyDescent="0.3">
      <c r="A839" s="1">
        <v>45438</v>
      </c>
      <c r="B839" t="s">
        <v>17</v>
      </c>
      <c r="C839" t="s">
        <v>14</v>
      </c>
      <c r="D839" t="s">
        <v>15</v>
      </c>
      <c r="E839">
        <v>6</v>
      </c>
      <c r="F839" s="3">
        <v>606</v>
      </c>
      <c r="G839" s="2">
        <v>104.85</v>
      </c>
      <c r="H839">
        <f>Master_ventas[[#This Row],[Profit]]/Master_ventas[[#This Row],[Sales]]</f>
        <v>0.17301980198019801</v>
      </c>
      <c r="I839">
        <f ca="1">Referencia_Hoy-Master_ventas[[#This Row],[Order Date]]</f>
        <v>885</v>
      </c>
      <c r="J839" t="str">
        <f>UPPER(Master_ventas[[#This Row],[Product Name]])</f>
        <v>CAMERA</v>
      </c>
      <c r="K839" t="str">
        <f>UPPER(Master_ventas[[#This Row],[Category]])</f>
        <v>ELECTRONICS</v>
      </c>
      <c r="L839">
        <f>YEAR(Master_ventas[[#This Row],[Order Date]])</f>
        <v>2024</v>
      </c>
      <c r="M839" t="str">
        <f>CONCATENATE(LEFT(Master_ventas[[#This Row],[ProdUpper]],3),RIGHT(Master_ventas[[#This Row],[Ext-Year]],2),"-",MID(Master_ventas[[#This Row],[Category]],1,1))</f>
        <v>CAM24-E</v>
      </c>
      <c r="N839" t="str">
        <f>MID(Master_ventas[[#This Row],[ProdUpper]],1,3)</f>
        <v>CAM</v>
      </c>
      <c r="O839" t="str">
        <f>UPPER(IF(Master_ventas[[#This Row],[Profit]]&gt;500,"High","Std"))</f>
        <v>STD</v>
      </c>
      <c r="P839">
        <v>838</v>
      </c>
    </row>
    <row r="840" spans="1:16" x14ac:dyDescent="0.3">
      <c r="A840" s="1">
        <v>45611</v>
      </c>
      <c r="B840" t="s">
        <v>18</v>
      </c>
      <c r="C840" t="s">
        <v>11</v>
      </c>
      <c r="D840" t="s">
        <v>12</v>
      </c>
      <c r="E840">
        <v>8</v>
      </c>
      <c r="F840" s="3">
        <v>7256</v>
      </c>
      <c r="G840" s="2">
        <v>558.79</v>
      </c>
      <c r="H840">
        <f>Master_ventas[[#This Row],[Profit]]/Master_ventas[[#This Row],[Sales]]</f>
        <v>7.7010749724366043E-2</v>
      </c>
      <c r="I840">
        <f ca="1">Referencia_Hoy-Master_ventas[[#This Row],[Order Date]]</f>
        <v>712</v>
      </c>
      <c r="J840" t="str">
        <f>UPPER(Master_ventas[[#This Row],[Product Name]])</f>
        <v>HEADPHONES</v>
      </c>
      <c r="K840" t="str">
        <f>UPPER(Master_ventas[[#This Row],[Category]])</f>
        <v>ACCESSORIES</v>
      </c>
      <c r="L840">
        <f>YEAR(Master_ventas[[#This Row],[Order Date]])</f>
        <v>2024</v>
      </c>
      <c r="M840" t="str">
        <f>CONCATENATE(LEFT(Master_ventas[[#This Row],[ProdUpper]],3),RIGHT(Master_ventas[[#This Row],[Ext-Year]],2),"-",MID(Master_ventas[[#This Row],[Category]],1,1))</f>
        <v>HEA24-A</v>
      </c>
      <c r="N840" t="str">
        <f>MID(Master_ventas[[#This Row],[ProdUpper]],1,3)</f>
        <v>HEA</v>
      </c>
      <c r="O840" t="str">
        <f>UPPER(IF(Master_ventas[[#This Row],[Profit]]&gt;500,"High","Std"))</f>
        <v>HIGH</v>
      </c>
      <c r="P840">
        <v>839</v>
      </c>
    </row>
    <row r="841" spans="1:16" x14ac:dyDescent="0.3">
      <c r="A841" s="1">
        <v>44996</v>
      </c>
      <c r="B841" t="s">
        <v>17</v>
      </c>
      <c r="C841" t="s">
        <v>14</v>
      </c>
      <c r="D841" t="s">
        <v>16</v>
      </c>
      <c r="E841">
        <v>4</v>
      </c>
      <c r="F841" s="3">
        <v>1956</v>
      </c>
      <c r="G841" s="2">
        <v>125.69</v>
      </c>
      <c r="H841">
        <f>Master_ventas[[#This Row],[Profit]]/Master_ventas[[#This Row],[Sales]]</f>
        <v>6.4258691206543969E-2</v>
      </c>
      <c r="I841">
        <f ca="1">Referencia_Hoy-Master_ventas[[#This Row],[Order Date]]</f>
        <v>1327</v>
      </c>
      <c r="J841" t="str">
        <f>UPPER(Master_ventas[[#This Row],[Product Name]])</f>
        <v>CAMERA</v>
      </c>
      <c r="K841" t="str">
        <f>UPPER(Master_ventas[[#This Row],[Category]])</f>
        <v>ELECTRONICS</v>
      </c>
      <c r="L841">
        <f>YEAR(Master_ventas[[#This Row],[Order Date]])</f>
        <v>2023</v>
      </c>
      <c r="M841" t="str">
        <f>CONCATENATE(LEFT(Master_ventas[[#This Row],[ProdUpper]],3),RIGHT(Master_ventas[[#This Row],[Ext-Year]],2),"-",MID(Master_ventas[[#This Row],[Category]],1,1))</f>
        <v>CAM23-E</v>
      </c>
      <c r="N841" t="str">
        <f>MID(Master_ventas[[#This Row],[ProdUpper]],1,3)</f>
        <v>CAM</v>
      </c>
      <c r="O841" t="str">
        <f>UPPER(IF(Master_ventas[[#This Row],[Profit]]&gt;500,"High","Std"))</f>
        <v>STD</v>
      </c>
      <c r="P841">
        <v>840</v>
      </c>
    </row>
    <row r="842" spans="1:16" x14ac:dyDescent="0.3">
      <c r="A842" s="1">
        <v>45463</v>
      </c>
      <c r="B842" t="s">
        <v>7</v>
      </c>
      <c r="C842" t="s">
        <v>8</v>
      </c>
      <c r="D842" t="s">
        <v>15</v>
      </c>
      <c r="E842">
        <v>6</v>
      </c>
      <c r="F842" s="3">
        <v>3954</v>
      </c>
      <c r="G842" s="2">
        <v>690.1</v>
      </c>
      <c r="H842">
        <f>Master_ventas[[#This Row],[Profit]]/Master_ventas[[#This Row],[Sales]]</f>
        <v>0.17453211937278706</v>
      </c>
      <c r="I842">
        <f ca="1">Referencia_Hoy-Master_ventas[[#This Row],[Order Date]]</f>
        <v>860</v>
      </c>
      <c r="J842" t="str">
        <f>UPPER(Master_ventas[[#This Row],[Product Name]])</f>
        <v>PRINTER</v>
      </c>
      <c r="K842" t="str">
        <f>UPPER(Master_ventas[[#This Row],[Category]])</f>
        <v>OFFICE</v>
      </c>
      <c r="L842">
        <f>YEAR(Master_ventas[[#This Row],[Order Date]])</f>
        <v>2024</v>
      </c>
      <c r="M842" t="str">
        <f>CONCATENATE(LEFT(Master_ventas[[#This Row],[ProdUpper]],3),RIGHT(Master_ventas[[#This Row],[Ext-Year]],2),"-",MID(Master_ventas[[#This Row],[Category]],1,1))</f>
        <v>PRI24-O</v>
      </c>
      <c r="N842" t="str">
        <f>MID(Master_ventas[[#This Row],[ProdUpper]],1,3)</f>
        <v>PRI</v>
      </c>
      <c r="O842" t="str">
        <f>UPPER(IF(Master_ventas[[#This Row],[Profit]]&gt;500,"High","Std"))</f>
        <v>HIGH</v>
      </c>
      <c r="P842">
        <v>841</v>
      </c>
    </row>
    <row r="843" spans="1:16" x14ac:dyDescent="0.3">
      <c r="A843" s="1">
        <v>44937</v>
      </c>
      <c r="B843" t="s">
        <v>22</v>
      </c>
      <c r="C843" t="s">
        <v>11</v>
      </c>
      <c r="D843" t="s">
        <v>12</v>
      </c>
      <c r="E843">
        <v>6</v>
      </c>
      <c r="F843" s="3">
        <v>2262</v>
      </c>
      <c r="G843" s="2">
        <v>442.86</v>
      </c>
      <c r="H843">
        <f>Master_ventas[[#This Row],[Profit]]/Master_ventas[[#This Row],[Sales]]</f>
        <v>0.19578249336870027</v>
      </c>
      <c r="I843">
        <f ca="1">Referencia_Hoy-Master_ventas[[#This Row],[Order Date]]</f>
        <v>1386</v>
      </c>
      <c r="J843" t="str">
        <f>UPPER(Master_ventas[[#This Row],[Product Name]])</f>
        <v>KEYBOARD</v>
      </c>
      <c r="K843" t="str">
        <f>UPPER(Master_ventas[[#This Row],[Category]])</f>
        <v>ACCESSORIES</v>
      </c>
      <c r="L843">
        <f>YEAR(Master_ventas[[#This Row],[Order Date]])</f>
        <v>2023</v>
      </c>
      <c r="M843" t="str">
        <f>CONCATENATE(LEFT(Master_ventas[[#This Row],[ProdUpper]],3),RIGHT(Master_ventas[[#This Row],[Ext-Year]],2),"-",MID(Master_ventas[[#This Row],[Category]],1,1))</f>
        <v>KEY23-A</v>
      </c>
      <c r="N843" t="str">
        <f>MID(Master_ventas[[#This Row],[ProdUpper]],1,3)</f>
        <v>KEY</v>
      </c>
      <c r="O843" t="str">
        <f>UPPER(IF(Master_ventas[[#This Row],[Profit]]&gt;500,"High","Std"))</f>
        <v>STD</v>
      </c>
      <c r="P843">
        <v>842</v>
      </c>
    </row>
    <row r="844" spans="1:16" x14ac:dyDescent="0.3">
      <c r="A844" s="1">
        <v>44607</v>
      </c>
      <c r="B844" t="s">
        <v>7</v>
      </c>
      <c r="C844" t="s">
        <v>8</v>
      </c>
      <c r="D844" t="s">
        <v>9</v>
      </c>
      <c r="E844">
        <v>4</v>
      </c>
      <c r="F844" s="3">
        <v>2804</v>
      </c>
      <c r="G844" s="2">
        <v>391.59</v>
      </c>
      <c r="H844">
        <f>Master_ventas[[#This Row],[Profit]]/Master_ventas[[#This Row],[Sales]]</f>
        <v>0.13965406562054208</v>
      </c>
      <c r="I844">
        <f ca="1">Referencia_Hoy-Master_ventas[[#This Row],[Order Date]]</f>
        <v>1716</v>
      </c>
      <c r="J844" t="str">
        <f>UPPER(Master_ventas[[#This Row],[Product Name]])</f>
        <v>PRINTER</v>
      </c>
      <c r="K844" t="str">
        <f>UPPER(Master_ventas[[#This Row],[Category]])</f>
        <v>OFFICE</v>
      </c>
      <c r="L844">
        <f>YEAR(Master_ventas[[#This Row],[Order Date]])</f>
        <v>2022</v>
      </c>
      <c r="M844" t="str">
        <f>CONCATENATE(LEFT(Master_ventas[[#This Row],[ProdUpper]],3),RIGHT(Master_ventas[[#This Row],[Ext-Year]],2),"-",MID(Master_ventas[[#This Row],[Category]],1,1))</f>
        <v>PRI22-O</v>
      </c>
      <c r="N844" t="str">
        <f>MID(Master_ventas[[#This Row],[ProdUpper]],1,3)</f>
        <v>PRI</v>
      </c>
      <c r="O844" t="str">
        <f>UPPER(IF(Master_ventas[[#This Row],[Profit]]&gt;500,"High","Std"))</f>
        <v>STD</v>
      </c>
      <c r="P844">
        <v>843</v>
      </c>
    </row>
    <row r="845" spans="1:16" x14ac:dyDescent="0.3">
      <c r="A845" s="1">
        <v>44677</v>
      </c>
      <c r="B845" t="s">
        <v>13</v>
      </c>
      <c r="C845" t="s">
        <v>14</v>
      </c>
      <c r="D845" t="s">
        <v>15</v>
      </c>
      <c r="E845">
        <v>9</v>
      </c>
      <c r="F845" s="3">
        <v>5850</v>
      </c>
      <c r="G845" s="2">
        <v>1511.06</v>
      </c>
      <c r="H845">
        <f>Master_ventas[[#This Row],[Profit]]/Master_ventas[[#This Row],[Sales]]</f>
        <v>0.25830085470085468</v>
      </c>
      <c r="I845">
        <f ca="1">Referencia_Hoy-Master_ventas[[#This Row],[Order Date]]</f>
        <v>1646</v>
      </c>
      <c r="J845" t="str">
        <f>UPPER(Master_ventas[[#This Row],[Product Name]])</f>
        <v>TABLET</v>
      </c>
      <c r="K845" t="str">
        <f>UPPER(Master_ventas[[#This Row],[Category]])</f>
        <v>ELECTRONICS</v>
      </c>
      <c r="L845">
        <f>YEAR(Master_ventas[[#This Row],[Order Date]])</f>
        <v>2022</v>
      </c>
      <c r="M845" t="str">
        <f>CONCATENATE(LEFT(Master_ventas[[#This Row],[ProdUpper]],3),RIGHT(Master_ventas[[#This Row],[Ext-Year]],2),"-",MID(Master_ventas[[#This Row],[Category]],1,1))</f>
        <v>TAB22-E</v>
      </c>
      <c r="N845" t="str">
        <f>MID(Master_ventas[[#This Row],[ProdUpper]],1,3)</f>
        <v>TAB</v>
      </c>
      <c r="O845" t="str">
        <f>UPPER(IF(Master_ventas[[#This Row],[Profit]]&gt;500,"High","Std"))</f>
        <v>HIGH</v>
      </c>
      <c r="P845">
        <v>844</v>
      </c>
    </row>
    <row r="846" spans="1:16" x14ac:dyDescent="0.3">
      <c r="A846" s="1">
        <v>45084</v>
      </c>
      <c r="B846" t="s">
        <v>22</v>
      </c>
      <c r="C846" t="s">
        <v>11</v>
      </c>
      <c r="D846" t="s">
        <v>16</v>
      </c>
      <c r="E846">
        <v>1</v>
      </c>
      <c r="F846" s="3">
        <v>56</v>
      </c>
      <c r="G846" s="2">
        <v>9.16</v>
      </c>
      <c r="H846">
        <f>Master_ventas[[#This Row],[Profit]]/Master_ventas[[#This Row],[Sales]]</f>
        <v>0.16357142857142856</v>
      </c>
      <c r="I846">
        <f ca="1">Referencia_Hoy-Master_ventas[[#This Row],[Order Date]]</f>
        <v>1239</v>
      </c>
      <c r="J846" t="str">
        <f>UPPER(Master_ventas[[#This Row],[Product Name]])</f>
        <v>KEYBOARD</v>
      </c>
      <c r="K846" t="str">
        <f>UPPER(Master_ventas[[#This Row],[Category]])</f>
        <v>ACCESSORIES</v>
      </c>
      <c r="L846">
        <f>YEAR(Master_ventas[[#This Row],[Order Date]])</f>
        <v>2023</v>
      </c>
      <c r="M846" t="str">
        <f>CONCATENATE(LEFT(Master_ventas[[#This Row],[ProdUpper]],3),RIGHT(Master_ventas[[#This Row],[Ext-Year]],2),"-",MID(Master_ventas[[#This Row],[Category]],1,1))</f>
        <v>KEY23-A</v>
      </c>
      <c r="N846" t="str">
        <f>MID(Master_ventas[[#This Row],[ProdUpper]],1,3)</f>
        <v>KEY</v>
      </c>
      <c r="O846" t="str">
        <f>UPPER(IF(Master_ventas[[#This Row],[Profit]]&gt;500,"High","Std"))</f>
        <v>STD</v>
      </c>
      <c r="P846">
        <v>845</v>
      </c>
    </row>
    <row r="847" spans="1:16" x14ac:dyDescent="0.3">
      <c r="A847" s="1">
        <v>45308</v>
      </c>
      <c r="B847" t="s">
        <v>20</v>
      </c>
      <c r="C847" t="s">
        <v>11</v>
      </c>
      <c r="D847" t="s">
        <v>12</v>
      </c>
      <c r="E847">
        <v>9</v>
      </c>
      <c r="F847" s="3">
        <v>4302</v>
      </c>
      <c r="G847" s="2">
        <v>344.64</v>
      </c>
      <c r="H847">
        <f>Master_ventas[[#This Row],[Profit]]/Master_ventas[[#This Row],[Sales]]</f>
        <v>8.0111576011157593E-2</v>
      </c>
      <c r="I847">
        <f ca="1">Referencia_Hoy-Master_ventas[[#This Row],[Order Date]]</f>
        <v>1015</v>
      </c>
      <c r="J847" t="str">
        <f>UPPER(Master_ventas[[#This Row],[Product Name]])</f>
        <v>MONITOR</v>
      </c>
      <c r="K847" t="str">
        <f>UPPER(Master_ventas[[#This Row],[Category]])</f>
        <v>ACCESSORIES</v>
      </c>
      <c r="L847">
        <f>YEAR(Master_ventas[[#This Row],[Order Date]])</f>
        <v>2024</v>
      </c>
      <c r="M847" t="str">
        <f>CONCATENATE(LEFT(Master_ventas[[#This Row],[ProdUpper]],3),RIGHT(Master_ventas[[#This Row],[Ext-Year]],2),"-",MID(Master_ventas[[#This Row],[Category]],1,1))</f>
        <v>MON24-A</v>
      </c>
      <c r="N847" t="str">
        <f>MID(Master_ventas[[#This Row],[ProdUpper]],1,3)</f>
        <v>MON</v>
      </c>
      <c r="O847" t="str">
        <f>UPPER(IF(Master_ventas[[#This Row],[Profit]]&gt;500,"High","Std"))</f>
        <v>STD</v>
      </c>
      <c r="P847">
        <v>846</v>
      </c>
    </row>
    <row r="848" spans="1:16" x14ac:dyDescent="0.3">
      <c r="A848" s="1">
        <v>45426</v>
      </c>
      <c r="B848" t="s">
        <v>17</v>
      </c>
      <c r="C848" t="s">
        <v>14</v>
      </c>
      <c r="D848" t="s">
        <v>16</v>
      </c>
      <c r="E848">
        <v>9</v>
      </c>
      <c r="F848" s="3">
        <v>10143</v>
      </c>
      <c r="G848" s="2">
        <v>1690.66</v>
      </c>
      <c r="H848">
        <f>Master_ventas[[#This Row],[Profit]]/Master_ventas[[#This Row],[Sales]]</f>
        <v>0.16668244109237898</v>
      </c>
      <c r="I848">
        <f ca="1">Referencia_Hoy-Master_ventas[[#This Row],[Order Date]]</f>
        <v>897</v>
      </c>
      <c r="J848" t="str">
        <f>UPPER(Master_ventas[[#This Row],[Product Name]])</f>
        <v>CAMERA</v>
      </c>
      <c r="K848" t="str">
        <f>UPPER(Master_ventas[[#This Row],[Category]])</f>
        <v>ELECTRONICS</v>
      </c>
      <c r="L848">
        <f>YEAR(Master_ventas[[#This Row],[Order Date]])</f>
        <v>2024</v>
      </c>
      <c r="M848" t="str">
        <f>CONCATENATE(LEFT(Master_ventas[[#This Row],[ProdUpper]],3),RIGHT(Master_ventas[[#This Row],[Ext-Year]],2),"-",MID(Master_ventas[[#This Row],[Category]],1,1))</f>
        <v>CAM24-E</v>
      </c>
      <c r="N848" t="str">
        <f>MID(Master_ventas[[#This Row],[ProdUpper]],1,3)</f>
        <v>CAM</v>
      </c>
      <c r="O848" t="str">
        <f>UPPER(IF(Master_ventas[[#This Row],[Profit]]&gt;500,"High","Std"))</f>
        <v>HIGH</v>
      </c>
      <c r="P848">
        <v>847</v>
      </c>
    </row>
    <row r="849" spans="1:16" x14ac:dyDescent="0.3">
      <c r="A849" s="1">
        <v>45061</v>
      </c>
      <c r="B849" t="s">
        <v>18</v>
      </c>
      <c r="C849" t="s">
        <v>11</v>
      </c>
      <c r="D849" t="s">
        <v>9</v>
      </c>
      <c r="E849">
        <v>1</v>
      </c>
      <c r="F849" s="3">
        <v>1012</v>
      </c>
      <c r="G849" s="2">
        <v>164.89</v>
      </c>
      <c r="H849">
        <f>Master_ventas[[#This Row],[Profit]]/Master_ventas[[#This Row],[Sales]]</f>
        <v>0.16293478260869565</v>
      </c>
      <c r="I849">
        <f ca="1">Referencia_Hoy-Master_ventas[[#This Row],[Order Date]]</f>
        <v>1262</v>
      </c>
      <c r="J849" t="str">
        <f>UPPER(Master_ventas[[#This Row],[Product Name]])</f>
        <v>HEADPHONES</v>
      </c>
      <c r="K849" t="str">
        <f>UPPER(Master_ventas[[#This Row],[Category]])</f>
        <v>ACCESSORIES</v>
      </c>
      <c r="L849">
        <f>YEAR(Master_ventas[[#This Row],[Order Date]])</f>
        <v>2023</v>
      </c>
      <c r="M849" t="str">
        <f>CONCATENATE(LEFT(Master_ventas[[#This Row],[ProdUpper]],3),RIGHT(Master_ventas[[#This Row],[Ext-Year]],2),"-",MID(Master_ventas[[#This Row],[Category]],1,1))</f>
        <v>HEA23-A</v>
      </c>
      <c r="N849" t="str">
        <f>MID(Master_ventas[[#This Row],[ProdUpper]],1,3)</f>
        <v>HEA</v>
      </c>
      <c r="O849" t="str">
        <f>UPPER(IF(Master_ventas[[#This Row],[Profit]]&gt;500,"High","Std"))</f>
        <v>STD</v>
      </c>
      <c r="P849">
        <v>848</v>
      </c>
    </row>
    <row r="850" spans="1:16" x14ac:dyDescent="0.3">
      <c r="A850" s="1">
        <v>45068</v>
      </c>
      <c r="B850" t="s">
        <v>13</v>
      </c>
      <c r="C850" t="s">
        <v>14</v>
      </c>
      <c r="D850" t="s">
        <v>12</v>
      </c>
      <c r="E850">
        <v>9</v>
      </c>
      <c r="F850" s="3">
        <v>8964</v>
      </c>
      <c r="G850" s="2">
        <v>448.62</v>
      </c>
      <c r="H850">
        <f>Master_ventas[[#This Row],[Profit]]/Master_ventas[[#This Row],[Sales]]</f>
        <v>5.0046854082998665E-2</v>
      </c>
      <c r="I850">
        <f ca="1">Referencia_Hoy-Master_ventas[[#This Row],[Order Date]]</f>
        <v>1255</v>
      </c>
      <c r="J850" t="str">
        <f>UPPER(Master_ventas[[#This Row],[Product Name]])</f>
        <v>TABLET</v>
      </c>
      <c r="K850" t="str">
        <f>UPPER(Master_ventas[[#This Row],[Category]])</f>
        <v>ELECTRONICS</v>
      </c>
      <c r="L850">
        <f>YEAR(Master_ventas[[#This Row],[Order Date]])</f>
        <v>2023</v>
      </c>
      <c r="M850" t="str">
        <f>CONCATENATE(LEFT(Master_ventas[[#This Row],[ProdUpper]],3),RIGHT(Master_ventas[[#This Row],[Ext-Year]],2),"-",MID(Master_ventas[[#This Row],[Category]],1,1))</f>
        <v>TAB23-E</v>
      </c>
      <c r="N850" t="str">
        <f>MID(Master_ventas[[#This Row],[ProdUpper]],1,3)</f>
        <v>TAB</v>
      </c>
      <c r="O850" t="str">
        <f>UPPER(IF(Master_ventas[[#This Row],[Profit]]&gt;500,"High","Std"))</f>
        <v>STD</v>
      </c>
      <c r="P850">
        <v>849</v>
      </c>
    </row>
    <row r="851" spans="1:16" x14ac:dyDescent="0.3">
      <c r="A851" s="1">
        <v>44778</v>
      </c>
      <c r="B851" t="s">
        <v>10</v>
      </c>
      <c r="C851" t="s">
        <v>11</v>
      </c>
      <c r="D851" t="s">
        <v>15</v>
      </c>
      <c r="E851">
        <v>6</v>
      </c>
      <c r="F851" s="3">
        <v>1758</v>
      </c>
      <c r="G851" s="2">
        <v>262.36</v>
      </c>
      <c r="H851">
        <f>Master_ventas[[#This Row],[Profit]]/Master_ventas[[#This Row],[Sales]]</f>
        <v>0.14923777019340159</v>
      </c>
      <c r="I851">
        <f ca="1">Referencia_Hoy-Master_ventas[[#This Row],[Order Date]]</f>
        <v>1545</v>
      </c>
      <c r="J851" t="str">
        <f>UPPER(Master_ventas[[#This Row],[Product Name]])</f>
        <v>MOUSE</v>
      </c>
      <c r="K851" t="str">
        <f>UPPER(Master_ventas[[#This Row],[Category]])</f>
        <v>ACCESSORIES</v>
      </c>
      <c r="L851">
        <f>YEAR(Master_ventas[[#This Row],[Order Date]])</f>
        <v>2022</v>
      </c>
      <c r="M851" t="str">
        <f>CONCATENATE(LEFT(Master_ventas[[#This Row],[ProdUpper]],3),RIGHT(Master_ventas[[#This Row],[Ext-Year]],2),"-",MID(Master_ventas[[#This Row],[Category]],1,1))</f>
        <v>MOU22-A</v>
      </c>
      <c r="N851" t="str">
        <f>MID(Master_ventas[[#This Row],[ProdUpper]],1,3)</f>
        <v>MOU</v>
      </c>
      <c r="O851" t="str">
        <f>UPPER(IF(Master_ventas[[#This Row],[Profit]]&gt;500,"High","Std"))</f>
        <v>STD</v>
      </c>
      <c r="P851">
        <v>850</v>
      </c>
    </row>
    <row r="852" spans="1:16" x14ac:dyDescent="0.3">
      <c r="A852" s="1">
        <v>45211</v>
      </c>
      <c r="B852" t="s">
        <v>7</v>
      </c>
      <c r="C852" t="s">
        <v>8</v>
      </c>
      <c r="D852" t="s">
        <v>9</v>
      </c>
      <c r="E852">
        <v>6</v>
      </c>
      <c r="F852" s="3">
        <v>6348</v>
      </c>
      <c r="G852" s="2">
        <v>557.72</v>
      </c>
      <c r="H852">
        <f>Master_ventas[[#This Row],[Profit]]/Master_ventas[[#This Row],[Sales]]</f>
        <v>8.7857592942659116E-2</v>
      </c>
      <c r="I852">
        <f ca="1">Referencia_Hoy-Master_ventas[[#This Row],[Order Date]]</f>
        <v>1112</v>
      </c>
      <c r="J852" t="str">
        <f>UPPER(Master_ventas[[#This Row],[Product Name]])</f>
        <v>PRINTER</v>
      </c>
      <c r="K852" t="str">
        <f>UPPER(Master_ventas[[#This Row],[Category]])</f>
        <v>OFFICE</v>
      </c>
      <c r="L852">
        <f>YEAR(Master_ventas[[#This Row],[Order Date]])</f>
        <v>2023</v>
      </c>
      <c r="M852" t="str">
        <f>CONCATENATE(LEFT(Master_ventas[[#This Row],[ProdUpper]],3),RIGHT(Master_ventas[[#This Row],[Ext-Year]],2),"-",MID(Master_ventas[[#This Row],[Category]],1,1))</f>
        <v>PRI23-O</v>
      </c>
      <c r="N852" t="str">
        <f>MID(Master_ventas[[#This Row],[ProdUpper]],1,3)</f>
        <v>PRI</v>
      </c>
      <c r="O852" t="str">
        <f>UPPER(IF(Master_ventas[[#This Row],[Profit]]&gt;500,"High","Std"))</f>
        <v>HIGH</v>
      </c>
      <c r="P852">
        <v>851</v>
      </c>
    </row>
    <row r="853" spans="1:16" x14ac:dyDescent="0.3">
      <c r="A853" s="1">
        <v>45234</v>
      </c>
      <c r="B853" t="s">
        <v>7</v>
      </c>
      <c r="C853" t="s">
        <v>8</v>
      </c>
      <c r="D853" t="s">
        <v>9</v>
      </c>
      <c r="E853">
        <v>2</v>
      </c>
      <c r="F853" s="3">
        <v>1582</v>
      </c>
      <c r="G853" s="2">
        <v>422.46</v>
      </c>
      <c r="H853">
        <f>Master_ventas[[#This Row],[Profit]]/Master_ventas[[#This Row],[Sales]]</f>
        <v>0.26704171934260429</v>
      </c>
      <c r="I853">
        <f ca="1">Referencia_Hoy-Master_ventas[[#This Row],[Order Date]]</f>
        <v>1089</v>
      </c>
      <c r="J853" t="str">
        <f>UPPER(Master_ventas[[#This Row],[Product Name]])</f>
        <v>PRINTER</v>
      </c>
      <c r="K853" t="str">
        <f>UPPER(Master_ventas[[#This Row],[Category]])</f>
        <v>OFFICE</v>
      </c>
      <c r="L853">
        <f>YEAR(Master_ventas[[#This Row],[Order Date]])</f>
        <v>2023</v>
      </c>
      <c r="M853" t="str">
        <f>CONCATENATE(LEFT(Master_ventas[[#This Row],[ProdUpper]],3),RIGHT(Master_ventas[[#This Row],[Ext-Year]],2),"-",MID(Master_ventas[[#This Row],[Category]],1,1))</f>
        <v>PRI23-O</v>
      </c>
      <c r="N853" t="str">
        <f>MID(Master_ventas[[#This Row],[ProdUpper]],1,3)</f>
        <v>PRI</v>
      </c>
      <c r="O853" t="str">
        <f>UPPER(IF(Master_ventas[[#This Row],[Profit]]&gt;500,"High","Std"))</f>
        <v>STD</v>
      </c>
      <c r="P853">
        <v>852</v>
      </c>
    </row>
    <row r="854" spans="1:16" x14ac:dyDescent="0.3">
      <c r="A854" s="1">
        <v>45063</v>
      </c>
      <c r="B854" t="s">
        <v>10</v>
      </c>
      <c r="C854" t="s">
        <v>11</v>
      </c>
      <c r="D854" t="s">
        <v>15</v>
      </c>
      <c r="E854">
        <v>2</v>
      </c>
      <c r="F854" s="3">
        <v>1924</v>
      </c>
      <c r="G854" s="2">
        <v>394.4</v>
      </c>
      <c r="H854">
        <f>Master_ventas[[#This Row],[Profit]]/Master_ventas[[#This Row],[Sales]]</f>
        <v>0.20498960498960497</v>
      </c>
      <c r="I854">
        <f ca="1">Referencia_Hoy-Master_ventas[[#This Row],[Order Date]]</f>
        <v>1260</v>
      </c>
      <c r="J854" t="str">
        <f>UPPER(Master_ventas[[#This Row],[Product Name]])</f>
        <v>MOUSE</v>
      </c>
      <c r="K854" t="str">
        <f>UPPER(Master_ventas[[#This Row],[Category]])</f>
        <v>ACCESSORIES</v>
      </c>
      <c r="L854">
        <f>YEAR(Master_ventas[[#This Row],[Order Date]])</f>
        <v>2023</v>
      </c>
      <c r="M854" t="str">
        <f>CONCATENATE(LEFT(Master_ventas[[#This Row],[ProdUpper]],3),RIGHT(Master_ventas[[#This Row],[Ext-Year]],2),"-",MID(Master_ventas[[#This Row],[Category]],1,1))</f>
        <v>MOU23-A</v>
      </c>
      <c r="N854" t="str">
        <f>MID(Master_ventas[[#This Row],[ProdUpper]],1,3)</f>
        <v>MOU</v>
      </c>
      <c r="O854" t="str">
        <f>UPPER(IF(Master_ventas[[#This Row],[Profit]]&gt;500,"High","Std"))</f>
        <v>STD</v>
      </c>
      <c r="P854">
        <v>853</v>
      </c>
    </row>
    <row r="855" spans="1:16" x14ac:dyDescent="0.3">
      <c r="A855" s="1">
        <v>45018</v>
      </c>
      <c r="B855" t="s">
        <v>22</v>
      </c>
      <c r="C855" t="s">
        <v>11</v>
      </c>
      <c r="D855" t="s">
        <v>9</v>
      </c>
      <c r="E855">
        <v>1</v>
      </c>
      <c r="F855" s="3">
        <v>120</v>
      </c>
      <c r="G855" s="2">
        <v>23.86</v>
      </c>
      <c r="H855">
        <f>Master_ventas[[#This Row],[Profit]]/Master_ventas[[#This Row],[Sales]]</f>
        <v>0.19883333333333333</v>
      </c>
      <c r="I855">
        <f ca="1">Referencia_Hoy-Master_ventas[[#This Row],[Order Date]]</f>
        <v>1305</v>
      </c>
      <c r="J855" t="str">
        <f>UPPER(Master_ventas[[#This Row],[Product Name]])</f>
        <v>KEYBOARD</v>
      </c>
      <c r="K855" t="str">
        <f>UPPER(Master_ventas[[#This Row],[Category]])</f>
        <v>ACCESSORIES</v>
      </c>
      <c r="L855">
        <f>YEAR(Master_ventas[[#This Row],[Order Date]])</f>
        <v>2023</v>
      </c>
      <c r="M855" t="str">
        <f>CONCATENATE(LEFT(Master_ventas[[#This Row],[ProdUpper]],3),RIGHT(Master_ventas[[#This Row],[Ext-Year]],2),"-",MID(Master_ventas[[#This Row],[Category]],1,1))</f>
        <v>KEY23-A</v>
      </c>
      <c r="N855" t="str">
        <f>MID(Master_ventas[[#This Row],[ProdUpper]],1,3)</f>
        <v>KEY</v>
      </c>
      <c r="O855" t="str">
        <f>UPPER(IF(Master_ventas[[#This Row],[Profit]]&gt;500,"High","Std"))</f>
        <v>STD</v>
      </c>
      <c r="P855">
        <v>854</v>
      </c>
    </row>
    <row r="856" spans="1:16" x14ac:dyDescent="0.3">
      <c r="A856" s="1">
        <v>45317</v>
      </c>
      <c r="B856" t="s">
        <v>18</v>
      </c>
      <c r="C856" t="s">
        <v>11</v>
      </c>
      <c r="D856" t="s">
        <v>12</v>
      </c>
      <c r="E856">
        <v>8</v>
      </c>
      <c r="F856" s="3">
        <v>7752</v>
      </c>
      <c r="G856" s="2">
        <v>1943.84</v>
      </c>
      <c r="H856">
        <f>Master_ventas[[#This Row],[Profit]]/Master_ventas[[#This Row],[Sales]]</f>
        <v>0.25075335397316822</v>
      </c>
      <c r="I856">
        <f ca="1">Referencia_Hoy-Master_ventas[[#This Row],[Order Date]]</f>
        <v>1006</v>
      </c>
      <c r="J856" t="str">
        <f>UPPER(Master_ventas[[#This Row],[Product Name]])</f>
        <v>HEADPHONES</v>
      </c>
      <c r="K856" t="str">
        <f>UPPER(Master_ventas[[#This Row],[Category]])</f>
        <v>ACCESSORIES</v>
      </c>
      <c r="L856">
        <f>YEAR(Master_ventas[[#This Row],[Order Date]])</f>
        <v>2024</v>
      </c>
      <c r="M856" t="str">
        <f>CONCATENATE(LEFT(Master_ventas[[#This Row],[ProdUpper]],3),RIGHT(Master_ventas[[#This Row],[Ext-Year]],2),"-",MID(Master_ventas[[#This Row],[Category]],1,1))</f>
        <v>HEA24-A</v>
      </c>
      <c r="N856" t="str">
        <f>MID(Master_ventas[[#This Row],[ProdUpper]],1,3)</f>
        <v>HEA</v>
      </c>
      <c r="O856" t="str">
        <f>UPPER(IF(Master_ventas[[#This Row],[Profit]]&gt;500,"High","Std"))</f>
        <v>HIGH</v>
      </c>
      <c r="P856">
        <v>855</v>
      </c>
    </row>
    <row r="857" spans="1:16" x14ac:dyDescent="0.3">
      <c r="A857" s="1">
        <v>45120</v>
      </c>
      <c r="B857" t="s">
        <v>17</v>
      </c>
      <c r="C857" t="s">
        <v>14</v>
      </c>
      <c r="D857" t="s">
        <v>12</v>
      </c>
      <c r="E857">
        <v>2</v>
      </c>
      <c r="F857" s="3">
        <v>1114</v>
      </c>
      <c r="G857" s="2">
        <v>300.44</v>
      </c>
      <c r="H857">
        <f>Master_ventas[[#This Row],[Profit]]/Master_ventas[[#This Row],[Sales]]</f>
        <v>0.26969479353680431</v>
      </c>
      <c r="I857">
        <f ca="1">Referencia_Hoy-Master_ventas[[#This Row],[Order Date]]</f>
        <v>1203</v>
      </c>
      <c r="J857" t="str">
        <f>UPPER(Master_ventas[[#This Row],[Product Name]])</f>
        <v>CAMERA</v>
      </c>
      <c r="K857" t="str">
        <f>UPPER(Master_ventas[[#This Row],[Category]])</f>
        <v>ELECTRONICS</v>
      </c>
      <c r="L857">
        <f>YEAR(Master_ventas[[#This Row],[Order Date]])</f>
        <v>2023</v>
      </c>
      <c r="M857" t="str">
        <f>CONCATENATE(LEFT(Master_ventas[[#This Row],[ProdUpper]],3),RIGHT(Master_ventas[[#This Row],[Ext-Year]],2),"-",MID(Master_ventas[[#This Row],[Category]],1,1))</f>
        <v>CAM23-E</v>
      </c>
      <c r="N857" t="str">
        <f>MID(Master_ventas[[#This Row],[ProdUpper]],1,3)</f>
        <v>CAM</v>
      </c>
      <c r="O857" t="str">
        <f>UPPER(IF(Master_ventas[[#This Row],[Profit]]&gt;500,"High","Std"))</f>
        <v>STD</v>
      </c>
      <c r="P857">
        <v>856</v>
      </c>
    </row>
    <row r="858" spans="1:16" x14ac:dyDescent="0.3">
      <c r="A858" s="1">
        <v>45624</v>
      </c>
      <c r="B858" t="s">
        <v>22</v>
      </c>
      <c r="C858" t="s">
        <v>11</v>
      </c>
      <c r="D858" t="s">
        <v>9</v>
      </c>
      <c r="E858">
        <v>5</v>
      </c>
      <c r="F858" s="3">
        <v>1765</v>
      </c>
      <c r="G858" s="2">
        <v>229.06</v>
      </c>
      <c r="H858">
        <f>Master_ventas[[#This Row],[Profit]]/Master_ventas[[#This Row],[Sales]]</f>
        <v>0.12977903682719547</v>
      </c>
      <c r="I858">
        <f ca="1">Referencia_Hoy-Master_ventas[[#This Row],[Order Date]]</f>
        <v>699</v>
      </c>
      <c r="J858" t="str">
        <f>UPPER(Master_ventas[[#This Row],[Product Name]])</f>
        <v>KEYBOARD</v>
      </c>
      <c r="K858" t="str">
        <f>UPPER(Master_ventas[[#This Row],[Category]])</f>
        <v>ACCESSORIES</v>
      </c>
      <c r="L858">
        <f>YEAR(Master_ventas[[#This Row],[Order Date]])</f>
        <v>2024</v>
      </c>
      <c r="M858" t="str">
        <f>CONCATENATE(LEFT(Master_ventas[[#This Row],[ProdUpper]],3),RIGHT(Master_ventas[[#This Row],[Ext-Year]],2),"-",MID(Master_ventas[[#This Row],[Category]],1,1))</f>
        <v>KEY24-A</v>
      </c>
      <c r="N858" t="str">
        <f>MID(Master_ventas[[#This Row],[ProdUpper]],1,3)</f>
        <v>KEY</v>
      </c>
      <c r="O858" t="str">
        <f>UPPER(IF(Master_ventas[[#This Row],[Profit]]&gt;500,"High","Std"))</f>
        <v>STD</v>
      </c>
      <c r="P858">
        <v>857</v>
      </c>
    </row>
    <row r="859" spans="1:16" x14ac:dyDescent="0.3">
      <c r="A859" s="1">
        <v>44783</v>
      </c>
      <c r="B859" t="s">
        <v>22</v>
      </c>
      <c r="C859" t="s">
        <v>11</v>
      </c>
      <c r="D859" t="s">
        <v>16</v>
      </c>
      <c r="E859">
        <v>6</v>
      </c>
      <c r="F859" s="3">
        <v>6834</v>
      </c>
      <c r="G859" s="2">
        <v>1418.21</v>
      </c>
      <c r="H859">
        <f>Master_ventas[[#This Row],[Profit]]/Master_ventas[[#This Row],[Sales]]</f>
        <v>0.20752268071407667</v>
      </c>
      <c r="I859">
        <f ca="1">Referencia_Hoy-Master_ventas[[#This Row],[Order Date]]</f>
        <v>1540</v>
      </c>
      <c r="J859" t="str">
        <f>UPPER(Master_ventas[[#This Row],[Product Name]])</f>
        <v>KEYBOARD</v>
      </c>
      <c r="K859" t="str">
        <f>UPPER(Master_ventas[[#This Row],[Category]])</f>
        <v>ACCESSORIES</v>
      </c>
      <c r="L859">
        <f>YEAR(Master_ventas[[#This Row],[Order Date]])</f>
        <v>2022</v>
      </c>
      <c r="M859" t="str">
        <f>CONCATENATE(LEFT(Master_ventas[[#This Row],[ProdUpper]],3),RIGHT(Master_ventas[[#This Row],[Ext-Year]],2),"-",MID(Master_ventas[[#This Row],[Category]],1,1))</f>
        <v>KEY22-A</v>
      </c>
      <c r="N859" t="str">
        <f>MID(Master_ventas[[#This Row],[ProdUpper]],1,3)</f>
        <v>KEY</v>
      </c>
      <c r="O859" t="str">
        <f>UPPER(IF(Master_ventas[[#This Row],[Profit]]&gt;500,"High","Std"))</f>
        <v>HIGH</v>
      </c>
      <c r="P859">
        <v>858</v>
      </c>
    </row>
    <row r="860" spans="1:16" x14ac:dyDescent="0.3">
      <c r="A860" s="1">
        <v>44818</v>
      </c>
      <c r="B860" t="s">
        <v>21</v>
      </c>
      <c r="C860" t="s">
        <v>14</v>
      </c>
      <c r="D860" t="s">
        <v>12</v>
      </c>
      <c r="E860">
        <v>5</v>
      </c>
      <c r="F860" s="3">
        <v>1520</v>
      </c>
      <c r="G860" s="2">
        <v>433.53</v>
      </c>
      <c r="H860">
        <f>Master_ventas[[#This Row],[Profit]]/Master_ventas[[#This Row],[Sales]]</f>
        <v>0.28521710526315786</v>
      </c>
      <c r="I860">
        <f ca="1">Referencia_Hoy-Master_ventas[[#This Row],[Order Date]]</f>
        <v>1505</v>
      </c>
      <c r="J860" t="str">
        <f>UPPER(Master_ventas[[#This Row],[Product Name]])</f>
        <v>SMARTPHONE</v>
      </c>
      <c r="K860" t="str">
        <f>UPPER(Master_ventas[[#This Row],[Category]])</f>
        <v>ELECTRONICS</v>
      </c>
      <c r="L860">
        <f>YEAR(Master_ventas[[#This Row],[Order Date]])</f>
        <v>2022</v>
      </c>
      <c r="M860" t="str">
        <f>CONCATENATE(LEFT(Master_ventas[[#This Row],[ProdUpper]],3),RIGHT(Master_ventas[[#This Row],[Ext-Year]],2),"-",MID(Master_ventas[[#This Row],[Category]],1,1))</f>
        <v>SMA22-E</v>
      </c>
      <c r="N860" t="str">
        <f>MID(Master_ventas[[#This Row],[ProdUpper]],1,3)</f>
        <v>SMA</v>
      </c>
      <c r="O860" t="str">
        <f>UPPER(IF(Master_ventas[[#This Row],[Profit]]&gt;500,"High","Std"))</f>
        <v>STD</v>
      </c>
      <c r="P860">
        <v>859</v>
      </c>
    </row>
    <row r="861" spans="1:16" x14ac:dyDescent="0.3">
      <c r="A861" s="1">
        <v>45143</v>
      </c>
      <c r="B861" t="s">
        <v>19</v>
      </c>
      <c r="C861" t="s">
        <v>14</v>
      </c>
      <c r="D861" t="s">
        <v>16</v>
      </c>
      <c r="E861">
        <v>7</v>
      </c>
      <c r="F861" s="3">
        <v>8141</v>
      </c>
      <c r="G861" s="2">
        <v>767.6</v>
      </c>
      <c r="H861">
        <f>Master_ventas[[#This Row],[Profit]]/Master_ventas[[#This Row],[Sales]]</f>
        <v>9.4288170986365313E-2</v>
      </c>
      <c r="I861">
        <f ca="1">Referencia_Hoy-Master_ventas[[#This Row],[Order Date]]</f>
        <v>1180</v>
      </c>
      <c r="J861" t="str">
        <f>UPPER(Master_ventas[[#This Row],[Product Name]])</f>
        <v>SMARTWATCH</v>
      </c>
      <c r="K861" t="str">
        <f>UPPER(Master_ventas[[#This Row],[Category]])</f>
        <v>ELECTRONICS</v>
      </c>
      <c r="L861">
        <f>YEAR(Master_ventas[[#This Row],[Order Date]])</f>
        <v>2023</v>
      </c>
      <c r="M861" t="str">
        <f>CONCATENATE(LEFT(Master_ventas[[#This Row],[ProdUpper]],3),RIGHT(Master_ventas[[#This Row],[Ext-Year]],2),"-",MID(Master_ventas[[#This Row],[Category]],1,1))</f>
        <v>SMA23-E</v>
      </c>
      <c r="N861" t="str">
        <f>MID(Master_ventas[[#This Row],[ProdUpper]],1,3)</f>
        <v>SMA</v>
      </c>
      <c r="O861" t="str">
        <f>UPPER(IF(Master_ventas[[#This Row],[Profit]]&gt;500,"High","Std"))</f>
        <v>HIGH</v>
      </c>
      <c r="P861">
        <v>860</v>
      </c>
    </row>
    <row r="862" spans="1:16" x14ac:dyDescent="0.3">
      <c r="A862" s="1">
        <v>45168</v>
      </c>
      <c r="B862" t="s">
        <v>13</v>
      </c>
      <c r="C862" t="s">
        <v>14</v>
      </c>
      <c r="D862" t="s">
        <v>15</v>
      </c>
      <c r="E862">
        <v>8</v>
      </c>
      <c r="F862" s="3">
        <v>5176</v>
      </c>
      <c r="G862" s="2">
        <v>866.36</v>
      </c>
      <c r="H862">
        <f>Master_ventas[[#This Row],[Profit]]/Master_ventas[[#This Row],[Sales]]</f>
        <v>0.16738021638330758</v>
      </c>
      <c r="I862">
        <f ca="1">Referencia_Hoy-Master_ventas[[#This Row],[Order Date]]</f>
        <v>1155</v>
      </c>
      <c r="J862" t="str">
        <f>UPPER(Master_ventas[[#This Row],[Product Name]])</f>
        <v>TABLET</v>
      </c>
      <c r="K862" t="str">
        <f>UPPER(Master_ventas[[#This Row],[Category]])</f>
        <v>ELECTRONICS</v>
      </c>
      <c r="L862">
        <f>YEAR(Master_ventas[[#This Row],[Order Date]])</f>
        <v>2023</v>
      </c>
      <c r="M862" t="str">
        <f>CONCATENATE(LEFT(Master_ventas[[#This Row],[ProdUpper]],3),RIGHT(Master_ventas[[#This Row],[Ext-Year]],2),"-",MID(Master_ventas[[#This Row],[Category]],1,1))</f>
        <v>TAB23-E</v>
      </c>
      <c r="N862" t="str">
        <f>MID(Master_ventas[[#This Row],[ProdUpper]],1,3)</f>
        <v>TAB</v>
      </c>
      <c r="O862" t="str">
        <f>UPPER(IF(Master_ventas[[#This Row],[Profit]]&gt;500,"High","Std"))</f>
        <v>HIGH</v>
      </c>
      <c r="P862">
        <v>861</v>
      </c>
    </row>
    <row r="863" spans="1:16" x14ac:dyDescent="0.3">
      <c r="A863" s="1">
        <v>45423</v>
      </c>
      <c r="B863" t="s">
        <v>10</v>
      </c>
      <c r="C863" t="s">
        <v>11</v>
      </c>
      <c r="D863" t="s">
        <v>12</v>
      </c>
      <c r="E863">
        <v>9</v>
      </c>
      <c r="F863" s="3">
        <v>738</v>
      </c>
      <c r="G863" s="2">
        <v>64.42</v>
      </c>
      <c r="H863">
        <f>Master_ventas[[#This Row],[Profit]]/Master_ventas[[#This Row],[Sales]]</f>
        <v>8.7289972899728993E-2</v>
      </c>
      <c r="I863">
        <f ca="1">Referencia_Hoy-Master_ventas[[#This Row],[Order Date]]</f>
        <v>900</v>
      </c>
      <c r="J863" t="str">
        <f>UPPER(Master_ventas[[#This Row],[Product Name]])</f>
        <v>MOUSE</v>
      </c>
      <c r="K863" t="str">
        <f>UPPER(Master_ventas[[#This Row],[Category]])</f>
        <v>ACCESSORIES</v>
      </c>
      <c r="L863">
        <f>YEAR(Master_ventas[[#This Row],[Order Date]])</f>
        <v>2024</v>
      </c>
      <c r="M863" t="str">
        <f>CONCATENATE(LEFT(Master_ventas[[#This Row],[ProdUpper]],3),RIGHT(Master_ventas[[#This Row],[Ext-Year]],2),"-",MID(Master_ventas[[#This Row],[Category]],1,1))</f>
        <v>MOU24-A</v>
      </c>
      <c r="N863" t="str">
        <f>MID(Master_ventas[[#This Row],[ProdUpper]],1,3)</f>
        <v>MOU</v>
      </c>
      <c r="O863" t="str">
        <f>UPPER(IF(Master_ventas[[#This Row],[Profit]]&gt;500,"High","Std"))</f>
        <v>STD</v>
      </c>
      <c r="P863">
        <v>862</v>
      </c>
    </row>
    <row r="864" spans="1:16" x14ac:dyDescent="0.3">
      <c r="A864" s="1">
        <v>45308</v>
      </c>
      <c r="B864" t="s">
        <v>7</v>
      </c>
      <c r="C864" t="s">
        <v>8</v>
      </c>
      <c r="D864" t="s">
        <v>15</v>
      </c>
      <c r="E864">
        <v>9</v>
      </c>
      <c r="F864" s="3">
        <v>4086</v>
      </c>
      <c r="G864" s="2">
        <v>217.48</v>
      </c>
      <c r="H864">
        <f>Master_ventas[[#This Row],[Profit]]/Master_ventas[[#This Row],[Sales]]</f>
        <v>5.322564855604503E-2</v>
      </c>
      <c r="I864">
        <f ca="1">Referencia_Hoy-Master_ventas[[#This Row],[Order Date]]</f>
        <v>1015</v>
      </c>
      <c r="J864" t="str">
        <f>UPPER(Master_ventas[[#This Row],[Product Name]])</f>
        <v>PRINTER</v>
      </c>
      <c r="K864" t="str">
        <f>UPPER(Master_ventas[[#This Row],[Category]])</f>
        <v>OFFICE</v>
      </c>
      <c r="L864">
        <f>YEAR(Master_ventas[[#This Row],[Order Date]])</f>
        <v>2024</v>
      </c>
      <c r="M864" t="str">
        <f>CONCATENATE(LEFT(Master_ventas[[#This Row],[ProdUpper]],3),RIGHT(Master_ventas[[#This Row],[Ext-Year]],2),"-",MID(Master_ventas[[#This Row],[Category]],1,1))</f>
        <v>PRI24-O</v>
      </c>
      <c r="N864" t="str">
        <f>MID(Master_ventas[[#This Row],[ProdUpper]],1,3)</f>
        <v>PRI</v>
      </c>
      <c r="O864" t="str">
        <f>UPPER(IF(Master_ventas[[#This Row],[Profit]]&gt;500,"High","Std"))</f>
        <v>STD</v>
      </c>
      <c r="P864">
        <v>863</v>
      </c>
    </row>
    <row r="865" spans="1:16" x14ac:dyDescent="0.3">
      <c r="A865" s="1">
        <v>44820</v>
      </c>
      <c r="B865" t="s">
        <v>10</v>
      </c>
      <c r="C865" t="s">
        <v>11</v>
      </c>
      <c r="D865" t="s">
        <v>12</v>
      </c>
      <c r="E865">
        <v>2</v>
      </c>
      <c r="F865" s="3">
        <v>442</v>
      </c>
      <c r="G865" s="2">
        <v>28.13</v>
      </c>
      <c r="H865">
        <f>Master_ventas[[#This Row],[Profit]]/Master_ventas[[#This Row],[Sales]]</f>
        <v>6.3642533936651577E-2</v>
      </c>
      <c r="I865">
        <f ca="1">Referencia_Hoy-Master_ventas[[#This Row],[Order Date]]</f>
        <v>1503</v>
      </c>
      <c r="J865" t="str">
        <f>UPPER(Master_ventas[[#This Row],[Product Name]])</f>
        <v>MOUSE</v>
      </c>
      <c r="K865" t="str">
        <f>UPPER(Master_ventas[[#This Row],[Category]])</f>
        <v>ACCESSORIES</v>
      </c>
      <c r="L865">
        <f>YEAR(Master_ventas[[#This Row],[Order Date]])</f>
        <v>2022</v>
      </c>
      <c r="M865" t="str">
        <f>CONCATENATE(LEFT(Master_ventas[[#This Row],[ProdUpper]],3),RIGHT(Master_ventas[[#This Row],[Ext-Year]],2),"-",MID(Master_ventas[[#This Row],[Category]],1,1))</f>
        <v>MOU22-A</v>
      </c>
      <c r="N865" t="str">
        <f>MID(Master_ventas[[#This Row],[ProdUpper]],1,3)</f>
        <v>MOU</v>
      </c>
      <c r="O865" t="str">
        <f>UPPER(IF(Master_ventas[[#This Row],[Profit]]&gt;500,"High","Std"))</f>
        <v>STD</v>
      </c>
      <c r="P865">
        <v>864</v>
      </c>
    </row>
    <row r="866" spans="1:16" x14ac:dyDescent="0.3">
      <c r="A866" s="1">
        <v>44939</v>
      </c>
      <c r="B866" t="s">
        <v>21</v>
      </c>
      <c r="C866" t="s">
        <v>14</v>
      </c>
      <c r="D866" t="s">
        <v>12</v>
      </c>
      <c r="E866">
        <v>6</v>
      </c>
      <c r="F866" s="3">
        <v>2478</v>
      </c>
      <c r="G866" s="2">
        <v>153.86000000000001</v>
      </c>
      <c r="H866">
        <f>Master_ventas[[#This Row],[Profit]]/Master_ventas[[#This Row],[Sales]]</f>
        <v>6.2090395480225997E-2</v>
      </c>
      <c r="I866">
        <f ca="1">Referencia_Hoy-Master_ventas[[#This Row],[Order Date]]</f>
        <v>1384</v>
      </c>
      <c r="J866" t="str">
        <f>UPPER(Master_ventas[[#This Row],[Product Name]])</f>
        <v>SMARTPHONE</v>
      </c>
      <c r="K866" t="str">
        <f>UPPER(Master_ventas[[#This Row],[Category]])</f>
        <v>ELECTRONICS</v>
      </c>
      <c r="L866">
        <f>YEAR(Master_ventas[[#This Row],[Order Date]])</f>
        <v>2023</v>
      </c>
      <c r="M866" t="str">
        <f>CONCATENATE(LEFT(Master_ventas[[#This Row],[ProdUpper]],3),RIGHT(Master_ventas[[#This Row],[Ext-Year]],2),"-",MID(Master_ventas[[#This Row],[Category]],1,1))</f>
        <v>SMA23-E</v>
      </c>
      <c r="N866" t="str">
        <f>MID(Master_ventas[[#This Row],[ProdUpper]],1,3)</f>
        <v>SMA</v>
      </c>
      <c r="O866" t="str">
        <f>UPPER(IF(Master_ventas[[#This Row],[Profit]]&gt;500,"High","Std"))</f>
        <v>STD</v>
      </c>
      <c r="P866">
        <v>865</v>
      </c>
    </row>
    <row r="867" spans="1:16" x14ac:dyDescent="0.3">
      <c r="A867" s="1">
        <v>44583</v>
      </c>
      <c r="B867" t="s">
        <v>22</v>
      </c>
      <c r="C867" t="s">
        <v>11</v>
      </c>
      <c r="D867" t="s">
        <v>15</v>
      </c>
      <c r="E867">
        <v>2</v>
      </c>
      <c r="F867" s="3">
        <v>1860</v>
      </c>
      <c r="G867" s="2">
        <v>327.14999999999998</v>
      </c>
      <c r="H867">
        <f>Master_ventas[[#This Row],[Profit]]/Master_ventas[[#This Row],[Sales]]</f>
        <v>0.17588709677419354</v>
      </c>
      <c r="I867">
        <f ca="1">Referencia_Hoy-Master_ventas[[#This Row],[Order Date]]</f>
        <v>1740</v>
      </c>
      <c r="J867" t="str">
        <f>UPPER(Master_ventas[[#This Row],[Product Name]])</f>
        <v>KEYBOARD</v>
      </c>
      <c r="K867" t="str">
        <f>UPPER(Master_ventas[[#This Row],[Category]])</f>
        <v>ACCESSORIES</v>
      </c>
      <c r="L867">
        <f>YEAR(Master_ventas[[#This Row],[Order Date]])</f>
        <v>2022</v>
      </c>
      <c r="M867" t="str">
        <f>CONCATENATE(LEFT(Master_ventas[[#This Row],[ProdUpper]],3),RIGHT(Master_ventas[[#This Row],[Ext-Year]],2),"-",MID(Master_ventas[[#This Row],[Category]],1,1))</f>
        <v>KEY22-A</v>
      </c>
      <c r="N867" t="str">
        <f>MID(Master_ventas[[#This Row],[ProdUpper]],1,3)</f>
        <v>KEY</v>
      </c>
      <c r="O867" t="str">
        <f>UPPER(IF(Master_ventas[[#This Row],[Profit]]&gt;500,"High","Std"))</f>
        <v>STD</v>
      </c>
      <c r="P867">
        <v>866</v>
      </c>
    </row>
    <row r="868" spans="1:16" x14ac:dyDescent="0.3">
      <c r="A868" s="1">
        <v>44705</v>
      </c>
      <c r="B868" t="s">
        <v>20</v>
      </c>
      <c r="C868" t="s">
        <v>11</v>
      </c>
      <c r="D868" t="s">
        <v>12</v>
      </c>
      <c r="E868">
        <v>9</v>
      </c>
      <c r="F868" s="3">
        <v>4968</v>
      </c>
      <c r="G868" s="2">
        <v>991.82</v>
      </c>
      <c r="H868">
        <f>Master_ventas[[#This Row],[Profit]]/Master_ventas[[#This Row],[Sales]]</f>
        <v>0.19964170692431563</v>
      </c>
      <c r="I868">
        <f ca="1">Referencia_Hoy-Master_ventas[[#This Row],[Order Date]]</f>
        <v>1618</v>
      </c>
      <c r="J868" t="str">
        <f>UPPER(Master_ventas[[#This Row],[Product Name]])</f>
        <v>MONITOR</v>
      </c>
      <c r="K868" t="str">
        <f>UPPER(Master_ventas[[#This Row],[Category]])</f>
        <v>ACCESSORIES</v>
      </c>
      <c r="L868">
        <f>YEAR(Master_ventas[[#This Row],[Order Date]])</f>
        <v>2022</v>
      </c>
      <c r="M868" t="str">
        <f>CONCATENATE(LEFT(Master_ventas[[#This Row],[ProdUpper]],3),RIGHT(Master_ventas[[#This Row],[Ext-Year]],2),"-",MID(Master_ventas[[#This Row],[Category]],1,1))</f>
        <v>MON22-A</v>
      </c>
      <c r="N868" t="str">
        <f>MID(Master_ventas[[#This Row],[ProdUpper]],1,3)</f>
        <v>MON</v>
      </c>
      <c r="O868" t="str">
        <f>UPPER(IF(Master_ventas[[#This Row],[Profit]]&gt;500,"High","Std"))</f>
        <v>HIGH</v>
      </c>
      <c r="P868">
        <v>867</v>
      </c>
    </row>
    <row r="869" spans="1:16" x14ac:dyDescent="0.3">
      <c r="A869" s="1">
        <v>44990</v>
      </c>
      <c r="B869" t="s">
        <v>7</v>
      </c>
      <c r="C869" t="s">
        <v>8</v>
      </c>
      <c r="D869" t="s">
        <v>15</v>
      </c>
      <c r="E869">
        <v>3</v>
      </c>
      <c r="F869" s="3">
        <v>1446</v>
      </c>
      <c r="G869" s="2">
        <v>278.94</v>
      </c>
      <c r="H869">
        <f>Master_ventas[[#This Row],[Profit]]/Master_ventas[[#This Row],[Sales]]</f>
        <v>0.19290456431535269</v>
      </c>
      <c r="I869">
        <f ca="1">Referencia_Hoy-Master_ventas[[#This Row],[Order Date]]</f>
        <v>1333</v>
      </c>
      <c r="J869" t="str">
        <f>UPPER(Master_ventas[[#This Row],[Product Name]])</f>
        <v>PRINTER</v>
      </c>
      <c r="K869" t="str">
        <f>UPPER(Master_ventas[[#This Row],[Category]])</f>
        <v>OFFICE</v>
      </c>
      <c r="L869">
        <f>YEAR(Master_ventas[[#This Row],[Order Date]])</f>
        <v>2023</v>
      </c>
      <c r="M869" t="str">
        <f>CONCATENATE(LEFT(Master_ventas[[#This Row],[ProdUpper]],3),RIGHT(Master_ventas[[#This Row],[Ext-Year]],2),"-",MID(Master_ventas[[#This Row],[Category]],1,1))</f>
        <v>PRI23-O</v>
      </c>
      <c r="N869" t="str">
        <f>MID(Master_ventas[[#This Row],[ProdUpper]],1,3)</f>
        <v>PRI</v>
      </c>
      <c r="O869" t="str">
        <f>UPPER(IF(Master_ventas[[#This Row],[Profit]]&gt;500,"High","Std"))</f>
        <v>STD</v>
      </c>
      <c r="P869">
        <v>868</v>
      </c>
    </row>
    <row r="870" spans="1:16" x14ac:dyDescent="0.3">
      <c r="A870" s="1">
        <v>45041</v>
      </c>
      <c r="B870" t="s">
        <v>10</v>
      </c>
      <c r="C870" t="s">
        <v>11</v>
      </c>
      <c r="D870" t="s">
        <v>12</v>
      </c>
      <c r="E870">
        <v>7</v>
      </c>
      <c r="F870" s="3">
        <v>1722</v>
      </c>
      <c r="G870" s="2">
        <v>414.87</v>
      </c>
      <c r="H870">
        <f>Master_ventas[[#This Row],[Profit]]/Master_ventas[[#This Row],[Sales]]</f>
        <v>0.24092334494773521</v>
      </c>
      <c r="I870">
        <f ca="1">Referencia_Hoy-Master_ventas[[#This Row],[Order Date]]</f>
        <v>1282</v>
      </c>
      <c r="J870" t="str">
        <f>UPPER(Master_ventas[[#This Row],[Product Name]])</f>
        <v>MOUSE</v>
      </c>
      <c r="K870" t="str">
        <f>UPPER(Master_ventas[[#This Row],[Category]])</f>
        <v>ACCESSORIES</v>
      </c>
      <c r="L870">
        <f>YEAR(Master_ventas[[#This Row],[Order Date]])</f>
        <v>2023</v>
      </c>
      <c r="M870" t="str">
        <f>CONCATENATE(LEFT(Master_ventas[[#This Row],[ProdUpper]],3),RIGHT(Master_ventas[[#This Row],[Ext-Year]],2),"-",MID(Master_ventas[[#This Row],[Category]],1,1))</f>
        <v>MOU23-A</v>
      </c>
      <c r="N870" t="str">
        <f>MID(Master_ventas[[#This Row],[ProdUpper]],1,3)</f>
        <v>MOU</v>
      </c>
      <c r="O870" t="str">
        <f>UPPER(IF(Master_ventas[[#This Row],[Profit]]&gt;500,"High","Std"))</f>
        <v>STD</v>
      </c>
      <c r="P870">
        <v>869</v>
      </c>
    </row>
    <row r="871" spans="1:16" x14ac:dyDescent="0.3">
      <c r="A871" s="1">
        <v>45486</v>
      </c>
      <c r="B871" t="s">
        <v>19</v>
      </c>
      <c r="C871" t="s">
        <v>14</v>
      </c>
      <c r="D871" t="s">
        <v>12</v>
      </c>
      <c r="E871">
        <v>7</v>
      </c>
      <c r="F871" s="3">
        <v>6573</v>
      </c>
      <c r="G871" s="2">
        <v>460.28</v>
      </c>
      <c r="H871">
        <f>Master_ventas[[#This Row],[Profit]]/Master_ventas[[#This Row],[Sales]]</f>
        <v>7.0025863380495962E-2</v>
      </c>
      <c r="I871">
        <f ca="1">Referencia_Hoy-Master_ventas[[#This Row],[Order Date]]</f>
        <v>837</v>
      </c>
      <c r="J871" t="str">
        <f>UPPER(Master_ventas[[#This Row],[Product Name]])</f>
        <v>SMARTWATCH</v>
      </c>
      <c r="K871" t="str">
        <f>UPPER(Master_ventas[[#This Row],[Category]])</f>
        <v>ELECTRONICS</v>
      </c>
      <c r="L871">
        <f>YEAR(Master_ventas[[#This Row],[Order Date]])</f>
        <v>2024</v>
      </c>
      <c r="M871" t="str">
        <f>CONCATENATE(LEFT(Master_ventas[[#This Row],[ProdUpper]],3),RIGHT(Master_ventas[[#This Row],[Ext-Year]],2),"-",MID(Master_ventas[[#This Row],[Category]],1,1))</f>
        <v>SMA24-E</v>
      </c>
      <c r="N871" t="str">
        <f>MID(Master_ventas[[#This Row],[ProdUpper]],1,3)</f>
        <v>SMA</v>
      </c>
      <c r="O871" t="str">
        <f>UPPER(IF(Master_ventas[[#This Row],[Profit]]&gt;500,"High","Std"))</f>
        <v>STD</v>
      </c>
      <c r="P871">
        <v>870</v>
      </c>
    </row>
    <row r="872" spans="1:16" x14ac:dyDescent="0.3">
      <c r="A872" s="1">
        <v>45536</v>
      </c>
      <c r="B872" t="s">
        <v>18</v>
      </c>
      <c r="C872" t="s">
        <v>11</v>
      </c>
      <c r="D872" t="s">
        <v>12</v>
      </c>
      <c r="E872">
        <v>3</v>
      </c>
      <c r="F872" s="3">
        <v>2481</v>
      </c>
      <c r="G872" s="2">
        <v>249.52</v>
      </c>
      <c r="H872">
        <f>Master_ventas[[#This Row],[Profit]]/Master_ventas[[#This Row],[Sales]]</f>
        <v>0.10057234985892785</v>
      </c>
      <c r="I872">
        <f ca="1">Referencia_Hoy-Master_ventas[[#This Row],[Order Date]]</f>
        <v>787</v>
      </c>
      <c r="J872" t="str">
        <f>UPPER(Master_ventas[[#This Row],[Product Name]])</f>
        <v>HEADPHONES</v>
      </c>
      <c r="K872" t="str">
        <f>UPPER(Master_ventas[[#This Row],[Category]])</f>
        <v>ACCESSORIES</v>
      </c>
      <c r="L872">
        <f>YEAR(Master_ventas[[#This Row],[Order Date]])</f>
        <v>2024</v>
      </c>
      <c r="M872" t="str">
        <f>CONCATENATE(LEFT(Master_ventas[[#This Row],[ProdUpper]],3),RIGHT(Master_ventas[[#This Row],[Ext-Year]],2),"-",MID(Master_ventas[[#This Row],[Category]],1,1))</f>
        <v>HEA24-A</v>
      </c>
      <c r="N872" t="str">
        <f>MID(Master_ventas[[#This Row],[ProdUpper]],1,3)</f>
        <v>HEA</v>
      </c>
      <c r="O872" t="str">
        <f>UPPER(IF(Master_ventas[[#This Row],[Profit]]&gt;500,"High","Std"))</f>
        <v>STD</v>
      </c>
      <c r="P872">
        <v>871</v>
      </c>
    </row>
    <row r="873" spans="1:16" x14ac:dyDescent="0.3">
      <c r="A873" s="1">
        <v>45652</v>
      </c>
      <c r="B873" t="s">
        <v>20</v>
      </c>
      <c r="C873" t="s">
        <v>11</v>
      </c>
      <c r="D873" t="s">
        <v>16</v>
      </c>
      <c r="E873">
        <v>6</v>
      </c>
      <c r="F873" s="3">
        <v>3828</v>
      </c>
      <c r="G873" s="2">
        <v>1102.8599999999999</v>
      </c>
      <c r="H873">
        <f>Master_ventas[[#This Row],[Profit]]/Master_ventas[[#This Row],[Sales]]</f>
        <v>0.28810344827586204</v>
      </c>
      <c r="I873">
        <f ca="1">Referencia_Hoy-Master_ventas[[#This Row],[Order Date]]</f>
        <v>671</v>
      </c>
      <c r="J873" t="str">
        <f>UPPER(Master_ventas[[#This Row],[Product Name]])</f>
        <v>MONITOR</v>
      </c>
      <c r="K873" t="str">
        <f>UPPER(Master_ventas[[#This Row],[Category]])</f>
        <v>ACCESSORIES</v>
      </c>
      <c r="L873">
        <f>YEAR(Master_ventas[[#This Row],[Order Date]])</f>
        <v>2024</v>
      </c>
      <c r="M873" t="str">
        <f>CONCATENATE(LEFT(Master_ventas[[#This Row],[ProdUpper]],3),RIGHT(Master_ventas[[#This Row],[Ext-Year]],2),"-",MID(Master_ventas[[#This Row],[Category]],1,1))</f>
        <v>MON24-A</v>
      </c>
      <c r="N873" t="str">
        <f>MID(Master_ventas[[#This Row],[ProdUpper]],1,3)</f>
        <v>MON</v>
      </c>
      <c r="O873" t="str">
        <f>UPPER(IF(Master_ventas[[#This Row],[Profit]]&gt;500,"High","Std"))</f>
        <v>HIGH</v>
      </c>
      <c r="P873">
        <v>872</v>
      </c>
    </row>
    <row r="874" spans="1:16" x14ac:dyDescent="0.3">
      <c r="A874" s="1">
        <v>45158</v>
      </c>
      <c r="B874" t="s">
        <v>13</v>
      </c>
      <c r="C874" t="s">
        <v>14</v>
      </c>
      <c r="D874" t="s">
        <v>12</v>
      </c>
      <c r="E874">
        <v>7</v>
      </c>
      <c r="F874" s="3">
        <v>1197</v>
      </c>
      <c r="G874" s="2">
        <v>103.34</v>
      </c>
      <c r="H874">
        <f>Master_ventas[[#This Row],[Profit]]/Master_ventas[[#This Row],[Sales]]</f>
        <v>8.6332497911445288E-2</v>
      </c>
      <c r="I874">
        <f ca="1">Referencia_Hoy-Master_ventas[[#This Row],[Order Date]]</f>
        <v>1165</v>
      </c>
      <c r="J874" t="str">
        <f>UPPER(Master_ventas[[#This Row],[Product Name]])</f>
        <v>TABLET</v>
      </c>
      <c r="K874" t="str">
        <f>UPPER(Master_ventas[[#This Row],[Category]])</f>
        <v>ELECTRONICS</v>
      </c>
      <c r="L874">
        <f>YEAR(Master_ventas[[#This Row],[Order Date]])</f>
        <v>2023</v>
      </c>
      <c r="M874" t="str">
        <f>CONCATENATE(LEFT(Master_ventas[[#This Row],[ProdUpper]],3),RIGHT(Master_ventas[[#This Row],[Ext-Year]],2),"-",MID(Master_ventas[[#This Row],[Category]],1,1))</f>
        <v>TAB23-E</v>
      </c>
      <c r="N874" t="str">
        <f>MID(Master_ventas[[#This Row],[ProdUpper]],1,3)</f>
        <v>TAB</v>
      </c>
      <c r="O874" t="str">
        <f>UPPER(IF(Master_ventas[[#This Row],[Profit]]&gt;500,"High","Std"))</f>
        <v>STD</v>
      </c>
      <c r="P874">
        <v>873</v>
      </c>
    </row>
    <row r="875" spans="1:16" x14ac:dyDescent="0.3">
      <c r="A875" s="1">
        <v>44570</v>
      </c>
      <c r="B875" t="s">
        <v>13</v>
      </c>
      <c r="C875" t="s">
        <v>14</v>
      </c>
      <c r="D875" t="s">
        <v>16</v>
      </c>
      <c r="E875">
        <v>7</v>
      </c>
      <c r="F875" s="3">
        <v>7623</v>
      </c>
      <c r="G875" s="2">
        <v>1459.84</v>
      </c>
      <c r="H875">
        <f>Master_ventas[[#This Row],[Profit]]/Master_ventas[[#This Row],[Sales]]</f>
        <v>0.19150465695920241</v>
      </c>
      <c r="I875">
        <f ca="1">Referencia_Hoy-Master_ventas[[#This Row],[Order Date]]</f>
        <v>1753</v>
      </c>
      <c r="J875" t="str">
        <f>UPPER(Master_ventas[[#This Row],[Product Name]])</f>
        <v>TABLET</v>
      </c>
      <c r="K875" t="str">
        <f>UPPER(Master_ventas[[#This Row],[Category]])</f>
        <v>ELECTRONICS</v>
      </c>
      <c r="L875">
        <f>YEAR(Master_ventas[[#This Row],[Order Date]])</f>
        <v>2022</v>
      </c>
      <c r="M875" t="str">
        <f>CONCATENATE(LEFT(Master_ventas[[#This Row],[ProdUpper]],3),RIGHT(Master_ventas[[#This Row],[Ext-Year]],2),"-",MID(Master_ventas[[#This Row],[Category]],1,1))</f>
        <v>TAB22-E</v>
      </c>
      <c r="N875" t="str">
        <f>MID(Master_ventas[[#This Row],[ProdUpper]],1,3)</f>
        <v>TAB</v>
      </c>
      <c r="O875" t="str">
        <f>UPPER(IF(Master_ventas[[#This Row],[Profit]]&gt;500,"High","Std"))</f>
        <v>HIGH</v>
      </c>
      <c r="P875">
        <v>874</v>
      </c>
    </row>
    <row r="876" spans="1:16" x14ac:dyDescent="0.3">
      <c r="A876" s="1">
        <v>44787</v>
      </c>
      <c r="B876" t="s">
        <v>10</v>
      </c>
      <c r="C876" t="s">
        <v>11</v>
      </c>
      <c r="D876" t="s">
        <v>9</v>
      </c>
      <c r="E876">
        <v>9</v>
      </c>
      <c r="F876" s="3">
        <v>3384</v>
      </c>
      <c r="G876" s="2">
        <v>252.11</v>
      </c>
      <c r="H876">
        <f>Master_ventas[[#This Row],[Profit]]/Master_ventas[[#This Row],[Sales]]</f>
        <v>7.4500591016548462E-2</v>
      </c>
      <c r="I876">
        <f ca="1">Referencia_Hoy-Master_ventas[[#This Row],[Order Date]]</f>
        <v>1536</v>
      </c>
      <c r="J876" t="str">
        <f>UPPER(Master_ventas[[#This Row],[Product Name]])</f>
        <v>MOUSE</v>
      </c>
      <c r="K876" t="str">
        <f>UPPER(Master_ventas[[#This Row],[Category]])</f>
        <v>ACCESSORIES</v>
      </c>
      <c r="L876">
        <f>YEAR(Master_ventas[[#This Row],[Order Date]])</f>
        <v>2022</v>
      </c>
      <c r="M876" t="str">
        <f>CONCATENATE(LEFT(Master_ventas[[#This Row],[ProdUpper]],3),RIGHT(Master_ventas[[#This Row],[Ext-Year]],2),"-",MID(Master_ventas[[#This Row],[Category]],1,1))</f>
        <v>MOU22-A</v>
      </c>
      <c r="N876" t="str">
        <f>MID(Master_ventas[[#This Row],[ProdUpper]],1,3)</f>
        <v>MOU</v>
      </c>
      <c r="O876" t="str">
        <f>UPPER(IF(Master_ventas[[#This Row],[Profit]]&gt;500,"High","Std"))</f>
        <v>STD</v>
      </c>
      <c r="P876">
        <v>875</v>
      </c>
    </row>
    <row r="877" spans="1:16" x14ac:dyDescent="0.3">
      <c r="A877" s="1">
        <v>44562</v>
      </c>
      <c r="B877" t="s">
        <v>20</v>
      </c>
      <c r="C877" t="s">
        <v>11</v>
      </c>
      <c r="D877" t="s">
        <v>15</v>
      </c>
      <c r="E877">
        <v>8</v>
      </c>
      <c r="F877" s="3">
        <v>1296</v>
      </c>
      <c r="G877" s="2">
        <v>273.97000000000003</v>
      </c>
      <c r="H877">
        <f>Master_ventas[[#This Row],[Profit]]/Master_ventas[[#This Row],[Sales]]</f>
        <v>0.21139660493827162</v>
      </c>
      <c r="I877">
        <f ca="1">Referencia_Hoy-Master_ventas[[#This Row],[Order Date]]</f>
        <v>1761</v>
      </c>
      <c r="J877" t="str">
        <f>UPPER(Master_ventas[[#This Row],[Product Name]])</f>
        <v>MONITOR</v>
      </c>
      <c r="K877" t="str">
        <f>UPPER(Master_ventas[[#This Row],[Category]])</f>
        <v>ACCESSORIES</v>
      </c>
      <c r="L877">
        <f>YEAR(Master_ventas[[#This Row],[Order Date]])</f>
        <v>2022</v>
      </c>
      <c r="M877" t="str">
        <f>CONCATENATE(LEFT(Master_ventas[[#This Row],[ProdUpper]],3),RIGHT(Master_ventas[[#This Row],[Ext-Year]],2),"-",MID(Master_ventas[[#This Row],[Category]],1,1))</f>
        <v>MON22-A</v>
      </c>
      <c r="N877" t="str">
        <f>MID(Master_ventas[[#This Row],[ProdUpper]],1,3)</f>
        <v>MON</v>
      </c>
      <c r="O877" t="str">
        <f>UPPER(IF(Master_ventas[[#This Row],[Profit]]&gt;500,"High","Std"))</f>
        <v>STD</v>
      </c>
      <c r="P877">
        <v>876</v>
      </c>
    </row>
    <row r="878" spans="1:16" x14ac:dyDescent="0.3">
      <c r="A878" s="1">
        <v>45498</v>
      </c>
      <c r="B878" t="s">
        <v>13</v>
      </c>
      <c r="C878" t="s">
        <v>14</v>
      </c>
      <c r="D878" t="s">
        <v>16</v>
      </c>
      <c r="E878">
        <v>8</v>
      </c>
      <c r="F878" s="3">
        <v>2840</v>
      </c>
      <c r="G878" s="2">
        <v>262.62</v>
      </c>
      <c r="H878">
        <f>Master_ventas[[#This Row],[Profit]]/Master_ventas[[#This Row],[Sales]]</f>
        <v>9.2471830985915493E-2</v>
      </c>
      <c r="I878">
        <f ca="1">Referencia_Hoy-Master_ventas[[#This Row],[Order Date]]</f>
        <v>825</v>
      </c>
      <c r="J878" t="str">
        <f>UPPER(Master_ventas[[#This Row],[Product Name]])</f>
        <v>TABLET</v>
      </c>
      <c r="K878" t="str">
        <f>UPPER(Master_ventas[[#This Row],[Category]])</f>
        <v>ELECTRONICS</v>
      </c>
      <c r="L878">
        <f>YEAR(Master_ventas[[#This Row],[Order Date]])</f>
        <v>2024</v>
      </c>
      <c r="M878" t="str">
        <f>CONCATENATE(LEFT(Master_ventas[[#This Row],[ProdUpper]],3),RIGHT(Master_ventas[[#This Row],[Ext-Year]],2),"-",MID(Master_ventas[[#This Row],[Category]],1,1))</f>
        <v>TAB24-E</v>
      </c>
      <c r="N878" t="str">
        <f>MID(Master_ventas[[#This Row],[ProdUpper]],1,3)</f>
        <v>TAB</v>
      </c>
      <c r="O878" t="str">
        <f>UPPER(IF(Master_ventas[[#This Row],[Profit]]&gt;500,"High","Std"))</f>
        <v>STD</v>
      </c>
      <c r="P878">
        <v>877</v>
      </c>
    </row>
    <row r="879" spans="1:16" x14ac:dyDescent="0.3">
      <c r="A879" s="1">
        <v>45526</v>
      </c>
      <c r="B879" t="s">
        <v>17</v>
      </c>
      <c r="C879" t="s">
        <v>14</v>
      </c>
      <c r="D879" t="s">
        <v>12</v>
      </c>
      <c r="E879">
        <v>7</v>
      </c>
      <c r="F879" s="3">
        <v>1540</v>
      </c>
      <c r="G879" s="2">
        <v>342.93</v>
      </c>
      <c r="H879">
        <f>Master_ventas[[#This Row],[Profit]]/Master_ventas[[#This Row],[Sales]]</f>
        <v>0.22268181818181818</v>
      </c>
      <c r="I879">
        <f ca="1">Referencia_Hoy-Master_ventas[[#This Row],[Order Date]]</f>
        <v>797</v>
      </c>
      <c r="J879" t="str">
        <f>UPPER(Master_ventas[[#This Row],[Product Name]])</f>
        <v>CAMERA</v>
      </c>
      <c r="K879" t="str">
        <f>UPPER(Master_ventas[[#This Row],[Category]])</f>
        <v>ELECTRONICS</v>
      </c>
      <c r="L879">
        <f>YEAR(Master_ventas[[#This Row],[Order Date]])</f>
        <v>2024</v>
      </c>
      <c r="M879" t="str">
        <f>CONCATENATE(LEFT(Master_ventas[[#This Row],[ProdUpper]],3),RIGHT(Master_ventas[[#This Row],[Ext-Year]],2),"-",MID(Master_ventas[[#This Row],[Category]],1,1))</f>
        <v>CAM24-E</v>
      </c>
      <c r="N879" t="str">
        <f>MID(Master_ventas[[#This Row],[ProdUpper]],1,3)</f>
        <v>CAM</v>
      </c>
      <c r="O879" t="str">
        <f>UPPER(IF(Master_ventas[[#This Row],[Profit]]&gt;500,"High","Std"))</f>
        <v>STD</v>
      </c>
      <c r="P879">
        <v>878</v>
      </c>
    </row>
    <row r="880" spans="1:16" x14ac:dyDescent="0.3">
      <c r="A880" s="1">
        <v>44740</v>
      </c>
      <c r="B880" t="s">
        <v>17</v>
      </c>
      <c r="C880" t="s">
        <v>14</v>
      </c>
      <c r="D880" t="s">
        <v>16</v>
      </c>
      <c r="E880">
        <v>2</v>
      </c>
      <c r="F880" s="3">
        <v>1414</v>
      </c>
      <c r="G880" s="2">
        <v>308.39</v>
      </c>
      <c r="H880">
        <f>Master_ventas[[#This Row],[Profit]]/Master_ventas[[#This Row],[Sales]]</f>
        <v>0.21809759547383309</v>
      </c>
      <c r="I880">
        <f ca="1">Referencia_Hoy-Master_ventas[[#This Row],[Order Date]]</f>
        <v>1583</v>
      </c>
      <c r="J880" t="str">
        <f>UPPER(Master_ventas[[#This Row],[Product Name]])</f>
        <v>CAMERA</v>
      </c>
      <c r="K880" t="str">
        <f>UPPER(Master_ventas[[#This Row],[Category]])</f>
        <v>ELECTRONICS</v>
      </c>
      <c r="L880">
        <f>YEAR(Master_ventas[[#This Row],[Order Date]])</f>
        <v>2022</v>
      </c>
      <c r="M880" t="str">
        <f>CONCATENATE(LEFT(Master_ventas[[#This Row],[ProdUpper]],3),RIGHT(Master_ventas[[#This Row],[Ext-Year]],2),"-",MID(Master_ventas[[#This Row],[Category]],1,1))</f>
        <v>CAM22-E</v>
      </c>
      <c r="N880" t="str">
        <f>MID(Master_ventas[[#This Row],[ProdUpper]],1,3)</f>
        <v>CAM</v>
      </c>
      <c r="O880" t="str">
        <f>UPPER(IF(Master_ventas[[#This Row],[Profit]]&gt;500,"High","Std"))</f>
        <v>STD</v>
      </c>
      <c r="P880">
        <v>879</v>
      </c>
    </row>
    <row r="881" spans="1:16" x14ac:dyDescent="0.3">
      <c r="A881" s="1">
        <v>45042</v>
      </c>
      <c r="B881" t="s">
        <v>17</v>
      </c>
      <c r="C881" t="s">
        <v>14</v>
      </c>
      <c r="D881" t="s">
        <v>16</v>
      </c>
      <c r="E881">
        <v>8</v>
      </c>
      <c r="F881" s="3">
        <v>8328</v>
      </c>
      <c r="G881" s="2">
        <v>466.38</v>
      </c>
      <c r="H881">
        <f>Master_ventas[[#This Row],[Profit]]/Master_ventas[[#This Row],[Sales]]</f>
        <v>5.6001440922190199E-2</v>
      </c>
      <c r="I881">
        <f ca="1">Referencia_Hoy-Master_ventas[[#This Row],[Order Date]]</f>
        <v>1281</v>
      </c>
      <c r="J881" t="str">
        <f>UPPER(Master_ventas[[#This Row],[Product Name]])</f>
        <v>CAMERA</v>
      </c>
      <c r="K881" t="str">
        <f>UPPER(Master_ventas[[#This Row],[Category]])</f>
        <v>ELECTRONICS</v>
      </c>
      <c r="L881">
        <f>YEAR(Master_ventas[[#This Row],[Order Date]])</f>
        <v>2023</v>
      </c>
      <c r="M881" t="str">
        <f>CONCATENATE(LEFT(Master_ventas[[#This Row],[ProdUpper]],3),RIGHT(Master_ventas[[#This Row],[Ext-Year]],2),"-",MID(Master_ventas[[#This Row],[Category]],1,1))</f>
        <v>CAM23-E</v>
      </c>
      <c r="N881" t="str">
        <f>MID(Master_ventas[[#This Row],[ProdUpper]],1,3)</f>
        <v>CAM</v>
      </c>
      <c r="O881" t="str">
        <f>UPPER(IF(Master_ventas[[#This Row],[Profit]]&gt;500,"High","Std"))</f>
        <v>STD</v>
      </c>
      <c r="P881">
        <v>880</v>
      </c>
    </row>
    <row r="882" spans="1:16" x14ac:dyDescent="0.3">
      <c r="A882" s="1">
        <v>45167</v>
      </c>
      <c r="B882" t="s">
        <v>17</v>
      </c>
      <c r="C882" t="s">
        <v>14</v>
      </c>
      <c r="D882" t="s">
        <v>9</v>
      </c>
      <c r="E882">
        <v>2</v>
      </c>
      <c r="F882" s="3">
        <v>744</v>
      </c>
      <c r="G882" s="2">
        <v>217.21</v>
      </c>
      <c r="H882">
        <f>Master_ventas[[#This Row],[Profit]]/Master_ventas[[#This Row],[Sales]]</f>
        <v>0.29194892473118278</v>
      </c>
      <c r="I882">
        <f ca="1">Referencia_Hoy-Master_ventas[[#This Row],[Order Date]]</f>
        <v>1156</v>
      </c>
      <c r="J882" t="str">
        <f>UPPER(Master_ventas[[#This Row],[Product Name]])</f>
        <v>CAMERA</v>
      </c>
      <c r="K882" t="str">
        <f>UPPER(Master_ventas[[#This Row],[Category]])</f>
        <v>ELECTRONICS</v>
      </c>
      <c r="L882">
        <f>YEAR(Master_ventas[[#This Row],[Order Date]])</f>
        <v>2023</v>
      </c>
      <c r="M882" t="str">
        <f>CONCATENATE(LEFT(Master_ventas[[#This Row],[ProdUpper]],3),RIGHT(Master_ventas[[#This Row],[Ext-Year]],2),"-",MID(Master_ventas[[#This Row],[Category]],1,1))</f>
        <v>CAM23-E</v>
      </c>
      <c r="N882" t="str">
        <f>MID(Master_ventas[[#This Row],[ProdUpper]],1,3)</f>
        <v>CAM</v>
      </c>
      <c r="O882" t="str">
        <f>UPPER(IF(Master_ventas[[#This Row],[Profit]]&gt;500,"High","Std"))</f>
        <v>STD</v>
      </c>
      <c r="P882">
        <v>881</v>
      </c>
    </row>
    <row r="883" spans="1:16" x14ac:dyDescent="0.3">
      <c r="A883" s="1">
        <v>44928</v>
      </c>
      <c r="B883" t="s">
        <v>10</v>
      </c>
      <c r="C883" t="s">
        <v>11</v>
      </c>
      <c r="D883" t="s">
        <v>15</v>
      </c>
      <c r="E883">
        <v>9</v>
      </c>
      <c r="F883" s="3">
        <v>1773</v>
      </c>
      <c r="G883" s="2">
        <v>168.01</v>
      </c>
      <c r="H883">
        <f>Master_ventas[[#This Row],[Profit]]/Master_ventas[[#This Row],[Sales]]</f>
        <v>9.4760293288212061E-2</v>
      </c>
      <c r="I883">
        <f ca="1">Referencia_Hoy-Master_ventas[[#This Row],[Order Date]]</f>
        <v>1395</v>
      </c>
      <c r="J883" t="str">
        <f>UPPER(Master_ventas[[#This Row],[Product Name]])</f>
        <v>MOUSE</v>
      </c>
      <c r="K883" t="str">
        <f>UPPER(Master_ventas[[#This Row],[Category]])</f>
        <v>ACCESSORIES</v>
      </c>
      <c r="L883">
        <f>YEAR(Master_ventas[[#This Row],[Order Date]])</f>
        <v>2023</v>
      </c>
      <c r="M883" t="str">
        <f>CONCATENATE(LEFT(Master_ventas[[#This Row],[ProdUpper]],3),RIGHT(Master_ventas[[#This Row],[Ext-Year]],2),"-",MID(Master_ventas[[#This Row],[Category]],1,1))</f>
        <v>MOU23-A</v>
      </c>
      <c r="N883" t="str">
        <f>MID(Master_ventas[[#This Row],[ProdUpper]],1,3)</f>
        <v>MOU</v>
      </c>
      <c r="O883" t="str">
        <f>UPPER(IF(Master_ventas[[#This Row],[Profit]]&gt;500,"High","Std"))</f>
        <v>STD</v>
      </c>
      <c r="P883">
        <v>882</v>
      </c>
    </row>
    <row r="884" spans="1:16" x14ac:dyDescent="0.3">
      <c r="A884" s="1">
        <v>45149</v>
      </c>
      <c r="B884" t="s">
        <v>21</v>
      </c>
      <c r="C884" t="s">
        <v>14</v>
      </c>
      <c r="D884" t="s">
        <v>12</v>
      </c>
      <c r="E884">
        <v>7</v>
      </c>
      <c r="F884" s="3">
        <v>6034</v>
      </c>
      <c r="G884" s="2">
        <v>1018.37</v>
      </c>
      <c r="H884">
        <f>Master_ventas[[#This Row],[Profit]]/Master_ventas[[#This Row],[Sales]]</f>
        <v>0.16877195889956911</v>
      </c>
      <c r="I884">
        <f ca="1">Referencia_Hoy-Master_ventas[[#This Row],[Order Date]]</f>
        <v>1174</v>
      </c>
      <c r="J884" t="str">
        <f>UPPER(Master_ventas[[#This Row],[Product Name]])</f>
        <v>SMARTPHONE</v>
      </c>
      <c r="K884" t="str">
        <f>UPPER(Master_ventas[[#This Row],[Category]])</f>
        <v>ELECTRONICS</v>
      </c>
      <c r="L884">
        <f>YEAR(Master_ventas[[#This Row],[Order Date]])</f>
        <v>2023</v>
      </c>
      <c r="M884" t="str">
        <f>CONCATENATE(LEFT(Master_ventas[[#This Row],[ProdUpper]],3),RIGHT(Master_ventas[[#This Row],[Ext-Year]],2),"-",MID(Master_ventas[[#This Row],[Category]],1,1))</f>
        <v>SMA23-E</v>
      </c>
      <c r="N884" t="str">
        <f>MID(Master_ventas[[#This Row],[ProdUpper]],1,3)</f>
        <v>SMA</v>
      </c>
      <c r="O884" t="str">
        <f>UPPER(IF(Master_ventas[[#This Row],[Profit]]&gt;500,"High","Std"))</f>
        <v>HIGH</v>
      </c>
      <c r="P884">
        <v>883</v>
      </c>
    </row>
    <row r="885" spans="1:16" x14ac:dyDescent="0.3">
      <c r="A885" s="1">
        <v>45099</v>
      </c>
      <c r="B885" t="s">
        <v>21</v>
      </c>
      <c r="C885" t="s">
        <v>14</v>
      </c>
      <c r="D885" t="s">
        <v>15</v>
      </c>
      <c r="E885">
        <v>9</v>
      </c>
      <c r="F885" s="3">
        <v>756</v>
      </c>
      <c r="G885" s="2">
        <v>99.21</v>
      </c>
      <c r="H885">
        <f>Master_ventas[[#This Row],[Profit]]/Master_ventas[[#This Row],[Sales]]</f>
        <v>0.13123015873015872</v>
      </c>
      <c r="I885">
        <f ca="1">Referencia_Hoy-Master_ventas[[#This Row],[Order Date]]</f>
        <v>1224</v>
      </c>
      <c r="J885" t="str">
        <f>UPPER(Master_ventas[[#This Row],[Product Name]])</f>
        <v>SMARTPHONE</v>
      </c>
      <c r="K885" t="str">
        <f>UPPER(Master_ventas[[#This Row],[Category]])</f>
        <v>ELECTRONICS</v>
      </c>
      <c r="L885">
        <f>YEAR(Master_ventas[[#This Row],[Order Date]])</f>
        <v>2023</v>
      </c>
      <c r="M885" t="str">
        <f>CONCATENATE(LEFT(Master_ventas[[#This Row],[ProdUpper]],3),RIGHT(Master_ventas[[#This Row],[Ext-Year]],2),"-",MID(Master_ventas[[#This Row],[Category]],1,1))</f>
        <v>SMA23-E</v>
      </c>
      <c r="N885" t="str">
        <f>MID(Master_ventas[[#This Row],[ProdUpper]],1,3)</f>
        <v>SMA</v>
      </c>
      <c r="O885" t="str">
        <f>UPPER(IF(Master_ventas[[#This Row],[Profit]]&gt;500,"High","Std"))</f>
        <v>STD</v>
      </c>
      <c r="P885">
        <v>884</v>
      </c>
    </row>
    <row r="886" spans="1:16" x14ac:dyDescent="0.3">
      <c r="A886" s="1">
        <v>45500</v>
      </c>
      <c r="B886" t="s">
        <v>20</v>
      </c>
      <c r="C886" t="s">
        <v>11</v>
      </c>
      <c r="D886" t="s">
        <v>12</v>
      </c>
      <c r="E886">
        <v>8</v>
      </c>
      <c r="F886" s="3">
        <v>2256</v>
      </c>
      <c r="G886" s="2">
        <v>468.52</v>
      </c>
      <c r="H886">
        <f>Master_ventas[[#This Row],[Profit]]/Master_ventas[[#This Row],[Sales]]</f>
        <v>0.20767730496453901</v>
      </c>
      <c r="I886">
        <f ca="1">Referencia_Hoy-Master_ventas[[#This Row],[Order Date]]</f>
        <v>823</v>
      </c>
      <c r="J886" t="str">
        <f>UPPER(Master_ventas[[#This Row],[Product Name]])</f>
        <v>MONITOR</v>
      </c>
      <c r="K886" t="str">
        <f>UPPER(Master_ventas[[#This Row],[Category]])</f>
        <v>ACCESSORIES</v>
      </c>
      <c r="L886">
        <f>YEAR(Master_ventas[[#This Row],[Order Date]])</f>
        <v>2024</v>
      </c>
      <c r="M886" t="str">
        <f>CONCATENATE(LEFT(Master_ventas[[#This Row],[ProdUpper]],3),RIGHT(Master_ventas[[#This Row],[Ext-Year]],2),"-",MID(Master_ventas[[#This Row],[Category]],1,1))</f>
        <v>MON24-A</v>
      </c>
      <c r="N886" t="str">
        <f>MID(Master_ventas[[#This Row],[ProdUpper]],1,3)</f>
        <v>MON</v>
      </c>
      <c r="O886" t="str">
        <f>UPPER(IF(Master_ventas[[#This Row],[Profit]]&gt;500,"High","Std"))</f>
        <v>STD</v>
      </c>
      <c r="P886">
        <v>885</v>
      </c>
    </row>
    <row r="887" spans="1:16" x14ac:dyDescent="0.3">
      <c r="A887" s="1">
        <v>45260</v>
      </c>
      <c r="B887" t="s">
        <v>20</v>
      </c>
      <c r="C887" t="s">
        <v>11</v>
      </c>
      <c r="D887" t="s">
        <v>9</v>
      </c>
      <c r="E887">
        <v>7</v>
      </c>
      <c r="F887" s="3">
        <v>875</v>
      </c>
      <c r="G887" s="2">
        <v>203.63</v>
      </c>
      <c r="H887">
        <f>Master_ventas[[#This Row],[Profit]]/Master_ventas[[#This Row],[Sales]]</f>
        <v>0.23271999999999998</v>
      </c>
      <c r="I887">
        <f ca="1">Referencia_Hoy-Master_ventas[[#This Row],[Order Date]]</f>
        <v>1063</v>
      </c>
      <c r="J887" t="str">
        <f>UPPER(Master_ventas[[#This Row],[Product Name]])</f>
        <v>MONITOR</v>
      </c>
      <c r="K887" t="str">
        <f>UPPER(Master_ventas[[#This Row],[Category]])</f>
        <v>ACCESSORIES</v>
      </c>
      <c r="L887">
        <f>YEAR(Master_ventas[[#This Row],[Order Date]])</f>
        <v>2023</v>
      </c>
      <c r="M887" t="str">
        <f>CONCATENATE(LEFT(Master_ventas[[#This Row],[ProdUpper]],3),RIGHT(Master_ventas[[#This Row],[Ext-Year]],2),"-",MID(Master_ventas[[#This Row],[Category]],1,1))</f>
        <v>MON23-A</v>
      </c>
      <c r="N887" t="str">
        <f>MID(Master_ventas[[#This Row],[ProdUpper]],1,3)</f>
        <v>MON</v>
      </c>
      <c r="O887" t="str">
        <f>UPPER(IF(Master_ventas[[#This Row],[Profit]]&gt;500,"High","Std"))</f>
        <v>STD</v>
      </c>
      <c r="P887">
        <v>886</v>
      </c>
    </row>
    <row r="888" spans="1:16" x14ac:dyDescent="0.3">
      <c r="A888" s="1">
        <v>45622</v>
      </c>
      <c r="B888" t="s">
        <v>18</v>
      </c>
      <c r="C888" t="s">
        <v>11</v>
      </c>
      <c r="D888" t="s">
        <v>15</v>
      </c>
      <c r="E888">
        <v>4</v>
      </c>
      <c r="F888" s="3">
        <v>1208</v>
      </c>
      <c r="G888" s="2">
        <v>115.13</v>
      </c>
      <c r="H888">
        <f>Master_ventas[[#This Row],[Profit]]/Master_ventas[[#This Row],[Sales]]</f>
        <v>9.5306291390728479E-2</v>
      </c>
      <c r="I888">
        <f ca="1">Referencia_Hoy-Master_ventas[[#This Row],[Order Date]]</f>
        <v>701</v>
      </c>
      <c r="J888" t="str">
        <f>UPPER(Master_ventas[[#This Row],[Product Name]])</f>
        <v>HEADPHONES</v>
      </c>
      <c r="K888" t="str">
        <f>UPPER(Master_ventas[[#This Row],[Category]])</f>
        <v>ACCESSORIES</v>
      </c>
      <c r="L888">
        <f>YEAR(Master_ventas[[#This Row],[Order Date]])</f>
        <v>2024</v>
      </c>
      <c r="M888" t="str">
        <f>CONCATENATE(LEFT(Master_ventas[[#This Row],[ProdUpper]],3),RIGHT(Master_ventas[[#This Row],[Ext-Year]],2),"-",MID(Master_ventas[[#This Row],[Category]],1,1))</f>
        <v>HEA24-A</v>
      </c>
      <c r="N888" t="str">
        <f>MID(Master_ventas[[#This Row],[ProdUpper]],1,3)</f>
        <v>HEA</v>
      </c>
      <c r="O888" t="str">
        <f>UPPER(IF(Master_ventas[[#This Row],[Profit]]&gt;500,"High","Std"))</f>
        <v>STD</v>
      </c>
      <c r="P888">
        <v>887</v>
      </c>
    </row>
    <row r="889" spans="1:16" x14ac:dyDescent="0.3">
      <c r="A889" s="1">
        <v>45153</v>
      </c>
      <c r="B889" t="s">
        <v>18</v>
      </c>
      <c r="C889" t="s">
        <v>11</v>
      </c>
      <c r="D889" t="s">
        <v>15</v>
      </c>
      <c r="E889">
        <v>2</v>
      </c>
      <c r="F889" s="3">
        <v>352</v>
      </c>
      <c r="G889" s="2">
        <v>54.19</v>
      </c>
      <c r="H889">
        <f>Master_ventas[[#This Row],[Profit]]/Master_ventas[[#This Row],[Sales]]</f>
        <v>0.15394886363636362</v>
      </c>
      <c r="I889">
        <f ca="1">Referencia_Hoy-Master_ventas[[#This Row],[Order Date]]</f>
        <v>1170</v>
      </c>
      <c r="J889" t="str">
        <f>UPPER(Master_ventas[[#This Row],[Product Name]])</f>
        <v>HEADPHONES</v>
      </c>
      <c r="K889" t="str">
        <f>UPPER(Master_ventas[[#This Row],[Category]])</f>
        <v>ACCESSORIES</v>
      </c>
      <c r="L889">
        <f>YEAR(Master_ventas[[#This Row],[Order Date]])</f>
        <v>2023</v>
      </c>
      <c r="M889" t="str">
        <f>CONCATENATE(LEFT(Master_ventas[[#This Row],[ProdUpper]],3),RIGHT(Master_ventas[[#This Row],[Ext-Year]],2),"-",MID(Master_ventas[[#This Row],[Category]],1,1))</f>
        <v>HEA23-A</v>
      </c>
      <c r="N889" t="str">
        <f>MID(Master_ventas[[#This Row],[ProdUpper]],1,3)</f>
        <v>HEA</v>
      </c>
      <c r="O889" t="str">
        <f>UPPER(IF(Master_ventas[[#This Row],[Profit]]&gt;500,"High","Std"))</f>
        <v>STD</v>
      </c>
      <c r="P889">
        <v>888</v>
      </c>
    </row>
    <row r="890" spans="1:16" x14ac:dyDescent="0.3">
      <c r="A890" s="1">
        <v>44980</v>
      </c>
      <c r="B890" t="s">
        <v>7</v>
      </c>
      <c r="C890" t="s">
        <v>8</v>
      </c>
      <c r="D890" t="s">
        <v>16</v>
      </c>
      <c r="E890">
        <v>6</v>
      </c>
      <c r="F890" s="3">
        <v>4266</v>
      </c>
      <c r="G890" s="2">
        <v>357.51</v>
      </c>
      <c r="H890">
        <f>Master_ventas[[#This Row],[Profit]]/Master_ventas[[#This Row],[Sales]]</f>
        <v>8.3804500703234877E-2</v>
      </c>
      <c r="I890">
        <f ca="1">Referencia_Hoy-Master_ventas[[#This Row],[Order Date]]</f>
        <v>1343</v>
      </c>
      <c r="J890" t="str">
        <f>UPPER(Master_ventas[[#This Row],[Product Name]])</f>
        <v>PRINTER</v>
      </c>
      <c r="K890" t="str">
        <f>UPPER(Master_ventas[[#This Row],[Category]])</f>
        <v>OFFICE</v>
      </c>
      <c r="L890">
        <f>YEAR(Master_ventas[[#This Row],[Order Date]])</f>
        <v>2023</v>
      </c>
      <c r="M890" t="str">
        <f>CONCATENATE(LEFT(Master_ventas[[#This Row],[ProdUpper]],3),RIGHT(Master_ventas[[#This Row],[Ext-Year]],2),"-",MID(Master_ventas[[#This Row],[Category]],1,1))</f>
        <v>PRI23-O</v>
      </c>
      <c r="N890" t="str">
        <f>MID(Master_ventas[[#This Row],[ProdUpper]],1,3)</f>
        <v>PRI</v>
      </c>
      <c r="O890" t="str">
        <f>UPPER(IF(Master_ventas[[#This Row],[Profit]]&gt;500,"High","Std"))</f>
        <v>STD</v>
      </c>
      <c r="P890">
        <v>889</v>
      </c>
    </row>
    <row r="891" spans="1:16" x14ac:dyDescent="0.3">
      <c r="A891" s="1">
        <v>44646</v>
      </c>
      <c r="B891" t="s">
        <v>13</v>
      </c>
      <c r="C891" t="s">
        <v>14</v>
      </c>
      <c r="D891" t="s">
        <v>9</v>
      </c>
      <c r="E891">
        <v>7</v>
      </c>
      <c r="F891" s="3">
        <v>1841</v>
      </c>
      <c r="G891" s="2">
        <v>496.89</v>
      </c>
      <c r="H891">
        <f>Master_ventas[[#This Row],[Profit]]/Master_ventas[[#This Row],[Sales]]</f>
        <v>0.26990222705051603</v>
      </c>
      <c r="I891">
        <f ca="1">Referencia_Hoy-Master_ventas[[#This Row],[Order Date]]</f>
        <v>1677</v>
      </c>
      <c r="J891" t="str">
        <f>UPPER(Master_ventas[[#This Row],[Product Name]])</f>
        <v>TABLET</v>
      </c>
      <c r="K891" t="str">
        <f>UPPER(Master_ventas[[#This Row],[Category]])</f>
        <v>ELECTRONICS</v>
      </c>
      <c r="L891">
        <f>YEAR(Master_ventas[[#This Row],[Order Date]])</f>
        <v>2022</v>
      </c>
      <c r="M891" t="str">
        <f>CONCATENATE(LEFT(Master_ventas[[#This Row],[ProdUpper]],3),RIGHT(Master_ventas[[#This Row],[Ext-Year]],2),"-",MID(Master_ventas[[#This Row],[Category]],1,1))</f>
        <v>TAB22-E</v>
      </c>
      <c r="N891" t="str">
        <f>MID(Master_ventas[[#This Row],[ProdUpper]],1,3)</f>
        <v>TAB</v>
      </c>
      <c r="O891" t="str">
        <f>UPPER(IF(Master_ventas[[#This Row],[Profit]]&gt;500,"High","Std"))</f>
        <v>STD</v>
      </c>
      <c r="P891">
        <v>890</v>
      </c>
    </row>
    <row r="892" spans="1:16" x14ac:dyDescent="0.3">
      <c r="A892" s="1">
        <v>45500</v>
      </c>
      <c r="B892" t="s">
        <v>17</v>
      </c>
      <c r="C892" t="s">
        <v>14</v>
      </c>
      <c r="D892" t="s">
        <v>12</v>
      </c>
      <c r="E892">
        <v>1</v>
      </c>
      <c r="F892" s="3">
        <v>712</v>
      </c>
      <c r="G892" s="2">
        <v>89.5</v>
      </c>
      <c r="H892">
        <f>Master_ventas[[#This Row],[Profit]]/Master_ventas[[#This Row],[Sales]]</f>
        <v>0.12570224719101122</v>
      </c>
      <c r="I892">
        <f ca="1">Referencia_Hoy-Master_ventas[[#This Row],[Order Date]]</f>
        <v>823</v>
      </c>
      <c r="J892" t="str">
        <f>UPPER(Master_ventas[[#This Row],[Product Name]])</f>
        <v>CAMERA</v>
      </c>
      <c r="K892" t="str">
        <f>UPPER(Master_ventas[[#This Row],[Category]])</f>
        <v>ELECTRONICS</v>
      </c>
      <c r="L892">
        <f>YEAR(Master_ventas[[#This Row],[Order Date]])</f>
        <v>2024</v>
      </c>
      <c r="M892" t="str">
        <f>CONCATENATE(LEFT(Master_ventas[[#This Row],[ProdUpper]],3),RIGHT(Master_ventas[[#This Row],[Ext-Year]],2),"-",MID(Master_ventas[[#This Row],[Category]],1,1))</f>
        <v>CAM24-E</v>
      </c>
      <c r="N892" t="str">
        <f>MID(Master_ventas[[#This Row],[ProdUpper]],1,3)</f>
        <v>CAM</v>
      </c>
      <c r="O892" t="str">
        <f>UPPER(IF(Master_ventas[[#This Row],[Profit]]&gt;500,"High","Std"))</f>
        <v>STD</v>
      </c>
      <c r="P892">
        <v>891</v>
      </c>
    </row>
    <row r="893" spans="1:16" x14ac:dyDescent="0.3">
      <c r="A893" s="1">
        <v>45374</v>
      </c>
      <c r="B893" t="s">
        <v>7</v>
      </c>
      <c r="C893" t="s">
        <v>8</v>
      </c>
      <c r="D893" t="s">
        <v>16</v>
      </c>
      <c r="E893">
        <v>2</v>
      </c>
      <c r="F893" s="3">
        <v>724</v>
      </c>
      <c r="G893" s="2">
        <v>72.19</v>
      </c>
      <c r="H893">
        <f>Master_ventas[[#This Row],[Profit]]/Master_ventas[[#This Row],[Sales]]</f>
        <v>9.9709944751381216E-2</v>
      </c>
      <c r="I893">
        <f ca="1">Referencia_Hoy-Master_ventas[[#This Row],[Order Date]]</f>
        <v>949</v>
      </c>
      <c r="J893" t="str">
        <f>UPPER(Master_ventas[[#This Row],[Product Name]])</f>
        <v>PRINTER</v>
      </c>
      <c r="K893" t="str">
        <f>UPPER(Master_ventas[[#This Row],[Category]])</f>
        <v>OFFICE</v>
      </c>
      <c r="L893">
        <f>YEAR(Master_ventas[[#This Row],[Order Date]])</f>
        <v>2024</v>
      </c>
      <c r="M893" t="str">
        <f>CONCATENATE(LEFT(Master_ventas[[#This Row],[ProdUpper]],3),RIGHT(Master_ventas[[#This Row],[Ext-Year]],2),"-",MID(Master_ventas[[#This Row],[Category]],1,1))</f>
        <v>PRI24-O</v>
      </c>
      <c r="N893" t="str">
        <f>MID(Master_ventas[[#This Row],[ProdUpper]],1,3)</f>
        <v>PRI</v>
      </c>
      <c r="O893" t="str">
        <f>UPPER(IF(Master_ventas[[#This Row],[Profit]]&gt;500,"High","Std"))</f>
        <v>STD</v>
      </c>
      <c r="P893">
        <v>892</v>
      </c>
    </row>
    <row r="894" spans="1:16" x14ac:dyDescent="0.3">
      <c r="A894" s="1">
        <v>45635</v>
      </c>
      <c r="B894" t="s">
        <v>21</v>
      </c>
      <c r="C894" t="s">
        <v>14</v>
      </c>
      <c r="D894" t="s">
        <v>16</v>
      </c>
      <c r="E894">
        <v>8</v>
      </c>
      <c r="F894" s="3">
        <v>5832</v>
      </c>
      <c r="G894" s="2">
        <v>662.72</v>
      </c>
      <c r="H894">
        <f>Master_ventas[[#This Row],[Profit]]/Master_ventas[[#This Row],[Sales]]</f>
        <v>0.11363511659807957</v>
      </c>
      <c r="I894">
        <f ca="1">Referencia_Hoy-Master_ventas[[#This Row],[Order Date]]</f>
        <v>688</v>
      </c>
      <c r="J894" t="str">
        <f>UPPER(Master_ventas[[#This Row],[Product Name]])</f>
        <v>SMARTPHONE</v>
      </c>
      <c r="K894" t="str">
        <f>UPPER(Master_ventas[[#This Row],[Category]])</f>
        <v>ELECTRONICS</v>
      </c>
      <c r="L894">
        <f>YEAR(Master_ventas[[#This Row],[Order Date]])</f>
        <v>2024</v>
      </c>
      <c r="M894" t="str">
        <f>CONCATENATE(LEFT(Master_ventas[[#This Row],[ProdUpper]],3),RIGHT(Master_ventas[[#This Row],[Ext-Year]],2),"-",MID(Master_ventas[[#This Row],[Category]],1,1))</f>
        <v>SMA24-E</v>
      </c>
      <c r="N894" t="str">
        <f>MID(Master_ventas[[#This Row],[ProdUpper]],1,3)</f>
        <v>SMA</v>
      </c>
      <c r="O894" t="str">
        <f>UPPER(IF(Master_ventas[[#This Row],[Profit]]&gt;500,"High","Std"))</f>
        <v>HIGH</v>
      </c>
      <c r="P894">
        <v>893</v>
      </c>
    </row>
    <row r="895" spans="1:16" x14ac:dyDescent="0.3">
      <c r="A895" s="1">
        <v>45094</v>
      </c>
      <c r="B895" t="s">
        <v>22</v>
      </c>
      <c r="C895" t="s">
        <v>11</v>
      </c>
      <c r="D895" t="s">
        <v>15</v>
      </c>
      <c r="E895">
        <v>6</v>
      </c>
      <c r="F895" s="3">
        <v>4188</v>
      </c>
      <c r="G895" s="2">
        <v>989.14</v>
      </c>
      <c r="H895">
        <f>Master_ventas[[#This Row],[Profit]]/Master_ventas[[#This Row],[Sales]]</f>
        <v>0.23618433619866283</v>
      </c>
      <c r="I895">
        <f ca="1">Referencia_Hoy-Master_ventas[[#This Row],[Order Date]]</f>
        <v>1229</v>
      </c>
      <c r="J895" t="str">
        <f>UPPER(Master_ventas[[#This Row],[Product Name]])</f>
        <v>KEYBOARD</v>
      </c>
      <c r="K895" t="str">
        <f>UPPER(Master_ventas[[#This Row],[Category]])</f>
        <v>ACCESSORIES</v>
      </c>
      <c r="L895">
        <f>YEAR(Master_ventas[[#This Row],[Order Date]])</f>
        <v>2023</v>
      </c>
      <c r="M895" t="str">
        <f>CONCATENATE(LEFT(Master_ventas[[#This Row],[ProdUpper]],3),RIGHT(Master_ventas[[#This Row],[Ext-Year]],2),"-",MID(Master_ventas[[#This Row],[Category]],1,1))</f>
        <v>KEY23-A</v>
      </c>
      <c r="N895" t="str">
        <f>MID(Master_ventas[[#This Row],[ProdUpper]],1,3)</f>
        <v>KEY</v>
      </c>
      <c r="O895" t="str">
        <f>UPPER(IF(Master_ventas[[#This Row],[Profit]]&gt;500,"High","Std"))</f>
        <v>HIGH</v>
      </c>
      <c r="P895">
        <v>894</v>
      </c>
    </row>
    <row r="896" spans="1:16" x14ac:dyDescent="0.3">
      <c r="A896" s="1">
        <v>45190</v>
      </c>
      <c r="B896" t="s">
        <v>13</v>
      </c>
      <c r="C896" t="s">
        <v>14</v>
      </c>
      <c r="D896" t="s">
        <v>16</v>
      </c>
      <c r="E896">
        <v>1</v>
      </c>
      <c r="F896" s="3">
        <v>392</v>
      </c>
      <c r="G896" s="2">
        <v>50.7</v>
      </c>
      <c r="H896">
        <f>Master_ventas[[#This Row],[Profit]]/Master_ventas[[#This Row],[Sales]]</f>
        <v>0.12933673469387755</v>
      </c>
      <c r="I896">
        <f ca="1">Referencia_Hoy-Master_ventas[[#This Row],[Order Date]]</f>
        <v>1133</v>
      </c>
      <c r="J896" t="str">
        <f>UPPER(Master_ventas[[#This Row],[Product Name]])</f>
        <v>TABLET</v>
      </c>
      <c r="K896" t="str">
        <f>UPPER(Master_ventas[[#This Row],[Category]])</f>
        <v>ELECTRONICS</v>
      </c>
      <c r="L896">
        <f>YEAR(Master_ventas[[#This Row],[Order Date]])</f>
        <v>2023</v>
      </c>
      <c r="M896" t="str">
        <f>CONCATENATE(LEFT(Master_ventas[[#This Row],[ProdUpper]],3),RIGHT(Master_ventas[[#This Row],[Ext-Year]],2),"-",MID(Master_ventas[[#This Row],[Category]],1,1))</f>
        <v>TAB23-E</v>
      </c>
      <c r="N896" t="str">
        <f>MID(Master_ventas[[#This Row],[ProdUpper]],1,3)</f>
        <v>TAB</v>
      </c>
      <c r="O896" t="str">
        <f>UPPER(IF(Master_ventas[[#This Row],[Profit]]&gt;500,"High","Std"))</f>
        <v>STD</v>
      </c>
      <c r="P896">
        <v>895</v>
      </c>
    </row>
    <row r="897" spans="1:16" x14ac:dyDescent="0.3">
      <c r="A897" s="1">
        <v>44695</v>
      </c>
      <c r="B897" t="s">
        <v>23</v>
      </c>
      <c r="C897" t="s">
        <v>14</v>
      </c>
      <c r="D897" t="s">
        <v>12</v>
      </c>
      <c r="E897">
        <v>9</v>
      </c>
      <c r="F897" s="3">
        <v>963</v>
      </c>
      <c r="G897" s="2">
        <v>49.71</v>
      </c>
      <c r="H897">
        <f>Master_ventas[[#This Row],[Profit]]/Master_ventas[[#This Row],[Sales]]</f>
        <v>5.1619937694704049E-2</v>
      </c>
      <c r="I897">
        <f ca="1">Referencia_Hoy-Master_ventas[[#This Row],[Order Date]]</f>
        <v>1628</v>
      </c>
      <c r="J897" t="str">
        <f>UPPER(Master_ventas[[#This Row],[Product Name]])</f>
        <v>LAPTOP</v>
      </c>
      <c r="K897" t="str">
        <f>UPPER(Master_ventas[[#This Row],[Category]])</f>
        <v>ELECTRONICS</v>
      </c>
      <c r="L897">
        <f>YEAR(Master_ventas[[#This Row],[Order Date]])</f>
        <v>2022</v>
      </c>
      <c r="M897" t="str">
        <f>CONCATENATE(LEFT(Master_ventas[[#This Row],[ProdUpper]],3),RIGHT(Master_ventas[[#This Row],[Ext-Year]],2),"-",MID(Master_ventas[[#This Row],[Category]],1,1))</f>
        <v>LAP22-E</v>
      </c>
      <c r="N897" t="str">
        <f>MID(Master_ventas[[#This Row],[ProdUpper]],1,3)</f>
        <v>LAP</v>
      </c>
      <c r="O897" t="str">
        <f>UPPER(IF(Master_ventas[[#This Row],[Profit]]&gt;500,"High","Std"))</f>
        <v>STD</v>
      </c>
      <c r="P897">
        <v>896</v>
      </c>
    </row>
    <row r="898" spans="1:16" x14ac:dyDescent="0.3">
      <c r="A898" s="1">
        <v>45395</v>
      </c>
      <c r="B898" t="s">
        <v>17</v>
      </c>
      <c r="C898" t="s">
        <v>14</v>
      </c>
      <c r="D898" t="s">
        <v>16</v>
      </c>
      <c r="E898">
        <v>6</v>
      </c>
      <c r="F898" s="3">
        <v>5706</v>
      </c>
      <c r="G898" s="2">
        <v>319.45999999999998</v>
      </c>
      <c r="H898">
        <f>Master_ventas[[#This Row],[Profit]]/Master_ventas[[#This Row],[Sales]]</f>
        <v>5.5986680686996138E-2</v>
      </c>
      <c r="I898">
        <f ca="1">Referencia_Hoy-Master_ventas[[#This Row],[Order Date]]</f>
        <v>928</v>
      </c>
      <c r="J898" t="str">
        <f>UPPER(Master_ventas[[#This Row],[Product Name]])</f>
        <v>CAMERA</v>
      </c>
      <c r="K898" t="str">
        <f>UPPER(Master_ventas[[#This Row],[Category]])</f>
        <v>ELECTRONICS</v>
      </c>
      <c r="L898">
        <f>YEAR(Master_ventas[[#This Row],[Order Date]])</f>
        <v>2024</v>
      </c>
      <c r="M898" t="str">
        <f>CONCATENATE(LEFT(Master_ventas[[#This Row],[ProdUpper]],3),RIGHT(Master_ventas[[#This Row],[Ext-Year]],2),"-",MID(Master_ventas[[#This Row],[Category]],1,1))</f>
        <v>CAM24-E</v>
      </c>
      <c r="N898" t="str">
        <f>MID(Master_ventas[[#This Row],[ProdUpper]],1,3)</f>
        <v>CAM</v>
      </c>
      <c r="O898" t="str">
        <f>UPPER(IF(Master_ventas[[#This Row],[Profit]]&gt;500,"High","Std"))</f>
        <v>STD</v>
      </c>
      <c r="P898">
        <v>897</v>
      </c>
    </row>
    <row r="899" spans="1:16" x14ac:dyDescent="0.3">
      <c r="A899" s="1">
        <v>45454</v>
      </c>
      <c r="B899" t="s">
        <v>18</v>
      </c>
      <c r="C899" t="s">
        <v>11</v>
      </c>
      <c r="D899" t="s">
        <v>16</v>
      </c>
      <c r="E899">
        <v>7</v>
      </c>
      <c r="F899" s="3">
        <v>1365</v>
      </c>
      <c r="G899" s="2">
        <v>312.04000000000002</v>
      </c>
      <c r="H899">
        <f>Master_ventas[[#This Row],[Profit]]/Master_ventas[[#This Row],[Sales]]</f>
        <v>0.2286007326007326</v>
      </c>
      <c r="I899">
        <f ca="1">Referencia_Hoy-Master_ventas[[#This Row],[Order Date]]</f>
        <v>869</v>
      </c>
      <c r="J899" t="str">
        <f>UPPER(Master_ventas[[#This Row],[Product Name]])</f>
        <v>HEADPHONES</v>
      </c>
      <c r="K899" t="str">
        <f>UPPER(Master_ventas[[#This Row],[Category]])</f>
        <v>ACCESSORIES</v>
      </c>
      <c r="L899">
        <f>YEAR(Master_ventas[[#This Row],[Order Date]])</f>
        <v>2024</v>
      </c>
      <c r="M899" t="str">
        <f>CONCATENATE(LEFT(Master_ventas[[#This Row],[ProdUpper]],3),RIGHT(Master_ventas[[#This Row],[Ext-Year]],2),"-",MID(Master_ventas[[#This Row],[Category]],1,1))</f>
        <v>HEA24-A</v>
      </c>
      <c r="N899" t="str">
        <f>MID(Master_ventas[[#This Row],[ProdUpper]],1,3)</f>
        <v>HEA</v>
      </c>
      <c r="O899" t="str">
        <f>UPPER(IF(Master_ventas[[#This Row],[Profit]]&gt;500,"High","Std"))</f>
        <v>STD</v>
      </c>
      <c r="P899">
        <v>898</v>
      </c>
    </row>
    <row r="900" spans="1:16" x14ac:dyDescent="0.3">
      <c r="A900" s="1">
        <v>45069</v>
      </c>
      <c r="B900" t="s">
        <v>18</v>
      </c>
      <c r="C900" t="s">
        <v>11</v>
      </c>
      <c r="D900" t="s">
        <v>15</v>
      </c>
      <c r="E900">
        <v>1</v>
      </c>
      <c r="F900" s="3">
        <v>202</v>
      </c>
      <c r="G900" s="2">
        <v>11.24</v>
      </c>
      <c r="H900">
        <f>Master_ventas[[#This Row],[Profit]]/Master_ventas[[#This Row],[Sales]]</f>
        <v>5.5643564356435644E-2</v>
      </c>
      <c r="I900">
        <f ca="1">Referencia_Hoy-Master_ventas[[#This Row],[Order Date]]</f>
        <v>1254</v>
      </c>
      <c r="J900" t="str">
        <f>UPPER(Master_ventas[[#This Row],[Product Name]])</f>
        <v>HEADPHONES</v>
      </c>
      <c r="K900" t="str">
        <f>UPPER(Master_ventas[[#This Row],[Category]])</f>
        <v>ACCESSORIES</v>
      </c>
      <c r="L900">
        <f>YEAR(Master_ventas[[#This Row],[Order Date]])</f>
        <v>2023</v>
      </c>
      <c r="M900" t="str">
        <f>CONCATENATE(LEFT(Master_ventas[[#This Row],[ProdUpper]],3),RIGHT(Master_ventas[[#This Row],[Ext-Year]],2),"-",MID(Master_ventas[[#This Row],[Category]],1,1))</f>
        <v>HEA23-A</v>
      </c>
      <c r="N900" t="str">
        <f>MID(Master_ventas[[#This Row],[ProdUpper]],1,3)</f>
        <v>HEA</v>
      </c>
      <c r="O900" t="str">
        <f>UPPER(IF(Master_ventas[[#This Row],[Profit]]&gt;500,"High","Std"))</f>
        <v>STD</v>
      </c>
      <c r="P900">
        <v>899</v>
      </c>
    </row>
    <row r="901" spans="1:16" x14ac:dyDescent="0.3">
      <c r="A901" s="1">
        <v>45284</v>
      </c>
      <c r="B901" t="s">
        <v>21</v>
      </c>
      <c r="C901" t="s">
        <v>14</v>
      </c>
      <c r="D901" t="s">
        <v>9</v>
      </c>
      <c r="E901">
        <v>9</v>
      </c>
      <c r="F901" s="3">
        <v>2430</v>
      </c>
      <c r="G901" s="2">
        <v>613.66999999999996</v>
      </c>
      <c r="H901">
        <f>Master_ventas[[#This Row],[Profit]]/Master_ventas[[#This Row],[Sales]]</f>
        <v>0.25253909465020574</v>
      </c>
      <c r="I901">
        <f ca="1">Referencia_Hoy-Master_ventas[[#This Row],[Order Date]]</f>
        <v>1039</v>
      </c>
      <c r="J901" t="str">
        <f>UPPER(Master_ventas[[#This Row],[Product Name]])</f>
        <v>SMARTPHONE</v>
      </c>
      <c r="K901" t="str">
        <f>UPPER(Master_ventas[[#This Row],[Category]])</f>
        <v>ELECTRONICS</v>
      </c>
      <c r="L901">
        <f>YEAR(Master_ventas[[#This Row],[Order Date]])</f>
        <v>2023</v>
      </c>
      <c r="M901" t="str">
        <f>CONCATENATE(LEFT(Master_ventas[[#This Row],[ProdUpper]],3),RIGHT(Master_ventas[[#This Row],[Ext-Year]],2),"-",MID(Master_ventas[[#This Row],[Category]],1,1))</f>
        <v>SMA23-E</v>
      </c>
      <c r="N901" t="str">
        <f>MID(Master_ventas[[#This Row],[ProdUpper]],1,3)</f>
        <v>SMA</v>
      </c>
      <c r="O901" t="str">
        <f>UPPER(IF(Master_ventas[[#This Row],[Profit]]&gt;500,"High","Std"))</f>
        <v>HIGH</v>
      </c>
      <c r="P901">
        <v>900</v>
      </c>
    </row>
    <row r="902" spans="1:16" x14ac:dyDescent="0.3">
      <c r="A902" s="1">
        <v>45042</v>
      </c>
      <c r="B902" t="s">
        <v>20</v>
      </c>
      <c r="C902" t="s">
        <v>11</v>
      </c>
      <c r="D902" t="s">
        <v>15</v>
      </c>
      <c r="E902">
        <v>3</v>
      </c>
      <c r="F902" s="3">
        <v>2670</v>
      </c>
      <c r="G902" s="2">
        <v>515.39</v>
      </c>
      <c r="H902">
        <f>Master_ventas[[#This Row],[Profit]]/Master_ventas[[#This Row],[Sales]]</f>
        <v>0.19302996254681648</v>
      </c>
      <c r="I902">
        <f ca="1">Referencia_Hoy-Master_ventas[[#This Row],[Order Date]]</f>
        <v>1281</v>
      </c>
      <c r="J902" t="str">
        <f>UPPER(Master_ventas[[#This Row],[Product Name]])</f>
        <v>MONITOR</v>
      </c>
      <c r="K902" t="str">
        <f>UPPER(Master_ventas[[#This Row],[Category]])</f>
        <v>ACCESSORIES</v>
      </c>
      <c r="L902">
        <f>YEAR(Master_ventas[[#This Row],[Order Date]])</f>
        <v>2023</v>
      </c>
      <c r="M902" t="str">
        <f>CONCATENATE(LEFT(Master_ventas[[#This Row],[ProdUpper]],3),RIGHT(Master_ventas[[#This Row],[Ext-Year]],2),"-",MID(Master_ventas[[#This Row],[Category]],1,1))</f>
        <v>MON23-A</v>
      </c>
      <c r="N902" t="str">
        <f>MID(Master_ventas[[#This Row],[ProdUpper]],1,3)</f>
        <v>MON</v>
      </c>
      <c r="O902" t="str">
        <f>UPPER(IF(Master_ventas[[#This Row],[Profit]]&gt;500,"High","Std"))</f>
        <v>HIGH</v>
      </c>
      <c r="P902">
        <v>901</v>
      </c>
    </row>
    <row r="903" spans="1:16" x14ac:dyDescent="0.3">
      <c r="A903" s="1">
        <v>44582</v>
      </c>
      <c r="B903" t="s">
        <v>13</v>
      </c>
      <c r="C903" t="s">
        <v>14</v>
      </c>
      <c r="D903" t="s">
        <v>15</v>
      </c>
      <c r="E903">
        <v>7</v>
      </c>
      <c r="F903" s="3">
        <v>2758</v>
      </c>
      <c r="G903" s="2">
        <v>520.66</v>
      </c>
      <c r="H903">
        <f>Master_ventas[[#This Row],[Profit]]/Master_ventas[[#This Row],[Sales]]</f>
        <v>0.18878172588832487</v>
      </c>
      <c r="I903">
        <f ca="1">Referencia_Hoy-Master_ventas[[#This Row],[Order Date]]</f>
        <v>1741</v>
      </c>
      <c r="J903" t="str">
        <f>UPPER(Master_ventas[[#This Row],[Product Name]])</f>
        <v>TABLET</v>
      </c>
      <c r="K903" t="str">
        <f>UPPER(Master_ventas[[#This Row],[Category]])</f>
        <v>ELECTRONICS</v>
      </c>
      <c r="L903">
        <f>YEAR(Master_ventas[[#This Row],[Order Date]])</f>
        <v>2022</v>
      </c>
      <c r="M903" t="str">
        <f>CONCATENATE(LEFT(Master_ventas[[#This Row],[ProdUpper]],3),RIGHT(Master_ventas[[#This Row],[Ext-Year]],2),"-",MID(Master_ventas[[#This Row],[Category]],1,1))</f>
        <v>TAB22-E</v>
      </c>
      <c r="N903" t="str">
        <f>MID(Master_ventas[[#This Row],[ProdUpper]],1,3)</f>
        <v>TAB</v>
      </c>
      <c r="O903" t="str">
        <f>UPPER(IF(Master_ventas[[#This Row],[Profit]]&gt;500,"High","Std"))</f>
        <v>HIGH</v>
      </c>
      <c r="P903">
        <v>902</v>
      </c>
    </row>
    <row r="904" spans="1:16" x14ac:dyDescent="0.3">
      <c r="A904" s="1">
        <v>44848</v>
      </c>
      <c r="B904" t="s">
        <v>20</v>
      </c>
      <c r="C904" t="s">
        <v>11</v>
      </c>
      <c r="D904" t="s">
        <v>15</v>
      </c>
      <c r="E904">
        <v>9</v>
      </c>
      <c r="F904" s="3">
        <v>873</v>
      </c>
      <c r="G904" s="2">
        <v>82.35</v>
      </c>
      <c r="H904">
        <f>Master_ventas[[#This Row],[Profit]]/Master_ventas[[#This Row],[Sales]]</f>
        <v>9.4329896907216493E-2</v>
      </c>
      <c r="I904">
        <f ca="1">Referencia_Hoy-Master_ventas[[#This Row],[Order Date]]</f>
        <v>1475</v>
      </c>
      <c r="J904" t="str">
        <f>UPPER(Master_ventas[[#This Row],[Product Name]])</f>
        <v>MONITOR</v>
      </c>
      <c r="K904" t="str">
        <f>UPPER(Master_ventas[[#This Row],[Category]])</f>
        <v>ACCESSORIES</v>
      </c>
      <c r="L904">
        <f>YEAR(Master_ventas[[#This Row],[Order Date]])</f>
        <v>2022</v>
      </c>
      <c r="M904" t="str">
        <f>CONCATENATE(LEFT(Master_ventas[[#This Row],[ProdUpper]],3),RIGHT(Master_ventas[[#This Row],[Ext-Year]],2),"-",MID(Master_ventas[[#This Row],[Category]],1,1))</f>
        <v>MON22-A</v>
      </c>
      <c r="N904" t="str">
        <f>MID(Master_ventas[[#This Row],[ProdUpper]],1,3)</f>
        <v>MON</v>
      </c>
      <c r="O904" t="str">
        <f>UPPER(IF(Master_ventas[[#This Row],[Profit]]&gt;500,"High","Std"))</f>
        <v>STD</v>
      </c>
      <c r="P904">
        <v>903</v>
      </c>
    </row>
    <row r="905" spans="1:16" x14ac:dyDescent="0.3">
      <c r="A905" s="1">
        <v>45161</v>
      </c>
      <c r="B905" t="s">
        <v>19</v>
      </c>
      <c r="C905" t="s">
        <v>14</v>
      </c>
      <c r="D905" t="s">
        <v>16</v>
      </c>
      <c r="E905">
        <v>9</v>
      </c>
      <c r="F905" s="3">
        <v>7245</v>
      </c>
      <c r="G905" s="2">
        <v>1410.92</v>
      </c>
      <c r="H905">
        <f>Master_ventas[[#This Row],[Profit]]/Master_ventas[[#This Row],[Sales]]</f>
        <v>0.19474396135265701</v>
      </c>
      <c r="I905">
        <f ca="1">Referencia_Hoy-Master_ventas[[#This Row],[Order Date]]</f>
        <v>1162</v>
      </c>
      <c r="J905" t="str">
        <f>UPPER(Master_ventas[[#This Row],[Product Name]])</f>
        <v>SMARTWATCH</v>
      </c>
      <c r="K905" t="str">
        <f>UPPER(Master_ventas[[#This Row],[Category]])</f>
        <v>ELECTRONICS</v>
      </c>
      <c r="L905">
        <f>YEAR(Master_ventas[[#This Row],[Order Date]])</f>
        <v>2023</v>
      </c>
      <c r="M905" t="str">
        <f>CONCATENATE(LEFT(Master_ventas[[#This Row],[ProdUpper]],3),RIGHT(Master_ventas[[#This Row],[Ext-Year]],2),"-",MID(Master_ventas[[#This Row],[Category]],1,1))</f>
        <v>SMA23-E</v>
      </c>
      <c r="N905" t="str">
        <f>MID(Master_ventas[[#This Row],[ProdUpper]],1,3)</f>
        <v>SMA</v>
      </c>
      <c r="O905" t="str">
        <f>UPPER(IF(Master_ventas[[#This Row],[Profit]]&gt;500,"High","Std"))</f>
        <v>HIGH</v>
      </c>
      <c r="P905">
        <v>904</v>
      </c>
    </row>
    <row r="906" spans="1:16" x14ac:dyDescent="0.3">
      <c r="A906" s="1">
        <v>45182</v>
      </c>
      <c r="B906" t="s">
        <v>17</v>
      </c>
      <c r="C906" t="s">
        <v>14</v>
      </c>
      <c r="D906" t="s">
        <v>9</v>
      </c>
      <c r="E906">
        <v>4</v>
      </c>
      <c r="F906" s="3">
        <v>960</v>
      </c>
      <c r="G906" s="2">
        <v>255.24</v>
      </c>
      <c r="H906">
        <f>Master_ventas[[#This Row],[Profit]]/Master_ventas[[#This Row],[Sales]]</f>
        <v>0.26587500000000003</v>
      </c>
      <c r="I906">
        <f ca="1">Referencia_Hoy-Master_ventas[[#This Row],[Order Date]]</f>
        <v>1141</v>
      </c>
      <c r="J906" t="str">
        <f>UPPER(Master_ventas[[#This Row],[Product Name]])</f>
        <v>CAMERA</v>
      </c>
      <c r="K906" t="str">
        <f>UPPER(Master_ventas[[#This Row],[Category]])</f>
        <v>ELECTRONICS</v>
      </c>
      <c r="L906">
        <f>YEAR(Master_ventas[[#This Row],[Order Date]])</f>
        <v>2023</v>
      </c>
      <c r="M906" t="str">
        <f>CONCATENATE(LEFT(Master_ventas[[#This Row],[ProdUpper]],3),RIGHT(Master_ventas[[#This Row],[Ext-Year]],2),"-",MID(Master_ventas[[#This Row],[Category]],1,1))</f>
        <v>CAM23-E</v>
      </c>
      <c r="N906" t="str">
        <f>MID(Master_ventas[[#This Row],[ProdUpper]],1,3)</f>
        <v>CAM</v>
      </c>
      <c r="O906" t="str">
        <f>UPPER(IF(Master_ventas[[#This Row],[Profit]]&gt;500,"High","Std"))</f>
        <v>STD</v>
      </c>
      <c r="P906">
        <v>905</v>
      </c>
    </row>
    <row r="907" spans="1:16" x14ac:dyDescent="0.3">
      <c r="A907" s="1">
        <v>45654</v>
      </c>
      <c r="B907" t="s">
        <v>19</v>
      </c>
      <c r="C907" t="s">
        <v>14</v>
      </c>
      <c r="D907" t="s">
        <v>12</v>
      </c>
      <c r="E907">
        <v>4</v>
      </c>
      <c r="F907" s="3">
        <v>1284</v>
      </c>
      <c r="G907" s="2">
        <v>171.02</v>
      </c>
      <c r="H907">
        <f>Master_ventas[[#This Row],[Profit]]/Master_ventas[[#This Row],[Sales]]</f>
        <v>0.13319314641744548</v>
      </c>
      <c r="I907">
        <f ca="1">Referencia_Hoy-Master_ventas[[#This Row],[Order Date]]</f>
        <v>669</v>
      </c>
      <c r="J907" t="str">
        <f>UPPER(Master_ventas[[#This Row],[Product Name]])</f>
        <v>SMARTWATCH</v>
      </c>
      <c r="K907" t="str">
        <f>UPPER(Master_ventas[[#This Row],[Category]])</f>
        <v>ELECTRONICS</v>
      </c>
      <c r="L907">
        <f>YEAR(Master_ventas[[#This Row],[Order Date]])</f>
        <v>2024</v>
      </c>
      <c r="M907" t="str">
        <f>CONCATENATE(LEFT(Master_ventas[[#This Row],[ProdUpper]],3),RIGHT(Master_ventas[[#This Row],[Ext-Year]],2),"-",MID(Master_ventas[[#This Row],[Category]],1,1))</f>
        <v>SMA24-E</v>
      </c>
      <c r="N907" t="str">
        <f>MID(Master_ventas[[#This Row],[ProdUpper]],1,3)</f>
        <v>SMA</v>
      </c>
      <c r="O907" t="str">
        <f>UPPER(IF(Master_ventas[[#This Row],[Profit]]&gt;500,"High","Std"))</f>
        <v>STD</v>
      </c>
      <c r="P907">
        <v>906</v>
      </c>
    </row>
    <row r="908" spans="1:16" x14ac:dyDescent="0.3">
      <c r="A908" s="1">
        <v>45086</v>
      </c>
      <c r="B908" t="s">
        <v>10</v>
      </c>
      <c r="C908" t="s">
        <v>11</v>
      </c>
      <c r="D908" t="s">
        <v>16</v>
      </c>
      <c r="E908">
        <v>4</v>
      </c>
      <c r="F908" s="3">
        <v>512</v>
      </c>
      <c r="G908" s="2">
        <v>110.47</v>
      </c>
      <c r="H908">
        <f>Master_ventas[[#This Row],[Profit]]/Master_ventas[[#This Row],[Sales]]</f>
        <v>0.21576171875</v>
      </c>
      <c r="I908">
        <f ca="1">Referencia_Hoy-Master_ventas[[#This Row],[Order Date]]</f>
        <v>1237</v>
      </c>
      <c r="J908" t="str">
        <f>UPPER(Master_ventas[[#This Row],[Product Name]])</f>
        <v>MOUSE</v>
      </c>
      <c r="K908" t="str">
        <f>UPPER(Master_ventas[[#This Row],[Category]])</f>
        <v>ACCESSORIES</v>
      </c>
      <c r="L908">
        <f>YEAR(Master_ventas[[#This Row],[Order Date]])</f>
        <v>2023</v>
      </c>
      <c r="M908" t="str">
        <f>CONCATENATE(LEFT(Master_ventas[[#This Row],[ProdUpper]],3),RIGHT(Master_ventas[[#This Row],[Ext-Year]],2),"-",MID(Master_ventas[[#This Row],[Category]],1,1))</f>
        <v>MOU23-A</v>
      </c>
      <c r="N908" t="str">
        <f>MID(Master_ventas[[#This Row],[ProdUpper]],1,3)</f>
        <v>MOU</v>
      </c>
      <c r="O908" t="str">
        <f>UPPER(IF(Master_ventas[[#This Row],[Profit]]&gt;500,"High","Std"))</f>
        <v>STD</v>
      </c>
      <c r="P908">
        <v>907</v>
      </c>
    </row>
    <row r="909" spans="1:16" x14ac:dyDescent="0.3">
      <c r="A909" s="1">
        <v>44752</v>
      </c>
      <c r="B909" t="s">
        <v>19</v>
      </c>
      <c r="C909" t="s">
        <v>14</v>
      </c>
      <c r="D909" t="s">
        <v>15</v>
      </c>
      <c r="E909">
        <v>9</v>
      </c>
      <c r="F909" s="3">
        <v>9729</v>
      </c>
      <c r="G909" s="2">
        <v>2039.41</v>
      </c>
      <c r="H909">
        <f>Master_ventas[[#This Row],[Profit]]/Master_ventas[[#This Row],[Sales]]</f>
        <v>0.20962174940898345</v>
      </c>
      <c r="I909">
        <f ca="1">Referencia_Hoy-Master_ventas[[#This Row],[Order Date]]</f>
        <v>1571</v>
      </c>
      <c r="J909" t="str">
        <f>UPPER(Master_ventas[[#This Row],[Product Name]])</f>
        <v>SMARTWATCH</v>
      </c>
      <c r="K909" t="str">
        <f>UPPER(Master_ventas[[#This Row],[Category]])</f>
        <v>ELECTRONICS</v>
      </c>
      <c r="L909">
        <f>YEAR(Master_ventas[[#This Row],[Order Date]])</f>
        <v>2022</v>
      </c>
      <c r="M909" t="str">
        <f>CONCATENATE(LEFT(Master_ventas[[#This Row],[ProdUpper]],3),RIGHT(Master_ventas[[#This Row],[Ext-Year]],2),"-",MID(Master_ventas[[#This Row],[Category]],1,1))</f>
        <v>SMA22-E</v>
      </c>
      <c r="N909" t="str">
        <f>MID(Master_ventas[[#This Row],[ProdUpper]],1,3)</f>
        <v>SMA</v>
      </c>
      <c r="O909" t="str">
        <f>UPPER(IF(Master_ventas[[#This Row],[Profit]]&gt;500,"High","Std"))</f>
        <v>HIGH</v>
      </c>
      <c r="P909">
        <v>908</v>
      </c>
    </row>
    <row r="910" spans="1:16" x14ac:dyDescent="0.3">
      <c r="A910" s="1">
        <v>44937</v>
      </c>
      <c r="B910" t="s">
        <v>17</v>
      </c>
      <c r="C910" t="s">
        <v>14</v>
      </c>
      <c r="D910" t="s">
        <v>9</v>
      </c>
      <c r="E910">
        <v>5</v>
      </c>
      <c r="F910" s="3">
        <v>1580</v>
      </c>
      <c r="G910" s="2">
        <v>166.16</v>
      </c>
      <c r="H910">
        <f>Master_ventas[[#This Row],[Profit]]/Master_ventas[[#This Row],[Sales]]</f>
        <v>0.10516455696202531</v>
      </c>
      <c r="I910">
        <f ca="1">Referencia_Hoy-Master_ventas[[#This Row],[Order Date]]</f>
        <v>1386</v>
      </c>
      <c r="J910" t="str">
        <f>UPPER(Master_ventas[[#This Row],[Product Name]])</f>
        <v>CAMERA</v>
      </c>
      <c r="K910" t="str">
        <f>UPPER(Master_ventas[[#This Row],[Category]])</f>
        <v>ELECTRONICS</v>
      </c>
      <c r="L910">
        <f>YEAR(Master_ventas[[#This Row],[Order Date]])</f>
        <v>2023</v>
      </c>
      <c r="M910" t="str">
        <f>CONCATENATE(LEFT(Master_ventas[[#This Row],[ProdUpper]],3),RIGHT(Master_ventas[[#This Row],[Ext-Year]],2),"-",MID(Master_ventas[[#This Row],[Category]],1,1))</f>
        <v>CAM23-E</v>
      </c>
      <c r="N910" t="str">
        <f>MID(Master_ventas[[#This Row],[ProdUpper]],1,3)</f>
        <v>CAM</v>
      </c>
      <c r="O910" t="str">
        <f>UPPER(IF(Master_ventas[[#This Row],[Profit]]&gt;500,"High","Std"))</f>
        <v>STD</v>
      </c>
      <c r="P910">
        <v>909</v>
      </c>
    </row>
    <row r="911" spans="1:16" x14ac:dyDescent="0.3">
      <c r="A911" s="1">
        <v>45133</v>
      </c>
      <c r="B911" t="s">
        <v>10</v>
      </c>
      <c r="C911" t="s">
        <v>11</v>
      </c>
      <c r="D911" t="s">
        <v>12</v>
      </c>
      <c r="E911">
        <v>8</v>
      </c>
      <c r="F911" s="3">
        <v>976</v>
      </c>
      <c r="G911" s="2">
        <v>234.24</v>
      </c>
      <c r="H911">
        <f>Master_ventas[[#This Row],[Profit]]/Master_ventas[[#This Row],[Sales]]</f>
        <v>0.24000000000000002</v>
      </c>
      <c r="I911">
        <f ca="1">Referencia_Hoy-Master_ventas[[#This Row],[Order Date]]</f>
        <v>1190</v>
      </c>
      <c r="J911" t="str">
        <f>UPPER(Master_ventas[[#This Row],[Product Name]])</f>
        <v>MOUSE</v>
      </c>
      <c r="K911" t="str">
        <f>UPPER(Master_ventas[[#This Row],[Category]])</f>
        <v>ACCESSORIES</v>
      </c>
      <c r="L911">
        <f>YEAR(Master_ventas[[#This Row],[Order Date]])</f>
        <v>2023</v>
      </c>
      <c r="M911" t="str">
        <f>CONCATENATE(LEFT(Master_ventas[[#This Row],[ProdUpper]],3),RIGHT(Master_ventas[[#This Row],[Ext-Year]],2),"-",MID(Master_ventas[[#This Row],[Category]],1,1))</f>
        <v>MOU23-A</v>
      </c>
      <c r="N911" t="str">
        <f>MID(Master_ventas[[#This Row],[ProdUpper]],1,3)</f>
        <v>MOU</v>
      </c>
      <c r="O911" t="str">
        <f>UPPER(IF(Master_ventas[[#This Row],[Profit]]&gt;500,"High","Std"))</f>
        <v>STD</v>
      </c>
      <c r="P911">
        <v>910</v>
      </c>
    </row>
    <row r="912" spans="1:16" x14ac:dyDescent="0.3">
      <c r="A912" s="1">
        <v>45296</v>
      </c>
      <c r="B912" t="s">
        <v>7</v>
      </c>
      <c r="C912" t="s">
        <v>8</v>
      </c>
      <c r="D912" t="s">
        <v>9</v>
      </c>
      <c r="E912">
        <v>8</v>
      </c>
      <c r="F912" s="3">
        <v>1824</v>
      </c>
      <c r="G912" s="2">
        <v>495.35</v>
      </c>
      <c r="H912">
        <f>Master_ventas[[#This Row],[Profit]]/Master_ventas[[#This Row],[Sales]]</f>
        <v>0.27157346491228074</v>
      </c>
      <c r="I912">
        <f ca="1">Referencia_Hoy-Master_ventas[[#This Row],[Order Date]]</f>
        <v>1027</v>
      </c>
      <c r="J912" t="str">
        <f>UPPER(Master_ventas[[#This Row],[Product Name]])</f>
        <v>PRINTER</v>
      </c>
      <c r="K912" t="str">
        <f>UPPER(Master_ventas[[#This Row],[Category]])</f>
        <v>OFFICE</v>
      </c>
      <c r="L912">
        <f>YEAR(Master_ventas[[#This Row],[Order Date]])</f>
        <v>2024</v>
      </c>
      <c r="M912" t="str">
        <f>CONCATENATE(LEFT(Master_ventas[[#This Row],[ProdUpper]],3),RIGHT(Master_ventas[[#This Row],[Ext-Year]],2),"-",MID(Master_ventas[[#This Row],[Category]],1,1))</f>
        <v>PRI24-O</v>
      </c>
      <c r="N912" t="str">
        <f>MID(Master_ventas[[#This Row],[ProdUpper]],1,3)</f>
        <v>PRI</v>
      </c>
      <c r="O912" t="str">
        <f>UPPER(IF(Master_ventas[[#This Row],[Profit]]&gt;500,"High","Std"))</f>
        <v>STD</v>
      </c>
      <c r="P912">
        <v>911</v>
      </c>
    </row>
    <row r="913" spans="1:16" x14ac:dyDescent="0.3">
      <c r="A913" s="1">
        <v>45054</v>
      </c>
      <c r="B913" t="s">
        <v>21</v>
      </c>
      <c r="C913" t="s">
        <v>14</v>
      </c>
      <c r="D913" t="s">
        <v>15</v>
      </c>
      <c r="E913">
        <v>4</v>
      </c>
      <c r="F913" s="3">
        <v>3188</v>
      </c>
      <c r="G913" s="2">
        <v>202.81</v>
      </c>
      <c r="H913">
        <f>Master_ventas[[#This Row],[Profit]]/Master_ventas[[#This Row],[Sales]]</f>
        <v>6.3616687578419068E-2</v>
      </c>
      <c r="I913">
        <f ca="1">Referencia_Hoy-Master_ventas[[#This Row],[Order Date]]</f>
        <v>1269</v>
      </c>
      <c r="J913" t="str">
        <f>UPPER(Master_ventas[[#This Row],[Product Name]])</f>
        <v>SMARTPHONE</v>
      </c>
      <c r="K913" t="str">
        <f>UPPER(Master_ventas[[#This Row],[Category]])</f>
        <v>ELECTRONICS</v>
      </c>
      <c r="L913">
        <f>YEAR(Master_ventas[[#This Row],[Order Date]])</f>
        <v>2023</v>
      </c>
      <c r="M913" t="str">
        <f>CONCATENATE(LEFT(Master_ventas[[#This Row],[ProdUpper]],3),RIGHT(Master_ventas[[#This Row],[Ext-Year]],2),"-",MID(Master_ventas[[#This Row],[Category]],1,1))</f>
        <v>SMA23-E</v>
      </c>
      <c r="N913" t="str">
        <f>MID(Master_ventas[[#This Row],[ProdUpper]],1,3)</f>
        <v>SMA</v>
      </c>
      <c r="O913" t="str">
        <f>UPPER(IF(Master_ventas[[#This Row],[Profit]]&gt;500,"High","Std"))</f>
        <v>STD</v>
      </c>
      <c r="P913">
        <v>912</v>
      </c>
    </row>
    <row r="914" spans="1:16" x14ac:dyDescent="0.3">
      <c r="A914" s="1">
        <v>45259</v>
      </c>
      <c r="B914" t="s">
        <v>17</v>
      </c>
      <c r="C914" t="s">
        <v>14</v>
      </c>
      <c r="D914" t="s">
        <v>12</v>
      </c>
      <c r="E914">
        <v>7</v>
      </c>
      <c r="F914" s="3">
        <v>5467</v>
      </c>
      <c r="G914" s="2">
        <v>556.02</v>
      </c>
      <c r="H914">
        <f>Master_ventas[[#This Row],[Profit]]/Master_ventas[[#This Row],[Sales]]</f>
        <v>0.10170477409914029</v>
      </c>
      <c r="I914">
        <f ca="1">Referencia_Hoy-Master_ventas[[#This Row],[Order Date]]</f>
        <v>1064</v>
      </c>
      <c r="J914" t="str">
        <f>UPPER(Master_ventas[[#This Row],[Product Name]])</f>
        <v>CAMERA</v>
      </c>
      <c r="K914" t="str">
        <f>UPPER(Master_ventas[[#This Row],[Category]])</f>
        <v>ELECTRONICS</v>
      </c>
      <c r="L914">
        <f>YEAR(Master_ventas[[#This Row],[Order Date]])</f>
        <v>2023</v>
      </c>
      <c r="M914" t="str">
        <f>CONCATENATE(LEFT(Master_ventas[[#This Row],[ProdUpper]],3),RIGHT(Master_ventas[[#This Row],[Ext-Year]],2),"-",MID(Master_ventas[[#This Row],[Category]],1,1))</f>
        <v>CAM23-E</v>
      </c>
      <c r="N914" t="str">
        <f>MID(Master_ventas[[#This Row],[ProdUpper]],1,3)</f>
        <v>CAM</v>
      </c>
      <c r="O914" t="str">
        <f>UPPER(IF(Master_ventas[[#This Row],[Profit]]&gt;500,"High","Std"))</f>
        <v>HIGH</v>
      </c>
      <c r="P914">
        <v>913</v>
      </c>
    </row>
    <row r="915" spans="1:16" x14ac:dyDescent="0.3">
      <c r="A915" s="1">
        <v>45540</v>
      </c>
      <c r="B915" t="s">
        <v>21</v>
      </c>
      <c r="C915" t="s">
        <v>14</v>
      </c>
      <c r="D915" t="s">
        <v>15</v>
      </c>
      <c r="E915">
        <v>6</v>
      </c>
      <c r="F915" s="3">
        <v>5406</v>
      </c>
      <c r="G915" s="2">
        <v>1277.46</v>
      </c>
      <c r="H915">
        <f>Master_ventas[[#This Row],[Profit]]/Master_ventas[[#This Row],[Sales]]</f>
        <v>0.23630410654827969</v>
      </c>
      <c r="I915">
        <f ca="1">Referencia_Hoy-Master_ventas[[#This Row],[Order Date]]</f>
        <v>783</v>
      </c>
      <c r="J915" t="str">
        <f>UPPER(Master_ventas[[#This Row],[Product Name]])</f>
        <v>SMARTPHONE</v>
      </c>
      <c r="K915" t="str">
        <f>UPPER(Master_ventas[[#This Row],[Category]])</f>
        <v>ELECTRONICS</v>
      </c>
      <c r="L915">
        <f>YEAR(Master_ventas[[#This Row],[Order Date]])</f>
        <v>2024</v>
      </c>
      <c r="M915" t="str">
        <f>CONCATENATE(LEFT(Master_ventas[[#This Row],[ProdUpper]],3),RIGHT(Master_ventas[[#This Row],[Ext-Year]],2),"-",MID(Master_ventas[[#This Row],[Category]],1,1))</f>
        <v>SMA24-E</v>
      </c>
      <c r="N915" t="str">
        <f>MID(Master_ventas[[#This Row],[ProdUpper]],1,3)</f>
        <v>SMA</v>
      </c>
      <c r="O915" t="str">
        <f>UPPER(IF(Master_ventas[[#This Row],[Profit]]&gt;500,"High","Std"))</f>
        <v>HIGH</v>
      </c>
      <c r="P915">
        <v>914</v>
      </c>
    </row>
    <row r="916" spans="1:16" x14ac:dyDescent="0.3">
      <c r="A916" s="1">
        <v>45512</v>
      </c>
      <c r="B916" t="s">
        <v>18</v>
      </c>
      <c r="C916" t="s">
        <v>11</v>
      </c>
      <c r="D916" t="s">
        <v>12</v>
      </c>
      <c r="E916">
        <v>8</v>
      </c>
      <c r="F916" s="3">
        <v>2984</v>
      </c>
      <c r="G916" s="2">
        <v>742.31</v>
      </c>
      <c r="H916">
        <f>Master_ventas[[#This Row],[Profit]]/Master_ventas[[#This Row],[Sales]]</f>
        <v>0.24876340482573725</v>
      </c>
      <c r="I916">
        <f ca="1">Referencia_Hoy-Master_ventas[[#This Row],[Order Date]]</f>
        <v>811</v>
      </c>
      <c r="J916" t="str">
        <f>UPPER(Master_ventas[[#This Row],[Product Name]])</f>
        <v>HEADPHONES</v>
      </c>
      <c r="K916" t="str">
        <f>UPPER(Master_ventas[[#This Row],[Category]])</f>
        <v>ACCESSORIES</v>
      </c>
      <c r="L916">
        <f>YEAR(Master_ventas[[#This Row],[Order Date]])</f>
        <v>2024</v>
      </c>
      <c r="M916" t="str">
        <f>CONCATENATE(LEFT(Master_ventas[[#This Row],[ProdUpper]],3),RIGHT(Master_ventas[[#This Row],[Ext-Year]],2),"-",MID(Master_ventas[[#This Row],[Category]],1,1))</f>
        <v>HEA24-A</v>
      </c>
      <c r="N916" t="str">
        <f>MID(Master_ventas[[#This Row],[ProdUpper]],1,3)</f>
        <v>HEA</v>
      </c>
      <c r="O916" t="str">
        <f>UPPER(IF(Master_ventas[[#This Row],[Profit]]&gt;500,"High","Std"))</f>
        <v>HIGH</v>
      </c>
      <c r="P916">
        <v>915</v>
      </c>
    </row>
    <row r="917" spans="1:16" x14ac:dyDescent="0.3">
      <c r="A917" s="1">
        <v>45028</v>
      </c>
      <c r="B917" t="s">
        <v>7</v>
      </c>
      <c r="C917" t="s">
        <v>8</v>
      </c>
      <c r="D917" t="s">
        <v>9</v>
      </c>
      <c r="E917">
        <v>1</v>
      </c>
      <c r="F917" s="3">
        <v>919</v>
      </c>
      <c r="G917" s="2">
        <v>193.35</v>
      </c>
      <c r="H917">
        <f>Master_ventas[[#This Row],[Profit]]/Master_ventas[[#This Row],[Sales]]</f>
        <v>0.21039173014145809</v>
      </c>
      <c r="I917">
        <f ca="1">Referencia_Hoy-Master_ventas[[#This Row],[Order Date]]</f>
        <v>1295</v>
      </c>
      <c r="J917" t="str">
        <f>UPPER(Master_ventas[[#This Row],[Product Name]])</f>
        <v>PRINTER</v>
      </c>
      <c r="K917" t="str">
        <f>UPPER(Master_ventas[[#This Row],[Category]])</f>
        <v>OFFICE</v>
      </c>
      <c r="L917">
        <f>YEAR(Master_ventas[[#This Row],[Order Date]])</f>
        <v>2023</v>
      </c>
      <c r="M917" t="str">
        <f>CONCATENATE(LEFT(Master_ventas[[#This Row],[ProdUpper]],3),RIGHT(Master_ventas[[#This Row],[Ext-Year]],2),"-",MID(Master_ventas[[#This Row],[Category]],1,1))</f>
        <v>PRI23-O</v>
      </c>
      <c r="N917" t="str">
        <f>MID(Master_ventas[[#This Row],[ProdUpper]],1,3)</f>
        <v>PRI</v>
      </c>
      <c r="O917" t="str">
        <f>UPPER(IF(Master_ventas[[#This Row],[Profit]]&gt;500,"High","Std"))</f>
        <v>STD</v>
      </c>
      <c r="P917">
        <v>916</v>
      </c>
    </row>
    <row r="918" spans="1:16" x14ac:dyDescent="0.3">
      <c r="A918" s="1">
        <v>45156</v>
      </c>
      <c r="B918" t="s">
        <v>17</v>
      </c>
      <c r="C918" t="s">
        <v>14</v>
      </c>
      <c r="D918" t="s">
        <v>15</v>
      </c>
      <c r="E918">
        <v>6</v>
      </c>
      <c r="F918" s="3">
        <v>1686</v>
      </c>
      <c r="G918" s="2">
        <v>426.72</v>
      </c>
      <c r="H918">
        <f>Master_ventas[[#This Row],[Profit]]/Master_ventas[[#This Row],[Sales]]</f>
        <v>0.25309608540925266</v>
      </c>
      <c r="I918">
        <f ca="1">Referencia_Hoy-Master_ventas[[#This Row],[Order Date]]</f>
        <v>1167</v>
      </c>
      <c r="J918" t="str">
        <f>UPPER(Master_ventas[[#This Row],[Product Name]])</f>
        <v>CAMERA</v>
      </c>
      <c r="K918" t="str">
        <f>UPPER(Master_ventas[[#This Row],[Category]])</f>
        <v>ELECTRONICS</v>
      </c>
      <c r="L918">
        <f>YEAR(Master_ventas[[#This Row],[Order Date]])</f>
        <v>2023</v>
      </c>
      <c r="M918" t="str">
        <f>CONCATENATE(LEFT(Master_ventas[[#This Row],[ProdUpper]],3),RIGHT(Master_ventas[[#This Row],[Ext-Year]],2),"-",MID(Master_ventas[[#This Row],[Category]],1,1))</f>
        <v>CAM23-E</v>
      </c>
      <c r="N918" t="str">
        <f>MID(Master_ventas[[#This Row],[ProdUpper]],1,3)</f>
        <v>CAM</v>
      </c>
      <c r="O918" t="str">
        <f>UPPER(IF(Master_ventas[[#This Row],[Profit]]&gt;500,"High","Std"))</f>
        <v>STD</v>
      </c>
      <c r="P918">
        <v>917</v>
      </c>
    </row>
    <row r="919" spans="1:16" x14ac:dyDescent="0.3">
      <c r="A919" s="1">
        <v>45079</v>
      </c>
      <c r="B919" t="s">
        <v>23</v>
      </c>
      <c r="C919" t="s">
        <v>14</v>
      </c>
      <c r="D919" t="s">
        <v>16</v>
      </c>
      <c r="E919">
        <v>7</v>
      </c>
      <c r="F919" s="3">
        <v>4165</v>
      </c>
      <c r="G919" s="2">
        <v>493.24</v>
      </c>
      <c r="H919">
        <f>Master_ventas[[#This Row],[Profit]]/Master_ventas[[#This Row],[Sales]]</f>
        <v>0.1184249699879952</v>
      </c>
      <c r="I919">
        <f ca="1">Referencia_Hoy-Master_ventas[[#This Row],[Order Date]]</f>
        <v>1244</v>
      </c>
      <c r="J919" t="str">
        <f>UPPER(Master_ventas[[#This Row],[Product Name]])</f>
        <v>LAPTOP</v>
      </c>
      <c r="K919" t="str">
        <f>UPPER(Master_ventas[[#This Row],[Category]])</f>
        <v>ELECTRONICS</v>
      </c>
      <c r="L919">
        <f>YEAR(Master_ventas[[#This Row],[Order Date]])</f>
        <v>2023</v>
      </c>
      <c r="M919" t="str">
        <f>CONCATENATE(LEFT(Master_ventas[[#This Row],[ProdUpper]],3),RIGHT(Master_ventas[[#This Row],[Ext-Year]],2),"-",MID(Master_ventas[[#This Row],[Category]],1,1))</f>
        <v>LAP23-E</v>
      </c>
      <c r="N919" t="str">
        <f>MID(Master_ventas[[#This Row],[ProdUpper]],1,3)</f>
        <v>LAP</v>
      </c>
      <c r="O919" t="str">
        <f>UPPER(IF(Master_ventas[[#This Row],[Profit]]&gt;500,"High","Std"))</f>
        <v>STD</v>
      </c>
      <c r="P919">
        <v>918</v>
      </c>
    </row>
    <row r="920" spans="1:16" x14ac:dyDescent="0.3">
      <c r="A920" s="1">
        <v>45247</v>
      </c>
      <c r="B920" t="s">
        <v>21</v>
      </c>
      <c r="C920" t="s">
        <v>14</v>
      </c>
      <c r="D920" t="s">
        <v>16</v>
      </c>
      <c r="E920">
        <v>7</v>
      </c>
      <c r="F920" s="3">
        <v>1281</v>
      </c>
      <c r="G920" s="2">
        <v>282.63</v>
      </c>
      <c r="H920">
        <f>Master_ventas[[#This Row],[Profit]]/Master_ventas[[#This Row],[Sales]]</f>
        <v>0.22063231850117096</v>
      </c>
      <c r="I920">
        <f ca="1">Referencia_Hoy-Master_ventas[[#This Row],[Order Date]]</f>
        <v>1076</v>
      </c>
      <c r="J920" t="str">
        <f>UPPER(Master_ventas[[#This Row],[Product Name]])</f>
        <v>SMARTPHONE</v>
      </c>
      <c r="K920" t="str">
        <f>UPPER(Master_ventas[[#This Row],[Category]])</f>
        <v>ELECTRONICS</v>
      </c>
      <c r="L920">
        <f>YEAR(Master_ventas[[#This Row],[Order Date]])</f>
        <v>2023</v>
      </c>
      <c r="M920" t="str">
        <f>CONCATENATE(LEFT(Master_ventas[[#This Row],[ProdUpper]],3),RIGHT(Master_ventas[[#This Row],[Ext-Year]],2),"-",MID(Master_ventas[[#This Row],[Category]],1,1))</f>
        <v>SMA23-E</v>
      </c>
      <c r="N920" t="str">
        <f>MID(Master_ventas[[#This Row],[ProdUpper]],1,3)</f>
        <v>SMA</v>
      </c>
      <c r="O920" t="str">
        <f>UPPER(IF(Master_ventas[[#This Row],[Profit]]&gt;500,"High","Std"))</f>
        <v>STD</v>
      </c>
      <c r="P920">
        <v>919</v>
      </c>
    </row>
    <row r="921" spans="1:16" x14ac:dyDescent="0.3">
      <c r="A921" s="1">
        <v>45460</v>
      </c>
      <c r="B921" t="s">
        <v>19</v>
      </c>
      <c r="C921" t="s">
        <v>14</v>
      </c>
      <c r="D921" t="s">
        <v>12</v>
      </c>
      <c r="E921">
        <v>3</v>
      </c>
      <c r="F921" s="3">
        <v>2829</v>
      </c>
      <c r="G921" s="2">
        <v>362.16</v>
      </c>
      <c r="H921">
        <f>Master_ventas[[#This Row],[Profit]]/Master_ventas[[#This Row],[Sales]]</f>
        <v>0.12801696712619301</v>
      </c>
      <c r="I921">
        <f ca="1">Referencia_Hoy-Master_ventas[[#This Row],[Order Date]]</f>
        <v>863</v>
      </c>
      <c r="J921" t="str">
        <f>UPPER(Master_ventas[[#This Row],[Product Name]])</f>
        <v>SMARTWATCH</v>
      </c>
      <c r="K921" t="str">
        <f>UPPER(Master_ventas[[#This Row],[Category]])</f>
        <v>ELECTRONICS</v>
      </c>
      <c r="L921">
        <f>YEAR(Master_ventas[[#This Row],[Order Date]])</f>
        <v>2024</v>
      </c>
      <c r="M921" t="str">
        <f>CONCATENATE(LEFT(Master_ventas[[#This Row],[ProdUpper]],3),RIGHT(Master_ventas[[#This Row],[Ext-Year]],2),"-",MID(Master_ventas[[#This Row],[Category]],1,1))</f>
        <v>SMA24-E</v>
      </c>
      <c r="N921" t="str">
        <f>MID(Master_ventas[[#This Row],[ProdUpper]],1,3)</f>
        <v>SMA</v>
      </c>
      <c r="O921" t="str">
        <f>UPPER(IF(Master_ventas[[#This Row],[Profit]]&gt;500,"High","Std"))</f>
        <v>STD</v>
      </c>
      <c r="P921">
        <v>920</v>
      </c>
    </row>
    <row r="922" spans="1:16" x14ac:dyDescent="0.3">
      <c r="A922" s="1">
        <v>45388</v>
      </c>
      <c r="B922" t="s">
        <v>20</v>
      </c>
      <c r="C922" t="s">
        <v>11</v>
      </c>
      <c r="D922" t="s">
        <v>16</v>
      </c>
      <c r="E922">
        <v>3</v>
      </c>
      <c r="F922" s="3">
        <v>2211</v>
      </c>
      <c r="G922" s="2">
        <v>292.31</v>
      </c>
      <c r="H922">
        <f>Master_ventas[[#This Row],[Profit]]/Master_ventas[[#This Row],[Sales]]</f>
        <v>0.13220714608774312</v>
      </c>
      <c r="I922">
        <f ca="1">Referencia_Hoy-Master_ventas[[#This Row],[Order Date]]</f>
        <v>935</v>
      </c>
      <c r="J922" t="str">
        <f>UPPER(Master_ventas[[#This Row],[Product Name]])</f>
        <v>MONITOR</v>
      </c>
      <c r="K922" t="str">
        <f>UPPER(Master_ventas[[#This Row],[Category]])</f>
        <v>ACCESSORIES</v>
      </c>
      <c r="L922">
        <f>YEAR(Master_ventas[[#This Row],[Order Date]])</f>
        <v>2024</v>
      </c>
      <c r="M922" t="str">
        <f>CONCATENATE(LEFT(Master_ventas[[#This Row],[ProdUpper]],3),RIGHT(Master_ventas[[#This Row],[Ext-Year]],2),"-",MID(Master_ventas[[#This Row],[Category]],1,1))</f>
        <v>MON24-A</v>
      </c>
      <c r="N922" t="str">
        <f>MID(Master_ventas[[#This Row],[ProdUpper]],1,3)</f>
        <v>MON</v>
      </c>
      <c r="O922" t="str">
        <f>UPPER(IF(Master_ventas[[#This Row],[Profit]]&gt;500,"High","Std"))</f>
        <v>STD</v>
      </c>
      <c r="P922">
        <v>921</v>
      </c>
    </row>
    <row r="923" spans="1:16" x14ac:dyDescent="0.3">
      <c r="A923" s="1">
        <v>45644</v>
      </c>
      <c r="B923" t="s">
        <v>18</v>
      </c>
      <c r="C923" t="s">
        <v>11</v>
      </c>
      <c r="D923" t="s">
        <v>12</v>
      </c>
      <c r="E923">
        <v>4</v>
      </c>
      <c r="F923" s="3">
        <v>4740</v>
      </c>
      <c r="G923" s="2">
        <v>607.80999999999995</v>
      </c>
      <c r="H923">
        <f>Master_ventas[[#This Row],[Profit]]/Master_ventas[[#This Row],[Sales]]</f>
        <v>0.12822995780590715</v>
      </c>
      <c r="I923">
        <f ca="1">Referencia_Hoy-Master_ventas[[#This Row],[Order Date]]</f>
        <v>679</v>
      </c>
      <c r="J923" t="str">
        <f>UPPER(Master_ventas[[#This Row],[Product Name]])</f>
        <v>HEADPHONES</v>
      </c>
      <c r="K923" t="str">
        <f>UPPER(Master_ventas[[#This Row],[Category]])</f>
        <v>ACCESSORIES</v>
      </c>
      <c r="L923">
        <f>YEAR(Master_ventas[[#This Row],[Order Date]])</f>
        <v>2024</v>
      </c>
      <c r="M923" t="str">
        <f>CONCATENATE(LEFT(Master_ventas[[#This Row],[ProdUpper]],3),RIGHT(Master_ventas[[#This Row],[Ext-Year]],2),"-",MID(Master_ventas[[#This Row],[Category]],1,1))</f>
        <v>HEA24-A</v>
      </c>
      <c r="N923" t="str">
        <f>MID(Master_ventas[[#This Row],[ProdUpper]],1,3)</f>
        <v>HEA</v>
      </c>
      <c r="O923" t="str">
        <f>UPPER(IF(Master_ventas[[#This Row],[Profit]]&gt;500,"High","Std"))</f>
        <v>HIGH</v>
      </c>
      <c r="P923">
        <v>922</v>
      </c>
    </row>
    <row r="924" spans="1:16" x14ac:dyDescent="0.3">
      <c r="A924" s="1">
        <v>45269</v>
      </c>
      <c r="B924" t="s">
        <v>17</v>
      </c>
      <c r="C924" t="s">
        <v>14</v>
      </c>
      <c r="D924" t="s">
        <v>12</v>
      </c>
      <c r="E924">
        <v>1</v>
      </c>
      <c r="F924" s="3">
        <v>718</v>
      </c>
      <c r="G924" s="2">
        <v>169.09</v>
      </c>
      <c r="H924">
        <f>Master_ventas[[#This Row],[Profit]]/Master_ventas[[#This Row],[Sales]]</f>
        <v>0.23550139275766016</v>
      </c>
      <c r="I924">
        <f ca="1">Referencia_Hoy-Master_ventas[[#This Row],[Order Date]]</f>
        <v>1054</v>
      </c>
      <c r="J924" t="str">
        <f>UPPER(Master_ventas[[#This Row],[Product Name]])</f>
        <v>CAMERA</v>
      </c>
      <c r="K924" t="str">
        <f>UPPER(Master_ventas[[#This Row],[Category]])</f>
        <v>ELECTRONICS</v>
      </c>
      <c r="L924">
        <f>YEAR(Master_ventas[[#This Row],[Order Date]])</f>
        <v>2023</v>
      </c>
      <c r="M924" t="str">
        <f>CONCATENATE(LEFT(Master_ventas[[#This Row],[ProdUpper]],3),RIGHT(Master_ventas[[#This Row],[Ext-Year]],2),"-",MID(Master_ventas[[#This Row],[Category]],1,1))</f>
        <v>CAM23-E</v>
      </c>
      <c r="N924" t="str">
        <f>MID(Master_ventas[[#This Row],[ProdUpper]],1,3)</f>
        <v>CAM</v>
      </c>
      <c r="O924" t="str">
        <f>UPPER(IF(Master_ventas[[#This Row],[Profit]]&gt;500,"High","Std"))</f>
        <v>STD</v>
      </c>
      <c r="P924">
        <v>923</v>
      </c>
    </row>
    <row r="925" spans="1:16" x14ac:dyDescent="0.3">
      <c r="A925" s="1">
        <v>44844</v>
      </c>
      <c r="B925" t="s">
        <v>18</v>
      </c>
      <c r="C925" t="s">
        <v>11</v>
      </c>
      <c r="D925" t="s">
        <v>9</v>
      </c>
      <c r="E925">
        <v>6</v>
      </c>
      <c r="F925" s="3">
        <v>1716</v>
      </c>
      <c r="G925" s="2">
        <v>108.81</v>
      </c>
      <c r="H925">
        <f>Master_ventas[[#This Row],[Profit]]/Master_ventas[[#This Row],[Sales]]</f>
        <v>6.3409090909090915E-2</v>
      </c>
      <c r="I925">
        <f ca="1">Referencia_Hoy-Master_ventas[[#This Row],[Order Date]]</f>
        <v>1479</v>
      </c>
      <c r="J925" t="str">
        <f>UPPER(Master_ventas[[#This Row],[Product Name]])</f>
        <v>HEADPHONES</v>
      </c>
      <c r="K925" t="str">
        <f>UPPER(Master_ventas[[#This Row],[Category]])</f>
        <v>ACCESSORIES</v>
      </c>
      <c r="L925">
        <f>YEAR(Master_ventas[[#This Row],[Order Date]])</f>
        <v>2022</v>
      </c>
      <c r="M925" t="str">
        <f>CONCATENATE(LEFT(Master_ventas[[#This Row],[ProdUpper]],3),RIGHT(Master_ventas[[#This Row],[Ext-Year]],2),"-",MID(Master_ventas[[#This Row],[Category]],1,1))</f>
        <v>HEA22-A</v>
      </c>
      <c r="N925" t="str">
        <f>MID(Master_ventas[[#This Row],[ProdUpper]],1,3)</f>
        <v>HEA</v>
      </c>
      <c r="O925" t="str">
        <f>UPPER(IF(Master_ventas[[#This Row],[Profit]]&gt;500,"High","Std"))</f>
        <v>STD</v>
      </c>
      <c r="P925">
        <v>924</v>
      </c>
    </row>
    <row r="926" spans="1:16" x14ac:dyDescent="0.3">
      <c r="A926" s="1">
        <v>45404</v>
      </c>
      <c r="B926" t="s">
        <v>20</v>
      </c>
      <c r="C926" t="s">
        <v>11</v>
      </c>
      <c r="D926" t="s">
        <v>15</v>
      </c>
      <c r="E926">
        <v>7</v>
      </c>
      <c r="F926" s="3">
        <v>1547</v>
      </c>
      <c r="G926" s="2">
        <v>152.59</v>
      </c>
      <c r="H926">
        <f>Master_ventas[[#This Row],[Profit]]/Master_ventas[[#This Row],[Sales]]</f>
        <v>9.8636069812540403E-2</v>
      </c>
      <c r="I926">
        <f ca="1">Referencia_Hoy-Master_ventas[[#This Row],[Order Date]]</f>
        <v>919</v>
      </c>
      <c r="J926" t="str">
        <f>UPPER(Master_ventas[[#This Row],[Product Name]])</f>
        <v>MONITOR</v>
      </c>
      <c r="K926" t="str">
        <f>UPPER(Master_ventas[[#This Row],[Category]])</f>
        <v>ACCESSORIES</v>
      </c>
      <c r="L926">
        <f>YEAR(Master_ventas[[#This Row],[Order Date]])</f>
        <v>2024</v>
      </c>
      <c r="M926" t="str">
        <f>CONCATENATE(LEFT(Master_ventas[[#This Row],[ProdUpper]],3),RIGHT(Master_ventas[[#This Row],[Ext-Year]],2),"-",MID(Master_ventas[[#This Row],[Category]],1,1))</f>
        <v>MON24-A</v>
      </c>
      <c r="N926" t="str">
        <f>MID(Master_ventas[[#This Row],[ProdUpper]],1,3)</f>
        <v>MON</v>
      </c>
      <c r="O926" t="str">
        <f>UPPER(IF(Master_ventas[[#This Row],[Profit]]&gt;500,"High","Std"))</f>
        <v>STD</v>
      </c>
      <c r="P926">
        <v>925</v>
      </c>
    </row>
    <row r="927" spans="1:16" x14ac:dyDescent="0.3">
      <c r="A927" s="1">
        <v>44726</v>
      </c>
      <c r="B927" t="s">
        <v>10</v>
      </c>
      <c r="C927" t="s">
        <v>11</v>
      </c>
      <c r="D927" t="s">
        <v>9</v>
      </c>
      <c r="E927">
        <v>1</v>
      </c>
      <c r="F927" s="3">
        <v>739</v>
      </c>
      <c r="G927" s="2">
        <v>111.18</v>
      </c>
      <c r="H927">
        <f>Master_ventas[[#This Row],[Profit]]/Master_ventas[[#This Row],[Sales]]</f>
        <v>0.15044654939106902</v>
      </c>
      <c r="I927">
        <f ca="1">Referencia_Hoy-Master_ventas[[#This Row],[Order Date]]</f>
        <v>1597</v>
      </c>
      <c r="J927" t="str">
        <f>UPPER(Master_ventas[[#This Row],[Product Name]])</f>
        <v>MOUSE</v>
      </c>
      <c r="K927" t="str">
        <f>UPPER(Master_ventas[[#This Row],[Category]])</f>
        <v>ACCESSORIES</v>
      </c>
      <c r="L927">
        <f>YEAR(Master_ventas[[#This Row],[Order Date]])</f>
        <v>2022</v>
      </c>
      <c r="M927" t="str">
        <f>CONCATENATE(LEFT(Master_ventas[[#This Row],[ProdUpper]],3),RIGHT(Master_ventas[[#This Row],[Ext-Year]],2),"-",MID(Master_ventas[[#This Row],[Category]],1,1))</f>
        <v>MOU22-A</v>
      </c>
      <c r="N927" t="str">
        <f>MID(Master_ventas[[#This Row],[ProdUpper]],1,3)</f>
        <v>MOU</v>
      </c>
      <c r="O927" t="str">
        <f>UPPER(IF(Master_ventas[[#This Row],[Profit]]&gt;500,"High","Std"))</f>
        <v>STD</v>
      </c>
      <c r="P927">
        <v>926</v>
      </c>
    </row>
    <row r="928" spans="1:16" x14ac:dyDescent="0.3">
      <c r="A928" s="1">
        <v>45172</v>
      </c>
      <c r="B928" t="s">
        <v>23</v>
      </c>
      <c r="C928" t="s">
        <v>14</v>
      </c>
      <c r="D928" t="s">
        <v>16</v>
      </c>
      <c r="E928">
        <v>3</v>
      </c>
      <c r="F928" s="3">
        <v>819</v>
      </c>
      <c r="G928" s="2">
        <v>231.88</v>
      </c>
      <c r="H928">
        <f>Master_ventas[[#This Row],[Profit]]/Master_ventas[[#This Row],[Sales]]</f>
        <v>0.2831257631257631</v>
      </c>
      <c r="I928">
        <f ca="1">Referencia_Hoy-Master_ventas[[#This Row],[Order Date]]</f>
        <v>1151</v>
      </c>
      <c r="J928" t="str">
        <f>UPPER(Master_ventas[[#This Row],[Product Name]])</f>
        <v>LAPTOP</v>
      </c>
      <c r="K928" t="str">
        <f>UPPER(Master_ventas[[#This Row],[Category]])</f>
        <v>ELECTRONICS</v>
      </c>
      <c r="L928">
        <f>YEAR(Master_ventas[[#This Row],[Order Date]])</f>
        <v>2023</v>
      </c>
      <c r="M928" t="str">
        <f>CONCATENATE(LEFT(Master_ventas[[#This Row],[ProdUpper]],3),RIGHT(Master_ventas[[#This Row],[Ext-Year]],2),"-",MID(Master_ventas[[#This Row],[Category]],1,1))</f>
        <v>LAP23-E</v>
      </c>
      <c r="N928" t="str">
        <f>MID(Master_ventas[[#This Row],[ProdUpper]],1,3)</f>
        <v>LAP</v>
      </c>
      <c r="O928" t="str">
        <f>UPPER(IF(Master_ventas[[#This Row],[Profit]]&gt;500,"High","Std"))</f>
        <v>STD</v>
      </c>
      <c r="P928">
        <v>927</v>
      </c>
    </row>
    <row r="929" spans="1:16" x14ac:dyDescent="0.3">
      <c r="A929" s="1">
        <v>45279</v>
      </c>
      <c r="B929" t="s">
        <v>23</v>
      </c>
      <c r="C929" t="s">
        <v>14</v>
      </c>
      <c r="D929" t="s">
        <v>15</v>
      </c>
      <c r="E929">
        <v>8</v>
      </c>
      <c r="F929" s="3">
        <v>5696</v>
      </c>
      <c r="G929" s="2">
        <v>1156.3</v>
      </c>
      <c r="H929">
        <f>Master_ventas[[#This Row],[Profit]]/Master_ventas[[#This Row],[Sales]]</f>
        <v>0.20300210674157301</v>
      </c>
      <c r="I929">
        <f ca="1">Referencia_Hoy-Master_ventas[[#This Row],[Order Date]]</f>
        <v>1044</v>
      </c>
      <c r="J929" t="str">
        <f>UPPER(Master_ventas[[#This Row],[Product Name]])</f>
        <v>LAPTOP</v>
      </c>
      <c r="K929" t="str">
        <f>UPPER(Master_ventas[[#This Row],[Category]])</f>
        <v>ELECTRONICS</v>
      </c>
      <c r="L929">
        <f>YEAR(Master_ventas[[#This Row],[Order Date]])</f>
        <v>2023</v>
      </c>
      <c r="M929" t="str">
        <f>CONCATENATE(LEFT(Master_ventas[[#This Row],[ProdUpper]],3),RIGHT(Master_ventas[[#This Row],[Ext-Year]],2),"-",MID(Master_ventas[[#This Row],[Category]],1,1))</f>
        <v>LAP23-E</v>
      </c>
      <c r="N929" t="str">
        <f>MID(Master_ventas[[#This Row],[ProdUpper]],1,3)</f>
        <v>LAP</v>
      </c>
      <c r="O929" t="str">
        <f>UPPER(IF(Master_ventas[[#This Row],[Profit]]&gt;500,"High","Std"))</f>
        <v>HIGH</v>
      </c>
      <c r="P929">
        <v>928</v>
      </c>
    </row>
    <row r="930" spans="1:16" x14ac:dyDescent="0.3">
      <c r="A930" s="1">
        <v>44948</v>
      </c>
      <c r="B930" t="s">
        <v>20</v>
      </c>
      <c r="C930" t="s">
        <v>11</v>
      </c>
      <c r="D930" t="s">
        <v>15</v>
      </c>
      <c r="E930">
        <v>2</v>
      </c>
      <c r="F930" s="3">
        <v>1706</v>
      </c>
      <c r="G930" s="2">
        <v>184.71</v>
      </c>
      <c r="H930">
        <f>Master_ventas[[#This Row],[Profit]]/Master_ventas[[#This Row],[Sales]]</f>
        <v>0.10827080890973037</v>
      </c>
      <c r="I930">
        <f ca="1">Referencia_Hoy-Master_ventas[[#This Row],[Order Date]]</f>
        <v>1375</v>
      </c>
      <c r="J930" t="str">
        <f>UPPER(Master_ventas[[#This Row],[Product Name]])</f>
        <v>MONITOR</v>
      </c>
      <c r="K930" t="str">
        <f>UPPER(Master_ventas[[#This Row],[Category]])</f>
        <v>ACCESSORIES</v>
      </c>
      <c r="L930">
        <f>YEAR(Master_ventas[[#This Row],[Order Date]])</f>
        <v>2023</v>
      </c>
      <c r="M930" t="str">
        <f>CONCATENATE(LEFT(Master_ventas[[#This Row],[ProdUpper]],3),RIGHT(Master_ventas[[#This Row],[Ext-Year]],2),"-",MID(Master_ventas[[#This Row],[Category]],1,1))</f>
        <v>MON23-A</v>
      </c>
      <c r="N930" t="str">
        <f>MID(Master_ventas[[#This Row],[ProdUpper]],1,3)</f>
        <v>MON</v>
      </c>
      <c r="O930" t="str">
        <f>UPPER(IF(Master_ventas[[#This Row],[Profit]]&gt;500,"High","Std"))</f>
        <v>STD</v>
      </c>
      <c r="P930">
        <v>929</v>
      </c>
    </row>
    <row r="931" spans="1:16" x14ac:dyDescent="0.3">
      <c r="A931" s="1">
        <v>45314</v>
      </c>
      <c r="B931" t="s">
        <v>17</v>
      </c>
      <c r="C931" t="s">
        <v>14</v>
      </c>
      <c r="D931" t="s">
        <v>9</v>
      </c>
      <c r="E931">
        <v>2</v>
      </c>
      <c r="F931" s="3">
        <v>2066</v>
      </c>
      <c r="G931" s="2">
        <v>608.23</v>
      </c>
      <c r="H931">
        <f>Master_ventas[[#This Row],[Profit]]/Master_ventas[[#This Row],[Sales]]</f>
        <v>0.2943998063891578</v>
      </c>
      <c r="I931">
        <f ca="1">Referencia_Hoy-Master_ventas[[#This Row],[Order Date]]</f>
        <v>1009</v>
      </c>
      <c r="J931" t="str">
        <f>UPPER(Master_ventas[[#This Row],[Product Name]])</f>
        <v>CAMERA</v>
      </c>
      <c r="K931" t="str">
        <f>UPPER(Master_ventas[[#This Row],[Category]])</f>
        <v>ELECTRONICS</v>
      </c>
      <c r="L931">
        <f>YEAR(Master_ventas[[#This Row],[Order Date]])</f>
        <v>2024</v>
      </c>
      <c r="M931" t="str">
        <f>CONCATENATE(LEFT(Master_ventas[[#This Row],[ProdUpper]],3),RIGHT(Master_ventas[[#This Row],[Ext-Year]],2),"-",MID(Master_ventas[[#This Row],[Category]],1,1))</f>
        <v>CAM24-E</v>
      </c>
      <c r="N931" t="str">
        <f>MID(Master_ventas[[#This Row],[ProdUpper]],1,3)</f>
        <v>CAM</v>
      </c>
      <c r="O931" t="str">
        <f>UPPER(IF(Master_ventas[[#This Row],[Profit]]&gt;500,"High","Std"))</f>
        <v>HIGH</v>
      </c>
      <c r="P931">
        <v>930</v>
      </c>
    </row>
    <row r="932" spans="1:16" x14ac:dyDescent="0.3">
      <c r="A932" s="1">
        <v>45450</v>
      </c>
      <c r="B932" t="s">
        <v>23</v>
      </c>
      <c r="C932" t="s">
        <v>14</v>
      </c>
      <c r="D932" t="s">
        <v>9</v>
      </c>
      <c r="E932">
        <v>2</v>
      </c>
      <c r="F932" s="3">
        <v>256</v>
      </c>
      <c r="G932" s="2">
        <v>35.659999999999997</v>
      </c>
      <c r="H932">
        <f>Master_ventas[[#This Row],[Profit]]/Master_ventas[[#This Row],[Sales]]</f>
        <v>0.13929687499999999</v>
      </c>
      <c r="I932">
        <f ca="1">Referencia_Hoy-Master_ventas[[#This Row],[Order Date]]</f>
        <v>873</v>
      </c>
      <c r="J932" t="str">
        <f>UPPER(Master_ventas[[#This Row],[Product Name]])</f>
        <v>LAPTOP</v>
      </c>
      <c r="K932" t="str">
        <f>UPPER(Master_ventas[[#This Row],[Category]])</f>
        <v>ELECTRONICS</v>
      </c>
      <c r="L932">
        <f>YEAR(Master_ventas[[#This Row],[Order Date]])</f>
        <v>2024</v>
      </c>
      <c r="M932" t="str">
        <f>CONCATENATE(LEFT(Master_ventas[[#This Row],[ProdUpper]],3),RIGHT(Master_ventas[[#This Row],[Ext-Year]],2),"-",MID(Master_ventas[[#This Row],[Category]],1,1))</f>
        <v>LAP24-E</v>
      </c>
      <c r="N932" t="str">
        <f>MID(Master_ventas[[#This Row],[ProdUpper]],1,3)</f>
        <v>LAP</v>
      </c>
      <c r="O932" t="str">
        <f>UPPER(IF(Master_ventas[[#This Row],[Profit]]&gt;500,"High","Std"))</f>
        <v>STD</v>
      </c>
      <c r="P932">
        <v>931</v>
      </c>
    </row>
    <row r="933" spans="1:16" x14ac:dyDescent="0.3">
      <c r="A933" s="1">
        <v>45326</v>
      </c>
      <c r="B933" t="s">
        <v>21</v>
      </c>
      <c r="C933" t="s">
        <v>14</v>
      </c>
      <c r="D933" t="s">
        <v>9</v>
      </c>
      <c r="E933">
        <v>2</v>
      </c>
      <c r="F933" s="3">
        <v>1102</v>
      </c>
      <c r="G933" s="2">
        <v>182.54</v>
      </c>
      <c r="H933">
        <f>Master_ventas[[#This Row],[Profit]]/Master_ventas[[#This Row],[Sales]]</f>
        <v>0.1656442831215971</v>
      </c>
      <c r="I933">
        <f ca="1">Referencia_Hoy-Master_ventas[[#This Row],[Order Date]]</f>
        <v>997</v>
      </c>
      <c r="J933" t="str">
        <f>UPPER(Master_ventas[[#This Row],[Product Name]])</f>
        <v>SMARTPHONE</v>
      </c>
      <c r="K933" t="str">
        <f>UPPER(Master_ventas[[#This Row],[Category]])</f>
        <v>ELECTRONICS</v>
      </c>
      <c r="L933">
        <f>YEAR(Master_ventas[[#This Row],[Order Date]])</f>
        <v>2024</v>
      </c>
      <c r="M933" t="str">
        <f>CONCATENATE(LEFT(Master_ventas[[#This Row],[ProdUpper]],3),RIGHT(Master_ventas[[#This Row],[Ext-Year]],2),"-",MID(Master_ventas[[#This Row],[Category]],1,1))</f>
        <v>SMA24-E</v>
      </c>
      <c r="N933" t="str">
        <f>MID(Master_ventas[[#This Row],[ProdUpper]],1,3)</f>
        <v>SMA</v>
      </c>
      <c r="O933" t="str">
        <f>UPPER(IF(Master_ventas[[#This Row],[Profit]]&gt;500,"High","Std"))</f>
        <v>STD</v>
      </c>
      <c r="P933">
        <v>932</v>
      </c>
    </row>
    <row r="934" spans="1:16" x14ac:dyDescent="0.3">
      <c r="A934" s="1">
        <v>45535</v>
      </c>
      <c r="B934" t="s">
        <v>20</v>
      </c>
      <c r="C934" t="s">
        <v>11</v>
      </c>
      <c r="D934" t="s">
        <v>9</v>
      </c>
      <c r="E934">
        <v>8</v>
      </c>
      <c r="F934" s="3">
        <v>2872</v>
      </c>
      <c r="G934" s="2">
        <v>483.94</v>
      </c>
      <c r="H934">
        <f>Master_ventas[[#This Row],[Profit]]/Master_ventas[[#This Row],[Sales]]</f>
        <v>0.16850278551532033</v>
      </c>
      <c r="I934">
        <f ca="1">Referencia_Hoy-Master_ventas[[#This Row],[Order Date]]</f>
        <v>788</v>
      </c>
      <c r="J934" t="str">
        <f>UPPER(Master_ventas[[#This Row],[Product Name]])</f>
        <v>MONITOR</v>
      </c>
      <c r="K934" t="str">
        <f>UPPER(Master_ventas[[#This Row],[Category]])</f>
        <v>ACCESSORIES</v>
      </c>
      <c r="L934">
        <f>YEAR(Master_ventas[[#This Row],[Order Date]])</f>
        <v>2024</v>
      </c>
      <c r="M934" t="str">
        <f>CONCATENATE(LEFT(Master_ventas[[#This Row],[ProdUpper]],3),RIGHT(Master_ventas[[#This Row],[Ext-Year]],2),"-",MID(Master_ventas[[#This Row],[Category]],1,1))</f>
        <v>MON24-A</v>
      </c>
      <c r="N934" t="str">
        <f>MID(Master_ventas[[#This Row],[ProdUpper]],1,3)</f>
        <v>MON</v>
      </c>
      <c r="O934" t="str">
        <f>UPPER(IF(Master_ventas[[#This Row],[Profit]]&gt;500,"High","Std"))</f>
        <v>STD</v>
      </c>
      <c r="P934">
        <v>933</v>
      </c>
    </row>
    <row r="935" spans="1:16" x14ac:dyDescent="0.3">
      <c r="A935" s="1">
        <v>45607</v>
      </c>
      <c r="B935" t="s">
        <v>13</v>
      </c>
      <c r="C935" t="s">
        <v>14</v>
      </c>
      <c r="D935" t="s">
        <v>12</v>
      </c>
      <c r="E935">
        <v>4</v>
      </c>
      <c r="F935" s="3">
        <v>2584</v>
      </c>
      <c r="G935" s="2">
        <v>394.52</v>
      </c>
      <c r="H935">
        <f>Master_ventas[[#This Row],[Profit]]/Master_ventas[[#This Row],[Sales]]</f>
        <v>0.15267801857585139</v>
      </c>
      <c r="I935">
        <f ca="1">Referencia_Hoy-Master_ventas[[#This Row],[Order Date]]</f>
        <v>716</v>
      </c>
      <c r="J935" t="str">
        <f>UPPER(Master_ventas[[#This Row],[Product Name]])</f>
        <v>TABLET</v>
      </c>
      <c r="K935" t="str">
        <f>UPPER(Master_ventas[[#This Row],[Category]])</f>
        <v>ELECTRONICS</v>
      </c>
      <c r="L935">
        <f>YEAR(Master_ventas[[#This Row],[Order Date]])</f>
        <v>2024</v>
      </c>
      <c r="M935" t="str">
        <f>CONCATENATE(LEFT(Master_ventas[[#This Row],[ProdUpper]],3),RIGHT(Master_ventas[[#This Row],[Ext-Year]],2),"-",MID(Master_ventas[[#This Row],[Category]],1,1))</f>
        <v>TAB24-E</v>
      </c>
      <c r="N935" t="str">
        <f>MID(Master_ventas[[#This Row],[ProdUpper]],1,3)</f>
        <v>TAB</v>
      </c>
      <c r="O935" t="str">
        <f>UPPER(IF(Master_ventas[[#This Row],[Profit]]&gt;500,"High","Std"))</f>
        <v>STD</v>
      </c>
      <c r="P935">
        <v>934</v>
      </c>
    </row>
    <row r="936" spans="1:16" x14ac:dyDescent="0.3">
      <c r="A936" s="1">
        <v>45500</v>
      </c>
      <c r="B936" t="s">
        <v>10</v>
      </c>
      <c r="C936" t="s">
        <v>11</v>
      </c>
      <c r="D936" t="s">
        <v>9</v>
      </c>
      <c r="E936">
        <v>2</v>
      </c>
      <c r="F936" s="3">
        <v>1366</v>
      </c>
      <c r="G936" s="2">
        <v>298.32</v>
      </c>
      <c r="H936">
        <f>Master_ventas[[#This Row],[Profit]]/Master_ventas[[#This Row],[Sales]]</f>
        <v>0.21838945827232795</v>
      </c>
      <c r="I936">
        <f ca="1">Referencia_Hoy-Master_ventas[[#This Row],[Order Date]]</f>
        <v>823</v>
      </c>
      <c r="J936" t="str">
        <f>UPPER(Master_ventas[[#This Row],[Product Name]])</f>
        <v>MOUSE</v>
      </c>
      <c r="K936" t="str">
        <f>UPPER(Master_ventas[[#This Row],[Category]])</f>
        <v>ACCESSORIES</v>
      </c>
      <c r="L936">
        <f>YEAR(Master_ventas[[#This Row],[Order Date]])</f>
        <v>2024</v>
      </c>
      <c r="M936" t="str">
        <f>CONCATENATE(LEFT(Master_ventas[[#This Row],[ProdUpper]],3),RIGHT(Master_ventas[[#This Row],[Ext-Year]],2),"-",MID(Master_ventas[[#This Row],[Category]],1,1))</f>
        <v>MOU24-A</v>
      </c>
      <c r="N936" t="str">
        <f>MID(Master_ventas[[#This Row],[ProdUpper]],1,3)</f>
        <v>MOU</v>
      </c>
      <c r="O936" t="str">
        <f>UPPER(IF(Master_ventas[[#This Row],[Profit]]&gt;500,"High","Std"))</f>
        <v>STD</v>
      </c>
      <c r="P936">
        <v>935</v>
      </c>
    </row>
    <row r="937" spans="1:16" x14ac:dyDescent="0.3">
      <c r="A937" s="1">
        <v>45423</v>
      </c>
      <c r="B937" t="s">
        <v>19</v>
      </c>
      <c r="C937" t="s">
        <v>14</v>
      </c>
      <c r="D937" t="s">
        <v>15</v>
      </c>
      <c r="E937">
        <v>7</v>
      </c>
      <c r="F937" s="3">
        <v>1253</v>
      </c>
      <c r="G937" s="2">
        <v>354.23</v>
      </c>
      <c r="H937">
        <f>Master_ventas[[#This Row],[Profit]]/Master_ventas[[#This Row],[Sales]]</f>
        <v>0.28270550678371908</v>
      </c>
      <c r="I937">
        <f ca="1">Referencia_Hoy-Master_ventas[[#This Row],[Order Date]]</f>
        <v>900</v>
      </c>
      <c r="J937" t="str">
        <f>UPPER(Master_ventas[[#This Row],[Product Name]])</f>
        <v>SMARTWATCH</v>
      </c>
      <c r="K937" t="str">
        <f>UPPER(Master_ventas[[#This Row],[Category]])</f>
        <v>ELECTRONICS</v>
      </c>
      <c r="L937">
        <f>YEAR(Master_ventas[[#This Row],[Order Date]])</f>
        <v>2024</v>
      </c>
      <c r="M937" t="str">
        <f>CONCATENATE(LEFT(Master_ventas[[#This Row],[ProdUpper]],3),RIGHT(Master_ventas[[#This Row],[Ext-Year]],2),"-",MID(Master_ventas[[#This Row],[Category]],1,1))</f>
        <v>SMA24-E</v>
      </c>
      <c r="N937" t="str">
        <f>MID(Master_ventas[[#This Row],[ProdUpper]],1,3)</f>
        <v>SMA</v>
      </c>
      <c r="O937" t="str">
        <f>UPPER(IF(Master_ventas[[#This Row],[Profit]]&gt;500,"High","Std"))</f>
        <v>STD</v>
      </c>
      <c r="P937">
        <v>936</v>
      </c>
    </row>
    <row r="938" spans="1:16" x14ac:dyDescent="0.3">
      <c r="A938" s="1">
        <v>45009</v>
      </c>
      <c r="B938" t="s">
        <v>23</v>
      </c>
      <c r="C938" t="s">
        <v>14</v>
      </c>
      <c r="D938" t="s">
        <v>16</v>
      </c>
      <c r="E938">
        <v>7</v>
      </c>
      <c r="F938" s="3">
        <v>2618</v>
      </c>
      <c r="G938" s="2">
        <v>300.81</v>
      </c>
      <c r="H938">
        <f>Master_ventas[[#This Row],[Profit]]/Master_ventas[[#This Row],[Sales]]</f>
        <v>0.11490068754774638</v>
      </c>
      <c r="I938">
        <f ca="1">Referencia_Hoy-Master_ventas[[#This Row],[Order Date]]</f>
        <v>1314</v>
      </c>
      <c r="J938" t="str">
        <f>UPPER(Master_ventas[[#This Row],[Product Name]])</f>
        <v>LAPTOP</v>
      </c>
      <c r="K938" t="str">
        <f>UPPER(Master_ventas[[#This Row],[Category]])</f>
        <v>ELECTRONICS</v>
      </c>
      <c r="L938">
        <f>YEAR(Master_ventas[[#This Row],[Order Date]])</f>
        <v>2023</v>
      </c>
      <c r="M938" t="str">
        <f>CONCATENATE(LEFT(Master_ventas[[#This Row],[ProdUpper]],3),RIGHT(Master_ventas[[#This Row],[Ext-Year]],2),"-",MID(Master_ventas[[#This Row],[Category]],1,1))</f>
        <v>LAP23-E</v>
      </c>
      <c r="N938" t="str">
        <f>MID(Master_ventas[[#This Row],[ProdUpper]],1,3)</f>
        <v>LAP</v>
      </c>
      <c r="O938" t="str">
        <f>UPPER(IF(Master_ventas[[#This Row],[Profit]]&gt;500,"High","Std"))</f>
        <v>STD</v>
      </c>
      <c r="P938">
        <v>937</v>
      </c>
    </row>
    <row r="939" spans="1:16" x14ac:dyDescent="0.3">
      <c r="A939" s="1">
        <v>44826</v>
      </c>
      <c r="B939" t="s">
        <v>18</v>
      </c>
      <c r="C939" t="s">
        <v>11</v>
      </c>
      <c r="D939" t="s">
        <v>12</v>
      </c>
      <c r="E939">
        <v>9</v>
      </c>
      <c r="F939" s="3">
        <v>6822</v>
      </c>
      <c r="G939" s="2">
        <v>1811.37</v>
      </c>
      <c r="H939">
        <f>Master_ventas[[#This Row],[Profit]]/Master_ventas[[#This Row],[Sales]]</f>
        <v>0.26551890941072998</v>
      </c>
      <c r="I939">
        <f ca="1">Referencia_Hoy-Master_ventas[[#This Row],[Order Date]]</f>
        <v>1497</v>
      </c>
      <c r="J939" t="str">
        <f>UPPER(Master_ventas[[#This Row],[Product Name]])</f>
        <v>HEADPHONES</v>
      </c>
      <c r="K939" t="str">
        <f>UPPER(Master_ventas[[#This Row],[Category]])</f>
        <v>ACCESSORIES</v>
      </c>
      <c r="L939">
        <f>YEAR(Master_ventas[[#This Row],[Order Date]])</f>
        <v>2022</v>
      </c>
      <c r="M939" t="str">
        <f>CONCATENATE(LEFT(Master_ventas[[#This Row],[ProdUpper]],3),RIGHT(Master_ventas[[#This Row],[Ext-Year]],2),"-",MID(Master_ventas[[#This Row],[Category]],1,1))</f>
        <v>HEA22-A</v>
      </c>
      <c r="N939" t="str">
        <f>MID(Master_ventas[[#This Row],[ProdUpper]],1,3)</f>
        <v>HEA</v>
      </c>
      <c r="O939" t="str">
        <f>UPPER(IF(Master_ventas[[#This Row],[Profit]]&gt;500,"High","Std"))</f>
        <v>HIGH</v>
      </c>
      <c r="P939">
        <v>938</v>
      </c>
    </row>
    <row r="940" spans="1:16" x14ac:dyDescent="0.3">
      <c r="A940" s="1">
        <v>45235</v>
      </c>
      <c r="B940" t="s">
        <v>22</v>
      </c>
      <c r="C940" t="s">
        <v>11</v>
      </c>
      <c r="D940" t="s">
        <v>12</v>
      </c>
      <c r="E940">
        <v>6</v>
      </c>
      <c r="F940" s="3">
        <v>5286</v>
      </c>
      <c r="G940" s="2">
        <v>636.16</v>
      </c>
      <c r="H940">
        <f>Master_ventas[[#This Row],[Profit]]/Master_ventas[[#This Row],[Sales]]</f>
        <v>0.12034808929247068</v>
      </c>
      <c r="I940">
        <f ca="1">Referencia_Hoy-Master_ventas[[#This Row],[Order Date]]</f>
        <v>1088</v>
      </c>
      <c r="J940" t="str">
        <f>UPPER(Master_ventas[[#This Row],[Product Name]])</f>
        <v>KEYBOARD</v>
      </c>
      <c r="K940" t="str">
        <f>UPPER(Master_ventas[[#This Row],[Category]])</f>
        <v>ACCESSORIES</v>
      </c>
      <c r="L940">
        <f>YEAR(Master_ventas[[#This Row],[Order Date]])</f>
        <v>2023</v>
      </c>
      <c r="M940" t="str">
        <f>CONCATENATE(LEFT(Master_ventas[[#This Row],[ProdUpper]],3),RIGHT(Master_ventas[[#This Row],[Ext-Year]],2),"-",MID(Master_ventas[[#This Row],[Category]],1,1))</f>
        <v>KEY23-A</v>
      </c>
      <c r="N940" t="str">
        <f>MID(Master_ventas[[#This Row],[ProdUpper]],1,3)</f>
        <v>KEY</v>
      </c>
      <c r="O940" t="str">
        <f>UPPER(IF(Master_ventas[[#This Row],[Profit]]&gt;500,"High","Std"))</f>
        <v>HIGH</v>
      </c>
      <c r="P940">
        <v>939</v>
      </c>
    </row>
    <row r="941" spans="1:16" x14ac:dyDescent="0.3">
      <c r="A941" s="1">
        <v>45456</v>
      </c>
      <c r="B941" t="s">
        <v>20</v>
      </c>
      <c r="C941" t="s">
        <v>11</v>
      </c>
      <c r="D941" t="s">
        <v>9</v>
      </c>
      <c r="E941">
        <v>1</v>
      </c>
      <c r="F941" s="3">
        <v>579</v>
      </c>
      <c r="G941" s="2">
        <v>133.57</v>
      </c>
      <c r="H941">
        <f>Master_ventas[[#This Row],[Profit]]/Master_ventas[[#This Row],[Sales]]</f>
        <v>0.2306908462867012</v>
      </c>
      <c r="I941">
        <f ca="1">Referencia_Hoy-Master_ventas[[#This Row],[Order Date]]</f>
        <v>867</v>
      </c>
      <c r="J941" t="str">
        <f>UPPER(Master_ventas[[#This Row],[Product Name]])</f>
        <v>MONITOR</v>
      </c>
      <c r="K941" t="str">
        <f>UPPER(Master_ventas[[#This Row],[Category]])</f>
        <v>ACCESSORIES</v>
      </c>
      <c r="L941">
        <f>YEAR(Master_ventas[[#This Row],[Order Date]])</f>
        <v>2024</v>
      </c>
      <c r="M941" t="str">
        <f>CONCATENATE(LEFT(Master_ventas[[#This Row],[ProdUpper]],3),RIGHT(Master_ventas[[#This Row],[Ext-Year]],2),"-",MID(Master_ventas[[#This Row],[Category]],1,1))</f>
        <v>MON24-A</v>
      </c>
      <c r="N941" t="str">
        <f>MID(Master_ventas[[#This Row],[ProdUpper]],1,3)</f>
        <v>MON</v>
      </c>
      <c r="O941" t="str">
        <f>UPPER(IF(Master_ventas[[#This Row],[Profit]]&gt;500,"High","Std"))</f>
        <v>STD</v>
      </c>
      <c r="P941">
        <v>940</v>
      </c>
    </row>
    <row r="942" spans="1:16" x14ac:dyDescent="0.3">
      <c r="A942" s="1">
        <v>44620</v>
      </c>
      <c r="B942" t="s">
        <v>23</v>
      </c>
      <c r="C942" t="s">
        <v>14</v>
      </c>
      <c r="D942" t="s">
        <v>16</v>
      </c>
      <c r="E942">
        <v>8</v>
      </c>
      <c r="F942" s="3">
        <v>1392</v>
      </c>
      <c r="G942" s="2">
        <v>190.99</v>
      </c>
      <c r="H942">
        <f>Master_ventas[[#This Row],[Profit]]/Master_ventas[[#This Row],[Sales]]</f>
        <v>0.13720545977011495</v>
      </c>
      <c r="I942">
        <f ca="1">Referencia_Hoy-Master_ventas[[#This Row],[Order Date]]</f>
        <v>1703</v>
      </c>
      <c r="J942" t="str">
        <f>UPPER(Master_ventas[[#This Row],[Product Name]])</f>
        <v>LAPTOP</v>
      </c>
      <c r="K942" t="str">
        <f>UPPER(Master_ventas[[#This Row],[Category]])</f>
        <v>ELECTRONICS</v>
      </c>
      <c r="L942">
        <f>YEAR(Master_ventas[[#This Row],[Order Date]])</f>
        <v>2022</v>
      </c>
      <c r="M942" t="str">
        <f>CONCATENATE(LEFT(Master_ventas[[#This Row],[ProdUpper]],3),RIGHT(Master_ventas[[#This Row],[Ext-Year]],2),"-",MID(Master_ventas[[#This Row],[Category]],1,1))</f>
        <v>LAP22-E</v>
      </c>
      <c r="N942" t="str">
        <f>MID(Master_ventas[[#This Row],[ProdUpper]],1,3)</f>
        <v>LAP</v>
      </c>
      <c r="O942" t="str">
        <f>UPPER(IF(Master_ventas[[#This Row],[Profit]]&gt;500,"High","Std"))</f>
        <v>STD</v>
      </c>
      <c r="P942">
        <v>941</v>
      </c>
    </row>
    <row r="943" spans="1:16" x14ac:dyDescent="0.3">
      <c r="A943" s="1">
        <v>44879</v>
      </c>
      <c r="B943" t="s">
        <v>23</v>
      </c>
      <c r="C943" t="s">
        <v>14</v>
      </c>
      <c r="D943" t="s">
        <v>16</v>
      </c>
      <c r="E943">
        <v>9</v>
      </c>
      <c r="F943" s="3">
        <v>2493</v>
      </c>
      <c r="G943" s="2">
        <v>696.69</v>
      </c>
      <c r="H943">
        <f>Master_ventas[[#This Row],[Profit]]/Master_ventas[[#This Row],[Sales]]</f>
        <v>0.27945848375451265</v>
      </c>
      <c r="I943">
        <f ca="1">Referencia_Hoy-Master_ventas[[#This Row],[Order Date]]</f>
        <v>1444</v>
      </c>
      <c r="J943" t="str">
        <f>UPPER(Master_ventas[[#This Row],[Product Name]])</f>
        <v>LAPTOP</v>
      </c>
      <c r="K943" t="str">
        <f>UPPER(Master_ventas[[#This Row],[Category]])</f>
        <v>ELECTRONICS</v>
      </c>
      <c r="L943">
        <f>YEAR(Master_ventas[[#This Row],[Order Date]])</f>
        <v>2022</v>
      </c>
      <c r="M943" t="str">
        <f>CONCATENATE(LEFT(Master_ventas[[#This Row],[ProdUpper]],3),RIGHT(Master_ventas[[#This Row],[Ext-Year]],2),"-",MID(Master_ventas[[#This Row],[Category]],1,1))</f>
        <v>LAP22-E</v>
      </c>
      <c r="N943" t="str">
        <f>MID(Master_ventas[[#This Row],[ProdUpper]],1,3)</f>
        <v>LAP</v>
      </c>
      <c r="O943" t="str">
        <f>UPPER(IF(Master_ventas[[#This Row],[Profit]]&gt;500,"High","Std"))</f>
        <v>HIGH</v>
      </c>
      <c r="P943">
        <v>942</v>
      </c>
    </row>
    <row r="944" spans="1:16" x14ac:dyDescent="0.3">
      <c r="A944" s="1">
        <v>45186</v>
      </c>
      <c r="B944" t="s">
        <v>21</v>
      </c>
      <c r="C944" t="s">
        <v>14</v>
      </c>
      <c r="D944" t="s">
        <v>9</v>
      </c>
      <c r="E944">
        <v>7</v>
      </c>
      <c r="F944" s="3">
        <v>6461</v>
      </c>
      <c r="G944" s="2">
        <v>766.45</v>
      </c>
      <c r="H944">
        <f>Master_ventas[[#This Row],[Profit]]/Master_ventas[[#This Row],[Sales]]</f>
        <v>0.11862714750038694</v>
      </c>
      <c r="I944">
        <f ca="1">Referencia_Hoy-Master_ventas[[#This Row],[Order Date]]</f>
        <v>1137</v>
      </c>
      <c r="J944" t="str">
        <f>UPPER(Master_ventas[[#This Row],[Product Name]])</f>
        <v>SMARTPHONE</v>
      </c>
      <c r="K944" t="str">
        <f>UPPER(Master_ventas[[#This Row],[Category]])</f>
        <v>ELECTRONICS</v>
      </c>
      <c r="L944">
        <f>YEAR(Master_ventas[[#This Row],[Order Date]])</f>
        <v>2023</v>
      </c>
      <c r="M944" t="str">
        <f>CONCATENATE(LEFT(Master_ventas[[#This Row],[ProdUpper]],3),RIGHT(Master_ventas[[#This Row],[Ext-Year]],2),"-",MID(Master_ventas[[#This Row],[Category]],1,1))</f>
        <v>SMA23-E</v>
      </c>
      <c r="N944" t="str">
        <f>MID(Master_ventas[[#This Row],[ProdUpper]],1,3)</f>
        <v>SMA</v>
      </c>
      <c r="O944" t="str">
        <f>UPPER(IF(Master_ventas[[#This Row],[Profit]]&gt;500,"High","Std"))</f>
        <v>HIGH</v>
      </c>
      <c r="P944">
        <v>943</v>
      </c>
    </row>
    <row r="945" spans="1:16" x14ac:dyDescent="0.3">
      <c r="A945" s="1">
        <v>44790</v>
      </c>
      <c r="B945" t="s">
        <v>13</v>
      </c>
      <c r="C945" t="s">
        <v>14</v>
      </c>
      <c r="D945" t="s">
        <v>12</v>
      </c>
      <c r="E945">
        <v>2</v>
      </c>
      <c r="F945" s="3">
        <v>1486</v>
      </c>
      <c r="G945" s="2">
        <v>201.07</v>
      </c>
      <c r="H945">
        <f>Master_ventas[[#This Row],[Profit]]/Master_ventas[[#This Row],[Sales]]</f>
        <v>0.13530955585464333</v>
      </c>
      <c r="I945">
        <f ca="1">Referencia_Hoy-Master_ventas[[#This Row],[Order Date]]</f>
        <v>1533</v>
      </c>
      <c r="J945" t="str">
        <f>UPPER(Master_ventas[[#This Row],[Product Name]])</f>
        <v>TABLET</v>
      </c>
      <c r="K945" t="str">
        <f>UPPER(Master_ventas[[#This Row],[Category]])</f>
        <v>ELECTRONICS</v>
      </c>
      <c r="L945">
        <f>YEAR(Master_ventas[[#This Row],[Order Date]])</f>
        <v>2022</v>
      </c>
      <c r="M945" t="str">
        <f>CONCATENATE(LEFT(Master_ventas[[#This Row],[ProdUpper]],3),RIGHT(Master_ventas[[#This Row],[Ext-Year]],2),"-",MID(Master_ventas[[#This Row],[Category]],1,1))</f>
        <v>TAB22-E</v>
      </c>
      <c r="N945" t="str">
        <f>MID(Master_ventas[[#This Row],[ProdUpper]],1,3)</f>
        <v>TAB</v>
      </c>
      <c r="O945" t="str">
        <f>UPPER(IF(Master_ventas[[#This Row],[Profit]]&gt;500,"High","Std"))</f>
        <v>STD</v>
      </c>
      <c r="P945">
        <v>944</v>
      </c>
    </row>
    <row r="946" spans="1:16" x14ac:dyDescent="0.3">
      <c r="A946" s="1">
        <v>45060</v>
      </c>
      <c r="B946" t="s">
        <v>7</v>
      </c>
      <c r="C946" t="s">
        <v>8</v>
      </c>
      <c r="D946" t="s">
        <v>15</v>
      </c>
      <c r="E946">
        <v>1</v>
      </c>
      <c r="F946" s="3">
        <v>1152</v>
      </c>
      <c r="G946" s="2">
        <v>280.27999999999997</v>
      </c>
      <c r="H946">
        <f>Master_ventas[[#This Row],[Profit]]/Master_ventas[[#This Row],[Sales]]</f>
        <v>0.24329861111111109</v>
      </c>
      <c r="I946">
        <f ca="1">Referencia_Hoy-Master_ventas[[#This Row],[Order Date]]</f>
        <v>1263</v>
      </c>
      <c r="J946" t="str">
        <f>UPPER(Master_ventas[[#This Row],[Product Name]])</f>
        <v>PRINTER</v>
      </c>
      <c r="K946" t="str">
        <f>UPPER(Master_ventas[[#This Row],[Category]])</f>
        <v>OFFICE</v>
      </c>
      <c r="L946">
        <f>YEAR(Master_ventas[[#This Row],[Order Date]])</f>
        <v>2023</v>
      </c>
      <c r="M946" t="str">
        <f>CONCATENATE(LEFT(Master_ventas[[#This Row],[ProdUpper]],3),RIGHT(Master_ventas[[#This Row],[Ext-Year]],2),"-",MID(Master_ventas[[#This Row],[Category]],1,1))</f>
        <v>PRI23-O</v>
      </c>
      <c r="N946" t="str">
        <f>MID(Master_ventas[[#This Row],[ProdUpper]],1,3)</f>
        <v>PRI</v>
      </c>
      <c r="O946" t="str">
        <f>UPPER(IF(Master_ventas[[#This Row],[Profit]]&gt;500,"High","Std"))</f>
        <v>STD</v>
      </c>
      <c r="P946">
        <v>945</v>
      </c>
    </row>
    <row r="947" spans="1:16" x14ac:dyDescent="0.3">
      <c r="A947" s="1">
        <v>44632</v>
      </c>
      <c r="B947" t="s">
        <v>19</v>
      </c>
      <c r="C947" t="s">
        <v>14</v>
      </c>
      <c r="D947" t="s">
        <v>16</v>
      </c>
      <c r="E947">
        <v>2</v>
      </c>
      <c r="F947" s="3">
        <v>1750</v>
      </c>
      <c r="G947" s="2">
        <v>103.99</v>
      </c>
      <c r="H947">
        <f>Master_ventas[[#This Row],[Profit]]/Master_ventas[[#This Row],[Sales]]</f>
        <v>5.9422857142857138E-2</v>
      </c>
      <c r="I947">
        <f ca="1">Referencia_Hoy-Master_ventas[[#This Row],[Order Date]]</f>
        <v>1691</v>
      </c>
      <c r="J947" t="str">
        <f>UPPER(Master_ventas[[#This Row],[Product Name]])</f>
        <v>SMARTWATCH</v>
      </c>
      <c r="K947" t="str">
        <f>UPPER(Master_ventas[[#This Row],[Category]])</f>
        <v>ELECTRONICS</v>
      </c>
      <c r="L947">
        <f>YEAR(Master_ventas[[#This Row],[Order Date]])</f>
        <v>2022</v>
      </c>
      <c r="M947" t="str">
        <f>CONCATENATE(LEFT(Master_ventas[[#This Row],[ProdUpper]],3),RIGHT(Master_ventas[[#This Row],[Ext-Year]],2),"-",MID(Master_ventas[[#This Row],[Category]],1,1))</f>
        <v>SMA22-E</v>
      </c>
      <c r="N947" t="str">
        <f>MID(Master_ventas[[#This Row],[ProdUpper]],1,3)</f>
        <v>SMA</v>
      </c>
      <c r="O947" t="str">
        <f>UPPER(IF(Master_ventas[[#This Row],[Profit]]&gt;500,"High","Std"))</f>
        <v>STD</v>
      </c>
      <c r="P947">
        <v>946</v>
      </c>
    </row>
    <row r="948" spans="1:16" x14ac:dyDescent="0.3">
      <c r="A948" s="1">
        <v>44754</v>
      </c>
      <c r="B948" t="s">
        <v>21</v>
      </c>
      <c r="C948" t="s">
        <v>14</v>
      </c>
      <c r="D948" t="s">
        <v>16</v>
      </c>
      <c r="E948">
        <v>7</v>
      </c>
      <c r="F948" s="3">
        <v>4417</v>
      </c>
      <c r="G948" s="2">
        <v>495.37</v>
      </c>
      <c r="H948">
        <f>Master_ventas[[#This Row],[Profit]]/Master_ventas[[#This Row],[Sales]]</f>
        <v>0.11215078107312655</v>
      </c>
      <c r="I948">
        <f ca="1">Referencia_Hoy-Master_ventas[[#This Row],[Order Date]]</f>
        <v>1569</v>
      </c>
      <c r="J948" t="str">
        <f>UPPER(Master_ventas[[#This Row],[Product Name]])</f>
        <v>SMARTPHONE</v>
      </c>
      <c r="K948" t="str">
        <f>UPPER(Master_ventas[[#This Row],[Category]])</f>
        <v>ELECTRONICS</v>
      </c>
      <c r="L948">
        <f>YEAR(Master_ventas[[#This Row],[Order Date]])</f>
        <v>2022</v>
      </c>
      <c r="M948" t="str">
        <f>CONCATENATE(LEFT(Master_ventas[[#This Row],[ProdUpper]],3),RIGHT(Master_ventas[[#This Row],[Ext-Year]],2),"-",MID(Master_ventas[[#This Row],[Category]],1,1))</f>
        <v>SMA22-E</v>
      </c>
      <c r="N948" t="str">
        <f>MID(Master_ventas[[#This Row],[ProdUpper]],1,3)</f>
        <v>SMA</v>
      </c>
      <c r="O948" t="str">
        <f>UPPER(IF(Master_ventas[[#This Row],[Profit]]&gt;500,"High","Std"))</f>
        <v>STD</v>
      </c>
      <c r="P948">
        <v>947</v>
      </c>
    </row>
    <row r="949" spans="1:16" x14ac:dyDescent="0.3">
      <c r="A949" s="1">
        <v>45478</v>
      </c>
      <c r="B949" t="s">
        <v>23</v>
      </c>
      <c r="C949" t="s">
        <v>14</v>
      </c>
      <c r="D949" t="s">
        <v>15</v>
      </c>
      <c r="E949">
        <v>4</v>
      </c>
      <c r="F949" s="3">
        <v>3724</v>
      </c>
      <c r="G949" s="2">
        <v>276.85000000000002</v>
      </c>
      <c r="H949">
        <f>Master_ventas[[#This Row],[Profit]]/Master_ventas[[#This Row],[Sales]]</f>
        <v>7.4342105263157904E-2</v>
      </c>
      <c r="I949">
        <f ca="1">Referencia_Hoy-Master_ventas[[#This Row],[Order Date]]</f>
        <v>845</v>
      </c>
      <c r="J949" t="str">
        <f>UPPER(Master_ventas[[#This Row],[Product Name]])</f>
        <v>LAPTOP</v>
      </c>
      <c r="K949" t="str">
        <f>UPPER(Master_ventas[[#This Row],[Category]])</f>
        <v>ELECTRONICS</v>
      </c>
      <c r="L949">
        <f>YEAR(Master_ventas[[#This Row],[Order Date]])</f>
        <v>2024</v>
      </c>
      <c r="M949" t="str">
        <f>CONCATENATE(LEFT(Master_ventas[[#This Row],[ProdUpper]],3),RIGHT(Master_ventas[[#This Row],[Ext-Year]],2),"-",MID(Master_ventas[[#This Row],[Category]],1,1))</f>
        <v>LAP24-E</v>
      </c>
      <c r="N949" t="str">
        <f>MID(Master_ventas[[#This Row],[ProdUpper]],1,3)</f>
        <v>LAP</v>
      </c>
      <c r="O949" t="str">
        <f>UPPER(IF(Master_ventas[[#This Row],[Profit]]&gt;500,"High","Std"))</f>
        <v>STD</v>
      </c>
      <c r="P949">
        <v>948</v>
      </c>
    </row>
    <row r="950" spans="1:16" x14ac:dyDescent="0.3">
      <c r="A950" s="1">
        <v>45093</v>
      </c>
      <c r="B950" t="s">
        <v>17</v>
      </c>
      <c r="C950" t="s">
        <v>14</v>
      </c>
      <c r="D950" t="s">
        <v>16</v>
      </c>
      <c r="E950">
        <v>3</v>
      </c>
      <c r="F950" s="3">
        <v>2220</v>
      </c>
      <c r="G950" s="2">
        <v>121.14</v>
      </c>
      <c r="H950">
        <f>Master_ventas[[#This Row],[Profit]]/Master_ventas[[#This Row],[Sales]]</f>
        <v>5.4567567567567567E-2</v>
      </c>
      <c r="I950">
        <f ca="1">Referencia_Hoy-Master_ventas[[#This Row],[Order Date]]</f>
        <v>1230</v>
      </c>
      <c r="J950" t="str">
        <f>UPPER(Master_ventas[[#This Row],[Product Name]])</f>
        <v>CAMERA</v>
      </c>
      <c r="K950" t="str">
        <f>UPPER(Master_ventas[[#This Row],[Category]])</f>
        <v>ELECTRONICS</v>
      </c>
      <c r="L950">
        <f>YEAR(Master_ventas[[#This Row],[Order Date]])</f>
        <v>2023</v>
      </c>
      <c r="M950" t="str">
        <f>CONCATENATE(LEFT(Master_ventas[[#This Row],[ProdUpper]],3),RIGHT(Master_ventas[[#This Row],[Ext-Year]],2),"-",MID(Master_ventas[[#This Row],[Category]],1,1))</f>
        <v>CAM23-E</v>
      </c>
      <c r="N950" t="str">
        <f>MID(Master_ventas[[#This Row],[ProdUpper]],1,3)</f>
        <v>CAM</v>
      </c>
      <c r="O950" t="str">
        <f>UPPER(IF(Master_ventas[[#This Row],[Profit]]&gt;500,"High","Std"))</f>
        <v>STD</v>
      </c>
      <c r="P950">
        <v>949</v>
      </c>
    </row>
    <row r="951" spans="1:16" x14ac:dyDescent="0.3">
      <c r="A951" s="1">
        <v>45097</v>
      </c>
      <c r="B951" t="s">
        <v>20</v>
      </c>
      <c r="C951" t="s">
        <v>11</v>
      </c>
      <c r="D951" t="s">
        <v>16</v>
      </c>
      <c r="E951">
        <v>8</v>
      </c>
      <c r="F951" s="3">
        <v>9104</v>
      </c>
      <c r="G951" s="2">
        <v>2620.58</v>
      </c>
      <c r="H951">
        <f>Master_ventas[[#This Row],[Profit]]/Master_ventas[[#This Row],[Sales]]</f>
        <v>0.28784929701230227</v>
      </c>
      <c r="I951">
        <f ca="1">Referencia_Hoy-Master_ventas[[#This Row],[Order Date]]</f>
        <v>1226</v>
      </c>
      <c r="J951" t="str">
        <f>UPPER(Master_ventas[[#This Row],[Product Name]])</f>
        <v>MONITOR</v>
      </c>
      <c r="K951" t="str">
        <f>UPPER(Master_ventas[[#This Row],[Category]])</f>
        <v>ACCESSORIES</v>
      </c>
      <c r="L951">
        <f>YEAR(Master_ventas[[#This Row],[Order Date]])</f>
        <v>2023</v>
      </c>
      <c r="M951" t="str">
        <f>CONCATENATE(LEFT(Master_ventas[[#This Row],[ProdUpper]],3),RIGHT(Master_ventas[[#This Row],[Ext-Year]],2),"-",MID(Master_ventas[[#This Row],[Category]],1,1))</f>
        <v>MON23-A</v>
      </c>
      <c r="N951" t="str">
        <f>MID(Master_ventas[[#This Row],[ProdUpper]],1,3)</f>
        <v>MON</v>
      </c>
      <c r="O951" t="str">
        <f>UPPER(IF(Master_ventas[[#This Row],[Profit]]&gt;500,"High","Std"))</f>
        <v>HIGH</v>
      </c>
      <c r="P951">
        <v>950</v>
      </c>
    </row>
    <row r="952" spans="1:16" x14ac:dyDescent="0.3">
      <c r="A952" s="1">
        <v>45512</v>
      </c>
      <c r="B952" t="s">
        <v>7</v>
      </c>
      <c r="C952" t="s">
        <v>8</v>
      </c>
      <c r="D952" t="s">
        <v>16</v>
      </c>
      <c r="E952">
        <v>3</v>
      </c>
      <c r="F952" s="3">
        <v>3093</v>
      </c>
      <c r="G952" s="2">
        <v>584.23</v>
      </c>
      <c r="H952">
        <f>Master_ventas[[#This Row],[Profit]]/Master_ventas[[#This Row],[Sales]]</f>
        <v>0.18888781118655029</v>
      </c>
      <c r="I952">
        <f ca="1">Referencia_Hoy-Master_ventas[[#This Row],[Order Date]]</f>
        <v>811</v>
      </c>
      <c r="J952" t="str">
        <f>UPPER(Master_ventas[[#This Row],[Product Name]])</f>
        <v>PRINTER</v>
      </c>
      <c r="K952" t="str">
        <f>UPPER(Master_ventas[[#This Row],[Category]])</f>
        <v>OFFICE</v>
      </c>
      <c r="L952">
        <f>YEAR(Master_ventas[[#This Row],[Order Date]])</f>
        <v>2024</v>
      </c>
      <c r="M952" t="str">
        <f>CONCATENATE(LEFT(Master_ventas[[#This Row],[ProdUpper]],3),RIGHT(Master_ventas[[#This Row],[Ext-Year]],2),"-",MID(Master_ventas[[#This Row],[Category]],1,1))</f>
        <v>PRI24-O</v>
      </c>
      <c r="N952" t="str">
        <f>MID(Master_ventas[[#This Row],[ProdUpper]],1,3)</f>
        <v>PRI</v>
      </c>
      <c r="O952" t="str">
        <f>UPPER(IF(Master_ventas[[#This Row],[Profit]]&gt;500,"High","Std"))</f>
        <v>HIGH</v>
      </c>
      <c r="P952">
        <v>951</v>
      </c>
    </row>
    <row r="953" spans="1:16" x14ac:dyDescent="0.3">
      <c r="A953" s="1">
        <v>44986</v>
      </c>
      <c r="B953" t="s">
        <v>18</v>
      </c>
      <c r="C953" t="s">
        <v>11</v>
      </c>
      <c r="D953" t="s">
        <v>15</v>
      </c>
      <c r="E953">
        <v>6</v>
      </c>
      <c r="F953" s="3">
        <v>3048</v>
      </c>
      <c r="G953" s="2">
        <v>842.24</v>
      </c>
      <c r="H953">
        <f>Master_ventas[[#This Row],[Profit]]/Master_ventas[[#This Row],[Sales]]</f>
        <v>0.27632545931758529</v>
      </c>
      <c r="I953">
        <f ca="1">Referencia_Hoy-Master_ventas[[#This Row],[Order Date]]</f>
        <v>1337</v>
      </c>
      <c r="J953" t="str">
        <f>UPPER(Master_ventas[[#This Row],[Product Name]])</f>
        <v>HEADPHONES</v>
      </c>
      <c r="K953" t="str">
        <f>UPPER(Master_ventas[[#This Row],[Category]])</f>
        <v>ACCESSORIES</v>
      </c>
      <c r="L953">
        <f>YEAR(Master_ventas[[#This Row],[Order Date]])</f>
        <v>2023</v>
      </c>
      <c r="M953" t="str">
        <f>CONCATENATE(LEFT(Master_ventas[[#This Row],[ProdUpper]],3),RIGHT(Master_ventas[[#This Row],[Ext-Year]],2),"-",MID(Master_ventas[[#This Row],[Category]],1,1))</f>
        <v>HEA23-A</v>
      </c>
      <c r="N953" t="str">
        <f>MID(Master_ventas[[#This Row],[ProdUpper]],1,3)</f>
        <v>HEA</v>
      </c>
      <c r="O953" t="str">
        <f>UPPER(IF(Master_ventas[[#This Row],[Profit]]&gt;500,"High","Std"))</f>
        <v>HIGH</v>
      </c>
      <c r="P953">
        <v>952</v>
      </c>
    </row>
    <row r="954" spans="1:16" x14ac:dyDescent="0.3">
      <c r="A954" s="1">
        <v>44683</v>
      </c>
      <c r="B954" t="s">
        <v>21</v>
      </c>
      <c r="C954" t="s">
        <v>14</v>
      </c>
      <c r="D954" t="s">
        <v>9</v>
      </c>
      <c r="E954">
        <v>1</v>
      </c>
      <c r="F954" s="3">
        <v>161</v>
      </c>
      <c r="G954" s="2">
        <v>36.58</v>
      </c>
      <c r="H954">
        <f>Master_ventas[[#This Row],[Profit]]/Master_ventas[[#This Row],[Sales]]</f>
        <v>0.22720496894409936</v>
      </c>
      <c r="I954">
        <f ca="1">Referencia_Hoy-Master_ventas[[#This Row],[Order Date]]</f>
        <v>1640</v>
      </c>
      <c r="J954" t="str">
        <f>UPPER(Master_ventas[[#This Row],[Product Name]])</f>
        <v>SMARTPHONE</v>
      </c>
      <c r="K954" t="str">
        <f>UPPER(Master_ventas[[#This Row],[Category]])</f>
        <v>ELECTRONICS</v>
      </c>
      <c r="L954">
        <f>YEAR(Master_ventas[[#This Row],[Order Date]])</f>
        <v>2022</v>
      </c>
      <c r="M954" t="str">
        <f>CONCATENATE(LEFT(Master_ventas[[#This Row],[ProdUpper]],3),RIGHT(Master_ventas[[#This Row],[Ext-Year]],2),"-",MID(Master_ventas[[#This Row],[Category]],1,1))</f>
        <v>SMA22-E</v>
      </c>
      <c r="N954" t="str">
        <f>MID(Master_ventas[[#This Row],[ProdUpper]],1,3)</f>
        <v>SMA</v>
      </c>
      <c r="O954" t="str">
        <f>UPPER(IF(Master_ventas[[#This Row],[Profit]]&gt;500,"High","Std"))</f>
        <v>STD</v>
      </c>
      <c r="P954">
        <v>953</v>
      </c>
    </row>
    <row r="955" spans="1:16" x14ac:dyDescent="0.3">
      <c r="A955" s="1">
        <v>45130</v>
      </c>
      <c r="B955" t="s">
        <v>20</v>
      </c>
      <c r="C955" t="s">
        <v>11</v>
      </c>
      <c r="D955" t="s">
        <v>16</v>
      </c>
      <c r="E955">
        <v>7</v>
      </c>
      <c r="F955" s="3">
        <v>7238</v>
      </c>
      <c r="G955" s="2">
        <v>1889.69</v>
      </c>
      <c r="H955">
        <f>Master_ventas[[#This Row],[Profit]]/Master_ventas[[#This Row],[Sales]]</f>
        <v>0.26107902735562311</v>
      </c>
      <c r="I955">
        <f ca="1">Referencia_Hoy-Master_ventas[[#This Row],[Order Date]]</f>
        <v>1193</v>
      </c>
      <c r="J955" t="str">
        <f>UPPER(Master_ventas[[#This Row],[Product Name]])</f>
        <v>MONITOR</v>
      </c>
      <c r="K955" t="str">
        <f>UPPER(Master_ventas[[#This Row],[Category]])</f>
        <v>ACCESSORIES</v>
      </c>
      <c r="L955">
        <f>YEAR(Master_ventas[[#This Row],[Order Date]])</f>
        <v>2023</v>
      </c>
      <c r="M955" t="str">
        <f>CONCATENATE(LEFT(Master_ventas[[#This Row],[ProdUpper]],3),RIGHT(Master_ventas[[#This Row],[Ext-Year]],2),"-",MID(Master_ventas[[#This Row],[Category]],1,1))</f>
        <v>MON23-A</v>
      </c>
      <c r="N955" t="str">
        <f>MID(Master_ventas[[#This Row],[ProdUpper]],1,3)</f>
        <v>MON</v>
      </c>
      <c r="O955" t="str">
        <f>UPPER(IF(Master_ventas[[#This Row],[Profit]]&gt;500,"High","Std"))</f>
        <v>HIGH</v>
      </c>
      <c r="P955">
        <v>954</v>
      </c>
    </row>
    <row r="956" spans="1:16" x14ac:dyDescent="0.3">
      <c r="A956" s="1">
        <v>45381</v>
      </c>
      <c r="B956" t="s">
        <v>21</v>
      </c>
      <c r="C956" t="s">
        <v>14</v>
      </c>
      <c r="D956" t="s">
        <v>9</v>
      </c>
      <c r="E956">
        <v>3</v>
      </c>
      <c r="F956" s="3">
        <v>3561</v>
      </c>
      <c r="G956" s="2">
        <v>347.31</v>
      </c>
      <c r="H956">
        <f>Master_ventas[[#This Row],[Profit]]/Master_ventas[[#This Row],[Sales]]</f>
        <v>9.7531592249368151E-2</v>
      </c>
      <c r="I956">
        <f ca="1">Referencia_Hoy-Master_ventas[[#This Row],[Order Date]]</f>
        <v>942</v>
      </c>
      <c r="J956" t="str">
        <f>UPPER(Master_ventas[[#This Row],[Product Name]])</f>
        <v>SMARTPHONE</v>
      </c>
      <c r="K956" t="str">
        <f>UPPER(Master_ventas[[#This Row],[Category]])</f>
        <v>ELECTRONICS</v>
      </c>
      <c r="L956">
        <f>YEAR(Master_ventas[[#This Row],[Order Date]])</f>
        <v>2024</v>
      </c>
      <c r="M956" t="str">
        <f>CONCATENATE(LEFT(Master_ventas[[#This Row],[ProdUpper]],3),RIGHT(Master_ventas[[#This Row],[Ext-Year]],2),"-",MID(Master_ventas[[#This Row],[Category]],1,1))</f>
        <v>SMA24-E</v>
      </c>
      <c r="N956" t="str">
        <f>MID(Master_ventas[[#This Row],[ProdUpper]],1,3)</f>
        <v>SMA</v>
      </c>
      <c r="O956" t="str">
        <f>UPPER(IF(Master_ventas[[#This Row],[Profit]]&gt;500,"High","Std"))</f>
        <v>STD</v>
      </c>
      <c r="P956">
        <v>955</v>
      </c>
    </row>
    <row r="957" spans="1:16" x14ac:dyDescent="0.3">
      <c r="A957" s="1">
        <v>44780</v>
      </c>
      <c r="B957" t="s">
        <v>20</v>
      </c>
      <c r="C957" t="s">
        <v>11</v>
      </c>
      <c r="D957" t="s">
        <v>9</v>
      </c>
      <c r="E957">
        <v>5</v>
      </c>
      <c r="F957" s="3">
        <v>1850</v>
      </c>
      <c r="G957" s="2">
        <v>534.39</v>
      </c>
      <c r="H957">
        <f>Master_ventas[[#This Row],[Profit]]/Master_ventas[[#This Row],[Sales]]</f>
        <v>0.28885945945945946</v>
      </c>
      <c r="I957">
        <f ca="1">Referencia_Hoy-Master_ventas[[#This Row],[Order Date]]</f>
        <v>1543</v>
      </c>
      <c r="J957" t="str">
        <f>UPPER(Master_ventas[[#This Row],[Product Name]])</f>
        <v>MONITOR</v>
      </c>
      <c r="K957" t="str">
        <f>UPPER(Master_ventas[[#This Row],[Category]])</f>
        <v>ACCESSORIES</v>
      </c>
      <c r="L957">
        <f>YEAR(Master_ventas[[#This Row],[Order Date]])</f>
        <v>2022</v>
      </c>
      <c r="M957" t="str">
        <f>CONCATENATE(LEFT(Master_ventas[[#This Row],[ProdUpper]],3),RIGHT(Master_ventas[[#This Row],[Ext-Year]],2),"-",MID(Master_ventas[[#This Row],[Category]],1,1))</f>
        <v>MON22-A</v>
      </c>
      <c r="N957" t="str">
        <f>MID(Master_ventas[[#This Row],[ProdUpper]],1,3)</f>
        <v>MON</v>
      </c>
      <c r="O957" t="str">
        <f>UPPER(IF(Master_ventas[[#This Row],[Profit]]&gt;500,"High","Std"))</f>
        <v>HIGH</v>
      </c>
      <c r="P957">
        <v>956</v>
      </c>
    </row>
    <row r="958" spans="1:16" x14ac:dyDescent="0.3">
      <c r="A958" s="1">
        <v>44626</v>
      </c>
      <c r="B958" t="s">
        <v>10</v>
      </c>
      <c r="C958" t="s">
        <v>11</v>
      </c>
      <c r="D958" t="s">
        <v>16</v>
      </c>
      <c r="E958">
        <v>6</v>
      </c>
      <c r="F958" s="3">
        <v>3522</v>
      </c>
      <c r="G958" s="2">
        <v>626.72</v>
      </c>
      <c r="H958">
        <f>Master_ventas[[#This Row],[Profit]]/Master_ventas[[#This Row],[Sales]]</f>
        <v>0.17794434980124929</v>
      </c>
      <c r="I958">
        <f ca="1">Referencia_Hoy-Master_ventas[[#This Row],[Order Date]]</f>
        <v>1697</v>
      </c>
      <c r="J958" t="str">
        <f>UPPER(Master_ventas[[#This Row],[Product Name]])</f>
        <v>MOUSE</v>
      </c>
      <c r="K958" t="str">
        <f>UPPER(Master_ventas[[#This Row],[Category]])</f>
        <v>ACCESSORIES</v>
      </c>
      <c r="L958">
        <f>YEAR(Master_ventas[[#This Row],[Order Date]])</f>
        <v>2022</v>
      </c>
      <c r="M958" t="str">
        <f>CONCATENATE(LEFT(Master_ventas[[#This Row],[ProdUpper]],3),RIGHT(Master_ventas[[#This Row],[Ext-Year]],2),"-",MID(Master_ventas[[#This Row],[Category]],1,1))</f>
        <v>MOU22-A</v>
      </c>
      <c r="N958" t="str">
        <f>MID(Master_ventas[[#This Row],[ProdUpper]],1,3)</f>
        <v>MOU</v>
      </c>
      <c r="O958" t="str">
        <f>UPPER(IF(Master_ventas[[#This Row],[Profit]]&gt;500,"High","Std"))</f>
        <v>HIGH</v>
      </c>
      <c r="P958">
        <v>957</v>
      </c>
    </row>
    <row r="959" spans="1:16" x14ac:dyDescent="0.3">
      <c r="A959" s="1">
        <v>45254</v>
      </c>
      <c r="B959" t="s">
        <v>19</v>
      </c>
      <c r="C959" t="s">
        <v>14</v>
      </c>
      <c r="D959" t="s">
        <v>12</v>
      </c>
      <c r="E959">
        <v>1</v>
      </c>
      <c r="F959" s="3">
        <v>584</v>
      </c>
      <c r="G959" s="2">
        <v>172.4</v>
      </c>
      <c r="H959">
        <f>Master_ventas[[#This Row],[Profit]]/Master_ventas[[#This Row],[Sales]]</f>
        <v>0.29520547945205483</v>
      </c>
      <c r="I959">
        <f ca="1">Referencia_Hoy-Master_ventas[[#This Row],[Order Date]]</f>
        <v>1069</v>
      </c>
      <c r="J959" t="str">
        <f>UPPER(Master_ventas[[#This Row],[Product Name]])</f>
        <v>SMARTWATCH</v>
      </c>
      <c r="K959" t="str">
        <f>UPPER(Master_ventas[[#This Row],[Category]])</f>
        <v>ELECTRONICS</v>
      </c>
      <c r="L959">
        <f>YEAR(Master_ventas[[#This Row],[Order Date]])</f>
        <v>2023</v>
      </c>
      <c r="M959" t="str">
        <f>CONCATENATE(LEFT(Master_ventas[[#This Row],[ProdUpper]],3),RIGHT(Master_ventas[[#This Row],[Ext-Year]],2),"-",MID(Master_ventas[[#This Row],[Category]],1,1))</f>
        <v>SMA23-E</v>
      </c>
      <c r="N959" t="str">
        <f>MID(Master_ventas[[#This Row],[ProdUpper]],1,3)</f>
        <v>SMA</v>
      </c>
      <c r="O959" t="str">
        <f>UPPER(IF(Master_ventas[[#This Row],[Profit]]&gt;500,"High","Std"))</f>
        <v>STD</v>
      </c>
      <c r="P959">
        <v>958</v>
      </c>
    </row>
    <row r="960" spans="1:16" x14ac:dyDescent="0.3">
      <c r="A960" s="1">
        <v>45169</v>
      </c>
      <c r="B960" t="s">
        <v>21</v>
      </c>
      <c r="C960" t="s">
        <v>14</v>
      </c>
      <c r="D960" t="s">
        <v>12</v>
      </c>
      <c r="E960">
        <v>4</v>
      </c>
      <c r="F960" s="3">
        <v>2556</v>
      </c>
      <c r="G960" s="2">
        <v>412.44</v>
      </c>
      <c r="H960">
        <f>Master_ventas[[#This Row],[Profit]]/Master_ventas[[#This Row],[Sales]]</f>
        <v>0.16136150234741783</v>
      </c>
      <c r="I960">
        <f ca="1">Referencia_Hoy-Master_ventas[[#This Row],[Order Date]]</f>
        <v>1154</v>
      </c>
      <c r="J960" t="str">
        <f>UPPER(Master_ventas[[#This Row],[Product Name]])</f>
        <v>SMARTPHONE</v>
      </c>
      <c r="K960" t="str">
        <f>UPPER(Master_ventas[[#This Row],[Category]])</f>
        <v>ELECTRONICS</v>
      </c>
      <c r="L960">
        <f>YEAR(Master_ventas[[#This Row],[Order Date]])</f>
        <v>2023</v>
      </c>
      <c r="M960" t="str">
        <f>CONCATENATE(LEFT(Master_ventas[[#This Row],[ProdUpper]],3),RIGHT(Master_ventas[[#This Row],[Ext-Year]],2),"-",MID(Master_ventas[[#This Row],[Category]],1,1))</f>
        <v>SMA23-E</v>
      </c>
      <c r="N960" t="str">
        <f>MID(Master_ventas[[#This Row],[ProdUpper]],1,3)</f>
        <v>SMA</v>
      </c>
      <c r="O960" t="str">
        <f>UPPER(IF(Master_ventas[[#This Row],[Profit]]&gt;500,"High","Std"))</f>
        <v>STD</v>
      </c>
      <c r="P960">
        <v>959</v>
      </c>
    </row>
    <row r="961" spans="1:16" x14ac:dyDescent="0.3">
      <c r="A961" s="1">
        <v>45213</v>
      </c>
      <c r="B961" t="s">
        <v>21</v>
      </c>
      <c r="C961" t="s">
        <v>14</v>
      </c>
      <c r="D961" t="s">
        <v>15</v>
      </c>
      <c r="E961">
        <v>2</v>
      </c>
      <c r="F961" s="3">
        <v>348</v>
      </c>
      <c r="G961" s="2">
        <v>56.31</v>
      </c>
      <c r="H961">
        <f>Master_ventas[[#This Row],[Profit]]/Master_ventas[[#This Row],[Sales]]</f>
        <v>0.16181034482758622</v>
      </c>
      <c r="I961">
        <f ca="1">Referencia_Hoy-Master_ventas[[#This Row],[Order Date]]</f>
        <v>1110</v>
      </c>
      <c r="J961" t="str">
        <f>UPPER(Master_ventas[[#This Row],[Product Name]])</f>
        <v>SMARTPHONE</v>
      </c>
      <c r="K961" t="str">
        <f>UPPER(Master_ventas[[#This Row],[Category]])</f>
        <v>ELECTRONICS</v>
      </c>
      <c r="L961">
        <f>YEAR(Master_ventas[[#This Row],[Order Date]])</f>
        <v>2023</v>
      </c>
      <c r="M961" t="str">
        <f>CONCATENATE(LEFT(Master_ventas[[#This Row],[ProdUpper]],3),RIGHT(Master_ventas[[#This Row],[Ext-Year]],2),"-",MID(Master_ventas[[#This Row],[Category]],1,1))</f>
        <v>SMA23-E</v>
      </c>
      <c r="N961" t="str">
        <f>MID(Master_ventas[[#This Row],[ProdUpper]],1,3)</f>
        <v>SMA</v>
      </c>
      <c r="O961" t="str">
        <f>UPPER(IF(Master_ventas[[#This Row],[Profit]]&gt;500,"High","Std"))</f>
        <v>STD</v>
      </c>
      <c r="P961">
        <v>960</v>
      </c>
    </row>
    <row r="962" spans="1:16" x14ac:dyDescent="0.3">
      <c r="A962" s="1">
        <v>45062</v>
      </c>
      <c r="B962" t="s">
        <v>20</v>
      </c>
      <c r="C962" t="s">
        <v>11</v>
      </c>
      <c r="D962" t="s">
        <v>15</v>
      </c>
      <c r="E962">
        <v>9</v>
      </c>
      <c r="F962" s="3">
        <v>1602</v>
      </c>
      <c r="G962" s="2">
        <v>142.49</v>
      </c>
      <c r="H962">
        <f>Master_ventas[[#This Row],[Profit]]/Master_ventas[[#This Row],[Sales]]</f>
        <v>8.8945068664169791E-2</v>
      </c>
      <c r="I962">
        <f ca="1">Referencia_Hoy-Master_ventas[[#This Row],[Order Date]]</f>
        <v>1261</v>
      </c>
      <c r="J962" t="str">
        <f>UPPER(Master_ventas[[#This Row],[Product Name]])</f>
        <v>MONITOR</v>
      </c>
      <c r="K962" t="str">
        <f>UPPER(Master_ventas[[#This Row],[Category]])</f>
        <v>ACCESSORIES</v>
      </c>
      <c r="L962">
        <f>YEAR(Master_ventas[[#This Row],[Order Date]])</f>
        <v>2023</v>
      </c>
      <c r="M962" t="str">
        <f>CONCATENATE(LEFT(Master_ventas[[#This Row],[ProdUpper]],3),RIGHT(Master_ventas[[#This Row],[Ext-Year]],2),"-",MID(Master_ventas[[#This Row],[Category]],1,1))</f>
        <v>MON23-A</v>
      </c>
      <c r="N962" t="str">
        <f>MID(Master_ventas[[#This Row],[ProdUpper]],1,3)</f>
        <v>MON</v>
      </c>
      <c r="O962" t="str">
        <f>UPPER(IF(Master_ventas[[#This Row],[Profit]]&gt;500,"High","Std"))</f>
        <v>STD</v>
      </c>
      <c r="P962">
        <v>961</v>
      </c>
    </row>
    <row r="963" spans="1:16" x14ac:dyDescent="0.3">
      <c r="A963" s="1">
        <v>45096</v>
      </c>
      <c r="B963" t="s">
        <v>20</v>
      </c>
      <c r="C963" t="s">
        <v>11</v>
      </c>
      <c r="D963" t="s">
        <v>15</v>
      </c>
      <c r="E963">
        <v>3</v>
      </c>
      <c r="F963" s="3">
        <v>2853</v>
      </c>
      <c r="G963" s="2">
        <v>437.59</v>
      </c>
      <c r="H963">
        <f>Master_ventas[[#This Row],[Profit]]/Master_ventas[[#This Row],[Sales]]</f>
        <v>0.15337889940413599</v>
      </c>
      <c r="I963">
        <f ca="1">Referencia_Hoy-Master_ventas[[#This Row],[Order Date]]</f>
        <v>1227</v>
      </c>
      <c r="J963" t="str">
        <f>UPPER(Master_ventas[[#This Row],[Product Name]])</f>
        <v>MONITOR</v>
      </c>
      <c r="K963" t="str">
        <f>UPPER(Master_ventas[[#This Row],[Category]])</f>
        <v>ACCESSORIES</v>
      </c>
      <c r="L963">
        <f>YEAR(Master_ventas[[#This Row],[Order Date]])</f>
        <v>2023</v>
      </c>
      <c r="M963" t="str">
        <f>CONCATENATE(LEFT(Master_ventas[[#This Row],[ProdUpper]],3),RIGHT(Master_ventas[[#This Row],[Ext-Year]],2),"-",MID(Master_ventas[[#This Row],[Category]],1,1))</f>
        <v>MON23-A</v>
      </c>
      <c r="N963" t="str">
        <f>MID(Master_ventas[[#This Row],[ProdUpper]],1,3)</f>
        <v>MON</v>
      </c>
      <c r="O963" t="str">
        <f>UPPER(IF(Master_ventas[[#This Row],[Profit]]&gt;500,"High","Std"))</f>
        <v>STD</v>
      </c>
      <c r="P963">
        <v>962</v>
      </c>
    </row>
    <row r="964" spans="1:16" x14ac:dyDescent="0.3">
      <c r="A964" s="1">
        <v>45128</v>
      </c>
      <c r="B964" t="s">
        <v>7</v>
      </c>
      <c r="C964" t="s">
        <v>8</v>
      </c>
      <c r="D964" t="s">
        <v>16</v>
      </c>
      <c r="E964">
        <v>1</v>
      </c>
      <c r="F964" s="3">
        <v>1024</v>
      </c>
      <c r="G964" s="2">
        <v>230.3</v>
      </c>
      <c r="H964">
        <f>Master_ventas[[#This Row],[Profit]]/Master_ventas[[#This Row],[Sales]]</f>
        <v>0.22490234375000001</v>
      </c>
      <c r="I964">
        <f ca="1">Referencia_Hoy-Master_ventas[[#This Row],[Order Date]]</f>
        <v>1195</v>
      </c>
      <c r="J964" t="str">
        <f>UPPER(Master_ventas[[#This Row],[Product Name]])</f>
        <v>PRINTER</v>
      </c>
      <c r="K964" t="str">
        <f>UPPER(Master_ventas[[#This Row],[Category]])</f>
        <v>OFFICE</v>
      </c>
      <c r="L964">
        <f>YEAR(Master_ventas[[#This Row],[Order Date]])</f>
        <v>2023</v>
      </c>
      <c r="M964" t="str">
        <f>CONCATENATE(LEFT(Master_ventas[[#This Row],[ProdUpper]],3),RIGHT(Master_ventas[[#This Row],[Ext-Year]],2),"-",MID(Master_ventas[[#This Row],[Category]],1,1))</f>
        <v>PRI23-O</v>
      </c>
      <c r="N964" t="str">
        <f>MID(Master_ventas[[#This Row],[ProdUpper]],1,3)</f>
        <v>PRI</v>
      </c>
      <c r="O964" t="str">
        <f>UPPER(IF(Master_ventas[[#This Row],[Profit]]&gt;500,"High","Std"))</f>
        <v>STD</v>
      </c>
      <c r="P964">
        <v>963</v>
      </c>
    </row>
    <row r="965" spans="1:16" x14ac:dyDescent="0.3">
      <c r="A965" s="1">
        <v>44640</v>
      </c>
      <c r="B965" t="s">
        <v>17</v>
      </c>
      <c r="C965" t="s">
        <v>14</v>
      </c>
      <c r="D965" t="s">
        <v>12</v>
      </c>
      <c r="E965">
        <v>5</v>
      </c>
      <c r="F965" s="3">
        <v>4485</v>
      </c>
      <c r="G965" s="2">
        <v>1324.49</v>
      </c>
      <c r="H965">
        <f>Master_ventas[[#This Row],[Profit]]/Master_ventas[[#This Row],[Sales]]</f>
        <v>0.29531549609810481</v>
      </c>
      <c r="I965">
        <f ca="1">Referencia_Hoy-Master_ventas[[#This Row],[Order Date]]</f>
        <v>1683</v>
      </c>
      <c r="J965" t="str">
        <f>UPPER(Master_ventas[[#This Row],[Product Name]])</f>
        <v>CAMERA</v>
      </c>
      <c r="K965" t="str">
        <f>UPPER(Master_ventas[[#This Row],[Category]])</f>
        <v>ELECTRONICS</v>
      </c>
      <c r="L965">
        <f>YEAR(Master_ventas[[#This Row],[Order Date]])</f>
        <v>2022</v>
      </c>
      <c r="M965" t="str">
        <f>CONCATENATE(LEFT(Master_ventas[[#This Row],[ProdUpper]],3),RIGHT(Master_ventas[[#This Row],[Ext-Year]],2),"-",MID(Master_ventas[[#This Row],[Category]],1,1))</f>
        <v>CAM22-E</v>
      </c>
      <c r="N965" t="str">
        <f>MID(Master_ventas[[#This Row],[ProdUpper]],1,3)</f>
        <v>CAM</v>
      </c>
      <c r="O965" t="str">
        <f>UPPER(IF(Master_ventas[[#This Row],[Profit]]&gt;500,"High","Std"))</f>
        <v>HIGH</v>
      </c>
      <c r="P965">
        <v>964</v>
      </c>
    </row>
    <row r="966" spans="1:16" x14ac:dyDescent="0.3">
      <c r="A966" s="1">
        <v>45144</v>
      </c>
      <c r="B966" t="s">
        <v>7</v>
      </c>
      <c r="C966" t="s">
        <v>8</v>
      </c>
      <c r="D966" t="s">
        <v>12</v>
      </c>
      <c r="E966">
        <v>2</v>
      </c>
      <c r="F966" s="3">
        <v>436</v>
      </c>
      <c r="G966" s="2">
        <v>79.69</v>
      </c>
      <c r="H966">
        <f>Master_ventas[[#This Row],[Profit]]/Master_ventas[[#This Row],[Sales]]</f>
        <v>0.18277522935779816</v>
      </c>
      <c r="I966">
        <f ca="1">Referencia_Hoy-Master_ventas[[#This Row],[Order Date]]</f>
        <v>1179</v>
      </c>
      <c r="J966" t="str">
        <f>UPPER(Master_ventas[[#This Row],[Product Name]])</f>
        <v>PRINTER</v>
      </c>
      <c r="K966" t="str">
        <f>UPPER(Master_ventas[[#This Row],[Category]])</f>
        <v>OFFICE</v>
      </c>
      <c r="L966">
        <f>YEAR(Master_ventas[[#This Row],[Order Date]])</f>
        <v>2023</v>
      </c>
      <c r="M966" t="str">
        <f>CONCATENATE(LEFT(Master_ventas[[#This Row],[ProdUpper]],3),RIGHT(Master_ventas[[#This Row],[Ext-Year]],2),"-",MID(Master_ventas[[#This Row],[Category]],1,1))</f>
        <v>PRI23-O</v>
      </c>
      <c r="N966" t="str">
        <f>MID(Master_ventas[[#This Row],[ProdUpper]],1,3)</f>
        <v>PRI</v>
      </c>
      <c r="O966" t="str">
        <f>UPPER(IF(Master_ventas[[#This Row],[Profit]]&gt;500,"High","Std"))</f>
        <v>STD</v>
      </c>
      <c r="P966">
        <v>965</v>
      </c>
    </row>
    <row r="967" spans="1:16" x14ac:dyDescent="0.3">
      <c r="A967" s="1">
        <v>45586</v>
      </c>
      <c r="B967" t="s">
        <v>19</v>
      </c>
      <c r="C967" t="s">
        <v>14</v>
      </c>
      <c r="D967" t="s">
        <v>9</v>
      </c>
      <c r="E967">
        <v>2</v>
      </c>
      <c r="F967" s="3">
        <v>2232</v>
      </c>
      <c r="G967" s="2">
        <v>150.12</v>
      </c>
      <c r="H967">
        <f>Master_ventas[[#This Row],[Profit]]/Master_ventas[[#This Row],[Sales]]</f>
        <v>6.7258064516129035E-2</v>
      </c>
      <c r="I967">
        <f ca="1">Referencia_Hoy-Master_ventas[[#This Row],[Order Date]]</f>
        <v>737</v>
      </c>
      <c r="J967" t="str">
        <f>UPPER(Master_ventas[[#This Row],[Product Name]])</f>
        <v>SMARTWATCH</v>
      </c>
      <c r="K967" t="str">
        <f>UPPER(Master_ventas[[#This Row],[Category]])</f>
        <v>ELECTRONICS</v>
      </c>
      <c r="L967">
        <f>YEAR(Master_ventas[[#This Row],[Order Date]])</f>
        <v>2024</v>
      </c>
      <c r="M967" t="str">
        <f>CONCATENATE(LEFT(Master_ventas[[#This Row],[ProdUpper]],3),RIGHT(Master_ventas[[#This Row],[Ext-Year]],2),"-",MID(Master_ventas[[#This Row],[Category]],1,1))</f>
        <v>SMA24-E</v>
      </c>
      <c r="N967" t="str">
        <f>MID(Master_ventas[[#This Row],[ProdUpper]],1,3)</f>
        <v>SMA</v>
      </c>
      <c r="O967" t="str">
        <f>UPPER(IF(Master_ventas[[#This Row],[Profit]]&gt;500,"High","Std"))</f>
        <v>STD</v>
      </c>
      <c r="P967">
        <v>966</v>
      </c>
    </row>
    <row r="968" spans="1:16" x14ac:dyDescent="0.3">
      <c r="A968" s="1">
        <v>44787</v>
      </c>
      <c r="B968" t="s">
        <v>22</v>
      </c>
      <c r="C968" t="s">
        <v>11</v>
      </c>
      <c r="D968" t="s">
        <v>15</v>
      </c>
      <c r="E968">
        <v>6</v>
      </c>
      <c r="F968" s="3">
        <v>7056</v>
      </c>
      <c r="G968" s="2">
        <v>1445.01</v>
      </c>
      <c r="H968">
        <f>Master_ventas[[#This Row],[Profit]]/Master_ventas[[#This Row],[Sales]]</f>
        <v>0.20479166666666668</v>
      </c>
      <c r="I968">
        <f ca="1">Referencia_Hoy-Master_ventas[[#This Row],[Order Date]]</f>
        <v>1536</v>
      </c>
      <c r="J968" t="str">
        <f>UPPER(Master_ventas[[#This Row],[Product Name]])</f>
        <v>KEYBOARD</v>
      </c>
      <c r="K968" t="str">
        <f>UPPER(Master_ventas[[#This Row],[Category]])</f>
        <v>ACCESSORIES</v>
      </c>
      <c r="L968">
        <f>YEAR(Master_ventas[[#This Row],[Order Date]])</f>
        <v>2022</v>
      </c>
      <c r="M968" t="str">
        <f>CONCATENATE(LEFT(Master_ventas[[#This Row],[ProdUpper]],3),RIGHT(Master_ventas[[#This Row],[Ext-Year]],2),"-",MID(Master_ventas[[#This Row],[Category]],1,1))</f>
        <v>KEY22-A</v>
      </c>
      <c r="N968" t="str">
        <f>MID(Master_ventas[[#This Row],[ProdUpper]],1,3)</f>
        <v>KEY</v>
      </c>
      <c r="O968" t="str">
        <f>UPPER(IF(Master_ventas[[#This Row],[Profit]]&gt;500,"High","Std"))</f>
        <v>HIGH</v>
      </c>
      <c r="P968">
        <v>967</v>
      </c>
    </row>
    <row r="969" spans="1:16" x14ac:dyDescent="0.3">
      <c r="A969" s="1">
        <v>44635</v>
      </c>
      <c r="B969" t="s">
        <v>22</v>
      </c>
      <c r="C969" t="s">
        <v>11</v>
      </c>
      <c r="D969" t="s">
        <v>12</v>
      </c>
      <c r="E969">
        <v>5</v>
      </c>
      <c r="F969" s="3">
        <v>875</v>
      </c>
      <c r="G969" s="2">
        <v>96.65</v>
      </c>
      <c r="H969">
        <f>Master_ventas[[#This Row],[Profit]]/Master_ventas[[#This Row],[Sales]]</f>
        <v>0.11045714285714286</v>
      </c>
      <c r="I969">
        <f ca="1">Referencia_Hoy-Master_ventas[[#This Row],[Order Date]]</f>
        <v>1688</v>
      </c>
      <c r="J969" t="str">
        <f>UPPER(Master_ventas[[#This Row],[Product Name]])</f>
        <v>KEYBOARD</v>
      </c>
      <c r="K969" t="str">
        <f>UPPER(Master_ventas[[#This Row],[Category]])</f>
        <v>ACCESSORIES</v>
      </c>
      <c r="L969">
        <f>YEAR(Master_ventas[[#This Row],[Order Date]])</f>
        <v>2022</v>
      </c>
      <c r="M969" t="str">
        <f>CONCATENATE(LEFT(Master_ventas[[#This Row],[ProdUpper]],3),RIGHT(Master_ventas[[#This Row],[Ext-Year]],2),"-",MID(Master_ventas[[#This Row],[Category]],1,1))</f>
        <v>KEY22-A</v>
      </c>
      <c r="N969" t="str">
        <f>MID(Master_ventas[[#This Row],[ProdUpper]],1,3)</f>
        <v>KEY</v>
      </c>
      <c r="O969" t="str">
        <f>UPPER(IF(Master_ventas[[#This Row],[Profit]]&gt;500,"High","Std"))</f>
        <v>STD</v>
      </c>
      <c r="P969">
        <v>968</v>
      </c>
    </row>
    <row r="970" spans="1:16" x14ac:dyDescent="0.3">
      <c r="A970" s="1">
        <v>44593</v>
      </c>
      <c r="B970" t="s">
        <v>19</v>
      </c>
      <c r="C970" t="s">
        <v>14</v>
      </c>
      <c r="D970" t="s">
        <v>12</v>
      </c>
      <c r="E970">
        <v>3</v>
      </c>
      <c r="F970" s="3">
        <v>315</v>
      </c>
      <c r="G970" s="2">
        <v>61.94</v>
      </c>
      <c r="H970">
        <f>Master_ventas[[#This Row],[Profit]]/Master_ventas[[#This Row],[Sales]]</f>
        <v>0.19663492063492063</v>
      </c>
      <c r="I970">
        <f ca="1">Referencia_Hoy-Master_ventas[[#This Row],[Order Date]]</f>
        <v>1730</v>
      </c>
      <c r="J970" t="str">
        <f>UPPER(Master_ventas[[#This Row],[Product Name]])</f>
        <v>SMARTWATCH</v>
      </c>
      <c r="K970" t="str">
        <f>UPPER(Master_ventas[[#This Row],[Category]])</f>
        <v>ELECTRONICS</v>
      </c>
      <c r="L970">
        <f>YEAR(Master_ventas[[#This Row],[Order Date]])</f>
        <v>2022</v>
      </c>
      <c r="M970" t="str">
        <f>CONCATENATE(LEFT(Master_ventas[[#This Row],[ProdUpper]],3),RIGHT(Master_ventas[[#This Row],[Ext-Year]],2),"-",MID(Master_ventas[[#This Row],[Category]],1,1))</f>
        <v>SMA22-E</v>
      </c>
      <c r="N970" t="str">
        <f>MID(Master_ventas[[#This Row],[ProdUpper]],1,3)</f>
        <v>SMA</v>
      </c>
      <c r="O970" t="str">
        <f>UPPER(IF(Master_ventas[[#This Row],[Profit]]&gt;500,"High","Std"))</f>
        <v>STD</v>
      </c>
      <c r="P970">
        <v>969</v>
      </c>
    </row>
    <row r="971" spans="1:16" x14ac:dyDescent="0.3">
      <c r="A971" s="1">
        <v>44675</v>
      </c>
      <c r="B971" t="s">
        <v>23</v>
      </c>
      <c r="C971" t="s">
        <v>14</v>
      </c>
      <c r="D971" t="s">
        <v>12</v>
      </c>
      <c r="E971">
        <v>2</v>
      </c>
      <c r="F971" s="3">
        <v>358</v>
      </c>
      <c r="G971" s="2">
        <v>51.75</v>
      </c>
      <c r="H971">
        <f>Master_ventas[[#This Row],[Profit]]/Master_ventas[[#This Row],[Sales]]</f>
        <v>0.14455307262569833</v>
      </c>
      <c r="I971">
        <f ca="1">Referencia_Hoy-Master_ventas[[#This Row],[Order Date]]</f>
        <v>1648</v>
      </c>
      <c r="J971" t="str">
        <f>UPPER(Master_ventas[[#This Row],[Product Name]])</f>
        <v>LAPTOP</v>
      </c>
      <c r="K971" t="str">
        <f>UPPER(Master_ventas[[#This Row],[Category]])</f>
        <v>ELECTRONICS</v>
      </c>
      <c r="L971">
        <f>YEAR(Master_ventas[[#This Row],[Order Date]])</f>
        <v>2022</v>
      </c>
      <c r="M971" t="str">
        <f>CONCATENATE(LEFT(Master_ventas[[#This Row],[ProdUpper]],3),RIGHT(Master_ventas[[#This Row],[Ext-Year]],2),"-",MID(Master_ventas[[#This Row],[Category]],1,1))</f>
        <v>LAP22-E</v>
      </c>
      <c r="N971" t="str">
        <f>MID(Master_ventas[[#This Row],[ProdUpper]],1,3)</f>
        <v>LAP</v>
      </c>
      <c r="O971" t="str">
        <f>UPPER(IF(Master_ventas[[#This Row],[Profit]]&gt;500,"High","Std"))</f>
        <v>STD</v>
      </c>
      <c r="P971">
        <v>970</v>
      </c>
    </row>
    <row r="972" spans="1:16" x14ac:dyDescent="0.3">
      <c r="A972" s="1">
        <v>45008</v>
      </c>
      <c r="B972" t="s">
        <v>17</v>
      </c>
      <c r="C972" t="s">
        <v>14</v>
      </c>
      <c r="D972" t="s">
        <v>15</v>
      </c>
      <c r="E972">
        <v>7</v>
      </c>
      <c r="F972" s="3">
        <v>3451</v>
      </c>
      <c r="G972" s="2">
        <v>194.42</v>
      </c>
      <c r="H972">
        <f>Master_ventas[[#This Row],[Profit]]/Master_ventas[[#This Row],[Sales]]</f>
        <v>5.6337293538104891E-2</v>
      </c>
      <c r="I972">
        <f ca="1">Referencia_Hoy-Master_ventas[[#This Row],[Order Date]]</f>
        <v>1315</v>
      </c>
      <c r="J972" t="str">
        <f>UPPER(Master_ventas[[#This Row],[Product Name]])</f>
        <v>CAMERA</v>
      </c>
      <c r="K972" t="str">
        <f>UPPER(Master_ventas[[#This Row],[Category]])</f>
        <v>ELECTRONICS</v>
      </c>
      <c r="L972">
        <f>YEAR(Master_ventas[[#This Row],[Order Date]])</f>
        <v>2023</v>
      </c>
      <c r="M972" t="str">
        <f>CONCATENATE(LEFT(Master_ventas[[#This Row],[ProdUpper]],3),RIGHT(Master_ventas[[#This Row],[Ext-Year]],2),"-",MID(Master_ventas[[#This Row],[Category]],1,1))</f>
        <v>CAM23-E</v>
      </c>
      <c r="N972" t="str">
        <f>MID(Master_ventas[[#This Row],[ProdUpper]],1,3)</f>
        <v>CAM</v>
      </c>
      <c r="O972" t="str">
        <f>UPPER(IF(Master_ventas[[#This Row],[Profit]]&gt;500,"High","Std"))</f>
        <v>STD</v>
      </c>
      <c r="P972">
        <v>971</v>
      </c>
    </row>
    <row r="973" spans="1:16" x14ac:dyDescent="0.3">
      <c r="A973" s="1">
        <v>44602</v>
      </c>
      <c r="B973" t="s">
        <v>23</v>
      </c>
      <c r="C973" t="s">
        <v>14</v>
      </c>
      <c r="D973" t="s">
        <v>9</v>
      </c>
      <c r="E973">
        <v>9</v>
      </c>
      <c r="F973" s="3">
        <v>1350</v>
      </c>
      <c r="G973" s="2">
        <v>189.13</v>
      </c>
      <c r="H973">
        <f>Master_ventas[[#This Row],[Profit]]/Master_ventas[[#This Row],[Sales]]</f>
        <v>0.1400962962962963</v>
      </c>
      <c r="I973">
        <f ca="1">Referencia_Hoy-Master_ventas[[#This Row],[Order Date]]</f>
        <v>1721</v>
      </c>
      <c r="J973" t="str">
        <f>UPPER(Master_ventas[[#This Row],[Product Name]])</f>
        <v>LAPTOP</v>
      </c>
      <c r="K973" t="str">
        <f>UPPER(Master_ventas[[#This Row],[Category]])</f>
        <v>ELECTRONICS</v>
      </c>
      <c r="L973">
        <f>YEAR(Master_ventas[[#This Row],[Order Date]])</f>
        <v>2022</v>
      </c>
      <c r="M973" t="str">
        <f>CONCATENATE(LEFT(Master_ventas[[#This Row],[ProdUpper]],3),RIGHT(Master_ventas[[#This Row],[Ext-Year]],2),"-",MID(Master_ventas[[#This Row],[Category]],1,1))</f>
        <v>LAP22-E</v>
      </c>
      <c r="N973" t="str">
        <f>MID(Master_ventas[[#This Row],[ProdUpper]],1,3)</f>
        <v>LAP</v>
      </c>
      <c r="O973" t="str">
        <f>UPPER(IF(Master_ventas[[#This Row],[Profit]]&gt;500,"High","Std"))</f>
        <v>STD</v>
      </c>
      <c r="P973">
        <v>972</v>
      </c>
    </row>
    <row r="974" spans="1:16" x14ac:dyDescent="0.3">
      <c r="A974" s="1">
        <v>45218</v>
      </c>
      <c r="B974" t="s">
        <v>13</v>
      </c>
      <c r="C974" t="s">
        <v>14</v>
      </c>
      <c r="D974" t="s">
        <v>16</v>
      </c>
      <c r="E974">
        <v>8</v>
      </c>
      <c r="F974" s="3">
        <v>3320</v>
      </c>
      <c r="G974" s="2">
        <v>413.32</v>
      </c>
      <c r="H974">
        <f>Master_ventas[[#This Row],[Profit]]/Master_ventas[[#This Row],[Sales]]</f>
        <v>0.12449397590361445</v>
      </c>
      <c r="I974">
        <f ca="1">Referencia_Hoy-Master_ventas[[#This Row],[Order Date]]</f>
        <v>1105</v>
      </c>
      <c r="J974" t="str">
        <f>UPPER(Master_ventas[[#This Row],[Product Name]])</f>
        <v>TABLET</v>
      </c>
      <c r="K974" t="str">
        <f>UPPER(Master_ventas[[#This Row],[Category]])</f>
        <v>ELECTRONICS</v>
      </c>
      <c r="L974">
        <f>YEAR(Master_ventas[[#This Row],[Order Date]])</f>
        <v>2023</v>
      </c>
      <c r="M974" t="str">
        <f>CONCATENATE(LEFT(Master_ventas[[#This Row],[ProdUpper]],3),RIGHT(Master_ventas[[#This Row],[Ext-Year]],2),"-",MID(Master_ventas[[#This Row],[Category]],1,1))</f>
        <v>TAB23-E</v>
      </c>
      <c r="N974" t="str">
        <f>MID(Master_ventas[[#This Row],[ProdUpper]],1,3)</f>
        <v>TAB</v>
      </c>
      <c r="O974" t="str">
        <f>UPPER(IF(Master_ventas[[#This Row],[Profit]]&gt;500,"High","Std"))</f>
        <v>STD</v>
      </c>
      <c r="P974">
        <v>973</v>
      </c>
    </row>
    <row r="975" spans="1:16" x14ac:dyDescent="0.3">
      <c r="A975" s="1">
        <v>45545</v>
      </c>
      <c r="B975" t="s">
        <v>10</v>
      </c>
      <c r="C975" t="s">
        <v>11</v>
      </c>
      <c r="D975" t="s">
        <v>9</v>
      </c>
      <c r="E975">
        <v>9</v>
      </c>
      <c r="F975" s="3">
        <v>8442</v>
      </c>
      <c r="G975" s="2">
        <v>940.33</v>
      </c>
      <c r="H975">
        <f>Master_ventas[[#This Row],[Profit]]/Master_ventas[[#This Row],[Sales]]</f>
        <v>0.11138711205875386</v>
      </c>
      <c r="I975">
        <f ca="1">Referencia_Hoy-Master_ventas[[#This Row],[Order Date]]</f>
        <v>778</v>
      </c>
      <c r="J975" t="str">
        <f>UPPER(Master_ventas[[#This Row],[Product Name]])</f>
        <v>MOUSE</v>
      </c>
      <c r="K975" t="str">
        <f>UPPER(Master_ventas[[#This Row],[Category]])</f>
        <v>ACCESSORIES</v>
      </c>
      <c r="L975">
        <f>YEAR(Master_ventas[[#This Row],[Order Date]])</f>
        <v>2024</v>
      </c>
      <c r="M975" t="str">
        <f>CONCATENATE(LEFT(Master_ventas[[#This Row],[ProdUpper]],3),RIGHT(Master_ventas[[#This Row],[Ext-Year]],2),"-",MID(Master_ventas[[#This Row],[Category]],1,1))</f>
        <v>MOU24-A</v>
      </c>
      <c r="N975" t="str">
        <f>MID(Master_ventas[[#This Row],[ProdUpper]],1,3)</f>
        <v>MOU</v>
      </c>
      <c r="O975" t="str">
        <f>UPPER(IF(Master_ventas[[#This Row],[Profit]]&gt;500,"High","Std"))</f>
        <v>HIGH</v>
      </c>
      <c r="P975">
        <v>974</v>
      </c>
    </row>
    <row r="976" spans="1:16" x14ac:dyDescent="0.3">
      <c r="A976" s="1">
        <v>44729</v>
      </c>
      <c r="B976" t="s">
        <v>22</v>
      </c>
      <c r="C976" t="s">
        <v>11</v>
      </c>
      <c r="D976" t="s">
        <v>15</v>
      </c>
      <c r="E976">
        <v>1</v>
      </c>
      <c r="F976" s="3">
        <v>166</v>
      </c>
      <c r="G976" s="2">
        <v>31.97</v>
      </c>
      <c r="H976">
        <f>Master_ventas[[#This Row],[Profit]]/Master_ventas[[#This Row],[Sales]]</f>
        <v>0.19259036144578312</v>
      </c>
      <c r="I976">
        <f ca="1">Referencia_Hoy-Master_ventas[[#This Row],[Order Date]]</f>
        <v>1594</v>
      </c>
      <c r="J976" t="str">
        <f>UPPER(Master_ventas[[#This Row],[Product Name]])</f>
        <v>KEYBOARD</v>
      </c>
      <c r="K976" t="str">
        <f>UPPER(Master_ventas[[#This Row],[Category]])</f>
        <v>ACCESSORIES</v>
      </c>
      <c r="L976">
        <f>YEAR(Master_ventas[[#This Row],[Order Date]])</f>
        <v>2022</v>
      </c>
      <c r="M976" t="str">
        <f>CONCATENATE(LEFT(Master_ventas[[#This Row],[ProdUpper]],3),RIGHT(Master_ventas[[#This Row],[Ext-Year]],2),"-",MID(Master_ventas[[#This Row],[Category]],1,1))</f>
        <v>KEY22-A</v>
      </c>
      <c r="N976" t="str">
        <f>MID(Master_ventas[[#This Row],[ProdUpper]],1,3)</f>
        <v>KEY</v>
      </c>
      <c r="O976" t="str">
        <f>UPPER(IF(Master_ventas[[#This Row],[Profit]]&gt;500,"High","Std"))</f>
        <v>STD</v>
      </c>
      <c r="P976">
        <v>975</v>
      </c>
    </row>
    <row r="977" spans="1:16" x14ac:dyDescent="0.3">
      <c r="A977" s="1">
        <v>45147</v>
      </c>
      <c r="B977" t="s">
        <v>10</v>
      </c>
      <c r="C977" t="s">
        <v>11</v>
      </c>
      <c r="D977" t="s">
        <v>9</v>
      </c>
      <c r="E977">
        <v>5</v>
      </c>
      <c r="F977" s="3">
        <v>3720</v>
      </c>
      <c r="G977" s="2">
        <v>448.6</v>
      </c>
      <c r="H977">
        <f>Master_ventas[[#This Row],[Profit]]/Master_ventas[[#This Row],[Sales]]</f>
        <v>0.12059139784946238</v>
      </c>
      <c r="I977">
        <f ca="1">Referencia_Hoy-Master_ventas[[#This Row],[Order Date]]</f>
        <v>1176</v>
      </c>
      <c r="J977" t="str">
        <f>UPPER(Master_ventas[[#This Row],[Product Name]])</f>
        <v>MOUSE</v>
      </c>
      <c r="K977" t="str">
        <f>UPPER(Master_ventas[[#This Row],[Category]])</f>
        <v>ACCESSORIES</v>
      </c>
      <c r="L977">
        <f>YEAR(Master_ventas[[#This Row],[Order Date]])</f>
        <v>2023</v>
      </c>
      <c r="M977" t="str">
        <f>CONCATENATE(LEFT(Master_ventas[[#This Row],[ProdUpper]],3),RIGHT(Master_ventas[[#This Row],[Ext-Year]],2),"-",MID(Master_ventas[[#This Row],[Category]],1,1))</f>
        <v>MOU23-A</v>
      </c>
      <c r="N977" t="str">
        <f>MID(Master_ventas[[#This Row],[ProdUpper]],1,3)</f>
        <v>MOU</v>
      </c>
      <c r="O977" t="str">
        <f>UPPER(IF(Master_ventas[[#This Row],[Profit]]&gt;500,"High","Std"))</f>
        <v>STD</v>
      </c>
      <c r="P977">
        <v>976</v>
      </c>
    </row>
    <row r="978" spans="1:16" x14ac:dyDescent="0.3">
      <c r="A978" s="1">
        <v>45118</v>
      </c>
      <c r="B978" t="s">
        <v>23</v>
      </c>
      <c r="C978" t="s">
        <v>14</v>
      </c>
      <c r="D978" t="s">
        <v>15</v>
      </c>
      <c r="E978">
        <v>2</v>
      </c>
      <c r="F978" s="3">
        <v>1090</v>
      </c>
      <c r="G978" s="2">
        <v>136.65</v>
      </c>
      <c r="H978">
        <f>Master_ventas[[#This Row],[Profit]]/Master_ventas[[#This Row],[Sales]]</f>
        <v>0.12536697247706421</v>
      </c>
      <c r="I978">
        <f ca="1">Referencia_Hoy-Master_ventas[[#This Row],[Order Date]]</f>
        <v>1205</v>
      </c>
      <c r="J978" t="str">
        <f>UPPER(Master_ventas[[#This Row],[Product Name]])</f>
        <v>LAPTOP</v>
      </c>
      <c r="K978" t="str">
        <f>UPPER(Master_ventas[[#This Row],[Category]])</f>
        <v>ELECTRONICS</v>
      </c>
      <c r="L978">
        <f>YEAR(Master_ventas[[#This Row],[Order Date]])</f>
        <v>2023</v>
      </c>
      <c r="M978" t="str">
        <f>CONCATENATE(LEFT(Master_ventas[[#This Row],[ProdUpper]],3),RIGHT(Master_ventas[[#This Row],[Ext-Year]],2),"-",MID(Master_ventas[[#This Row],[Category]],1,1))</f>
        <v>LAP23-E</v>
      </c>
      <c r="N978" t="str">
        <f>MID(Master_ventas[[#This Row],[ProdUpper]],1,3)</f>
        <v>LAP</v>
      </c>
      <c r="O978" t="str">
        <f>UPPER(IF(Master_ventas[[#This Row],[Profit]]&gt;500,"High","Std"))</f>
        <v>STD</v>
      </c>
      <c r="P978">
        <v>977</v>
      </c>
    </row>
    <row r="979" spans="1:16" x14ac:dyDescent="0.3">
      <c r="A979" s="1">
        <v>45296</v>
      </c>
      <c r="B979" t="s">
        <v>23</v>
      </c>
      <c r="C979" t="s">
        <v>14</v>
      </c>
      <c r="D979" t="s">
        <v>16</v>
      </c>
      <c r="E979">
        <v>9</v>
      </c>
      <c r="F979" s="3">
        <v>9783</v>
      </c>
      <c r="G979" s="2">
        <v>2347.4899999999998</v>
      </c>
      <c r="H979">
        <f>Master_ventas[[#This Row],[Profit]]/Master_ventas[[#This Row],[Sales]]</f>
        <v>0.23995604620259631</v>
      </c>
      <c r="I979">
        <f ca="1">Referencia_Hoy-Master_ventas[[#This Row],[Order Date]]</f>
        <v>1027</v>
      </c>
      <c r="J979" t="str">
        <f>UPPER(Master_ventas[[#This Row],[Product Name]])</f>
        <v>LAPTOP</v>
      </c>
      <c r="K979" t="str">
        <f>UPPER(Master_ventas[[#This Row],[Category]])</f>
        <v>ELECTRONICS</v>
      </c>
      <c r="L979">
        <f>YEAR(Master_ventas[[#This Row],[Order Date]])</f>
        <v>2024</v>
      </c>
      <c r="M979" t="str">
        <f>CONCATENATE(LEFT(Master_ventas[[#This Row],[ProdUpper]],3),RIGHT(Master_ventas[[#This Row],[Ext-Year]],2),"-",MID(Master_ventas[[#This Row],[Category]],1,1))</f>
        <v>LAP24-E</v>
      </c>
      <c r="N979" t="str">
        <f>MID(Master_ventas[[#This Row],[ProdUpper]],1,3)</f>
        <v>LAP</v>
      </c>
      <c r="O979" t="str">
        <f>UPPER(IF(Master_ventas[[#This Row],[Profit]]&gt;500,"High","Std"))</f>
        <v>HIGH</v>
      </c>
      <c r="P979">
        <v>978</v>
      </c>
    </row>
    <row r="980" spans="1:16" x14ac:dyDescent="0.3">
      <c r="A980" s="1">
        <v>44826</v>
      </c>
      <c r="B980" t="s">
        <v>21</v>
      </c>
      <c r="C980" t="s">
        <v>14</v>
      </c>
      <c r="D980" t="s">
        <v>9</v>
      </c>
      <c r="E980">
        <v>4</v>
      </c>
      <c r="F980" s="3">
        <v>2432</v>
      </c>
      <c r="G980" s="2">
        <v>657.18</v>
      </c>
      <c r="H980">
        <f>Master_ventas[[#This Row],[Profit]]/Master_ventas[[#This Row],[Sales]]</f>
        <v>0.27022203947368417</v>
      </c>
      <c r="I980">
        <f ca="1">Referencia_Hoy-Master_ventas[[#This Row],[Order Date]]</f>
        <v>1497</v>
      </c>
      <c r="J980" t="str">
        <f>UPPER(Master_ventas[[#This Row],[Product Name]])</f>
        <v>SMARTPHONE</v>
      </c>
      <c r="K980" t="str">
        <f>UPPER(Master_ventas[[#This Row],[Category]])</f>
        <v>ELECTRONICS</v>
      </c>
      <c r="L980">
        <f>YEAR(Master_ventas[[#This Row],[Order Date]])</f>
        <v>2022</v>
      </c>
      <c r="M980" t="str">
        <f>CONCATENATE(LEFT(Master_ventas[[#This Row],[ProdUpper]],3),RIGHT(Master_ventas[[#This Row],[Ext-Year]],2),"-",MID(Master_ventas[[#This Row],[Category]],1,1))</f>
        <v>SMA22-E</v>
      </c>
      <c r="N980" t="str">
        <f>MID(Master_ventas[[#This Row],[ProdUpper]],1,3)</f>
        <v>SMA</v>
      </c>
      <c r="O980" t="str">
        <f>UPPER(IF(Master_ventas[[#This Row],[Profit]]&gt;500,"High","Std"))</f>
        <v>HIGH</v>
      </c>
      <c r="P980">
        <v>979</v>
      </c>
    </row>
    <row r="981" spans="1:16" x14ac:dyDescent="0.3">
      <c r="A981" s="1">
        <v>45099</v>
      </c>
      <c r="B981" t="s">
        <v>10</v>
      </c>
      <c r="C981" t="s">
        <v>11</v>
      </c>
      <c r="D981" t="s">
        <v>9</v>
      </c>
      <c r="E981">
        <v>7</v>
      </c>
      <c r="F981" s="3">
        <v>4060</v>
      </c>
      <c r="G981" s="2">
        <v>291.42</v>
      </c>
      <c r="H981">
        <f>Master_ventas[[#This Row],[Profit]]/Master_ventas[[#This Row],[Sales]]</f>
        <v>7.1778325123152714E-2</v>
      </c>
      <c r="I981">
        <f ca="1">Referencia_Hoy-Master_ventas[[#This Row],[Order Date]]</f>
        <v>1224</v>
      </c>
      <c r="J981" t="str">
        <f>UPPER(Master_ventas[[#This Row],[Product Name]])</f>
        <v>MOUSE</v>
      </c>
      <c r="K981" t="str">
        <f>UPPER(Master_ventas[[#This Row],[Category]])</f>
        <v>ACCESSORIES</v>
      </c>
      <c r="L981">
        <f>YEAR(Master_ventas[[#This Row],[Order Date]])</f>
        <v>2023</v>
      </c>
      <c r="M981" t="str">
        <f>CONCATENATE(LEFT(Master_ventas[[#This Row],[ProdUpper]],3),RIGHT(Master_ventas[[#This Row],[Ext-Year]],2),"-",MID(Master_ventas[[#This Row],[Category]],1,1))</f>
        <v>MOU23-A</v>
      </c>
      <c r="N981" t="str">
        <f>MID(Master_ventas[[#This Row],[ProdUpper]],1,3)</f>
        <v>MOU</v>
      </c>
      <c r="O981" t="str">
        <f>UPPER(IF(Master_ventas[[#This Row],[Profit]]&gt;500,"High","Std"))</f>
        <v>STD</v>
      </c>
      <c r="P981">
        <v>980</v>
      </c>
    </row>
    <row r="982" spans="1:16" x14ac:dyDescent="0.3">
      <c r="A982" s="1">
        <v>45011</v>
      </c>
      <c r="B982" t="s">
        <v>19</v>
      </c>
      <c r="C982" t="s">
        <v>14</v>
      </c>
      <c r="D982" t="s">
        <v>9</v>
      </c>
      <c r="E982">
        <v>1</v>
      </c>
      <c r="F982" s="3">
        <v>387</v>
      </c>
      <c r="G982" s="2">
        <v>99.59</v>
      </c>
      <c r="H982">
        <f>Master_ventas[[#This Row],[Profit]]/Master_ventas[[#This Row],[Sales]]</f>
        <v>0.25733850129198965</v>
      </c>
      <c r="I982">
        <f ca="1">Referencia_Hoy-Master_ventas[[#This Row],[Order Date]]</f>
        <v>1312</v>
      </c>
      <c r="J982" t="str">
        <f>UPPER(Master_ventas[[#This Row],[Product Name]])</f>
        <v>SMARTWATCH</v>
      </c>
      <c r="K982" t="str">
        <f>UPPER(Master_ventas[[#This Row],[Category]])</f>
        <v>ELECTRONICS</v>
      </c>
      <c r="L982">
        <f>YEAR(Master_ventas[[#This Row],[Order Date]])</f>
        <v>2023</v>
      </c>
      <c r="M982" t="str">
        <f>CONCATENATE(LEFT(Master_ventas[[#This Row],[ProdUpper]],3),RIGHT(Master_ventas[[#This Row],[Ext-Year]],2),"-",MID(Master_ventas[[#This Row],[Category]],1,1))</f>
        <v>SMA23-E</v>
      </c>
      <c r="N982" t="str">
        <f>MID(Master_ventas[[#This Row],[ProdUpper]],1,3)</f>
        <v>SMA</v>
      </c>
      <c r="O982" t="str">
        <f>UPPER(IF(Master_ventas[[#This Row],[Profit]]&gt;500,"High","Std"))</f>
        <v>STD</v>
      </c>
      <c r="P982">
        <v>981</v>
      </c>
    </row>
    <row r="983" spans="1:16" x14ac:dyDescent="0.3">
      <c r="A983" s="1">
        <v>45149</v>
      </c>
      <c r="B983" t="s">
        <v>19</v>
      </c>
      <c r="C983" t="s">
        <v>14</v>
      </c>
      <c r="D983" t="s">
        <v>9</v>
      </c>
      <c r="E983">
        <v>3</v>
      </c>
      <c r="F983" s="3">
        <v>966</v>
      </c>
      <c r="G983" s="2">
        <v>120.56</v>
      </c>
      <c r="H983">
        <f>Master_ventas[[#This Row],[Profit]]/Master_ventas[[#This Row],[Sales]]</f>
        <v>0.12480331262939959</v>
      </c>
      <c r="I983">
        <f ca="1">Referencia_Hoy-Master_ventas[[#This Row],[Order Date]]</f>
        <v>1174</v>
      </c>
      <c r="J983" t="str">
        <f>UPPER(Master_ventas[[#This Row],[Product Name]])</f>
        <v>SMARTWATCH</v>
      </c>
      <c r="K983" t="str">
        <f>UPPER(Master_ventas[[#This Row],[Category]])</f>
        <v>ELECTRONICS</v>
      </c>
      <c r="L983">
        <f>YEAR(Master_ventas[[#This Row],[Order Date]])</f>
        <v>2023</v>
      </c>
      <c r="M983" t="str">
        <f>CONCATENATE(LEFT(Master_ventas[[#This Row],[ProdUpper]],3),RIGHT(Master_ventas[[#This Row],[Ext-Year]],2),"-",MID(Master_ventas[[#This Row],[Category]],1,1))</f>
        <v>SMA23-E</v>
      </c>
      <c r="N983" t="str">
        <f>MID(Master_ventas[[#This Row],[ProdUpper]],1,3)</f>
        <v>SMA</v>
      </c>
      <c r="O983" t="str">
        <f>UPPER(IF(Master_ventas[[#This Row],[Profit]]&gt;500,"High","Std"))</f>
        <v>STD</v>
      </c>
      <c r="P983">
        <v>982</v>
      </c>
    </row>
    <row r="984" spans="1:16" x14ac:dyDescent="0.3">
      <c r="A984" s="1">
        <v>45429</v>
      </c>
      <c r="B984" t="s">
        <v>13</v>
      </c>
      <c r="C984" t="s">
        <v>14</v>
      </c>
      <c r="D984" t="s">
        <v>9</v>
      </c>
      <c r="E984">
        <v>3</v>
      </c>
      <c r="F984" s="3">
        <v>3366</v>
      </c>
      <c r="G984" s="2">
        <v>882.29</v>
      </c>
      <c r="H984">
        <f>Master_ventas[[#This Row],[Profit]]/Master_ventas[[#This Row],[Sales]]</f>
        <v>0.26211824123588828</v>
      </c>
      <c r="I984">
        <f ca="1">Referencia_Hoy-Master_ventas[[#This Row],[Order Date]]</f>
        <v>894</v>
      </c>
      <c r="J984" t="str">
        <f>UPPER(Master_ventas[[#This Row],[Product Name]])</f>
        <v>TABLET</v>
      </c>
      <c r="K984" t="str">
        <f>UPPER(Master_ventas[[#This Row],[Category]])</f>
        <v>ELECTRONICS</v>
      </c>
      <c r="L984">
        <f>YEAR(Master_ventas[[#This Row],[Order Date]])</f>
        <v>2024</v>
      </c>
      <c r="M984" t="str">
        <f>CONCATENATE(LEFT(Master_ventas[[#This Row],[ProdUpper]],3),RIGHT(Master_ventas[[#This Row],[Ext-Year]],2),"-",MID(Master_ventas[[#This Row],[Category]],1,1))</f>
        <v>TAB24-E</v>
      </c>
      <c r="N984" t="str">
        <f>MID(Master_ventas[[#This Row],[ProdUpper]],1,3)</f>
        <v>TAB</v>
      </c>
      <c r="O984" t="str">
        <f>UPPER(IF(Master_ventas[[#This Row],[Profit]]&gt;500,"High","Std"))</f>
        <v>HIGH</v>
      </c>
      <c r="P984">
        <v>983</v>
      </c>
    </row>
    <row r="985" spans="1:16" x14ac:dyDescent="0.3">
      <c r="A985" s="1">
        <v>45473</v>
      </c>
      <c r="B985" t="s">
        <v>20</v>
      </c>
      <c r="C985" t="s">
        <v>11</v>
      </c>
      <c r="D985" t="s">
        <v>16</v>
      </c>
      <c r="E985">
        <v>7</v>
      </c>
      <c r="F985" s="3">
        <v>7833</v>
      </c>
      <c r="G985" s="2">
        <v>1843.94</v>
      </c>
      <c r="H985">
        <f>Master_ventas[[#This Row],[Profit]]/Master_ventas[[#This Row],[Sales]]</f>
        <v>0.23540661304736371</v>
      </c>
      <c r="I985">
        <f ca="1">Referencia_Hoy-Master_ventas[[#This Row],[Order Date]]</f>
        <v>850</v>
      </c>
      <c r="J985" t="str">
        <f>UPPER(Master_ventas[[#This Row],[Product Name]])</f>
        <v>MONITOR</v>
      </c>
      <c r="K985" t="str">
        <f>UPPER(Master_ventas[[#This Row],[Category]])</f>
        <v>ACCESSORIES</v>
      </c>
      <c r="L985">
        <f>YEAR(Master_ventas[[#This Row],[Order Date]])</f>
        <v>2024</v>
      </c>
      <c r="M985" t="str">
        <f>CONCATENATE(LEFT(Master_ventas[[#This Row],[ProdUpper]],3),RIGHT(Master_ventas[[#This Row],[Ext-Year]],2),"-",MID(Master_ventas[[#This Row],[Category]],1,1))</f>
        <v>MON24-A</v>
      </c>
      <c r="N985" t="str">
        <f>MID(Master_ventas[[#This Row],[ProdUpper]],1,3)</f>
        <v>MON</v>
      </c>
      <c r="O985" t="str">
        <f>UPPER(IF(Master_ventas[[#This Row],[Profit]]&gt;500,"High","Std"))</f>
        <v>HIGH</v>
      </c>
      <c r="P985">
        <v>984</v>
      </c>
    </row>
    <row r="986" spans="1:16" x14ac:dyDescent="0.3">
      <c r="A986" s="1">
        <v>45025</v>
      </c>
      <c r="B986" t="s">
        <v>20</v>
      </c>
      <c r="C986" t="s">
        <v>11</v>
      </c>
      <c r="D986" t="s">
        <v>16</v>
      </c>
      <c r="E986">
        <v>1</v>
      </c>
      <c r="F986" s="3">
        <v>610</v>
      </c>
      <c r="G986" s="2">
        <v>33.549999999999997</v>
      </c>
      <c r="H986">
        <f>Master_ventas[[#This Row],[Profit]]/Master_ventas[[#This Row],[Sales]]</f>
        <v>5.4999999999999993E-2</v>
      </c>
      <c r="I986">
        <f ca="1">Referencia_Hoy-Master_ventas[[#This Row],[Order Date]]</f>
        <v>1298</v>
      </c>
      <c r="J986" t="str">
        <f>UPPER(Master_ventas[[#This Row],[Product Name]])</f>
        <v>MONITOR</v>
      </c>
      <c r="K986" t="str">
        <f>UPPER(Master_ventas[[#This Row],[Category]])</f>
        <v>ACCESSORIES</v>
      </c>
      <c r="L986">
        <f>YEAR(Master_ventas[[#This Row],[Order Date]])</f>
        <v>2023</v>
      </c>
      <c r="M986" t="str">
        <f>CONCATENATE(LEFT(Master_ventas[[#This Row],[ProdUpper]],3),RIGHT(Master_ventas[[#This Row],[Ext-Year]],2),"-",MID(Master_ventas[[#This Row],[Category]],1,1))</f>
        <v>MON23-A</v>
      </c>
      <c r="N986" t="str">
        <f>MID(Master_ventas[[#This Row],[ProdUpper]],1,3)</f>
        <v>MON</v>
      </c>
      <c r="O986" t="str">
        <f>UPPER(IF(Master_ventas[[#This Row],[Profit]]&gt;500,"High","Std"))</f>
        <v>STD</v>
      </c>
      <c r="P986">
        <v>985</v>
      </c>
    </row>
    <row r="987" spans="1:16" x14ac:dyDescent="0.3">
      <c r="A987" s="1">
        <v>44709</v>
      </c>
      <c r="B987" t="s">
        <v>19</v>
      </c>
      <c r="C987" t="s">
        <v>14</v>
      </c>
      <c r="D987" t="s">
        <v>16</v>
      </c>
      <c r="E987">
        <v>8</v>
      </c>
      <c r="F987" s="3">
        <v>4288</v>
      </c>
      <c r="G987" s="2">
        <v>597.09</v>
      </c>
      <c r="H987">
        <f>Master_ventas[[#This Row],[Profit]]/Master_ventas[[#This Row],[Sales]]</f>
        <v>0.13924673507462687</v>
      </c>
      <c r="I987">
        <f ca="1">Referencia_Hoy-Master_ventas[[#This Row],[Order Date]]</f>
        <v>1614</v>
      </c>
      <c r="J987" t="str">
        <f>UPPER(Master_ventas[[#This Row],[Product Name]])</f>
        <v>SMARTWATCH</v>
      </c>
      <c r="K987" t="str">
        <f>UPPER(Master_ventas[[#This Row],[Category]])</f>
        <v>ELECTRONICS</v>
      </c>
      <c r="L987">
        <f>YEAR(Master_ventas[[#This Row],[Order Date]])</f>
        <v>2022</v>
      </c>
      <c r="M987" t="str">
        <f>CONCATENATE(LEFT(Master_ventas[[#This Row],[ProdUpper]],3),RIGHT(Master_ventas[[#This Row],[Ext-Year]],2),"-",MID(Master_ventas[[#This Row],[Category]],1,1))</f>
        <v>SMA22-E</v>
      </c>
      <c r="N987" t="str">
        <f>MID(Master_ventas[[#This Row],[ProdUpper]],1,3)</f>
        <v>SMA</v>
      </c>
      <c r="O987" t="str">
        <f>UPPER(IF(Master_ventas[[#This Row],[Profit]]&gt;500,"High","Std"))</f>
        <v>HIGH</v>
      </c>
      <c r="P987">
        <v>986</v>
      </c>
    </row>
    <row r="988" spans="1:16" x14ac:dyDescent="0.3">
      <c r="A988" s="1">
        <v>44760</v>
      </c>
      <c r="B988" t="s">
        <v>7</v>
      </c>
      <c r="C988" t="s">
        <v>8</v>
      </c>
      <c r="D988" t="s">
        <v>9</v>
      </c>
      <c r="E988">
        <v>9</v>
      </c>
      <c r="F988" s="3">
        <v>7740</v>
      </c>
      <c r="G988" s="2">
        <v>605.35</v>
      </c>
      <c r="H988">
        <f>Master_ventas[[#This Row],[Profit]]/Master_ventas[[#This Row],[Sales]]</f>
        <v>7.8210594315245477E-2</v>
      </c>
      <c r="I988">
        <f ca="1">Referencia_Hoy-Master_ventas[[#This Row],[Order Date]]</f>
        <v>1563</v>
      </c>
      <c r="J988" t="str">
        <f>UPPER(Master_ventas[[#This Row],[Product Name]])</f>
        <v>PRINTER</v>
      </c>
      <c r="K988" t="str">
        <f>UPPER(Master_ventas[[#This Row],[Category]])</f>
        <v>OFFICE</v>
      </c>
      <c r="L988">
        <f>YEAR(Master_ventas[[#This Row],[Order Date]])</f>
        <v>2022</v>
      </c>
      <c r="M988" t="str">
        <f>CONCATENATE(LEFT(Master_ventas[[#This Row],[ProdUpper]],3),RIGHT(Master_ventas[[#This Row],[Ext-Year]],2),"-",MID(Master_ventas[[#This Row],[Category]],1,1))</f>
        <v>PRI22-O</v>
      </c>
      <c r="N988" t="str">
        <f>MID(Master_ventas[[#This Row],[ProdUpper]],1,3)</f>
        <v>PRI</v>
      </c>
      <c r="O988" t="str">
        <f>UPPER(IF(Master_ventas[[#This Row],[Profit]]&gt;500,"High","Std"))</f>
        <v>HIGH</v>
      </c>
      <c r="P988">
        <v>987</v>
      </c>
    </row>
    <row r="989" spans="1:16" x14ac:dyDescent="0.3">
      <c r="A989" s="1">
        <v>45524</v>
      </c>
      <c r="B989" t="s">
        <v>19</v>
      </c>
      <c r="C989" t="s">
        <v>14</v>
      </c>
      <c r="D989" t="s">
        <v>16</v>
      </c>
      <c r="E989">
        <v>9</v>
      </c>
      <c r="F989" s="3">
        <v>3150</v>
      </c>
      <c r="G989" s="2">
        <v>457.13</v>
      </c>
      <c r="H989">
        <f>Master_ventas[[#This Row],[Profit]]/Master_ventas[[#This Row],[Sales]]</f>
        <v>0.14512063492063493</v>
      </c>
      <c r="I989">
        <f ca="1">Referencia_Hoy-Master_ventas[[#This Row],[Order Date]]</f>
        <v>799</v>
      </c>
      <c r="J989" t="str">
        <f>UPPER(Master_ventas[[#This Row],[Product Name]])</f>
        <v>SMARTWATCH</v>
      </c>
      <c r="K989" t="str">
        <f>UPPER(Master_ventas[[#This Row],[Category]])</f>
        <v>ELECTRONICS</v>
      </c>
      <c r="L989">
        <f>YEAR(Master_ventas[[#This Row],[Order Date]])</f>
        <v>2024</v>
      </c>
      <c r="M989" t="str">
        <f>CONCATENATE(LEFT(Master_ventas[[#This Row],[ProdUpper]],3),RIGHT(Master_ventas[[#This Row],[Ext-Year]],2),"-",MID(Master_ventas[[#This Row],[Category]],1,1))</f>
        <v>SMA24-E</v>
      </c>
      <c r="N989" t="str">
        <f>MID(Master_ventas[[#This Row],[ProdUpper]],1,3)</f>
        <v>SMA</v>
      </c>
      <c r="O989" t="str">
        <f>UPPER(IF(Master_ventas[[#This Row],[Profit]]&gt;500,"High","Std"))</f>
        <v>STD</v>
      </c>
      <c r="P989">
        <v>988</v>
      </c>
    </row>
    <row r="990" spans="1:16" x14ac:dyDescent="0.3">
      <c r="A990" s="1">
        <v>45291</v>
      </c>
      <c r="B990" t="s">
        <v>22</v>
      </c>
      <c r="C990" t="s">
        <v>11</v>
      </c>
      <c r="D990" t="s">
        <v>16</v>
      </c>
      <c r="E990">
        <v>2</v>
      </c>
      <c r="F990" s="3">
        <v>894</v>
      </c>
      <c r="G990" s="2">
        <v>224.75</v>
      </c>
      <c r="H990">
        <f>Master_ventas[[#This Row],[Profit]]/Master_ventas[[#This Row],[Sales]]</f>
        <v>0.25139821029082776</v>
      </c>
      <c r="I990">
        <f ca="1">Referencia_Hoy-Master_ventas[[#This Row],[Order Date]]</f>
        <v>1032</v>
      </c>
      <c r="J990" t="str">
        <f>UPPER(Master_ventas[[#This Row],[Product Name]])</f>
        <v>KEYBOARD</v>
      </c>
      <c r="K990" t="str">
        <f>UPPER(Master_ventas[[#This Row],[Category]])</f>
        <v>ACCESSORIES</v>
      </c>
      <c r="L990">
        <f>YEAR(Master_ventas[[#This Row],[Order Date]])</f>
        <v>2023</v>
      </c>
      <c r="M990" t="str">
        <f>CONCATENATE(LEFT(Master_ventas[[#This Row],[ProdUpper]],3),RIGHT(Master_ventas[[#This Row],[Ext-Year]],2),"-",MID(Master_ventas[[#This Row],[Category]],1,1))</f>
        <v>KEY23-A</v>
      </c>
      <c r="N990" t="str">
        <f>MID(Master_ventas[[#This Row],[ProdUpper]],1,3)</f>
        <v>KEY</v>
      </c>
      <c r="O990" t="str">
        <f>UPPER(IF(Master_ventas[[#This Row],[Profit]]&gt;500,"High","Std"))</f>
        <v>STD</v>
      </c>
      <c r="P990">
        <v>989</v>
      </c>
    </row>
    <row r="991" spans="1:16" x14ac:dyDescent="0.3">
      <c r="A991" s="1">
        <v>44843</v>
      </c>
      <c r="B991" t="s">
        <v>23</v>
      </c>
      <c r="C991" t="s">
        <v>14</v>
      </c>
      <c r="D991" t="s">
        <v>9</v>
      </c>
      <c r="E991">
        <v>8</v>
      </c>
      <c r="F991" s="3">
        <v>7544</v>
      </c>
      <c r="G991" s="2">
        <v>1219.73</v>
      </c>
      <c r="H991">
        <f>Master_ventas[[#This Row],[Profit]]/Master_ventas[[#This Row],[Sales]]</f>
        <v>0.161682131495228</v>
      </c>
      <c r="I991">
        <f ca="1">Referencia_Hoy-Master_ventas[[#This Row],[Order Date]]</f>
        <v>1480</v>
      </c>
      <c r="J991" t="str">
        <f>UPPER(Master_ventas[[#This Row],[Product Name]])</f>
        <v>LAPTOP</v>
      </c>
      <c r="K991" t="str">
        <f>UPPER(Master_ventas[[#This Row],[Category]])</f>
        <v>ELECTRONICS</v>
      </c>
      <c r="L991">
        <f>YEAR(Master_ventas[[#This Row],[Order Date]])</f>
        <v>2022</v>
      </c>
      <c r="M991" t="str">
        <f>CONCATENATE(LEFT(Master_ventas[[#This Row],[ProdUpper]],3),RIGHT(Master_ventas[[#This Row],[Ext-Year]],2),"-",MID(Master_ventas[[#This Row],[Category]],1,1))</f>
        <v>LAP22-E</v>
      </c>
      <c r="N991" t="str">
        <f>MID(Master_ventas[[#This Row],[ProdUpper]],1,3)</f>
        <v>LAP</v>
      </c>
      <c r="O991" t="str">
        <f>UPPER(IF(Master_ventas[[#This Row],[Profit]]&gt;500,"High","Std"))</f>
        <v>HIGH</v>
      </c>
      <c r="P991">
        <v>990</v>
      </c>
    </row>
    <row r="992" spans="1:16" x14ac:dyDescent="0.3">
      <c r="A992" s="1">
        <v>45352</v>
      </c>
      <c r="B992" t="s">
        <v>22</v>
      </c>
      <c r="C992" t="s">
        <v>11</v>
      </c>
      <c r="D992" t="s">
        <v>9</v>
      </c>
      <c r="E992">
        <v>8</v>
      </c>
      <c r="F992" s="3">
        <v>6360</v>
      </c>
      <c r="G992" s="2">
        <v>1871.88</v>
      </c>
      <c r="H992">
        <f>Master_ventas[[#This Row],[Profit]]/Master_ventas[[#This Row],[Sales]]</f>
        <v>0.29432075471698116</v>
      </c>
      <c r="I992">
        <f ca="1">Referencia_Hoy-Master_ventas[[#This Row],[Order Date]]</f>
        <v>971</v>
      </c>
      <c r="J992" t="str">
        <f>UPPER(Master_ventas[[#This Row],[Product Name]])</f>
        <v>KEYBOARD</v>
      </c>
      <c r="K992" t="str">
        <f>UPPER(Master_ventas[[#This Row],[Category]])</f>
        <v>ACCESSORIES</v>
      </c>
      <c r="L992">
        <f>YEAR(Master_ventas[[#This Row],[Order Date]])</f>
        <v>2024</v>
      </c>
      <c r="M992" t="str">
        <f>CONCATENATE(LEFT(Master_ventas[[#This Row],[ProdUpper]],3),RIGHT(Master_ventas[[#This Row],[Ext-Year]],2),"-",MID(Master_ventas[[#This Row],[Category]],1,1))</f>
        <v>KEY24-A</v>
      </c>
      <c r="N992" t="str">
        <f>MID(Master_ventas[[#This Row],[ProdUpper]],1,3)</f>
        <v>KEY</v>
      </c>
      <c r="O992" t="str">
        <f>UPPER(IF(Master_ventas[[#This Row],[Profit]]&gt;500,"High","Std"))</f>
        <v>HIGH</v>
      </c>
      <c r="P992">
        <v>991</v>
      </c>
    </row>
    <row r="993" spans="1:16" x14ac:dyDescent="0.3">
      <c r="A993" s="1">
        <v>44639</v>
      </c>
      <c r="B993" t="s">
        <v>21</v>
      </c>
      <c r="C993" t="s">
        <v>14</v>
      </c>
      <c r="D993" t="s">
        <v>16</v>
      </c>
      <c r="E993">
        <v>4</v>
      </c>
      <c r="F993" s="3">
        <v>2428</v>
      </c>
      <c r="G993" s="2">
        <v>485.75</v>
      </c>
      <c r="H993">
        <f>Master_ventas[[#This Row],[Profit]]/Master_ventas[[#This Row],[Sales]]</f>
        <v>0.20006177924217464</v>
      </c>
      <c r="I993">
        <f ca="1">Referencia_Hoy-Master_ventas[[#This Row],[Order Date]]</f>
        <v>1684</v>
      </c>
      <c r="J993" t="str">
        <f>UPPER(Master_ventas[[#This Row],[Product Name]])</f>
        <v>SMARTPHONE</v>
      </c>
      <c r="K993" t="str">
        <f>UPPER(Master_ventas[[#This Row],[Category]])</f>
        <v>ELECTRONICS</v>
      </c>
      <c r="L993">
        <f>YEAR(Master_ventas[[#This Row],[Order Date]])</f>
        <v>2022</v>
      </c>
      <c r="M993" t="str">
        <f>CONCATENATE(LEFT(Master_ventas[[#This Row],[ProdUpper]],3),RIGHT(Master_ventas[[#This Row],[Ext-Year]],2),"-",MID(Master_ventas[[#This Row],[Category]],1,1))</f>
        <v>SMA22-E</v>
      </c>
      <c r="N993" t="str">
        <f>MID(Master_ventas[[#This Row],[ProdUpper]],1,3)</f>
        <v>SMA</v>
      </c>
      <c r="O993" t="str">
        <f>UPPER(IF(Master_ventas[[#This Row],[Profit]]&gt;500,"High","Std"))</f>
        <v>STD</v>
      </c>
      <c r="P993">
        <v>992</v>
      </c>
    </row>
    <row r="994" spans="1:16" x14ac:dyDescent="0.3">
      <c r="A994" s="1">
        <v>44839</v>
      </c>
      <c r="B994" t="s">
        <v>18</v>
      </c>
      <c r="C994" t="s">
        <v>11</v>
      </c>
      <c r="D994" t="s">
        <v>15</v>
      </c>
      <c r="E994">
        <v>2</v>
      </c>
      <c r="F994" s="3">
        <v>574</v>
      </c>
      <c r="G994" s="2">
        <v>38.520000000000003</v>
      </c>
      <c r="H994">
        <f>Master_ventas[[#This Row],[Profit]]/Master_ventas[[#This Row],[Sales]]</f>
        <v>6.7108013937282232E-2</v>
      </c>
      <c r="I994">
        <f ca="1">Referencia_Hoy-Master_ventas[[#This Row],[Order Date]]</f>
        <v>1484</v>
      </c>
      <c r="J994" t="str">
        <f>UPPER(Master_ventas[[#This Row],[Product Name]])</f>
        <v>HEADPHONES</v>
      </c>
      <c r="K994" t="str">
        <f>UPPER(Master_ventas[[#This Row],[Category]])</f>
        <v>ACCESSORIES</v>
      </c>
      <c r="L994">
        <f>YEAR(Master_ventas[[#This Row],[Order Date]])</f>
        <v>2022</v>
      </c>
      <c r="M994" t="str">
        <f>CONCATENATE(LEFT(Master_ventas[[#This Row],[ProdUpper]],3),RIGHT(Master_ventas[[#This Row],[Ext-Year]],2),"-",MID(Master_ventas[[#This Row],[Category]],1,1))</f>
        <v>HEA22-A</v>
      </c>
      <c r="N994" t="str">
        <f>MID(Master_ventas[[#This Row],[ProdUpper]],1,3)</f>
        <v>HEA</v>
      </c>
      <c r="O994" t="str">
        <f>UPPER(IF(Master_ventas[[#This Row],[Profit]]&gt;500,"High","Std"))</f>
        <v>STD</v>
      </c>
      <c r="P994">
        <v>993</v>
      </c>
    </row>
    <row r="995" spans="1:16" x14ac:dyDescent="0.3">
      <c r="A995" s="1">
        <v>45041</v>
      </c>
      <c r="B995" t="s">
        <v>22</v>
      </c>
      <c r="C995" t="s">
        <v>11</v>
      </c>
      <c r="D995" t="s">
        <v>16</v>
      </c>
      <c r="E995">
        <v>6</v>
      </c>
      <c r="F995" s="3">
        <v>6744</v>
      </c>
      <c r="G995" s="2">
        <v>660.47</v>
      </c>
      <c r="H995">
        <f>Master_ventas[[#This Row],[Profit]]/Master_ventas[[#This Row],[Sales]]</f>
        <v>9.7934460260972717E-2</v>
      </c>
      <c r="I995">
        <f ca="1">Referencia_Hoy-Master_ventas[[#This Row],[Order Date]]</f>
        <v>1282</v>
      </c>
      <c r="J995" t="str">
        <f>UPPER(Master_ventas[[#This Row],[Product Name]])</f>
        <v>KEYBOARD</v>
      </c>
      <c r="K995" t="str">
        <f>UPPER(Master_ventas[[#This Row],[Category]])</f>
        <v>ACCESSORIES</v>
      </c>
      <c r="L995">
        <f>YEAR(Master_ventas[[#This Row],[Order Date]])</f>
        <v>2023</v>
      </c>
      <c r="M995" t="str">
        <f>CONCATENATE(LEFT(Master_ventas[[#This Row],[ProdUpper]],3),RIGHT(Master_ventas[[#This Row],[Ext-Year]],2),"-",MID(Master_ventas[[#This Row],[Category]],1,1))</f>
        <v>KEY23-A</v>
      </c>
      <c r="N995" t="str">
        <f>MID(Master_ventas[[#This Row],[ProdUpper]],1,3)</f>
        <v>KEY</v>
      </c>
      <c r="O995" t="str">
        <f>UPPER(IF(Master_ventas[[#This Row],[Profit]]&gt;500,"High","Std"))</f>
        <v>HIGH</v>
      </c>
      <c r="P995">
        <v>994</v>
      </c>
    </row>
    <row r="996" spans="1:16" x14ac:dyDescent="0.3">
      <c r="A996" s="1">
        <v>45180</v>
      </c>
      <c r="B996" t="s">
        <v>18</v>
      </c>
      <c r="C996" t="s">
        <v>11</v>
      </c>
      <c r="D996" t="s">
        <v>9</v>
      </c>
      <c r="E996">
        <v>6</v>
      </c>
      <c r="F996" s="3">
        <v>798</v>
      </c>
      <c r="G996" s="2">
        <v>213.4</v>
      </c>
      <c r="H996">
        <f>Master_ventas[[#This Row],[Profit]]/Master_ventas[[#This Row],[Sales]]</f>
        <v>0.26741854636591478</v>
      </c>
      <c r="I996">
        <f ca="1">Referencia_Hoy-Master_ventas[[#This Row],[Order Date]]</f>
        <v>1143</v>
      </c>
      <c r="J996" t="str">
        <f>UPPER(Master_ventas[[#This Row],[Product Name]])</f>
        <v>HEADPHONES</v>
      </c>
      <c r="K996" t="str">
        <f>UPPER(Master_ventas[[#This Row],[Category]])</f>
        <v>ACCESSORIES</v>
      </c>
      <c r="L996">
        <f>YEAR(Master_ventas[[#This Row],[Order Date]])</f>
        <v>2023</v>
      </c>
      <c r="M996" t="str">
        <f>CONCATENATE(LEFT(Master_ventas[[#This Row],[ProdUpper]],3),RIGHT(Master_ventas[[#This Row],[Ext-Year]],2),"-",MID(Master_ventas[[#This Row],[Category]],1,1))</f>
        <v>HEA23-A</v>
      </c>
      <c r="N996" t="str">
        <f>MID(Master_ventas[[#This Row],[ProdUpper]],1,3)</f>
        <v>HEA</v>
      </c>
      <c r="O996" t="str">
        <f>UPPER(IF(Master_ventas[[#This Row],[Profit]]&gt;500,"High","Std"))</f>
        <v>STD</v>
      </c>
      <c r="P996">
        <v>995</v>
      </c>
    </row>
    <row r="997" spans="1:16" x14ac:dyDescent="0.3">
      <c r="A997" s="1">
        <v>44939</v>
      </c>
      <c r="B997" t="s">
        <v>7</v>
      </c>
      <c r="C997" t="s">
        <v>8</v>
      </c>
      <c r="D997" t="s">
        <v>9</v>
      </c>
      <c r="E997">
        <v>5</v>
      </c>
      <c r="F997" s="3">
        <v>2860</v>
      </c>
      <c r="G997" s="2">
        <v>339</v>
      </c>
      <c r="H997">
        <f>Master_ventas[[#This Row],[Profit]]/Master_ventas[[#This Row],[Sales]]</f>
        <v>0.11853146853146854</v>
      </c>
      <c r="I997">
        <f ca="1">Referencia_Hoy-Master_ventas[[#This Row],[Order Date]]</f>
        <v>1384</v>
      </c>
      <c r="J997" t="str">
        <f>UPPER(Master_ventas[[#This Row],[Product Name]])</f>
        <v>PRINTER</v>
      </c>
      <c r="K997" t="str">
        <f>UPPER(Master_ventas[[#This Row],[Category]])</f>
        <v>OFFICE</v>
      </c>
      <c r="L997">
        <f>YEAR(Master_ventas[[#This Row],[Order Date]])</f>
        <v>2023</v>
      </c>
      <c r="M997" t="str">
        <f>CONCATENATE(LEFT(Master_ventas[[#This Row],[ProdUpper]],3),RIGHT(Master_ventas[[#This Row],[Ext-Year]],2),"-",MID(Master_ventas[[#This Row],[Category]],1,1))</f>
        <v>PRI23-O</v>
      </c>
      <c r="N997" t="str">
        <f>MID(Master_ventas[[#This Row],[ProdUpper]],1,3)</f>
        <v>PRI</v>
      </c>
      <c r="O997" t="str">
        <f>UPPER(IF(Master_ventas[[#This Row],[Profit]]&gt;500,"High","Std"))</f>
        <v>STD</v>
      </c>
      <c r="P997">
        <v>996</v>
      </c>
    </row>
    <row r="998" spans="1:16" x14ac:dyDescent="0.3">
      <c r="A998" s="1">
        <v>44654</v>
      </c>
      <c r="B998" t="s">
        <v>7</v>
      </c>
      <c r="C998" t="s">
        <v>8</v>
      </c>
      <c r="D998" t="s">
        <v>15</v>
      </c>
      <c r="E998">
        <v>5</v>
      </c>
      <c r="F998" s="3">
        <v>5410</v>
      </c>
      <c r="G998" s="2">
        <v>1129.77</v>
      </c>
      <c r="H998">
        <f>Master_ventas[[#This Row],[Profit]]/Master_ventas[[#This Row],[Sales]]</f>
        <v>0.20882994454713494</v>
      </c>
      <c r="I998">
        <f ca="1">Referencia_Hoy-Master_ventas[[#This Row],[Order Date]]</f>
        <v>1669</v>
      </c>
      <c r="J998" t="str">
        <f>UPPER(Master_ventas[[#This Row],[Product Name]])</f>
        <v>PRINTER</v>
      </c>
      <c r="K998" t="str">
        <f>UPPER(Master_ventas[[#This Row],[Category]])</f>
        <v>OFFICE</v>
      </c>
      <c r="L998">
        <f>YEAR(Master_ventas[[#This Row],[Order Date]])</f>
        <v>2022</v>
      </c>
      <c r="M998" t="str">
        <f>CONCATENATE(LEFT(Master_ventas[[#This Row],[ProdUpper]],3),RIGHT(Master_ventas[[#This Row],[Ext-Year]],2),"-",MID(Master_ventas[[#This Row],[Category]],1,1))</f>
        <v>PRI22-O</v>
      </c>
      <c r="N998" t="str">
        <f>MID(Master_ventas[[#This Row],[ProdUpper]],1,3)</f>
        <v>PRI</v>
      </c>
      <c r="O998" t="str">
        <f>UPPER(IF(Master_ventas[[#This Row],[Profit]]&gt;500,"High","Std"))</f>
        <v>HIGH</v>
      </c>
      <c r="P998">
        <v>997</v>
      </c>
    </row>
    <row r="999" spans="1:16" x14ac:dyDescent="0.3">
      <c r="A999" s="1">
        <v>44983</v>
      </c>
      <c r="B999" t="s">
        <v>23</v>
      </c>
      <c r="C999" t="s">
        <v>14</v>
      </c>
      <c r="D999" t="s">
        <v>16</v>
      </c>
      <c r="E999">
        <v>5</v>
      </c>
      <c r="F999" s="3">
        <v>4445</v>
      </c>
      <c r="G999" s="2">
        <v>580.15</v>
      </c>
      <c r="H999">
        <f>Master_ventas[[#This Row],[Profit]]/Master_ventas[[#This Row],[Sales]]</f>
        <v>0.13051743532058493</v>
      </c>
      <c r="I999">
        <f ca="1">Referencia_Hoy-Master_ventas[[#This Row],[Order Date]]</f>
        <v>1340</v>
      </c>
      <c r="J999" t="str">
        <f>UPPER(Master_ventas[[#This Row],[Product Name]])</f>
        <v>LAPTOP</v>
      </c>
      <c r="K999" t="str">
        <f>UPPER(Master_ventas[[#This Row],[Category]])</f>
        <v>ELECTRONICS</v>
      </c>
      <c r="L999">
        <f>YEAR(Master_ventas[[#This Row],[Order Date]])</f>
        <v>2023</v>
      </c>
      <c r="M999" t="str">
        <f>CONCATENATE(LEFT(Master_ventas[[#This Row],[ProdUpper]],3),RIGHT(Master_ventas[[#This Row],[Ext-Year]],2),"-",MID(Master_ventas[[#This Row],[Category]],1,1))</f>
        <v>LAP23-E</v>
      </c>
      <c r="N999" t="str">
        <f>MID(Master_ventas[[#This Row],[ProdUpper]],1,3)</f>
        <v>LAP</v>
      </c>
      <c r="O999" t="str">
        <f>UPPER(IF(Master_ventas[[#This Row],[Profit]]&gt;500,"High","Std"))</f>
        <v>HIGH</v>
      </c>
      <c r="P999">
        <v>998</v>
      </c>
    </row>
    <row r="1000" spans="1:16" x14ac:dyDescent="0.3">
      <c r="A1000" s="1">
        <v>45599</v>
      </c>
      <c r="B1000" t="s">
        <v>19</v>
      </c>
      <c r="C1000" t="s">
        <v>14</v>
      </c>
      <c r="D1000" t="s">
        <v>15</v>
      </c>
      <c r="E1000">
        <v>8</v>
      </c>
      <c r="F1000" s="3">
        <v>7536</v>
      </c>
      <c r="G1000" s="2">
        <v>1197.0899999999999</v>
      </c>
      <c r="H1000">
        <f>Master_ventas[[#This Row],[Profit]]/Master_ventas[[#This Row],[Sales]]</f>
        <v>0.15884952229299362</v>
      </c>
      <c r="I1000">
        <f ca="1">Referencia_Hoy-Master_ventas[[#This Row],[Order Date]]</f>
        <v>724</v>
      </c>
      <c r="J1000" t="str">
        <f>UPPER(Master_ventas[[#This Row],[Product Name]])</f>
        <v>SMARTWATCH</v>
      </c>
      <c r="K1000" t="str">
        <f>UPPER(Master_ventas[[#This Row],[Category]])</f>
        <v>ELECTRONICS</v>
      </c>
      <c r="L1000">
        <f>YEAR(Master_ventas[[#This Row],[Order Date]])</f>
        <v>2024</v>
      </c>
      <c r="M1000" t="str">
        <f>CONCATENATE(LEFT(Master_ventas[[#This Row],[ProdUpper]],3),RIGHT(Master_ventas[[#This Row],[Ext-Year]],2),"-",MID(Master_ventas[[#This Row],[Category]],1,1))</f>
        <v>SMA24-E</v>
      </c>
      <c r="N1000" t="str">
        <f>MID(Master_ventas[[#This Row],[ProdUpper]],1,3)</f>
        <v>SMA</v>
      </c>
      <c r="O1000" t="str">
        <f>UPPER(IF(Master_ventas[[#This Row],[Profit]]&gt;500,"High","Std"))</f>
        <v>HIGH</v>
      </c>
      <c r="P1000">
        <v>999</v>
      </c>
    </row>
    <row r="1001" spans="1:16" x14ac:dyDescent="0.3">
      <c r="A1001" s="1">
        <v>45195</v>
      </c>
      <c r="B1001" t="s">
        <v>20</v>
      </c>
      <c r="C1001" t="s">
        <v>11</v>
      </c>
      <c r="D1001" t="s">
        <v>9</v>
      </c>
      <c r="E1001">
        <v>7</v>
      </c>
      <c r="F1001" s="3">
        <v>4165</v>
      </c>
      <c r="G1001" s="2">
        <v>263.26</v>
      </c>
      <c r="H1001">
        <f>Master_ventas[[#This Row],[Profit]]/Master_ventas[[#This Row],[Sales]]</f>
        <v>6.3207683073229284E-2</v>
      </c>
      <c r="I1001">
        <f ca="1">Referencia_Hoy-Master_ventas[[#This Row],[Order Date]]</f>
        <v>1128</v>
      </c>
      <c r="J1001" t="str">
        <f>UPPER(Master_ventas[[#This Row],[Product Name]])</f>
        <v>MONITOR</v>
      </c>
      <c r="K1001" t="str">
        <f>UPPER(Master_ventas[[#This Row],[Category]])</f>
        <v>ACCESSORIES</v>
      </c>
      <c r="L1001">
        <f>YEAR(Master_ventas[[#This Row],[Order Date]])</f>
        <v>2023</v>
      </c>
      <c r="M1001" t="str">
        <f>CONCATENATE(LEFT(Master_ventas[[#This Row],[ProdUpper]],3),RIGHT(Master_ventas[[#This Row],[Ext-Year]],2),"-",MID(Master_ventas[[#This Row],[Category]],1,1))</f>
        <v>MON23-A</v>
      </c>
      <c r="N1001" t="str">
        <f>MID(Master_ventas[[#This Row],[ProdUpper]],1,3)</f>
        <v>MON</v>
      </c>
      <c r="O1001" t="str">
        <f>UPPER(IF(Master_ventas[[#This Row],[Profit]]&gt;500,"High","Std"))</f>
        <v>STD</v>
      </c>
      <c r="P1001">
        <v>1000</v>
      </c>
    </row>
    <row r="1002" spans="1:16" x14ac:dyDescent="0.3">
      <c r="A1002" s="1">
        <v>45341</v>
      </c>
      <c r="B1002" t="s">
        <v>23</v>
      </c>
      <c r="C1002" t="s">
        <v>14</v>
      </c>
      <c r="D1002" t="s">
        <v>12</v>
      </c>
      <c r="E1002">
        <v>3</v>
      </c>
      <c r="F1002" s="3">
        <v>3021</v>
      </c>
      <c r="G1002" s="2">
        <v>763.99</v>
      </c>
      <c r="H1002">
        <f>Master_ventas[[#This Row],[Profit]]/Master_ventas[[#This Row],[Sales]]</f>
        <v>0.25289308176100628</v>
      </c>
      <c r="I1002">
        <f ca="1">Referencia_Hoy-Master_ventas[[#This Row],[Order Date]]</f>
        <v>982</v>
      </c>
      <c r="J1002" t="str">
        <f>UPPER(Master_ventas[[#This Row],[Product Name]])</f>
        <v>LAPTOP</v>
      </c>
      <c r="K1002" t="str">
        <f>UPPER(Master_ventas[[#This Row],[Category]])</f>
        <v>ELECTRONICS</v>
      </c>
      <c r="L1002">
        <f>YEAR(Master_ventas[[#This Row],[Order Date]])</f>
        <v>2024</v>
      </c>
      <c r="M1002" t="str">
        <f>CONCATENATE(LEFT(Master_ventas[[#This Row],[ProdUpper]],3),RIGHT(Master_ventas[[#This Row],[Ext-Year]],2),"-",MID(Master_ventas[[#This Row],[Category]],1,1))</f>
        <v>LAP24-E</v>
      </c>
      <c r="N1002" t="str">
        <f>MID(Master_ventas[[#This Row],[ProdUpper]],1,3)</f>
        <v>LAP</v>
      </c>
      <c r="O1002" t="str">
        <f>UPPER(IF(Master_ventas[[#This Row],[Profit]]&gt;500,"High","Std"))</f>
        <v>HIGH</v>
      </c>
      <c r="P1002">
        <v>1001</v>
      </c>
    </row>
    <row r="1003" spans="1:16" x14ac:dyDescent="0.3">
      <c r="A1003" s="1">
        <v>45411</v>
      </c>
      <c r="B1003" t="s">
        <v>22</v>
      </c>
      <c r="C1003" t="s">
        <v>11</v>
      </c>
      <c r="D1003" t="s">
        <v>9</v>
      </c>
      <c r="E1003">
        <v>2</v>
      </c>
      <c r="F1003" s="3">
        <v>310</v>
      </c>
      <c r="G1003" s="2">
        <v>70.66</v>
      </c>
      <c r="H1003">
        <f>Master_ventas[[#This Row],[Profit]]/Master_ventas[[#This Row],[Sales]]</f>
        <v>0.22793548387096774</v>
      </c>
      <c r="I1003">
        <f ca="1">Referencia_Hoy-Master_ventas[[#This Row],[Order Date]]</f>
        <v>912</v>
      </c>
      <c r="J1003" t="str">
        <f>UPPER(Master_ventas[[#This Row],[Product Name]])</f>
        <v>KEYBOARD</v>
      </c>
      <c r="K1003" t="str">
        <f>UPPER(Master_ventas[[#This Row],[Category]])</f>
        <v>ACCESSORIES</v>
      </c>
      <c r="L1003">
        <f>YEAR(Master_ventas[[#This Row],[Order Date]])</f>
        <v>2024</v>
      </c>
      <c r="M1003" t="str">
        <f>CONCATENATE(LEFT(Master_ventas[[#This Row],[ProdUpper]],3),RIGHT(Master_ventas[[#This Row],[Ext-Year]],2),"-",MID(Master_ventas[[#This Row],[Category]],1,1))</f>
        <v>KEY24-A</v>
      </c>
      <c r="N1003" t="str">
        <f>MID(Master_ventas[[#This Row],[ProdUpper]],1,3)</f>
        <v>KEY</v>
      </c>
      <c r="O1003" t="str">
        <f>UPPER(IF(Master_ventas[[#This Row],[Profit]]&gt;500,"High","Std"))</f>
        <v>STD</v>
      </c>
      <c r="P1003">
        <v>1002</v>
      </c>
    </row>
    <row r="1004" spans="1:16" x14ac:dyDescent="0.3">
      <c r="A1004" s="1">
        <v>45427</v>
      </c>
      <c r="B1004" t="s">
        <v>18</v>
      </c>
      <c r="C1004" t="s">
        <v>11</v>
      </c>
      <c r="D1004" t="s">
        <v>15</v>
      </c>
      <c r="E1004">
        <v>2</v>
      </c>
      <c r="F1004" s="3">
        <v>2170</v>
      </c>
      <c r="G1004" s="2">
        <v>522</v>
      </c>
      <c r="H1004">
        <f>Master_ventas[[#This Row],[Profit]]/Master_ventas[[#This Row],[Sales]]</f>
        <v>0.24055299539170508</v>
      </c>
      <c r="I1004">
        <f ca="1">Referencia_Hoy-Master_ventas[[#This Row],[Order Date]]</f>
        <v>896</v>
      </c>
      <c r="J1004" t="str">
        <f>UPPER(Master_ventas[[#This Row],[Product Name]])</f>
        <v>HEADPHONES</v>
      </c>
      <c r="K1004" t="str">
        <f>UPPER(Master_ventas[[#This Row],[Category]])</f>
        <v>ACCESSORIES</v>
      </c>
      <c r="L1004">
        <f>YEAR(Master_ventas[[#This Row],[Order Date]])</f>
        <v>2024</v>
      </c>
      <c r="M1004" t="str">
        <f>CONCATENATE(LEFT(Master_ventas[[#This Row],[ProdUpper]],3),RIGHT(Master_ventas[[#This Row],[Ext-Year]],2),"-",MID(Master_ventas[[#This Row],[Category]],1,1))</f>
        <v>HEA24-A</v>
      </c>
      <c r="N1004" t="str">
        <f>MID(Master_ventas[[#This Row],[ProdUpper]],1,3)</f>
        <v>HEA</v>
      </c>
      <c r="O1004" t="str">
        <f>UPPER(IF(Master_ventas[[#This Row],[Profit]]&gt;500,"High","Std"))</f>
        <v>HIGH</v>
      </c>
      <c r="P1004">
        <v>1003</v>
      </c>
    </row>
    <row r="1005" spans="1:16" x14ac:dyDescent="0.3">
      <c r="A1005" s="1">
        <v>45587</v>
      </c>
      <c r="B1005" t="s">
        <v>13</v>
      </c>
      <c r="C1005" t="s">
        <v>14</v>
      </c>
      <c r="D1005" t="s">
        <v>16</v>
      </c>
      <c r="E1005">
        <v>3</v>
      </c>
      <c r="F1005" s="3">
        <v>2832</v>
      </c>
      <c r="G1005" s="2">
        <v>317.76</v>
      </c>
      <c r="H1005">
        <f>Master_ventas[[#This Row],[Profit]]/Master_ventas[[#This Row],[Sales]]</f>
        <v>0.11220338983050847</v>
      </c>
      <c r="I1005">
        <f ca="1">Referencia_Hoy-Master_ventas[[#This Row],[Order Date]]</f>
        <v>736</v>
      </c>
      <c r="J1005" t="str">
        <f>UPPER(Master_ventas[[#This Row],[Product Name]])</f>
        <v>TABLET</v>
      </c>
      <c r="K1005" t="str">
        <f>UPPER(Master_ventas[[#This Row],[Category]])</f>
        <v>ELECTRONICS</v>
      </c>
      <c r="L1005">
        <f>YEAR(Master_ventas[[#This Row],[Order Date]])</f>
        <v>2024</v>
      </c>
      <c r="M1005" t="str">
        <f>CONCATENATE(LEFT(Master_ventas[[#This Row],[ProdUpper]],3),RIGHT(Master_ventas[[#This Row],[Ext-Year]],2),"-",MID(Master_ventas[[#This Row],[Category]],1,1))</f>
        <v>TAB24-E</v>
      </c>
      <c r="N1005" t="str">
        <f>MID(Master_ventas[[#This Row],[ProdUpper]],1,3)</f>
        <v>TAB</v>
      </c>
      <c r="O1005" t="str">
        <f>UPPER(IF(Master_ventas[[#This Row],[Profit]]&gt;500,"High","Std"))</f>
        <v>STD</v>
      </c>
      <c r="P1005">
        <v>1004</v>
      </c>
    </row>
    <row r="1006" spans="1:16" x14ac:dyDescent="0.3">
      <c r="A1006" s="1">
        <v>44773</v>
      </c>
      <c r="B1006" t="s">
        <v>19</v>
      </c>
      <c r="C1006" t="s">
        <v>14</v>
      </c>
      <c r="D1006" t="s">
        <v>16</v>
      </c>
      <c r="E1006">
        <v>5</v>
      </c>
      <c r="F1006" s="3">
        <v>3945</v>
      </c>
      <c r="G1006" s="2">
        <v>392.09</v>
      </c>
      <c r="H1006">
        <f>Master_ventas[[#This Row],[Profit]]/Master_ventas[[#This Row],[Sales]]</f>
        <v>9.9389100126742708E-2</v>
      </c>
      <c r="I1006">
        <f ca="1">Referencia_Hoy-Master_ventas[[#This Row],[Order Date]]</f>
        <v>1550</v>
      </c>
      <c r="J1006" t="str">
        <f>UPPER(Master_ventas[[#This Row],[Product Name]])</f>
        <v>SMARTWATCH</v>
      </c>
      <c r="K1006" t="str">
        <f>UPPER(Master_ventas[[#This Row],[Category]])</f>
        <v>ELECTRONICS</v>
      </c>
      <c r="L1006">
        <f>YEAR(Master_ventas[[#This Row],[Order Date]])</f>
        <v>2022</v>
      </c>
      <c r="M1006" t="str">
        <f>CONCATENATE(LEFT(Master_ventas[[#This Row],[ProdUpper]],3),RIGHT(Master_ventas[[#This Row],[Ext-Year]],2),"-",MID(Master_ventas[[#This Row],[Category]],1,1))</f>
        <v>SMA22-E</v>
      </c>
      <c r="N1006" t="str">
        <f>MID(Master_ventas[[#This Row],[ProdUpper]],1,3)</f>
        <v>SMA</v>
      </c>
      <c r="O1006" t="str">
        <f>UPPER(IF(Master_ventas[[#This Row],[Profit]]&gt;500,"High","Std"))</f>
        <v>STD</v>
      </c>
      <c r="P1006">
        <v>1005</v>
      </c>
    </row>
    <row r="1007" spans="1:16" x14ac:dyDescent="0.3">
      <c r="A1007" s="1">
        <v>44814</v>
      </c>
      <c r="B1007" t="s">
        <v>13</v>
      </c>
      <c r="C1007" t="s">
        <v>14</v>
      </c>
      <c r="D1007" t="s">
        <v>15</v>
      </c>
      <c r="E1007">
        <v>4</v>
      </c>
      <c r="F1007" s="3">
        <v>2104</v>
      </c>
      <c r="G1007" s="2">
        <v>308</v>
      </c>
      <c r="H1007">
        <f>Master_ventas[[#This Row],[Profit]]/Master_ventas[[#This Row],[Sales]]</f>
        <v>0.14638783269961977</v>
      </c>
      <c r="I1007">
        <f ca="1">Referencia_Hoy-Master_ventas[[#This Row],[Order Date]]</f>
        <v>1509</v>
      </c>
      <c r="J1007" t="str">
        <f>UPPER(Master_ventas[[#This Row],[Product Name]])</f>
        <v>TABLET</v>
      </c>
      <c r="K1007" t="str">
        <f>UPPER(Master_ventas[[#This Row],[Category]])</f>
        <v>ELECTRONICS</v>
      </c>
      <c r="L1007">
        <f>YEAR(Master_ventas[[#This Row],[Order Date]])</f>
        <v>2022</v>
      </c>
      <c r="M1007" t="str">
        <f>CONCATENATE(LEFT(Master_ventas[[#This Row],[ProdUpper]],3),RIGHT(Master_ventas[[#This Row],[Ext-Year]],2),"-",MID(Master_ventas[[#This Row],[Category]],1,1))</f>
        <v>TAB22-E</v>
      </c>
      <c r="N1007" t="str">
        <f>MID(Master_ventas[[#This Row],[ProdUpper]],1,3)</f>
        <v>TAB</v>
      </c>
      <c r="O1007" t="str">
        <f>UPPER(IF(Master_ventas[[#This Row],[Profit]]&gt;500,"High","Std"))</f>
        <v>STD</v>
      </c>
      <c r="P1007">
        <v>1006</v>
      </c>
    </row>
    <row r="1008" spans="1:16" x14ac:dyDescent="0.3">
      <c r="A1008" s="1">
        <v>44797</v>
      </c>
      <c r="B1008" t="s">
        <v>20</v>
      </c>
      <c r="C1008" t="s">
        <v>11</v>
      </c>
      <c r="D1008" t="s">
        <v>15</v>
      </c>
      <c r="E1008">
        <v>2</v>
      </c>
      <c r="F1008" s="3">
        <v>2060</v>
      </c>
      <c r="G1008" s="2">
        <v>517.64</v>
      </c>
      <c r="H1008">
        <f>Master_ventas[[#This Row],[Profit]]/Master_ventas[[#This Row],[Sales]]</f>
        <v>0.25128155339805824</v>
      </c>
      <c r="I1008">
        <f ca="1">Referencia_Hoy-Master_ventas[[#This Row],[Order Date]]</f>
        <v>1526</v>
      </c>
      <c r="J1008" t="str">
        <f>UPPER(Master_ventas[[#This Row],[Product Name]])</f>
        <v>MONITOR</v>
      </c>
      <c r="K1008" t="str">
        <f>UPPER(Master_ventas[[#This Row],[Category]])</f>
        <v>ACCESSORIES</v>
      </c>
      <c r="L1008">
        <f>YEAR(Master_ventas[[#This Row],[Order Date]])</f>
        <v>2022</v>
      </c>
      <c r="M1008" t="str">
        <f>CONCATENATE(LEFT(Master_ventas[[#This Row],[ProdUpper]],3),RIGHT(Master_ventas[[#This Row],[Ext-Year]],2),"-",MID(Master_ventas[[#This Row],[Category]],1,1))</f>
        <v>MON22-A</v>
      </c>
      <c r="N1008" t="str">
        <f>MID(Master_ventas[[#This Row],[ProdUpper]],1,3)</f>
        <v>MON</v>
      </c>
      <c r="O1008" t="str">
        <f>UPPER(IF(Master_ventas[[#This Row],[Profit]]&gt;500,"High","Std"))</f>
        <v>HIGH</v>
      </c>
      <c r="P1008">
        <v>1007</v>
      </c>
    </row>
    <row r="1009" spans="1:16" x14ac:dyDescent="0.3">
      <c r="A1009" s="1">
        <v>45466</v>
      </c>
      <c r="B1009" t="s">
        <v>7</v>
      </c>
      <c r="C1009" t="s">
        <v>8</v>
      </c>
      <c r="D1009" t="s">
        <v>9</v>
      </c>
      <c r="E1009">
        <v>4</v>
      </c>
      <c r="F1009" s="3">
        <v>1060</v>
      </c>
      <c r="G1009" s="2">
        <v>155.78</v>
      </c>
      <c r="H1009">
        <f>Master_ventas[[#This Row],[Profit]]/Master_ventas[[#This Row],[Sales]]</f>
        <v>0.14696226415094341</v>
      </c>
      <c r="I1009">
        <f ca="1">Referencia_Hoy-Master_ventas[[#This Row],[Order Date]]</f>
        <v>857</v>
      </c>
      <c r="J1009" t="str">
        <f>UPPER(Master_ventas[[#This Row],[Product Name]])</f>
        <v>PRINTER</v>
      </c>
      <c r="K1009" t="str">
        <f>UPPER(Master_ventas[[#This Row],[Category]])</f>
        <v>OFFICE</v>
      </c>
      <c r="L1009">
        <f>YEAR(Master_ventas[[#This Row],[Order Date]])</f>
        <v>2024</v>
      </c>
      <c r="M1009" t="str">
        <f>CONCATENATE(LEFT(Master_ventas[[#This Row],[ProdUpper]],3),RIGHT(Master_ventas[[#This Row],[Ext-Year]],2),"-",MID(Master_ventas[[#This Row],[Category]],1,1))</f>
        <v>PRI24-O</v>
      </c>
      <c r="N1009" t="str">
        <f>MID(Master_ventas[[#This Row],[ProdUpper]],1,3)</f>
        <v>PRI</v>
      </c>
      <c r="O1009" t="str">
        <f>UPPER(IF(Master_ventas[[#This Row],[Profit]]&gt;500,"High","Std"))</f>
        <v>STD</v>
      </c>
      <c r="P1009">
        <v>1008</v>
      </c>
    </row>
    <row r="1010" spans="1:16" x14ac:dyDescent="0.3">
      <c r="A1010" s="1">
        <v>44939</v>
      </c>
      <c r="B1010" t="s">
        <v>19</v>
      </c>
      <c r="C1010" t="s">
        <v>14</v>
      </c>
      <c r="D1010" t="s">
        <v>15</v>
      </c>
      <c r="E1010">
        <v>6</v>
      </c>
      <c r="F1010" s="3">
        <v>810</v>
      </c>
      <c r="G1010" s="2">
        <v>108.61</v>
      </c>
      <c r="H1010">
        <f>Master_ventas[[#This Row],[Profit]]/Master_ventas[[#This Row],[Sales]]</f>
        <v>0.13408641975308641</v>
      </c>
      <c r="I1010">
        <f ca="1">Referencia_Hoy-Master_ventas[[#This Row],[Order Date]]</f>
        <v>1384</v>
      </c>
      <c r="J1010" t="str">
        <f>UPPER(Master_ventas[[#This Row],[Product Name]])</f>
        <v>SMARTWATCH</v>
      </c>
      <c r="K1010" t="str">
        <f>UPPER(Master_ventas[[#This Row],[Category]])</f>
        <v>ELECTRONICS</v>
      </c>
      <c r="L1010">
        <f>YEAR(Master_ventas[[#This Row],[Order Date]])</f>
        <v>2023</v>
      </c>
      <c r="M1010" t="str">
        <f>CONCATENATE(LEFT(Master_ventas[[#This Row],[ProdUpper]],3),RIGHT(Master_ventas[[#This Row],[Ext-Year]],2),"-",MID(Master_ventas[[#This Row],[Category]],1,1))</f>
        <v>SMA23-E</v>
      </c>
      <c r="N1010" t="str">
        <f>MID(Master_ventas[[#This Row],[ProdUpper]],1,3)</f>
        <v>SMA</v>
      </c>
      <c r="O1010" t="str">
        <f>UPPER(IF(Master_ventas[[#This Row],[Profit]]&gt;500,"High","Std"))</f>
        <v>STD</v>
      </c>
      <c r="P1010">
        <v>1009</v>
      </c>
    </row>
    <row r="1011" spans="1:16" x14ac:dyDescent="0.3">
      <c r="A1011" s="1">
        <v>44827</v>
      </c>
      <c r="B1011" t="s">
        <v>23</v>
      </c>
      <c r="C1011" t="s">
        <v>14</v>
      </c>
      <c r="D1011" t="s">
        <v>16</v>
      </c>
      <c r="E1011">
        <v>3</v>
      </c>
      <c r="F1011" s="3">
        <v>873</v>
      </c>
      <c r="G1011" s="2">
        <v>57.42</v>
      </c>
      <c r="H1011">
        <f>Master_ventas[[#This Row],[Profit]]/Master_ventas[[#This Row],[Sales]]</f>
        <v>6.5773195876288659E-2</v>
      </c>
      <c r="I1011">
        <f ca="1">Referencia_Hoy-Master_ventas[[#This Row],[Order Date]]</f>
        <v>1496</v>
      </c>
      <c r="J1011" t="str">
        <f>UPPER(Master_ventas[[#This Row],[Product Name]])</f>
        <v>LAPTOP</v>
      </c>
      <c r="K1011" t="str">
        <f>UPPER(Master_ventas[[#This Row],[Category]])</f>
        <v>ELECTRONICS</v>
      </c>
      <c r="L1011">
        <f>YEAR(Master_ventas[[#This Row],[Order Date]])</f>
        <v>2022</v>
      </c>
      <c r="M1011" t="str">
        <f>CONCATENATE(LEFT(Master_ventas[[#This Row],[ProdUpper]],3),RIGHT(Master_ventas[[#This Row],[Ext-Year]],2),"-",MID(Master_ventas[[#This Row],[Category]],1,1))</f>
        <v>LAP22-E</v>
      </c>
      <c r="N1011" t="str">
        <f>MID(Master_ventas[[#This Row],[ProdUpper]],1,3)</f>
        <v>LAP</v>
      </c>
      <c r="O1011" t="str">
        <f>UPPER(IF(Master_ventas[[#This Row],[Profit]]&gt;500,"High","Std"))</f>
        <v>STD</v>
      </c>
      <c r="P1011">
        <v>1010</v>
      </c>
    </row>
    <row r="1012" spans="1:16" x14ac:dyDescent="0.3">
      <c r="A1012" s="1">
        <v>44600</v>
      </c>
      <c r="B1012" t="s">
        <v>13</v>
      </c>
      <c r="C1012" t="s">
        <v>14</v>
      </c>
      <c r="D1012" t="s">
        <v>16</v>
      </c>
      <c r="E1012">
        <v>5</v>
      </c>
      <c r="F1012" s="3">
        <v>595</v>
      </c>
      <c r="G1012" s="2">
        <v>121.11</v>
      </c>
      <c r="H1012">
        <f>Master_ventas[[#This Row],[Profit]]/Master_ventas[[#This Row],[Sales]]</f>
        <v>0.20354621848739496</v>
      </c>
      <c r="I1012">
        <f ca="1">Referencia_Hoy-Master_ventas[[#This Row],[Order Date]]</f>
        <v>1723</v>
      </c>
      <c r="J1012" t="str">
        <f>UPPER(Master_ventas[[#This Row],[Product Name]])</f>
        <v>TABLET</v>
      </c>
      <c r="K1012" t="str">
        <f>UPPER(Master_ventas[[#This Row],[Category]])</f>
        <v>ELECTRONICS</v>
      </c>
      <c r="L1012">
        <f>YEAR(Master_ventas[[#This Row],[Order Date]])</f>
        <v>2022</v>
      </c>
      <c r="M1012" t="str">
        <f>CONCATENATE(LEFT(Master_ventas[[#This Row],[ProdUpper]],3),RIGHT(Master_ventas[[#This Row],[Ext-Year]],2),"-",MID(Master_ventas[[#This Row],[Category]],1,1))</f>
        <v>TAB22-E</v>
      </c>
      <c r="N1012" t="str">
        <f>MID(Master_ventas[[#This Row],[ProdUpper]],1,3)</f>
        <v>TAB</v>
      </c>
      <c r="O1012" t="str">
        <f>UPPER(IF(Master_ventas[[#This Row],[Profit]]&gt;500,"High","Std"))</f>
        <v>STD</v>
      </c>
      <c r="P1012">
        <v>1011</v>
      </c>
    </row>
    <row r="1013" spans="1:16" x14ac:dyDescent="0.3">
      <c r="A1013" s="1">
        <v>44913</v>
      </c>
      <c r="B1013" t="s">
        <v>23</v>
      </c>
      <c r="C1013" t="s">
        <v>14</v>
      </c>
      <c r="D1013" t="s">
        <v>16</v>
      </c>
      <c r="E1013">
        <v>2</v>
      </c>
      <c r="F1013" s="3">
        <v>1562</v>
      </c>
      <c r="G1013" s="2">
        <v>119.56</v>
      </c>
      <c r="H1013">
        <f>Master_ventas[[#This Row],[Profit]]/Master_ventas[[#This Row],[Sales]]</f>
        <v>7.6542893725992323E-2</v>
      </c>
      <c r="I1013">
        <f ca="1">Referencia_Hoy-Master_ventas[[#This Row],[Order Date]]</f>
        <v>1410</v>
      </c>
      <c r="J1013" t="str">
        <f>UPPER(Master_ventas[[#This Row],[Product Name]])</f>
        <v>LAPTOP</v>
      </c>
      <c r="K1013" t="str">
        <f>UPPER(Master_ventas[[#This Row],[Category]])</f>
        <v>ELECTRONICS</v>
      </c>
      <c r="L1013">
        <f>YEAR(Master_ventas[[#This Row],[Order Date]])</f>
        <v>2022</v>
      </c>
      <c r="M1013" t="str">
        <f>CONCATENATE(LEFT(Master_ventas[[#This Row],[ProdUpper]],3),RIGHT(Master_ventas[[#This Row],[Ext-Year]],2),"-",MID(Master_ventas[[#This Row],[Category]],1,1))</f>
        <v>LAP22-E</v>
      </c>
      <c r="N1013" t="str">
        <f>MID(Master_ventas[[#This Row],[ProdUpper]],1,3)</f>
        <v>LAP</v>
      </c>
      <c r="O1013" t="str">
        <f>UPPER(IF(Master_ventas[[#This Row],[Profit]]&gt;500,"High","Std"))</f>
        <v>STD</v>
      </c>
      <c r="P1013">
        <v>1012</v>
      </c>
    </row>
    <row r="1014" spans="1:16" x14ac:dyDescent="0.3">
      <c r="A1014" s="1">
        <v>44586</v>
      </c>
      <c r="B1014" t="s">
        <v>19</v>
      </c>
      <c r="C1014" t="s">
        <v>14</v>
      </c>
      <c r="D1014" t="s">
        <v>12</v>
      </c>
      <c r="E1014">
        <v>9</v>
      </c>
      <c r="F1014" s="3">
        <v>5337</v>
      </c>
      <c r="G1014" s="2">
        <v>1575.99</v>
      </c>
      <c r="H1014">
        <f>Master_ventas[[#This Row],[Profit]]/Master_ventas[[#This Row],[Sales]]</f>
        <v>0.29529510961214167</v>
      </c>
      <c r="I1014">
        <f ca="1">Referencia_Hoy-Master_ventas[[#This Row],[Order Date]]</f>
        <v>1737</v>
      </c>
      <c r="J1014" t="str">
        <f>UPPER(Master_ventas[[#This Row],[Product Name]])</f>
        <v>SMARTWATCH</v>
      </c>
      <c r="K1014" t="str">
        <f>UPPER(Master_ventas[[#This Row],[Category]])</f>
        <v>ELECTRONICS</v>
      </c>
      <c r="L1014">
        <f>YEAR(Master_ventas[[#This Row],[Order Date]])</f>
        <v>2022</v>
      </c>
      <c r="M1014" t="str">
        <f>CONCATENATE(LEFT(Master_ventas[[#This Row],[ProdUpper]],3),RIGHT(Master_ventas[[#This Row],[Ext-Year]],2),"-",MID(Master_ventas[[#This Row],[Category]],1,1))</f>
        <v>SMA22-E</v>
      </c>
      <c r="N1014" t="str">
        <f>MID(Master_ventas[[#This Row],[ProdUpper]],1,3)</f>
        <v>SMA</v>
      </c>
      <c r="O1014" t="str">
        <f>UPPER(IF(Master_ventas[[#This Row],[Profit]]&gt;500,"High","Std"))</f>
        <v>HIGH</v>
      </c>
      <c r="P1014">
        <v>1013</v>
      </c>
    </row>
    <row r="1015" spans="1:16" x14ac:dyDescent="0.3">
      <c r="A1015" s="1">
        <v>44904</v>
      </c>
      <c r="B1015" t="s">
        <v>7</v>
      </c>
      <c r="C1015" t="s">
        <v>8</v>
      </c>
      <c r="D1015" t="s">
        <v>9</v>
      </c>
      <c r="E1015">
        <v>2</v>
      </c>
      <c r="F1015" s="3">
        <v>212</v>
      </c>
      <c r="G1015" s="2">
        <v>13.4</v>
      </c>
      <c r="H1015">
        <f>Master_ventas[[#This Row],[Profit]]/Master_ventas[[#This Row],[Sales]]</f>
        <v>6.3207547169811321E-2</v>
      </c>
      <c r="I1015">
        <f ca="1">Referencia_Hoy-Master_ventas[[#This Row],[Order Date]]</f>
        <v>1419</v>
      </c>
      <c r="J1015" t="str">
        <f>UPPER(Master_ventas[[#This Row],[Product Name]])</f>
        <v>PRINTER</v>
      </c>
      <c r="K1015" t="str">
        <f>UPPER(Master_ventas[[#This Row],[Category]])</f>
        <v>OFFICE</v>
      </c>
      <c r="L1015">
        <f>YEAR(Master_ventas[[#This Row],[Order Date]])</f>
        <v>2022</v>
      </c>
      <c r="M1015" t="str">
        <f>CONCATENATE(LEFT(Master_ventas[[#This Row],[ProdUpper]],3),RIGHT(Master_ventas[[#This Row],[Ext-Year]],2),"-",MID(Master_ventas[[#This Row],[Category]],1,1))</f>
        <v>PRI22-O</v>
      </c>
      <c r="N1015" t="str">
        <f>MID(Master_ventas[[#This Row],[ProdUpper]],1,3)</f>
        <v>PRI</v>
      </c>
      <c r="O1015" t="str">
        <f>UPPER(IF(Master_ventas[[#This Row],[Profit]]&gt;500,"High","Std"))</f>
        <v>STD</v>
      </c>
      <c r="P1015">
        <v>1014</v>
      </c>
    </row>
    <row r="1016" spans="1:16" x14ac:dyDescent="0.3">
      <c r="A1016" s="1">
        <v>45091</v>
      </c>
      <c r="B1016" t="s">
        <v>7</v>
      </c>
      <c r="C1016" t="s">
        <v>8</v>
      </c>
      <c r="D1016" t="s">
        <v>12</v>
      </c>
      <c r="E1016">
        <v>8</v>
      </c>
      <c r="F1016" s="3">
        <v>2704</v>
      </c>
      <c r="G1016" s="2">
        <v>705.74</v>
      </c>
      <c r="H1016">
        <f>Master_ventas[[#This Row],[Profit]]/Master_ventas[[#This Row],[Sales]]</f>
        <v>0.26099852071005919</v>
      </c>
      <c r="I1016">
        <f ca="1">Referencia_Hoy-Master_ventas[[#This Row],[Order Date]]</f>
        <v>1232</v>
      </c>
      <c r="J1016" t="str">
        <f>UPPER(Master_ventas[[#This Row],[Product Name]])</f>
        <v>PRINTER</v>
      </c>
      <c r="K1016" t="str">
        <f>UPPER(Master_ventas[[#This Row],[Category]])</f>
        <v>OFFICE</v>
      </c>
      <c r="L1016">
        <f>YEAR(Master_ventas[[#This Row],[Order Date]])</f>
        <v>2023</v>
      </c>
      <c r="M1016" t="str">
        <f>CONCATENATE(LEFT(Master_ventas[[#This Row],[ProdUpper]],3),RIGHT(Master_ventas[[#This Row],[Ext-Year]],2),"-",MID(Master_ventas[[#This Row],[Category]],1,1))</f>
        <v>PRI23-O</v>
      </c>
      <c r="N1016" t="str">
        <f>MID(Master_ventas[[#This Row],[ProdUpper]],1,3)</f>
        <v>PRI</v>
      </c>
      <c r="O1016" t="str">
        <f>UPPER(IF(Master_ventas[[#This Row],[Profit]]&gt;500,"High","Std"))</f>
        <v>HIGH</v>
      </c>
      <c r="P1016">
        <v>1015</v>
      </c>
    </row>
    <row r="1017" spans="1:16" x14ac:dyDescent="0.3">
      <c r="A1017" s="1">
        <v>45443</v>
      </c>
      <c r="B1017" t="s">
        <v>23</v>
      </c>
      <c r="C1017" t="s">
        <v>14</v>
      </c>
      <c r="D1017" t="s">
        <v>9</v>
      </c>
      <c r="E1017">
        <v>5</v>
      </c>
      <c r="F1017" s="3">
        <v>3225</v>
      </c>
      <c r="G1017" s="2">
        <v>523.32000000000005</v>
      </c>
      <c r="H1017">
        <f>Master_ventas[[#This Row],[Profit]]/Master_ventas[[#This Row],[Sales]]</f>
        <v>0.16226976744186047</v>
      </c>
      <c r="I1017">
        <f ca="1">Referencia_Hoy-Master_ventas[[#This Row],[Order Date]]</f>
        <v>880</v>
      </c>
      <c r="J1017" t="str">
        <f>UPPER(Master_ventas[[#This Row],[Product Name]])</f>
        <v>LAPTOP</v>
      </c>
      <c r="K1017" t="str">
        <f>UPPER(Master_ventas[[#This Row],[Category]])</f>
        <v>ELECTRONICS</v>
      </c>
      <c r="L1017">
        <f>YEAR(Master_ventas[[#This Row],[Order Date]])</f>
        <v>2024</v>
      </c>
      <c r="M1017" t="str">
        <f>CONCATENATE(LEFT(Master_ventas[[#This Row],[ProdUpper]],3),RIGHT(Master_ventas[[#This Row],[Ext-Year]],2),"-",MID(Master_ventas[[#This Row],[Category]],1,1))</f>
        <v>LAP24-E</v>
      </c>
      <c r="N1017" t="str">
        <f>MID(Master_ventas[[#This Row],[ProdUpper]],1,3)</f>
        <v>LAP</v>
      </c>
      <c r="O1017" t="str">
        <f>UPPER(IF(Master_ventas[[#This Row],[Profit]]&gt;500,"High","Std"))</f>
        <v>HIGH</v>
      </c>
      <c r="P1017">
        <v>1016</v>
      </c>
    </row>
    <row r="1018" spans="1:16" x14ac:dyDescent="0.3">
      <c r="A1018" s="1">
        <v>45145</v>
      </c>
      <c r="B1018" t="s">
        <v>20</v>
      </c>
      <c r="C1018" t="s">
        <v>11</v>
      </c>
      <c r="D1018" t="s">
        <v>9</v>
      </c>
      <c r="E1018">
        <v>2</v>
      </c>
      <c r="F1018" s="3">
        <v>1342</v>
      </c>
      <c r="G1018" s="2">
        <v>184.59</v>
      </c>
      <c r="H1018">
        <f>Master_ventas[[#This Row],[Profit]]/Master_ventas[[#This Row],[Sales]]</f>
        <v>0.13754843517138599</v>
      </c>
      <c r="I1018">
        <f ca="1">Referencia_Hoy-Master_ventas[[#This Row],[Order Date]]</f>
        <v>1178</v>
      </c>
      <c r="J1018" t="str">
        <f>UPPER(Master_ventas[[#This Row],[Product Name]])</f>
        <v>MONITOR</v>
      </c>
      <c r="K1018" t="str">
        <f>UPPER(Master_ventas[[#This Row],[Category]])</f>
        <v>ACCESSORIES</v>
      </c>
      <c r="L1018">
        <f>YEAR(Master_ventas[[#This Row],[Order Date]])</f>
        <v>2023</v>
      </c>
      <c r="M1018" t="str">
        <f>CONCATENATE(LEFT(Master_ventas[[#This Row],[ProdUpper]],3),RIGHT(Master_ventas[[#This Row],[Ext-Year]],2),"-",MID(Master_ventas[[#This Row],[Category]],1,1))</f>
        <v>MON23-A</v>
      </c>
      <c r="N1018" t="str">
        <f>MID(Master_ventas[[#This Row],[ProdUpper]],1,3)</f>
        <v>MON</v>
      </c>
      <c r="O1018" t="str">
        <f>UPPER(IF(Master_ventas[[#This Row],[Profit]]&gt;500,"High","Std"))</f>
        <v>STD</v>
      </c>
      <c r="P1018">
        <v>1017</v>
      </c>
    </row>
    <row r="1019" spans="1:16" x14ac:dyDescent="0.3">
      <c r="A1019" s="1">
        <v>44755</v>
      </c>
      <c r="B1019" t="s">
        <v>10</v>
      </c>
      <c r="C1019" t="s">
        <v>11</v>
      </c>
      <c r="D1019" t="s">
        <v>15</v>
      </c>
      <c r="E1019">
        <v>7</v>
      </c>
      <c r="F1019" s="3">
        <v>3395</v>
      </c>
      <c r="G1019" s="2">
        <v>1012.78</v>
      </c>
      <c r="H1019">
        <f>Master_ventas[[#This Row],[Profit]]/Master_ventas[[#This Row],[Sales]]</f>
        <v>0.29831516936671576</v>
      </c>
      <c r="I1019">
        <f ca="1">Referencia_Hoy-Master_ventas[[#This Row],[Order Date]]</f>
        <v>1568</v>
      </c>
      <c r="J1019" t="str">
        <f>UPPER(Master_ventas[[#This Row],[Product Name]])</f>
        <v>MOUSE</v>
      </c>
      <c r="K1019" t="str">
        <f>UPPER(Master_ventas[[#This Row],[Category]])</f>
        <v>ACCESSORIES</v>
      </c>
      <c r="L1019">
        <f>YEAR(Master_ventas[[#This Row],[Order Date]])</f>
        <v>2022</v>
      </c>
      <c r="M1019" t="str">
        <f>CONCATENATE(LEFT(Master_ventas[[#This Row],[ProdUpper]],3),RIGHT(Master_ventas[[#This Row],[Ext-Year]],2),"-",MID(Master_ventas[[#This Row],[Category]],1,1))</f>
        <v>MOU22-A</v>
      </c>
      <c r="N1019" t="str">
        <f>MID(Master_ventas[[#This Row],[ProdUpper]],1,3)</f>
        <v>MOU</v>
      </c>
      <c r="O1019" t="str">
        <f>UPPER(IF(Master_ventas[[#This Row],[Profit]]&gt;500,"High","Std"))</f>
        <v>HIGH</v>
      </c>
      <c r="P1019">
        <v>1018</v>
      </c>
    </row>
    <row r="1020" spans="1:16" x14ac:dyDescent="0.3">
      <c r="A1020" s="1">
        <v>45627</v>
      </c>
      <c r="B1020" t="s">
        <v>19</v>
      </c>
      <c r="C1020" t="s">
        <v>14</v>
      </c>
      <c r="D1020" t="s">
        <v>12</v>
      </c>
      <c r="E1020">
        <v>4</v>
      </c>
      <c r="F1020" s="3">
        <v>3968</v>
      </c>
      <c r="G1020" s="2">
        <v>480.72</v>
      </c>
      <c r="H1020">
        <f>Master_ventas[[#This Row],[Profit]]/Master_ventas[[#This Row],[Sales]]</f>
        <v>0.1211491935483871</v>
      </c>
      <c r="I1020">
        <f ca="1">Referencia_Hoy-Master_ventas[[#This Row],[Order Date]]</f>
        <v>696</v>
      </c>
      <c r="J1020" t="str">
        <f>UPPER(Master_ventas[[#This Row],[Product Name]])</f>
        <v>SMARTWATCH</v>
      </c>
      <c r="K1020" t="str">
        <f>UPPER(Master_ventas[[#This Row],[Category]])</f>
        <v>ELECTRONICS</v>
      </c>
      <c r="L1020">
        <f>YEAR(Master_ventas[[#This Row],[Order Date]])</f>
        <v>2024</v>
      </c>
      <c r="M1020" t="str">
        <f>CONCATENATE(LEFT(Master_ventas[[#This Row],[ProdUpper]],3),RIGHT(Master_ventas[[#This Row],[Ext-Year]],2),"-",MID(Master_ventas[[#This Row],[Category]],1,1))</f>
        <v>SMA24-E</v>
      </c>
      <c r="N1020" t="str">
        <f>MID(Master_ventas[[#This Row],[ProdUpper]],1,3)</f>
        <v>SMA</v>
      </c>
      <c r="O1020" t="str">
        <f>UPPER(IF(Master_ventas[[#This Row],[Profit]]&gt;500,"High","Std"))</f>
        <v>STD</v>
      </c>
      <c r="P1020">
        <v>1019</v>
      </c>
    </row>
    <row r="1021" spans="1:16" x14ac:dyDescent="0.3">
      <c r="A1021" s="1">
        <v>45394</v>
      </c>
      <c r="B1021" t="s">
        <v>21</v>
      </c>
      <c r="C1021" t="s">
        <v>14</v>
      </c>
      <c r="D1021" t="s">
        <v>16</v>
      </c>
      <c r="E1021">
        <v>5</v>
      </c>
      <c r="F1021" s="3">
        <v>4555</v>
      </c>
      <c r="G1021" s="2">
        <v>776.65</v>
      </c>
      <c r="H1021">
        <f>Master_ventas[[#This Row],[Profit]]/Master_ventas[[#This Row],[Sales]]</f>
        <v>0.17050493962678376</v>
      </c>
      <c r="I1021">
        <f ca="1">Referencia_Hoy-Master_ventas[[#This Row],[Order Date]]</f>
        <v>929</v>
      </c>
      <c r="J1021" t="str">
        <f>UPPER(Master_ventas[[#This Row],[Product Name]])</f>
        <v>SMARTPHONE</v>
      </c>
      <c r="K1021" t="str">
        <f>UPPER(Master_ventas[[#This Row],[Category]])</f>
        <v>ELECTRONICS</v>
      </c>
      <c r="L1021">
        <f>YEAR(Master_ventas[[#This Row],[Order Date]])</f>
        <v>2024</v>
      </c>
      <c r="M1021" t="str">
        <f>CONCATENATE(LEFT(Master_ventas[[#This Row],[ProdUpper]],3),RIGHT(Master_ventas[[#This Row],[Ext-Year]],2),"-",MID(Master_ventas[[#This Row],[Category]],1,1))</f>
        <v>SMA24-E</v>
      </c>
      <c r="N1021" t="str">
        <f>MID(Master_ventas[[#This Row],[ProdUpper]],1,3)</f>
        <v>SMA</v>
      </c>
      <c r="O1021" t="str">
        <f>UPPER(IF(Master_ventas[[#This Row],[Profit]]&gt;500,"High","Std"))</f>
        <v>HIGH</v>
      </c>
      <c r="P1021">
        <v>1020</v>
      </c>
    </row>
    <row r="1022" spans="1:16" x14ac:dyDescent="0.3">
      <c r="A1022" s="1">
        <v>44618</v>
      </c>
      <c r="B1022" t="s">
        <v>13</v>
      </c>
      <c r="C1022" t="s">
        <v>14</v>
      </c>
      <c r="D1022" t="s">
        <v>16</v>
      </c>
      <c r="E1022">
        <v>2</v>
      </c>
      <c r="F1022" s="3">
        <v>2132</v>
      </c>
      <c r="G1022" s="2">
        <v>365.44</v>
      </c>
      <c r="H1022">
        <f>Master_ventas[[#This Row],[Profit]]/Master_ventas[[#This Row],[Sales]]</f>
        <v>0.17140712945590994</v>
      </c>
      <c r="I1022">
        <f ca="1">Referencia_Hoy-Master_ventas[[#This Row],[Order Date]]</f>
        <v>1705</v>
      </c>
      <c r="J1022" t="str">
        <f>UPPER(Master_ventas[[#This Row],[Product Name]])</f>
        <v>TABLET</v>
      </c>
      <c r="K1022" t="str">
        <f>UPPER(Master_ventas[[#This Row],[Category]])</f>
        <v>ELECTRONICS</v>
      </c>
      <c r="L1022">
        <f>YEAR(Master_ventas[[#This Row],[Order Date]])</f>
        <v>2022</v>
      </c>
      <c r="M1022" t="str">
        <f>CONCATENATE(LEFT(Master_ventas[[#This Row],[ProdUpper]],3),RIGHT(Master_ventas[[#This Row],[Ext-Year]],2),"-",MID(Master_ventas[[#This Row],[Category]],1,1))</f>
        <v>TAB22-E</v>
      </c>
      <c r="N1022" t="str">
        <f>MID(Master_ventas[[#This Row],[ProdUpper]],1,3)</f>
        <v>TAB</v>
      </c>
      <c r="O1022" t="str">
        <f>UPPER(IF(Master_ventas[[#This Row],[Profit]]&gt;500,"High","Std"))</f>
        <v>STD</v>
      </c>
      <c r="P1022">
        <v>1021</v>
      </c>
    </row>
    <row r="1023" spans="1:16" x14ac:dyDescent="0.3">
      <c r="A1023" s="1">
        <v>44651</v>
      </c>
      <c r="B1023" t="s">
        <v>10</v>
      </c>
      <c r="C1023" t="s">
        <v>11</v>
      </c>
      <c r="D1023" t="s">
        <v>16</v>
      </c>
      <c r="E1023">
        <v>6</v>
      </c>
      <c r="F1023" s="3">
        <v>6516</v>
      </c>
      <c r="G1023" s="2">
        <v>842.83</v>
      </c>
      <c r="H1023">
        <f>Master_ventas[[#This Row],[Profit]]/Master_ventas[[#This Row],[Sales]]</f>
        <v>0.12934775936157153</v>
      </c>
      <c r="I1023">
        <f ca="1">Referencia_Hoy-Master_ventas[[#This Row],[Order Date]]</f>
        <v>1672</v>
      </c>
      <c r="J1023" t="str">
        <f>UPPER(Master_ventas[[#This Row],[Product Name]])</f>
        <v>MOUSE</v>
      </c>
      <c r="K1023" t="str">
        <f>UPPER(Master_ventas[[#This Row],[Category]])</f>
        <v>ACCESSORIES</v>
      </c>
      <c r="L1023">
        <f>YEAR(Master_ventas[[#This Row],[Order Date]])</f>
        <v>2022</v>
      </c>
      <c r="M1023" t="str">
        <f>CONCATENATE(LEFT(Master_ventas[[#This Row],[ProdUpper]],3),RIGHT(Master_ventas[[#This Row],[Ext-Year]],2),"-",MID(Master_ventas[[#This Row],[Category]],1,1))</f>
        <v>MOU22-A</v>
      </c>
      <c r="N1023" t="str">
        <f>MID(Master_ventas[[#This Row],[ProdUpper]],1,3)</f>
        <v>MOU</v>
      </c>
      <c r="O1023" t="str">
        <f>UPPER(IF(Master_ventas[[#This Row],[Profit]]&gt;500,"High","Std"))</f>
        <v>HIGH</v>
      </c>
      <c r="P1023">
        <v>1022</v>
      </c>
    </row>
    <row r="1024" spans="1:16" x14ac:dyDescent="0.3">
      <c r="A1024" s="1">
        <v>45155</v>
      </c>
      <c r="B1024" t="s">
        <v>19</v>
      </c>
      <c r="C1024" t="s">
        <v>14</v>
      </c>
      <c r="D1024" t="s">
        <v>9</v>
      </c>
      <c r="E1024">
        <v>2</v>
      </c>
      <c r="F1024" s="3">
        <v>2040</v>
      </c>
      <c r="G1024" s="2">
        <v>481.15</v>
      </c>
      <c r="H1024">
        <f>Master_ventas[[#This Row],[Profit]]/Master_ventas[[#This Row],[Sales]]</f>
        <v>0.23585784313725489</v>
      </c>
      <c r="I1024">
        <f ca="1">Referencia_Hoy-Master_ventas[[#This Row],[Order Date]]</f>
        <v>1168</v>
      </c>
      <c r="J1024" t="str">
        <f>UPPER(Master_ventas[[#This Row],[Product Name]])</f>
        <v>SMARTWATCH</v>
      </c>
      <c r="K1024" t="str">
        <f>UPPER(Master_ventas[[#This Row],[Category]])</f>
        <v>ELECTRONICS</v>
      </c>
      <c r="L1024">
        <f>YEAR(Master_ventas[[#This Row],[Order Date]])</f>
        <v>2023</v>
      </c>
      <c r="M1024" t="str">
        <f>CONCATENATE(LEFT(Master_ventas[[#This Row],[ProdUpper]],3),RIGHT(Master_ventas[[#This Row],[Ext-Year]],2),"-",MID(Master_ventas[[#This Row],[Category]],1,1))</f>
        <v>SMA23-E</v>
      </c>
      <c r="N1024" t="str">
        <f>MID(Master_ventas[[#This Row],[ProdUpper]],1,3)</f>
        <v>SMA</v>
      </c>
      <c r="O1024" t="str">
        <f>UPPER(IF(Master_ventas[[#This Row],[Profit]]&gt;500,"High","Std"))</f>
        <v>STD</v>
      </c>
      <c r="P1024">
        <v>1023</v>
      </c>
    </row>
    <row r="1025" spans="1:16" x14ac:dyDescent="0.3">
      <c r="A1025" s="1">
        <v>45558</v>
      </c>
      <c r="B1025" t="s">
        <v>10</v>
      </c>
      <c r="C1025" t="s">
        <v>11</v>
      </c>
      <c r="D1025" t="s">
        <v>12</v>
      </c>
      <c r="E1025">
        <v>6</v>
      </c>
      <c r="F1025" s="3">
        <v>6126</v>
      </c>
      <c r="G1025" s="2">
        <v>428.38</v>
      </c>
      <c r="H1025">
        <f>Master_ventas[[#This Row],[Profit]]/Master_ventas[[#This Row],[Sales]]</f>
        <v>6.9928174991838066E-2</v>
      </c>
      <c r="I1025">
        <f ca="1">Referencia_Hoy-Master_ventas[[#This Row],[Order Date]]</f>
        <v>765</v>
      </c>
      <c r="J1025" t="str">
        <f>UPPER(Master_ventas[[#This Row],[Product Name]])</f>
        <v>MOUSE</v>
      </c>
      <c r="K1025" t="str">
        <f>UPPER(Master_ventas[[#This Row],[Category]])</f>
        <v>ACCESSORIES</v>
      </c>
      <c r="L1025">
        <f>YEAR(Master_ventas[[#This Row],[Order Date]])</f>
        <v>2024</v>
      </c>
      <c r="M1025" t="str">
        <f>CONCATENATE(LEFT(Master_ventas[[#This Row],[ProdUpper]],3),RIGHT(Master_ventas[[#This Row],[Ext-Year]],2),"-",MID(Master_ventas[[#This Row],[Category]],1,1))</f>
        <v>MOU24-A</v>
      </c>
      <c r="N1025" t="str">
        <f>MID(Master_ventas[[#This Row],[ProdUpper]],1,3)</f>
        <v>MOU</v>
      </c>
      <c r="O1025" t="str">
        <f>UPPER(IF(Master_ventas[[#This Row],[Profit]]&gt;500,"High","Std"))</f>
        <v>STD</v>
      </c>
      <c r="P1025">
        <v>1024</v>
      </c>
    </row>
    <row r="1026" spans="1:16" x14ac:dyDescent="0.3">
      <c r="A1026" s="1">
        <v>44815</v>
      </c>
      <c r="B1026" t="s">
        <v>19</v>
      </c>
      <c r="C1026" t="s">
        <v>14</v>
      </c>
      <c r="D1026" t="s">
        <v>16</v>
      </c>
      <c r="E1026">
        <v>8</v>
      </c>
      <c r="F1026" s="3">
        <v>520</v>
      </c>
      <c r="G1026" s="2">
        <v>30.58</v>
      </c>
      <c r="H1026">
        <f>Master_ventas[[#This Row],[Profit]]/Master_ventas[[#This Row],[Sales]]</f>
        <v>5.8807692307692304E-2</v>
      </c>
      <c r="I1026">
        <f ca="1">Referencia_Hoy-Master_ventas[[#This Row],[Order Date]]</f>
        <v>1508</v>
      </c>
      <c r="J1026" t="str">
        <f>UPPER(Master_ventas[[#This Row],[Product Name]])</f>
        <v>SMARTWATCH</v>
      </c>
      <c r="K1026" t="str">
        <f>UPPER(Master_ventas[[#This Row],[Category]])</f>
        <v>ELECTRONICS</v>
      </c>
      <c r="L1026">
        <f>YEAR(Master_ventas[[#This Row],[Order Date]])</f>
        <v>2022</v>
      </c>
      <c r="M1026" t="str">
        <f>CONCATENATE(LEFT(Master_ventas[[#This Row],[ProdUpper]],3),RIGHT(Master_ventas[[#This Row],[Ext-Year]],2),"-",MID(Master_ventas[[#This Row],[Category]],1,1))</f>
        <v>SMA22-E</v>
      </c>
      <c r="N1026" t="str">
        <f>MID(Master_ventas[[#This Row],[ProdUpper]],1,3)</f>
        <v>SMA</v>
      </c>
      <c r="O1026" t="str">
        <f>UPPER(IF(Master_ventas[[#This Row],[Profit]]&gt;500,"High","Std"))</f>
        <v>STD</v>
      </c>
      <c r="P1026">
        <v>1025</v>
      </c>
    </row>
    <row r="1027" spans="1:16" x14ac:dyDescent="0.3">
      <c r="A1027" s="1">
        <v>44927</v>
      </c>
      <c r="B1027" t="s">
        <v>17</v>
      </c>
      <c r="C1027" t="s">
        <v>14</v>
      </c>
      <c r="D1027" t="s">
        <v>15</v>
      </c>
      <c r="E1027">
        <v>5</v>
      </c>
      <c r="F1027" s="3">
        <v>4470</v>
      </c>
      <c r="G1027" s="2">
        <v>526.96</v>
      </c>
      <c r="H1027">
        <f>Master_ventas[[#This Row],[Profit]]/Master_ventas[[#This Row],[Sales]]</f>
        <v>0.1178881431767338</v>
      </c>
      <c r="I1027">
        <f ca="1">Referencia_Hoy-Master_ventas[[#This Row],[Order Date]]</f>
        <v>1396</v>
      </c>
      <c r="J1027" t="str">
        <f>UPPER(Master_ventas[[#This Row],[Product Name]])</f>
        <v>CAMERA</v>
      </c>
      <c r="K1027" t="str">
        <f>UPPER(Master_ventas[[#This Row],[Category]])</f>
        <v>ELECTRONICS</v>
      </c>
      <c r="L1027">
        <f>YEAR(Master_ventas[[#This Row],[Order Date]])</f>
        <v>2023</v>
      </c>
      <c r="M1027" t="str">
        <f>CONCATENATE(LEFT(Master_ventas[[#This Row],[ProdUpper]],3),RIGHT(Master_ventas[[#This Row],[Ext-Year]],2),"-",MID(Master_ventas[[#This Row],[Category]],1,1))</f>
        <v>CAM23-E</v>
      </c>
      <c r="N1027" t="str">
        <f>MID(Master_ventas[[#This Row],[ProdUpper]],1,3)</f>
        <v>CAM</v>
      </c>
      <c r="O1027" t="str">
        <f>UPPER(IF(Master_ventas[[#This Row],[Profit]]&gt;500,"High","Std"))</f>
        <v>HIGH</v>
      </c>
      <c r="P1027">
        <v>1026</v>
      </c>
    </row>
    <row r="1028" spans="1:16" x14ac:dyDescent="0.3">
      <c r="A1028" s="1">
        <v>45485</v>
      </c>
      <c r="B1028" t="s">
        <v>19</v>
      </c>
      <c r="C1028" t="s">
        <v>14</v>
      </c>
      <c r="D1028" t="s">
        <v>16</v>
      </c>
      <c r="E1028">
        <v>8</v>
      </c>
      <c r="F1028" s="3">
        <v>5504</v>
      </c>
      <c r="G1028" s="2">
        <v>1196.78</v>
      </c>
      <c r="H1028">
        <f>Master_ventas[[#This Row],[Profit]]/Master_ventas[[#This Row],[Sales]]</f>
        <v>0.21743822674418603</v>
      </c>
      <c r="I1028">
        <f ca="1">Referencia_Hoy-Master_ventas[[#This Row],[Order Date]]</f>
        <v>838</v>
      </c>
      <c r="J1028" t="str">
        <f>UPPER(Master_ventas[[#This Row],[Product Name]])</f>
        <v>SMARTWATCH</v>
      </c>
      <c r="K1028" t="str">
        <f>UPPER(Master_ventas[[#This Row],[Category]])</f>
        <v>ELECTRONICS</v>
      </c>
      <c r="L1028">
        <f>YEAR(Master_ventas[[#This Row],[Order Date]])</f>
        <v>2024</v>
      </c>
      <c r="M1028" t="str">
        <f>CONCATENATE(LEFT(Master_ventas[[#This Row],[ProdUpper]],3),RIGHT(Master_ventas[[#This Row],[Ext-Year]],2),"-",MID(Master_ventas[[#This Row],[Category]],1,1))</f>
        <v>SMA24-E</v>
      </c>
      <c r="N1028" t="str">
        <f>MID(Master_ventas[[#This Row],[ProdUpper]],1,3)</f>
        <v>SMA</v>
      </c>
      <c r="O1028" t="str">
        <f>UPPER(IF(Master_ventas[[#This Row],[Profit]]&gt;500,"High","Std"))</f>
        <v>HIGH</v>
      </c>
      <c r="P1028">
        <v>1027</v>
      </c>
    </row>
    <row r="1029" spans="1:16" x14ac:dyDescent="0.3">
      <c r="A1029" s="1">
        <v>44572</v>
      </c>
      <c r="B1029" t="s">
        <v>18</v>
      </c>
      <c r="C1029" t="s">
        <v>11</v>
      </c>
      <c r="D1029" t="s">
        <v>16</v>
      </c>
      <c r="E1029">
        <v>4</v>
      </c>
      <c r="F1029" s="3">
        <v>3036</v>
      </c>
      <c r="G1029" s="2">
        <v>511.69</v>
      </c>
      <c r="H1029">
        <f>Master_ventas[[#This Row],[Profit]]/Master_ventas[[#This Row],[Sales]]</f>
        <v>0.16854084321475626</v>
      </c>
      <c r="I1029">
        <f ca="1">Referencia_Hoy-Master_ventas[[#This Row],[Order Date]]</f>
        <v>1751</v>
      </c>
      <c r="J1029" t="str">
        <f>UPPER(Master_ventas[[#This Row],[Product Name]])</f>
        <v>HEADPHONES</v>
      </c>
      <c r="K1029" t="str">
        <f>UPPER(Master_ventas[[#This Row],[Category]])</f>
        <v>ACCESSORIES</v>
      </c>
      <c r="L1029">
        <f>YEAR(Master_ventas[[#This Row],[Order Date]])</f>
        <v>2022</v>
      </c>
      <c r="M1029" t="str">
        <f>CONCATENATE(LEFT(Master_ventas[[#This Row],[ProdUpper]],3),RIGHT(Master_ventas[[#This Row],[Ext-Year]],2),"-",MID(Master_ventas[[#This Row],[Category]],1,1))</f>
        <v>HEA22-A</v>
      </c>
      <c r="N1029" t="str">
        <f>MID(Master_ventas[[#This Row],[ProdUpper]],1,3)</f>
        <v>HEA</v>
      </c>
      <c r="O1029" t="str">
        <f>UPPER(IF(Master_ventas[[#This Row],[Profit]]&gt;500,"High","Std"))</f>
        <v>HIGH</v>
      </c>
      <c r="P1029">
        <v>1028</v>
      </c>
    </row>
    <row r="1030" spans="1:16" x14ac:dyDescent="0.3">
      <c r="A1030" s="1">
        <v>45570</v>
      </c>
      <c r="B1030" t="s">
        <v>19</v>
      </c>
      <c r="C1030" t="s">
        <v>14</v>
      </c>
      <c r="D1030" t="s">
        <v>12</v>
      </c>
      <c r="E1030">
        <v>5</v>
      </c>
      <c r="F1030" s="3">
        <v>2725</v>
      </c>
      <c r="G1030" s="2">
        <v>308.29000000000002</v>
      </c>
      <c r="H1030">
        <f>Master_ventas[[#This Row],[Profit]]/Master_ventas[[#This Row],[Sales]]</f>
        <v>0.11313394495412844</v>
      </c>
      <c r="I1030">
        <f ca="1">Referencia_Hoy-Master_ventas[[#This Row],[Order Date]]</f>
        <v>753</v>
      </c>
      <c r="J1030" t="str">
        <f>UPPER(Master_ventas[[#This Row],[Product Name]])</f>
        <v>SMARTWATCH</v>
      </c>
      <c r="K1030" t="str">
        <f>UPPER(Master_ventas[[#This Row],[Category]])</f>
        <v>ELECTRONICS</v>
      </c>
      <c r="L1030">
        <f>YEAR(Master_ventas[[#This Row],[Order Date]])</f>
        <v>2024</v>
      </c>
      <c r="M1030" t="str">
        <f>CONCATENATE(LEFT(Master_ventas[[#This Row],[ProdUpper]],3),RIGHT(Master_ventas[[#This Row],[Ext-Year]],2),"-",MID(Master_ventas[[#This Row],[Category]],1,1))</f>
        <v>SMA24-E</v>
      </c>
      <c r="N1030" t="str">
        <f>MID(Master_ventas[[#This Row],[ProdUpper]],1,3)</f>
        <v>SMA</v>
      </c>
      <c r="O1030" t="str">
        <f>UPPER(IF(Master_ventas[[#This Row],[Profit]]&gt;500,"High","Std"))</f>
        <v>STD</v>
      </c>
      <c r="P1030">
        <v>1029</v>
      </c>
    </row>
    <row r="1031" spans="1:16" x14ac:dyDescent="0.3">
      <c r="A1031" s="1">
        <v>45551</v>
      </c>
      <c r="B1031" t="s">
        <v>7</v>
      </c>
      <c r="C1031" t="s">
        <v>8</v>
      </c>
      <c r="D1031" t="s">
        <v>9</v>
      </c>
      <c r="E1031">
        <v>8</v>
      </c>
      <c r="F1031" s="3">
        <v>4080</v>
      </c>
      <c r="G1031" s="2">
        <v>336.96</v>
      </c>
      <c r="H1031">
        <f>Master_ventas[[#This Row],[Profit]]/Master_ventas[[#This Row],[Sales]]</f>
        <v>8.2588235294117643E-2</v>
      </c>
      <c r="I1031">
        <f ca="1">Referencia_Hoy-Master_ventas[[#This Row],[Order Date]]</f>
        <v>772</v>
      </c>
      <c r="J1031" t="str">
        <f>UPPER(Master_ventas[[#This Row],[Product Name]])</f>
        <v>PRINTER</v>
      </c>
      <c r="K1031" t="str">
        <f>UPPER(Master_ventas[[#This Row],[Category]])</f>
        <v>OFFICE</v>
      </c>
      <c r="L1031">
        <f>YEAR(Master_ventas[[#This Row],[Order Date]])</f>
        <v>2024</v>
      </c>
      <c r="M1031" t="str">
        <f>CONCATENATE(LEFT(Master_ventas[[#This Row],[ProdUpper]],3),RIGHT(Master_ventas[[#This Row],[Ext-Year]],2),"-",MID(Master_ventas[[#This Row],[Category]],1,1))</f>
        <v>PRI24-O</v>
      </c>
      <c r="N1031" t="str">
        <f>MID(Master_ventas[[#This Row],[ProdUpper]],1,3)</f>
        <v>PRI</v>
      </c>
      <c r="O1031" t="str">
        <f>UPPER(IF(Master_ventas[[#This Row],[Profit]]&gt;500,"High","Std"))</f>
        <v>STD</v>
      </c>
      <c r="P1031">
        <v>1030</v>
      </c>
    </row>
    <row r="1032" spans="1:16" x14ac:dyDescent="0.3">
      <c r="A1032" s="1">
        <v>45435</v>
      </c>
      <c r="B1032" t="s">
        <v>22</v>
      </c>
      <c r="C1032" t="s">
        <v>11</v>
      </c>
      <c r="D1032" t="s">
        <v>9</v>
      </c>
      <c r="E1032">
        <v>8</v>
      </c>
      <c r="F1032" s="3">
        <v>3080</v>
      </c>
      <c r="G1032" s="2">
        <v>776.6</v>
      </c>
      <c r="H1032">
        <f>Master_ventas[[#This Row],[Profit]]/Master_ventas[[#This Row],[Sales]]</f>
        <v>0.25214285714285717</v>
      </c>
      <c r="I1032">
        <f ca="1">Referencia_Hoy-Master_ventas[[#This Row],[Order Date]]</f>
        <v>888</v>
      </c>
      <c r="J1032" t="str">
        <f>UPPER(Master_ventas[[#This Row],[Product Name]])</f>
        <v>KEYBOARD</v>
      </c>
      <c r="K1032" t="str">
        <f>UPPER(Master_ventas[[#This Row],[Category]])</f>
        <v>ACCESSORIES</v>
      </c>
      <c r="L1032">
        <f>YEAR(Master_ventas[[#This Row],[Order Date]])</f>
        <v>2024</v>
      </c>
      <c r="M1032" t="str">
        <f>CONCATENATE(LEFT(Master_ventas[[#This Row],[ProdUpper]],3),RIGHT(Master_ventas[[#This Row],[Ext-Year]],2),"-",MID(Master_ventas[[#This Row],[Category]],1,1))</f>
        <v>KEY24-A</v>
      </c>
      <c r="N1032" t="str">
        <f>MID(Master_ventas[[#This Row],[ProdUpper]],1,3)</f>
        <v>KEY</v>
      </c>
      <c r="O1032" t="str">
        <f>UPPER(IF(Master_ventas[[#This Row],[Profit]]&gt;500,"High","Std"))</f>
        <v>HIGH</v>
      </c>
      <c r="P1032">
        <v>1031</v>
      </c>
    </row>
    <row r="1033" spans="1:16" x14ac:dyDescent="0.3">
      <c r="A1033" s="1">
        <v>45085</v>
      </c>
      <c r="B1033" t="s">
        <v>19</v>
      </c>
      <c r="C1033" t="s">
        <v>14</v>
      </c>
      <c r="D1033" t="s">
        <v>9</v>
      </c>
      <c r="E1033">
        <v>5</v>
      </c>
      <c r="F1033" s="3">
        <v>1525</v>
      </c>
      <c r="G1033" s="2">
        <v>413.75</v>
      </c>
      <c r="H1033">
        <f>Master_ventas[[#This Row],[Profit]]/Master_ventas[[#This Row],[Sales]]</f>
        <v>0.27131147540983608</v>
      </c>
      <c r="I1033">
        <f ca="1">Referencia_Hoy-Master_ventas[[#This Row],[Order Date]]</f>
        <v>1238</v>
      </c>
      <c r="J1033" t="str">
        <f>UPPER(Master_ventas[[#This Row],[Product Name]])</f>
        <v>SMARTWATCH</v>
      </c>
      <c r="K1033" t="str">
        <f>UPPER(Master_ventas[[#This Row],[Category]])</f>
        <v>ELECTRONICS</v>
      </c>
      <c r="L1033">
        <f>YEAR(Master_ventas[[#This Row],[Order Date]])</f>
        <v>2023</v>
      </c>
      <c r="M1033" t="str">
        <f>CONCATENATE(LEFT(Master_ventas[[#This Row],[ProdUpper]],3),RIGHT(Master_ventas[[#This Row],[Ext-Year]],2),"-",MID(Master_ventas[[#This Row],[Category]],1,1))</f>
        <v>SMA23-E</v>
      </c>
      <c r="N1033" t="str">
        <f>MID(Master_ventas[[#This Row],[ProdUpper]],1,3)</f>
        <v>SMA</v>
      </c>
      <c r="O1033" t="str">
        <f>UPPER(IF(Master_ventas[[#This Row],[Profit]]&gt;500,"High","Std"))</f>
        <v>STD</v>
      </c>
      <c r="P1033">
        <v>1032</v>
      </c>
    </row>
    <row r="1034" spans="1:16" x14ac:dyDescent="0.3">
      <c r="A1034" s="1">
        <v>44758</v>
      </c>
      <c r="B1034" t="s">
        <v>20</v>
      </c>
      <c r="C1034" t="s">
        <v>11</v>
      </c>
      <c r="D1034" t="s">
        <v>15</v>
      </c>
      <c r="E1034">
        <v>4</v>
      </c>
      <c r="F1034" s="3">
        <v>1332</v>
      </c>
      <c r="G1034" s="2">
        <v>342.85</v>
      </c>
      <c r="H1034">
        <f>Master_ventas[[#This Row],[Profit]]/Master_ventas[[#This Row],[Sales]]</f>
        <v>0.25739489489489492</v>
      </c>
      <c r="I1034">
        <f ca="1">Referencia_Hoy-Master_ventas[[#This Row],[Order Date]]</f>
        <v>1565</v>
      </c>
      <c r="J1034" t="str">
        <f>UPPER(Master_ventas[[#This Row],[Product Name]])</f>
        <v>MONITOR</v>
      </c>
      <c r="K1034" t="str">
        <f>UPPER(Master_ventas[[#This Row],[Category]])</f>
        <v>ACCESSORIES</v>
      </c>
      <c r="L1034">
        <f>YEAR(Master_ventas[[#This Row],[Order Date]])</f>
        <v>2022</v>
      </c>
      <c r="M1034" t="str">
        <f>CONCATENATE(LEFT(Master_ventas[[#This Row],[ProdUpper]],3),RIGHT(Master_ventas[[#This Row],[Ext-Year]],2),"-",MID(Master_ventas[[#This Row],[Category]],1,1))</f>
        <v>MON22-A</v>
      </c>
      <c r="N1034" t="str">
        <f>MID(Master_ventas[[#This Row],[ProdUpper]],1,3)</f>
        <v>MON</v>
      </c>
      <c r="O1034" t="str">
        <f>UPPER(IF(Master_ventas[[#This Row],[Profit]]&gt;500,"High","Std"))</f>
        <v>STD</v>
      </c>
      <c r="P1034">
        <v>1033</v>
      </c>
    </row>
    <row r="1035" spans="1:16" x14ac:dyDescent="0.3">
      <c r="A1035" s="1">
        <v>45131</v>
      </c>
      <c r="B1035" t="s">
        <v>21</v>
      </c>
      <c r="C1035" t="s">
        <v>14</v>
      </c>
      <c r="D1035" t="s">
        <v>15</v>
      </c>
      <c r="E1035">
        <v>7</v>
      </c>
      <c r="F1035" s="3">
        <v>4669</v>
      </c>
      <c r="G1035" s="2">
        <v>803.21</v>
      </c>
      <c r="H1035">
        <f>Master_ventas[[#This Row],[Profit]]/Master_ventas[[#This Row],[Sales]]</f>
        <v>0.1720304133647462</v>
      </c>
      <c r="I1035">
        <f ca="1">Referencia_Hoy-Master_ventas[[#This Row],[Order Date]]</f>
        <v>1192</v>
      </c>
      <c r="J1035" t="str">
        <f>UPPER(Master_ventas[[#This Row],[Product Name]])</f>
        <v>SMARTPHONE</v>
      </c>
      <c r="K1035" t="str">
        <f>UPPER(Master_ventas[[#This Row],[Category]])</f>
        <v>ELECTRONICS</v>
      </c>
      <c r="L1035">
        <f>YEAR(Master_ventas[[#This Row],[Order Date]])</f>
        <v>2023</v>
      </c>
      <c r="M1035" t="str">
        <f>CONCATENATE(LEFT(Master_ventas[[#This Row],[ProdUpper]],3),RIGHT(Master_ventas[[#This Row],[Ext-Year]],2),"-",MID(Master_ventas[[#This Row],[Category]],1,1))</f>
        <v>SMA23-E</v>
      </c>
      <c r="N1035" t="str">
        <f>MID(Master_ventas[[#This Row],[ProdUpper]],1,3)</f>
        <v>SMA</v>
      </c>
      <c r="O1035" t="str">
        <f>UPPER(IF(Master_ventas[[#This Row],[Profit]]&gt;500,"High","Std"))</f>
        <v>HIGH</v>
      </c>
      <c r="P1035">
        <v>1034</v>
      </c>
    </row>
    <row r="1036" spans="1:16" x14ac:dyDescent="0.3">
      <c r="A1036" s="1">
        <v>44632</v>
      </c>
      <c r="B1036" t="s">
        <v>19</v>
      </c>
      <c r="C1036" t="s">
        <v>14</v>
      </c>
      <c r="D1036" t="s">
        <v>16</v>
      </c>
      <c r="E1036">
        <v>6</v>
      </c>
      <c r="F1036" s="3">
        <v>5310</v>
      </c>
      <c r="G1036" s="2">
        <v>1099.8399999999999</v>
      </c>
      <c r="H1036">
        <f>Master_ventas[[#This Row],[Profit]]/Master_ventas[[#This Row],[Sales]]</f>
        <v>0.20712617702448211</v>
      </c>
      <c r="I1036">
        <f ca="1">Referencia_Hoy-Master_ventas[[#This Row],[Order Date]]</f>
        <v>1691</v>
      </c>
      <c r="J1036" t="str">
        <f>UPPER(Master_ventas[[#This Row],[Product Name]])</f>
        <v>SMARTWATCH</v>
      </c>
      <c r="K1036" t="str">
        <f>UPPER(Master_ventas[[#This Row],[Category]])</f>
        <v>ELECTRONICS</v>
      </c>
      <c r="L1036">
        <f>YEAR(Master_ventas[[#This Row],[Order Date]])</f>
        <v>2022</v>
      </c>
      <c r="M1036" t="str">
        <f>CONCATENATE(LEFT(Master_ventas[[#This Row],[ProdUpper]],3),RIGHT(Master_ventas[[#This Row],[Ext-Year]],2),"-",MID(Master_ventas[[#This Row],[Category]],1,1))</f>
        <v>SMA22-E</v>
      </c>
      <c r="N1036" t="str">
        <f>MID(Master_ventas[[#This Row],[ProdUpper]],1,3)</f>
        <v>SMA</v>
      </c>
      <c r="O1036" t="str">
        <f>UPPER(IF(Master_ventas[[#This Row],[Profit]]&gt;500,"High","Std"))</f>
        <v>HIGH</v>
      </c>
      <c r="P1036">
        <v>1035</v>
      </c>
    </row>
    <row r="1037" spans="1:16" x14ac:dyDescent="0.3">
      <c r="A1037" s="1">
        <v>44938</v>
      </c>
      <c r="B1037" t="s">
        <v>17</v>
      </c>
      <c r="C1037" t="s">
        <v>14</v>
      </c>
      <c r="D1037" t="s">
        <v>12</v>
      </c>
      <c r="E1037">
        <v>8</v>
      </c>
      <c r="F1037" s="3">
        <v>9392</v>
      </c>
      <c r="G1037" s="2">
        <v>2651.84</v>
      </c>
      <c r="H1037">
        <f>Master_ventas[[#This Row],[Profit]]/Master_ventas[[#This Row],[Sales]]</f>
        <v>0.28235093696763203</v>
      </c>
      <c r="I1037">
        <f ca="1">Referencia_Hoy-Master_ventas[[#This Row],[Order Date]]</f>
        <v>1385</v>
      </c>
      <c r="J1037" t="str">
        <f>UPPER(Master_ventas[[#This Row],[Product Name]])</f>
        <v>CAMERA</v>
      </c>
      <c r="K1037" t="str">
        <f>UPPER(Master_ventas[[#This Row],[Category]])</f>
        <v>ELECTRONICS</v>
      </c>
      <c r="L1037">
        <f>YEAR(Master_ventas[[#This Row],[Order Date]])</f>
        <v>2023</v>
      </c>
      <c r="M1037" t="str">
        <f>CONCATENATE(LEFT(Master_ventas[[#This Row],[ProdUpper]],3),RIGHT(Master_ventas[[#This Row],[Ext-Year]],2),"-",MID(Master_ventas[[#This Row],[Category]],1,1))</f>
        <v>CAM23-E</v>
      </c>
      <c r="N1037" t="str">
        <f>MID(Master_ventas[[#This Row],[ProdUpper]],1,3)</f>
        <v>CAM</v>
      </c>
      <c r="O1037" t="str">
        <f>UPPER(IF(Master_ventas[[#This Row],[Profit]]&gt;500,"High","Std"))</f>
        <v>HIGH</v>
      </c>
      <c r="P1037">
        <v>1036</v>
      </c>
    </row>
    <row r="1038" spans="1:16" x14ac:dyDescent="0.3">
      <c r="A1038" s="1">
        <v>44868</v>
      </c>
      <c r="B1038" t="s">
        <v>20</v>
      </c>
      <c r="C1038" t="s">
        <v>11</v>
      </c>
      <c r="D1038" t="s">
        <v>15</v>
      </c>
      <c r="E1038">
        <v>5</v>
      </c>
      <c r="F1038" s="3">
        <v>1350</v>
      </c>
      <c r="G1038" s="2">
        <v>198.19</v>
      </c>
      <c r="H1038">
        <f>Master_ventas[[#This Row],[Profit]]/Master_ventas[[#This Row],[Sales]]</f>
        <v>0.14680740740740741</v>
      </c>
      <c r="I1038">
        <f ca="1">Referencia_Hoy-Master_ventas[[#This Row],[Order Date]]</f>
        <v>1455</v>
      </c>
      <c r="J1038" t="str">
        <f>UPPER(Master_ventas[[#This Row],[Product Name]])</f>
        <v>MONITOR</v>
      </c>
      <c r="K1038" t="str">
        <f>UPPER(Master_ventas[[#This Row],[Category]])</f>
        <v>ACCESSORIES</v>
      </c>
      <c r="L1038">
        <f>YEAR(Master_ventas[[#This Row],[Order Date]])</f>
        <v>2022</v>
      </c>
      <c r="M1038" t="str">
        <f>CONCATENATE(LEFT(Master_ventas[[#This Row],[ProdUpper]],3),RIGHT(Master_ventas[[#This Row],[Ext-Year]],2),"-",MID(Master_ventas[[#This Row],[Category]],1,1))</f>
        <v>MON22-A</v>
      </c>
      <c r="N1038" t="str">
        <f>MID(Master_ventas[[#This Row],[ProdUpper]],1,3)</f>
        <v>MON</v>
      </c>
      <c r="O1038" t="str">
        <f>UPPER(IF(Master_ventas[[#This Row],[Profit]]&gt;500,"High","Std"))</f>
        <v>STD</v>
      </c>
      <c r="P1038">
        <v>1037</v>
      </c>
    </row>
    <row r="1039" spans="1:16" x14ac:dyDescent="0.3">
      <c r="A1039" s="1">
        <v>45365</v>
      </c>
      <c r="B1039" t="s">
        <v>20</v>
      </c>
      <c r="C1039" t="s">
        <v>11</v>
      </c>
      <c r="D1039" t="s">
        <v>9</v>
      </c>
      <c r="E1039">
        <v>4</v>
      </c>
      <c r="F1039" s="3">
        <v>3648</v>
      </c>
      <c r="G1039" s="2">
        <v>768.61</v>
      </c>
      <c r="H1039">
        <f>Master_ventas[[#This Row],[Profit]]/Master_ventas[[#This Row],[Sales]]</f>
        <v>0.21069353070175439</v>
      </c>
      <c r="I1039">
        <f ca="1">Referencia_Hoy-Master_ventas[[#This Row],[Order Date]]</f>
        <v>958</v>
      </c>
      <c r="J1039" t="str">
        <f>UPPER(Master_ventas[[#This Row],[Product Name]])</f>
        <v>MONITOR</v>
      </c>
      <c r="K1039" t="str">
        <f>UPPER(Master_ventas[[#This Row],[Category]])</f>
        <v>ACCESSORIES</v>
      </c>
      <c r="L1039">
        <f>YEAR(Master_ventas[[#This Row],[Order Date]])</f>
        <v>2024</v>
      </c>
      <c r="M1039" t="str">
        <f>CONCATENATE(LEFT(Master_ventas[[#This Row],[ProdUpper]],3),RIGHT(Master_ventas[[#This Row],[Ext-Year]],2),"-",MID(Master_ventas[[#This Row],[Category]],1,1))</f>
        <v>MON24-A</v>
      </c>
      <c r="N1039" t="str">
        <f>MID(Master_ventas[[#This Row],[ProdUpper]],1,3)</f>
        <v>MON</v>
      </c>
      <c r="O1039" t="str">
        <f>UPPER(IF(Master_ventas[[#This Row],[Profit]]&gt;500,"High","Std"))</f>
        <v>HIGH</v>
      </c>
      <c r="P1039">
        <v>1038</v>
      </c>
    </row>
    <row r="1040" spans="1:16" x14ac:dyDescent="0.3">
      <c r="A1040" s="1">
        <v>45134</v>
      </c>
      <c r="B1040" t="s">
        <v>7</v>
      </c>
      <c r="C1040" t="s">
        <v>8</v>
      </c>
      <c r="D1040" t="s">
        <v>9</v>
      </c>
      <c r="E1040">
        <v>2</v>
      </c>
      <c r="F1040" s="3">
        <v>300</v>
      </c>
      <c r="G1040" s="2">
        <v>47.59</v>
      </c>
      <c r="H1040">
        <f>Master_ventas[[#This Row],[Profit]]/Master_ventas[[#This Row],[Sales]]</f>
        <v>0.15863333333333335</v>
      </c>
      <c r="I1040">
        <f ca="1">Referencia_Hoy-Master_ventas[[#This Row],[Order Date]]</f>
        <v>1189</v>
      </c>
      <c r="J1040" t="str">
        <f>UPPER(Master_ventas[[#This Row],[Product Name]])</f>
        <v>PRINTER</v>
      </c>
      <c r="K1040" t="str">
        <f>UPPER(Master_ventas[[#This Row],[Category]])</f>
        <v>OFFICE</v>
      </c>
      <c r="L1040">
        <f>YEAR(Master_ventas[[#This Row],[Order Date]])</f>
        <v>2023</v>
      </c>
      <c r="M1040" t="str">
        <f>CONCATENATE(LEFT(Master_ventas[[#This Row],[ProdUpper]],3),RIGHT(Master_ventas[[#This Row],[Ext-Year]],2),"-",MID(Master_ventas[[#This Row],[Category]],1,1))</f>
        <v>PRI23-O</v>
      </c>
      <c r="N1040" t="str">
        <f>MID(Master_ventas[[#This Row],[ProdUpper]],1,3)</f>
        <v>PRI</v>
      </c>
      <c r="O1040" t="str">
        <f>UPPER(IF(Master_ventas[[#This Row],[Profit]]&gt;500,"High","Std"))</f>
        <v>STD</v>
      </c>
      <c r="P1040">
        <v>1039</v>
      </c>
    </row>
    <row r="1041" spans="1:16" x14ac:dyDescent="0.3">
      <c r="A1041" s="1">
        <v>44787</v>
      </c>
      <c r="B1041" t="s">
        <v>21</v>
      </c>
      <c r="C1041" t="s">
        <v>14</v>
      </c>
      <c r="D1041" t="s">
        <v>9</v>
      </c>
      <c r="E1041">
        <v>3</v>
      </c>
      <c r="F1041" s="3">
        <v>3408</v>
      </c>
      <c r="G1041" s="2">
        <v>727.26</v>
      </c>
      <c r="H1041">
        <f>Master_ventas[[#This Row],[Profit]]/Master_ventas[[#This Row],[Sales]]</f>
        <v>0.21339788732394366</v>
      </c>
      <c r="I1041">
        <f ca="1">Referencia_Hoy-Master_ventas[[#This Row],[Order Date]]</f>
        <v>1536</v>
      </c>
      <c r="J1041" t="str">
        <f>UPPER(Master_ventas[[#This Row],[Product Name]])</f>
        <v>SMARTPHONE</v>
      </c>
      <c r="K1041" t="str">
        <f>UPPER(Master_ventas[[#This Row],[Category]])</f>
        <v>ELECTRONICS</v>
      </c>
      <c r="L1041">
        <f>YEAR(Master_ventas[[#This Row],[Order Date]])</f>
        <v>2022</v>
      </c>
      <c r="M1041" t="str">
        <f>CONCATENATE(LEFT(Master_ventas[[#This Row],[ProdUpper]],3),RIGHT(Master_ventas[[#This Row],[Ext-Year]],2),"-",MID(Master_ventas[[#This Row],[Category]],1,1))</f>
        <v>SMA22-E</v>
      </c>
      <c r="N1041" t="str">
        <f>MID(Master_ventas[[#This Row],[ProdUpper]],1,3)</f>
        <v>SMA</v>
      </c>
      <c r="O1041" t="str">
        <f>UPPER(IF(Master_ventas[[#This Row],[Profit]]&gt;500,"High","Std"))</f>
        <v>HIGH</v>
      </c>
      <c r="P1041">
        <v>1040</v>
      </c>
    </row>
    <row r="1042" spans="1:16" x14ac:dyDescent="0.3">
      <c r="A1042" s="1">
        <v>45613</v>
      </c>
      <c r="B1042" t="s">
        <v>22</v>
      </c>
      <c r="C1042" t="s">
        <v>11</v>
      </c>
      <c r="D1042" t="s">
        <v>15</v>
      </c>
      <c r="E1042">
        <v>9</v>
      </c>
      <c r="F1042" s="3">
        <v>4302</v>
      </c>
      <c r="G1042" s="2">
        <v>475.96</v>
      </c>
      <c r="H1042">
        <f>Master_ventas[[#This Row],[Profit]]/Master_ventas[[#This Row],[Sales]]</f>
        <v>0.11063691306369131</v>
      </c>
      <c r="I1042">
        <f ca="1">Referencia_Hoy-Master_ventas[[#This Row],[Order Date]]</f>
        <v>710</v>
      </c>
      <c r="J1042" t="str">
        <f>UPPER(Master_ventas[[#This Row],[Product Name]])</f>
        <v>KEYBOARD</v>
      </c>
      <c r="K1042" t="str">
        <f>UPPER(Master_ventas[[#This Row],[Category]])</f>
        <v>ACCESSORIES</v>
      </c>
      <c r="L1042">
        <f>YEAR(Master_ventas[[#This Row],[Order Date]])</f>
        <v>2024</v>
      </c>
      <c r="M1042" t="str">
        <f>CONCATENATE(LEFT(Master_ventas[[#This Row],[ProdUpper]],3),RIGHT(Master_ventas[[#This Row],[Ext-Year]],2),"-",MID(Master_ventas[[#This Row],[Category]],1,1))</f>
        <v>KEY24-A</v>
      </c>
      <c r="N1042" t="str">
        <f>MID(Master_ventas[[#This Row],[ProdUpper]],1,3)</f>
        <v>KEY</v>
      </c>
      <c r="O1042" t="str">
        <f>UPPER(IF(Master_ventas[[#This Row],[Profit]]&gt;500,"High","Std"))</f>
        <v>STD</v>
      </c>
      <c r="P1042">
        <v>1041</v>
      </c>
    </row>
    <row r="1043" spans="1:16" x14ac:dyDescent="0.3">
      <c r="A1043" s="1">
        <v>45425</v>
      </c>
      <c r="B1043" t="s">
        <v>22</v>
      </c>
      <c r="C1043" t="s">
        <v>11</v>
      </c>
      <c r="D1043" t="s">
        <v>15</v>
      </c>
      <c r="E1043">
        <v>5</v>
      </c>
      <c r="F1043" s="3">
        <v>4575</v>
      </c>
      <c r="G1043" s="2">
        <v>771.24</v>
      </c>
      <c r="H1043">
        <f>Master_ventas[[#This Row],[Profit]]/Master_ventas[[#This Row],[Sales]]</f>
        <v>0.16857704918032787</v>
      </c>
      <c r="I1043">
        <f ca="1">Referencia_Hoy-Master_ventas[[#This Row],[Order Date]]</f>
        <v>898</v>
      </c>
      <c r="J1043" t="str">
        <f>UPPER(Master_ventas[[#This Row],[Product Name]])</f>
        <v>KEYBOARD</v>
      </c>
      <c r="K1043" t="str">
        <f>UPPER(Master_ventas[[#This Row],[Category]])</f>
        <v>ACCESSORIES</v>
      </c>
      <c r="L1043">
        <f>YEAR(Master_ventas[[#This Row],[Order Date]])</f>
        <v>2024</v>
      </c>
      <c r="M1043" t="str">
        <f>CONCATENATE(LEFT(Master_ventas[[#This Row],[ProdUpper]],3),RIGHT(Master_ventas[[#This Row],[Ext-Year]],2),"-",MID(Master_ventas[[#This Row],[Category]],1,1))</f>
        <v>KEY24-A</v>
      </c>
      <c r="N1043" t="str">
        <f>MID(Master_ventas[[#This Row],[ProdUpper]],1,3)</f>
        <v>KEY</v>
      </c>
      <c r="O1043" t="str">
        <f>UPPER(IF(Master_ventas[[#This Row],[Profit]]&gt;500,"High","Std"))</f>
        <v>HIGH</v>
      </c>
      <c r="P1043">
        <v>1042</v>
      </c>
    </row>
    <row r="1044" spans="1:16" x14ac:dyDescent="0.3">
      <c r="A1044" s="1">
        <v>44855</v>
      </c>
      <c r="B1044" t="s">
        <v>23</v>
      </c>
      <c r="C1044" t="s">
        <v>14</v>
      </c>
      <c r="D1044" t="s">
        <v>12</v>
      </c>
      <c r="E1044">
        <v>8</v>
      </c>
      <c r="F1044" s="3">
        <v>9304</v>
      </c>
      <c r="G1044" s="2">
        <v>1855.7</v>
      </c>
      <c r="H1044">
        <f>Master_ventas[[#This Row],[Profit]]/Master_ventas[[#This Row],[Sales]]</f>
        <v>0.19945184866723989</v>
      </c>
      <c r="I1044">
        <f ca="1">Referencia_Hoy-Master_ventas[[#This Row],[Order Date]]</f>
        <v>1468</v>
      </c>
      <c r="J1044" t="str">
        <f>UPPER(Master_ventas[[#This Row],[Product Name]])</f>
        <v>LAPTOP</v>
      </c>
      <c r="K1044" t="str">
        <f>UPPER(Master_ventas[[#This Row],[Category]])</f>
        <v>ELECTRONICS</v>
      </c>
      <c r="L1044">
        <f>YEAR(Master_ventas[[#This Row],[Order Date]])</f>
        <v>2022</v>
      </c>
      <c r="M1044" t="str">
        <f>CONCATENATE(LEFT(Master_ventas[[#This Row],[ProdUpper]],3),RIGHT(Master_ventas[[#This Row],[Ext-Year]],2),"-",MID(Master_ventas[[#This Row],[Category]],1,1))</f>
        <v>LAP22-E</v>
      </c>
      <c r="N1044" t="str">
        <f>MID(Master_ventas[[#This Row],[ProdUpper]],1,3)</f>
        <v>LAP</v>
      </c>
      <c r="O1044" t="str">
        <f>UPPER(IF(Master_ventas[[#This Row],[Profit]]&gt;500,"High","Std"))</f>
        <v>HIGH</v>
      </c>
      <c r="P1044">
        <v>1043</v>
      </c>
    </row>
    <row r="1045" spans="1:16" x14ac:dyDescent="0.3">
      <c r="A1045" s="1">
        <v>45397</v>
      </c>
      <c r="B1045" t="s">
        <v>20</v>
      </c>
      <c r="C1045" t="s">
        <v>11</v>
      </c>
      <c r="D1045" t="s">
        <v>12</v>
      </c>
      <c r="E1045">
        <v>4</v>
      </c>
      <c r="F1045" s="3">
        <v>1928</v>
      </c>
      <c r="G1045" s="2">
        <v>232.48</v>
      </c>
      <c r="H1045">
        <f>Master_ventas[[#This Row],[Profit]]/Master_ventas[[#This Row],[Sales]]</f>
        <v>0.12058091286307053</v>
      </c>
      <c r="I1045">
        <f ca="1">Referencia_Hoy-Master_ventas[[#This Row],[Order Date]]</f>
        <v>926</v>
      </c>
      <c r="J1045" t="str">
        <f>UPPER(Master_ventas[[#This Row],[Product Name]])</f>
        <v>MONITOR</v>
      </c>
      <c r="K1045" t="str">
        <f>UPPER(Master_ventas[[#This Row],[Category]])</f>
        <v>ACCESSORIES</v>
      </c>
      <c r="L1045">
        <f>YEAR(Master_ventas[[#This Row],[Order Date]])</f>
        <v>2024</v>
      </c>
      <c r="M1045" t="str">
        <f>CONCATENATE(LEFT(Master_ventas[[#This Row],[ProdUpper]],3),RIGHT(Master_ventas[[#This Row],[Ext-Year]],2),"-",MID(Master_ventas[[#This Row],[Category]],1,1))</f>
        <v>MON24-A</v>
      </c>
      <c r="N1045" t="str">
        <f>MID(Master_ventas[[#This Row],[ProdUpper]],1,3)</f>
        <v>MON</v>
      </c>
      <c r="O1045" t="str">
        <f>UPPER(IF(Master_ventas[[#This Row],[Profit]]&gt;500,"High","Std"))</f>
        <v>STD</v>
      </c>
      <c r="P1045">
        <v>1044</v>
      </c>
    </row>
    <row r="1046" spans="1:16" x14ac:dyDescent="0.3">
      <c r="A1046" s="1">
        <v>44943</v>
      </c>
      <c r="B1046" t="s">
        <v>7</v>
      </c>
      <c r="C1046" t="s">
        <v>8</v>
      </c>
      <c r="D1046" t="s">
        <v>12</v>
      </c>
      <c r="E1046">
        <v>2</v>
      </c>
      <c r="F1046" s="3">
        <v>1042</v>
      </c>
      <c r="G1046" s="2">
        <v>86.24</v>
      </c>
      <c r="H1046">
        <f>Master_ventas[[#This Row],[Profit]]/Master_ventas[[#This Row],[Sales]]</f>
        <v>8.2763915547024947E-2</v>
      </c>
      <c r="I1046">
        <f ca="1">Referencia_Hoy-Master_ventas[[#This Row],[Order Date]]</f>
        <v>1380</v>
      </c>
      <c r="J1046" t="str">
        <f>UPPER(Master_ventas[[#This Row],[Product Name]])</f>
        <v>PRINTER</v>
      </c>
      <c r="K1046" t="str">
        <f>UPPER(Master_ventas[[#This Row],[Category]])</f>
        <v>OFFICE</v>
      </c>
      <c r="L1046">
        <f>YEAR(Master_ventas[[#This Row],[Order Date]])</f>
        <v>2023</v>
      </c>
      <c r="M1046" t="str">
        <f>CONCATENATE(LEFT(Master_ventas[[#This Row],[ProdUpper]],3),RIGHT(Master_ventas[[#This Row],[Ext-Year]],2),"-",MID(Master_ventas[[#This Row],[Category]],1,1))</f>
        <v>PRI23-O</v>
      </c>
      <c r="N1046" t="str">
        <f>MID(Master_ventas[[#This Row],[ProdUpper]],1,3)</f>
        <v>PRI</v>
      </c>
      <c r="O1046" t="str">
        <f>UPPER(IF(Master_ventas[[#This Row],[Profit]]&gt;500,"High","Std"))</f>
        <v>STD</v>
      </c>
      <c r="P1046">
        <v>1045</v>
      </c>
    </row>
    <row r="1047" spans="1:16" x14ac:dyDescent="0.3">
      <c r="A1047" s="1">
        <v>45258</v>
      </c>
      <c r="B1047" t="s">
        <v>13</v>
      </c>
      <c r="C1047" t="s">
        <v>14</v>
      </c>
      <c r="D1047" t="s">
        <v>12</v>
      </c>
      <c r="E1047">
        <v>3</v>
      </c>
      <c r="F1047" s="3">
        <v>2214</v>
      </c>
      <c r="G1047" s="2">
        <v>507.7</v>
      </c>
      <c r="H1047">
        <f>Master_ventas[[#This Row],[Profit]]/Master_ventas[[#This Row],[Sales]]</f>
        <v>0.22931345980126466</v>
      </c>
      <c r="I1047">
        <f ca="1">Referencia_Hoy-Master_ventas[[#This Row],[Order Date]]</f>
        <v>1065</v>
      </c>
      <c r="J1047" t="str">
        <f>UPPER(Master_ventas[[#This Row],[Product Name]])</f>
        <v>TABLET</v>
      </c>
      <c r="K1047" t="str">
        <f>UPPER(Master_ventas[[#This Row],[Category]])</f>
        <v>ELECTRONICS</v>
      </c>
      <c r="L1047">
        <f>YEAR(Master_ventas[[#This Row],[Order Date]])</f>
        <v>2023</v>
      </c>
      <c r="M1047" t="str">
        <f>CONCATENATE(LEFT(Master_ventas[[#This Row],[ProdUpper]],3),RIGHT(Master_ventas[[#This Row],[Ext-Year]],2),"-",MID(Master_ventas[[#This Row],[Category]],1,1))</f>
        <v>TAB23-E</v>
      </c>
      <c r="N1047" t="str">
        <f>MID(Master_ventas[[#This Row],[ProdUpper]],1,3)</f>
        <v>TAB</v>
      </c>
      <c r="O1047" t="str">
        <f>UPPER(IF(Master_ventas[[#This Row],[Profit]]&gt;500,"High","Std"))</f>
        <v>HIGH</v>
      </c>
      <c r="P1047">
        <v>1046</v>
      </c>
    </row>
    <row r="1048" spans="1:16" x14ac:dyDescent="0.3">
      <c r="A1048" s="1">
        <v>45415</v>
      </c>
      <c r="B1048" t="s">
        <v>22</v>
      </c>
      <c r="C1048" t="s">
        <v>11</v>
      </c>
      <c r="D1048" t="s">
        <v>15</v>
      </c>
      <c r="E1048">
        <v>4</v>
      </c>
      <c r="F1048" s="3">
        <v>3024</v>
      </c>
      <c r="G1048" s="2">
        <v>678.26</v>
      </c>
      <c r="H1048">
        <f>Master_ventas[[#This Row],[Profit]]/Master_ventas[[#This Row],[Sales]]</f>
        <v>0.22429232804232804</v>
      </c>
      <c r="I1048">
        <f ca="1">Referencia_Hoy-Master_ventas[[#This Row],[Order Date]]</f>
        <v>908</v>
      </c>
      <c r="J1048" t="str">
        <f>UPPER(Master_ventas[[#This Row],[Product Name]])</f>
        <v>KEYBOARD</v>
      </c>
      <c r="K1048" t="str">
        <f>UPPER(Master_ventas[[#This Row],[Category]])</f>
        <v>ACCESSORIES</v>
      </c>
      <c r="L1048">
        <f>YEAR(Master_ventas[[#This Row],[Order Date]])</f>
        <v>2024</v>
      </c>
      <c r="M1048" t="str">
        <f>CONCATENATE(LEFT(Master_ventas[[#This Row],[ProdUpper]],3),RIGHT(Master_ventas[[#This Row],[Ext-Year]],2),"-",MID(Master_ventas[[#This Row],[Category]],1,1))</f>
        <v>KEY24-A</v>
      </c>
      <c r="N1048" t="str">
        <f>MID(Master_ventas[[#This Row],[ProdUpper]],1,3)</f>
        <v>KEY</v>
      </c>
      <c r="O1048" t="str">
        <f>UPPER(IF(Master_ventas[[#This Row],[Profit]]&gt;500,"High","Std"))</f>
        <v>HIGH</v>
      </c>
      <c r="P1048">
        <v>1047</v>
      </c>
    </row>
    <row r="1049" spans="1:16" x14ac:dyDescent="0.3">
      <c r="A1049" s="1">
        <v>45149</v>
      </c>
      <c r="B1049" t="s">
        <v>17</v>
      </c>
      <c r="C1049" t="s">
        <v>14</v>
      </c>
      <c r="D1049" t="s">
        <v>12</v>
      </c>
      <c r="E1049">
        <v>2</v>
      </c>
      <c r="F1049" s="3">
        <v>1104</v>
      </c>
      <c r="G1049" s="2">
        <v>173.01</v>
      </c>
      <c r="H1049">
        <f>Master_ventas[[#This Row],[Profit]]/Master_ventas[[#This Row],[Sales]]</f>
        <v>0.15671195652173911</v>
      </c>
      <c r="I1049">
        <f ca="1">Referencia_Hoy-Master_ventas[[#This Row],[Order Date]]</f>
        <v>1174</v>
      </c>
      <c r="J1049" t="str">
        <f>UPPER(Master_ventas[[#This Row],[Product Name]])</f>
        <v>CAMERA</v>
      </c>
      <c r="K1049" t="str">
        <f>UPPER(Master_ventas[[#This Row],[Category]])</f>
        <v>ELECTRONICS</v>
      </c>
      <c r="L1049">
        <f>YEAR(Master_ventas[[#This Row],[Order Date]])</f>
        <v>2023</v>
      </c>
      <c r="M1049" t="str">
        <f>CONCATENATE(LEFT(Master_ventas[[#This Row],[ProdUpper]],3),RIGHT(Master_ventas[[#This Row],[Ext-Year]],2),"-",MID(Master_ventas[[#This Row],[Category]],1,1))</f>
        <v>CAM23-E</v>
      </c>
      <c r="N1049" t="str">
        <f>MID(Master_ventas[[#This Row],[ProdUpper]],1,3)</f>
        <v>CAM</v>
      </c>
      <c r="O1049" t="str">
        <f>UPPER(IF(Master_ventas[[#This Row],[Profit]]&gt;500,"High","Std"))</f>
        <v>STD</v>
      </c>
      <c r="P1049">
        <v>1048</v>
      </c>
    </row>
    <row r="1050" spans="1:16" x14ac:dyDescent="0.3">
      <c r="A1050" s="1">
        <v>44768</v>
      </c>
      <c r="B1050" t="s">
        <v>10</v>
      </c>
      <c r="C1050" t="s">
        <v>11</v>
      </c>
      <c r="D1050" t="s">
        <v>12</v>
      </c>
      <c r="E1050">
        <v>8</v>
      </c>
      <c r="F1050" s="3">
        <v>6056</v>
      </c>
      <c r="G1050" s="2">
        <v>1631.71</v>
      </c>
      <c r="H1050">
        <f>Master_ventas[[#This Row],[Profit]]/Master_ventas[[#This Row],[Sales]]</f>
        <v>0.26943692206076619</v>
      </c>
      <c r="I1050">
        <f ca="1">Referencia_Hoy-Master_ventas[[#This Row],[Order Date]]</f>
        <v>1555</v>
      </c>
      <c r="J1050" t="str">
        <f>UPPER(Master_ventas[[#This Row],[Product Name]])</f>
        <v>MOUSE</v>
      </c>
      <c r="K1050" t="str">
        <f>UPPER(Master_ventas[[#This Row],[Category]])</f>
        <v>ACCESSORIES</v>
      </c>
      <c r="L1050">
        <f>YEAR(Master_ventas[[#This Row],[Order Date]])</f>
        <v>2022</v>
      </c>
      <c r="M1050" t="str">
        <f>CONCATENATE(LEFT(Master_ventas[[#This Row],[ProdUpper]],3),RIGHT(Master_ventas[[#This Row],[Ext-Year]],2),"-",MID(Master_ventas[[#This Row],[Category]],1,1))</f>
        <v>MOU22-A</v>
      </c>
      <c r="N1050" t="str">
        <f>MID(Master_ventas[[#This Row],[ProdUpper]],1,3)</f>
        <v>MOU</v>
      </c>
      <c r="O1050" t="str">
        <f>UPPER(IF(Master_ventas[[#This Row],[Profit]]&gt;500,"High","Std"))</f>
        <v>HIGH</v>
      </c>
      <c r="P1050">
        <v>1049</v>
      </c>
    </row>
    <row r="1051" spans="1:16" x14ac:dyDescent="0.3">
      <c r="A1051" s="1">
        <v>44964</v>
      </c>
      <c r="B1051" t="s">
        <v>10</v>
      </c>
      <c r="C1051" t="s">
        <v>11</v>
      </c>
      <c r="D1051" t="s">
        <v>15</v>
      </c>
      <c r="E1051">
        <v>5</v>
      </c>
      <c r="F1051" s="3">
        <v>5295</v>
      </c>
      <c r="G1051" s="2">
        <v>1375.98</v>
      </c>
      <c r="H1051">
        <f>Master_ventas[[#This Row],[Profit]]/Master_ventas[[#This Row],[Sales]]</f>
        <v>0.25986402266288955</v>
      </c>
      <c r="I1051">
        <f ca="1">Referencia_Hoy-Master_ventas[[#This Row],[Order Date]]</f>
        <v>1359</v>
      </c>
      <c r="J1051" t="str">
        <f>UPPER(Master_ventas[[#This Row],[Product Name]])</f>
        <v>MOUSE</v>
      </c>
      <c r="K1051" t="str">
        <f>UPPER(Master_ventas[[#This Row],[Category]])</f>
        <v>ACCESSORIES</v>
      </c>
      <c r="L1051">
        <f>YEAR(Master_ventas[[#This Row],[Order Date]])</f>
        <v>2023</v>
      </c>
      <c r="M1051" t="str">
        <f>CONCATENATE(LEFT(Master_ventas[[#This Row],[ProdUpper]],3),RIGHT(Master_ventas[[#This Row],[Ext-Year]],2),"-",MID(Master_ventas[[#This Row],[Category]],1,1))</f>
        <v>MOU23-A</v>
      </c>
      <c r="N1051" t="str">
        <f>MID(Master_ventas[[#This Row],[ProdUpper]],1,3)</f>
        <v>MOU</v>
      </c>
      <c r="O1051" t="str">
        <f>UPPER(IF(Master_ventas[[#This Row],[Profit]]&gt;500,"High","Std"))</f>
        <v>HIGH</v>
      </c>
      <c r="P1051">
        <v>1050</v>
      </c>
    </row>
    <row r="1052" spans="1:16" x14ac:dyDescent="0.3">
      <c r="A1052" s="1">
        <v>44580</v>
      </c>
      <c r="B1052" t="s">
        <v>21</v>
      </c>
      <c r="C1052" t="s">
        <v>14</v>
      </c>
      <c r="D1052" t="s">
        <v>9</v>
      </c>
      <c r="E1052">
        <v>4</v>
      </c>
      <c r="F1052" s="3">
        <v>3668</v>
      </c>
      <c r="G1052" s="2">
        <v>839.4</v>
      </c>
      <c r="H1052">
        <f>Master_ventas[[#This Row],[Profit]]/Master_ventas[[#This Row],[Sales]]</f>
        <v>0.22884405670665212</v>
      </c>
      <c r="I1052">
        <f ca="1">Referencia_Hoy-Master_ventas[[#This Row],[Order Date]]</f>
        <v>1743</v>
      </c>
      <c r="J1052" t="str">
        <f>UPPER(Master_ventas[[#This Row],[Product Name]])</f>
        <v>SMARTPHONE</v>
      </c>
      <c r="K1052" t="str">
        <f>UPPER(Master_ventas[[#This Row],[Category]])</f>
        <v>ELECTRONICS</v>
      </c>
      <c r="L1052">
        <f>YEAR(Master_ventas[[#This Row],[Order Date]])</f>
        <v>2022</v>
      </c>
      <c r="M1052" t="str">
        <f>CONCATENATE(LEFT(Master_ventas[[#This Row],[ProdUpper]],3),RIGHT(Master_ventas[[#This Row],[Ext-Year]],2),"-",MID(Master_ventas[[#This Row],[Category]],1,1))</f>
        <v>SMA22-E</v>
      </c>
      <c r="N1052" t="str">
        <f>MID(Master_ventas[[#This Row],[ProdUpper]],1,3)</f>
        <v>SMA</v>
      </c>
      <c r="O1052" t="str">
        <f>UPPER(IF(Master_ventas[[#This Row],[Profit]]&gt;500,"High","Std"))</f>
        <v>HIGH</v>
      </c>
      <c r="P1052">
        <v>1051</v>
      </c>
    </row>
    <row r="1053" spans="1:16" x14ac:dyDescent="0.3">
      <c r="A1053" s="1">
        <v>45107</v>
      </c>
      <c r="B1053" t="s">
        <v>7</v>
      </c>
      <c r="C1053" t="s">
        <v>8</v>
      </c>
      <c r="D1053" t="s">
        <v>15</v>
      </c>
      <c r="E1053">
        <v>9</v>
      </c>
      <c r="F1053" s="3">
        <v>4293</v>
      </c>
      <c r="G1053" s="2">
        <v>295.47000000000003</v>
      </c>
      <c r="H1053">
        <f>Master_ventas[[#This Row],[Profit]]/Master_ventas[[#This Row],[Sales]]</f>
        <v>6.8825995807127893E-2</v>
      </c>
      <c r="I1053">
        <f ca="1">Referencia_Hoy-Master_ventas[[#This Row],[Order Date]]</f>
        <v>1216</v>
      </c>
      <c r="J1053" t="str">
        <f>UPPER(Master_ventas[[#This Row],[Product Name]])</f>
        <v>PRINTER</v>
      </c>
      <c r="K1053" t="str">
        <f>UPPER(Master_ventas[[#This Row],[Category]])</f>
        <v>OFFICE</v>
      </c>
      <c r="L1053">
        <f>YEAR(Master_ventas[[#This Row],[Order Date]])</f>
        <v>2023</v>
      </c>
      <c r="M1053" t="str">
        <f>CONCATENATE(LEFT(Master_ventas[[#This Row],[ProdUpper]],3),RIGHT(Master_ventas[[#This Row],[Ext-Year]],2),"-",MID(Master_ventas[[#This Row],[Category]],1,1))</f>
        <v>PRI23-O</v>
      </c>
      <c r="N1053" t="str">
        <f>MID(Master_ventas[[#This Row],[ProdUpper]],1,3)</f>
        <v>PRI</v>
      </c>
      <c r="O1053" t="str">
        <f>UPPER(IF(Master_ventas[[#This Row],[Profit]]&gt;500,"High","Std"))</f>
        <v>STD</v>
      </c>
      <c r="P1053">
        <v>1052</v>
      </c>
    </row>
    <row r="1054" spans="1:16" x14ac:dyDescent="0.3">
      <c r="A1054" s="1">
        <v>44792</v>
      </c>
      <c r="B1054" t="s">
        <v>10</v>
      </c>
      <c r="C1054" t="s">
        <v>11</v>
      </c>
      <c r="D1054" t="s">
        <v>9</v>
      </c>
      <c r="E1054">
        <v>7</v>
      </c>
      <c r="F1054" s="3">
        <v>5789</v>
      </c>
      <c r="G1054" s="2">
        <v>950.45</v>
      </c>
      <c r="H1054">
        <f>Master_ventas[[#This Row],[Profit]]/Master_ventas[[#This Row],[Sales]]</f>
        <v>0.16418206944204528</v>
      </c>
      <c r="I1054">
        <f ca="1">Referencia_Hoy-Master_ventas[[#This Row],[Order Date]]</f>
        <v>1531</v>
      </c>
      <c r="J1054" t="str">
        <f>UPPER(Master_ventas[[#This Row],[Product Name]])</f>
        <v>MOUSE</v>
      </c>
      <c r="K1054" t="str">
        <f>UPPER(Master_ventas[[#This Row],[Category]])</f>
        <v>ACCESSORIES</v>
      </c>
      <c r="L1054">
        <f>YEAR(Master_ventas[[#This Row],[Order Date]])</f>
        <v>2022</v>
      </c>
      <c r="M1054" t="str">
        <f>CONCATENATE(LEFT(Master_ventas[[#This Row],[ProdUpper]],3),RIGHT(Master_ventas[[#This Row],[Ext-Year]],2),"-",MID(Master_ventas[[#This Row],[Category]],1,1))</f>
        <v>MOU22-A</v>
      </c>
      <c r="N1054" t="str">
        <f>MID(Master_ventas[[#This Row],[ProdUpper]],1,3)</f>
        <v>MOU</v>
      </c>
      <c r="O1054" t="str">
        <f>UPPER(IF(Master_ventas[[#This Row],[Profit]]&gt;500,"High","Std"))</f>
        <v>HIGH</v>
      </c>
      <c r="P1054">
        <v>1053</v>
      </c>
    </row>
    <row r="1055" spans="1:16" x14ac:dyDescent="0.3">
      <c r="A1055" s="1">
        <v>45165</v>
      </c>
      <c r="B1055" t="s">
        <v>19</v>
      </c>
      <c r="C1055" t="s">
        <v>14</v>
      </c>
      <c r="D1055" t="s">
        <v>9</v>
      </c>
      <c r="E1055">
        <v>6</v>
      </c>
      <c r="F1055" s="3">
        <v>4440</v>
      </c>
      <c r="G1055" s="2">
        <v>800.92</v>
      </c>
      <c r="H1055">
        <f>Master_ventas[[#This Row],[Profit]]/Master_ventas[[#This Row],[Sales]]</f>
        <v>0.18038738738738738</v>
      </c>
      <c r="I1055">
        <f ca="1">Referencia_Hoy-Master_ventas[[#This Row],[Order Date]]</f>
        <v>1158</v>
      </c>
      <c r="J1055" t="str">
        <f>UPPER(Master_ventas[[#This Row],[Product Name]])</f>
        <v>SMARTWATCH</v>
      </c>
      <c r="K1055" t="str">
        <f>UPPER(Master_ventas[[#This Row],[Category]])</f>
        <v>ELECTRONICS</v>
      </c>
      <c r="L1055">
        <f>YEAR(Master_ventas[[#This Row],[Order Date]])</f>
        <v>2023</v>
      </c>
      <c r="M1055" t="str">
        <f>CONCATENATE(LEFT(Master_ventas[[#This Row],[ProdUpper]],3),RIGHT(Master_ventas[[#This Row],[Ext-Year]],2),"-",MID(Master_ventas[[#This Row],[Category]],1,1))</f>
        <v>SMA23-E</v>
      </c>
      <c r="N1055" t="str">
        <f>MID(Master_ventas[[#This Row],[ProdUpper]],1,3)</f>
        <v>SMA</v>
      </c>
      <c r="O1055" t="str">
        <f>UPPER(IF(Master_ventas[[#This Row],[Profit]]&gt;500,"High","Std"))</f>
        <v>HIGH</v>
      </c>
      <c r="P1055">
        <v>1054</v>
      </c>
    </row>
    <row r="1056" spans="1:16" x14ac:dyDescent="0.3">
      <c r="A1056" s="1">
        <v>44630</v>
      </c>
      <c r="B1056" t="s">
        <v>7</v>
      </c>
      <c r="C1056" t="s">
        <v>8</v>
      </c>
      <c r="D1056" t="s">
        <v>15</v>
      </c>
      <c r="E1056">
        <v>5</v>
      </c>
      <c r="F1056" s="3">
        <v>5515</v>
      </c>
      <c r="G1056" s="2">
        <v>330.02</v>
      </c>
      <c r="H1056">
        <f>Master_ventas[[#This Row],[Profit]]/Master_ventas[[#This Row],[Sales]]</f>
        <v>5.9840435176790566E-2</v>
      </c>
      <c r="I1056">
        <f ca="1">Referencia_Hoy-Master_ventas[[#This Row],[Order Date]]</f>
        <v>1693</v>
      </c>
      <c r="J1056" t="str">
        <f>UPPER(Master_ventas[[#This Row],[Product Name]])</f>
        <v>PRINTER</v>
      </c>
      <c r="K1056" t="str">
        <f>UPPER(Master_ventas[[#This Row],[Category]])</f>
        <v>OFFICE</v>
      </c>
      <c r="L1056">
        <f>YEAR(Master_ventas[[#This Row],[Order Date]])</f>
        <v>2022</v>
      </c>
      <c r="M1056" t="str">
        <f>CONCATENATE(LEFT(Master_ventas[[#This Row],[ProdUpper]],3),RIGHT(Master_ventas[[#This Row],[Ext-Year]],2),"-",MID(Master_ventas[[#This Row],[Category]],1,1))</f>
        <v>PRI22-O</v>
      </c>
      <c r="N1056" t="str">
        <f>MID(Master_ventas[[#This Row],[ProdUpper]],1,3)</f>
        <v>PRI</v>
      </c>
      <c r="O1056" t="str">
        <f>UPPER(IF(Master_ventas[[#This Row],[Profit]]&gt;500,"High","Std"))</f>
        <v>STD</v>
      </c>
      <c r="P1056">
        <v>1055</v>
      </c>
    </row>
    <row r="1057" spans="1:16" x14ac:dyDescent="0.3">
      <c r="A1057" s="1">
        <v>45577</v>
      </c>
      <c r="B1057" t="s">
        <v>17</v>
      </c>
      <c r="C1057" t="s">
        <v>14</v>
      </c>
      <c r="D1057" t="s">
        <v>9</v>
      </c>
      <c r="E1057">
        <v>4</v>
      </c>
      <c r="F1057" s="3">
        <v>784</v>
      </c>
      <c r="G1057" s="2">
        <v>192.77</v>
      </c>
      <c r="H1057">
        <f>Master_ventas[[#This Row],[Profit]]/Master_ventas[[#This Row],[Sales]]</f>
        <v>0.24588010204081634</v>
      </c>
      <c r="I1057">
        <f ca="1">Referencia_Hoy-Master_ventas[[#This Row],[Order Date]]</f>
        <v>746</v>
      </c>
      <c r="J1057" t="str">
        <f>UPPER(Master_ventas[[#This Row],[Product Name]])</f>
        <v>CAMERA</v>
      </c>
      <c r="K1057" t="str">
        <f>UPPER(Master_ventas[[#This Row],[Category]])</f>
        <v>ELECTRONICS</v>
      </c>
      <c r="L1057">
        <f>YEAR(Master_ventas[[#This Row],[Order Date]])</f>
        <v>2024</v>
      </c>
      <c r="M1057" t="str">
        <f>CONCATENATE(LEFT(Master_ventas[[#This Row],[ProdUpper]],3),RIGHT(Master_ventas[[#This Row],[Ext-Year]],2),"-",MID(Master_ventas[[#This Row],[Category]],1,1))</f>
        <v>CAM24-E</v>
      </c>
      <c r="N1057" t="str">
        <f>MID(Master_ventas[[#This Row],[ProdUpper]],1,3)</f>
        <v>CAM</v>
      </c>
      <c r="O1057" t="str">
        <f>UPPER(IF(Master_ventas[[#This Row],[Profit]]&gt;500,"High","Std"))</f>
        <v>STD</v>
      </c>
      <c r="P1057">
        <v>1056</v>
      </c>
    </row>
    <row r="1058" spans="1:16" x14ac:dyDescent="0.3">
      <c r="A1058" s="1">
        <v>45458</v>
      </c>
      <c r="B1058" t="s">
        <v>23</v>
      </c>
      <c r="C1058" t="s">
        <v>14</v>
      </c>
      <c r="D1058" t="s">
        <v>12</v>
      </c>
      <c r="E1058">
        <v>4</v>
      </c>
      <c r="F1058" s="3">
        <v>576</v>
      </c>
      <c r="G1058" s="2">
        <v>156.59</v>
      </c>
      <c r="H1058">
        <f>Master_ventas[[#This Row],[Profit]]/Master_ventas[[#This Row],[Sales]]</f>
        <v>0.27185763888888892</v>
      </c>
      <c r="I1058">
        <f ca="1">Referencia_Hoy-Master_ventas[[#This Row],[Order Date]]</f>
        <v>865</v>
      </c>
      <c r="J1058" t="str">
        <f>UPPER(Master_ventas[[#This Row],[Product Name]])</f>
        <v>LAPTOP</v>
      </c>
      <c r="K1058" t="str">
        <f>UPPER(Master_ventas[[#This Row],[Category]])</f>
        <v>ELECTRONICS</v>
      </c>
      <c r="L1058">
        <f>YEAR(Master_ventas[[#This Row],[Order Date]])</f>
        <v>2024</v>
      </c>
      <c r="M1058" t="str">
        <f>CONCATENATE(LEFT(Master_ventas[[#This Row],[ProdUpper]],3),RIGHT(Master_ventas[[#This Row],[Ext-Year]],2),"-",MID(Master_ventas[[#This Row],[Category]],1,1))</f>
        <v>LAP24-E</v>
      </c>
      <c r="N1058" t="str">
        <f>MID(Master_ventas[[#This Row],[ProdUpper]],1,3)</f>
        <v>LAP</v>
      </c>
      <c r="O1058" t="str">
        <f>UPPER(IF(Master_ventas[[#This Row],[Profit]]&gt;500,"High","Std"))</f>
        <v>STD</v>
      </c>
      <c r="P1058">
        <v>1057</v>
      </c>
    </row>
    <row r="1059" spans="1:16" x14ac:dyDescent="0.3">
      <c r="A1059" s="1">
        <v>45544</v>
      </c>
      <c r="B1059" t="s">
        <v>19</v>
      </c>
      <c r="C1059" t="s">
        <v>14</v>
      </c>
      <c r="D1059" t="s">
        <v>16</v>
      </c>
      <c r="E1059">
        <v>5</v>
      </c>
      <c r="F1059" s="3">
        <v>705</v>
      </c>
      <c r="G1059" s="2">
        <v>198.62</v>
      </c>
      <c r="H1059">
        <f>Master_ventas[[#This Row],[Profit]]/Master_ventas[[#This Row],[Sales]]</f>
        <v>0.28173049645390069</v>
      </c>
      <c r="I1059">
        <f ca="1">Referencia_Hoy-Master_ventas[[#This Row],[Order Date]]</f>
        <v>779</v>
      </c>
      <c r="J1059" t="str">
        <f>UPPER(Master_ventas[[#This Row],[Product Name]])</f>
        <v>SMARTWATCH</v>
      </c>
      <c r="K1059" t="str">
        <f>UPPER(Master_ventas[[#This Row],[Category]])</f>
        <v>ELECTRONICS</v>
      </c>
      <c r="L1059">
        <f>YEAR(Master_ventas[[#This Row],[Order Date]])</f>
        <v>2024</v>
      </c>
      <c r="M1059" t="str">
        <f>CONCATENATE(LEFT(Master_ventas[[#This Row],[ProdUpper]],3),RIGHT(Master_ventas[[#This Row],[Ext-Year]],2),"-",MID(Master_ventas[[#This Row],[Category]],1,1))</f>
        <v>SMA24-E</v>
      </c>
      <c r="N1059" t="str">
        <f>MID(Master_ventas[[#This Row],[ProdUpper]],1,3)</f>
        <v>SMA</v>
      </c>
      <c r="O1059" t="str">
        <f>UPPER(IF(Master_ventas[[#This Row],[Profit]]&gt;500,"High","Std"))</f>
        <v>STD</v>
      </c>
      <c r="P1059">
        <v>1058</v>
      </c>
    </row>
    <row r="1060" spans="1:16" x14ac:dyDescent="0.3">
      <c r="A1060" s="1">
        <v>45193</v>
      </c>
      <c r="B1060" t="s">
        <v>22</v>
      </c>
      <c r="C1060" t="s">
        <v>11</v>
      </c>
      <c r="D1060" t="s">
        <v>9</v>
      </c>
      <c r="E1060">
        <v>6</v>
      </c>
      <c r="F1060" s="3">
        <v>4458</v>
      </c>
      <c r="G1060" s="2">
        <v>1215.3</v>
      </c>
      <c r="H1060">
        <f>Master_ventas[[#This Row],[Profit]]/Master_ventas[[#This Row],[Sales]]</f>
        <v>0.27261103633916556</v>
      </c>
      <c r="I1060">
        <f ca="1">Referencia_Hoy-Master_ventas[[#This Row],[Order Date]]</f>
        <v>1130</v>
      </c>
      <c r="J1060" t="str">
        <f>UPPER(Master_ventas[[#This Row],[Product Name]])</f>
        <v>KEYBOARD</v>
      </c>
      <c r="K1060" t="str">
        <f>UPPER(Master_ventas[[#This Row],[Category]])</f>
        <v>ACCESSORIES</v>
      </c>
      <c r="L1060">
        <f>YEAR(Master_ventas[[#This Row],[Order Date]])</f>
        <v>2023</v>
      </c>
      <c r="M1060" t="str">
        <f>CONCATENATE(LEFT(Master_ventas[[#This Row],[ProdUpper]],3),RIGHT(Master_ventas[[#This Row],[Ext-Year]],2),"-",MID(Master_ventas[[#This Row],[Category]],1,1))</f>
        <v>KEY23-A</v>
      </c>
      <c r="N1060" t="str">
        <f>MID(Master_ventas[[#This Row],[ProdUpper]],1,3)</f>
        <v>KEY</v>
      </c>
      <c r="O1060" t="str">
        <f>UPPER(IF(Master_ventas[[#This Row],[Profit]]&gt;500,"High","Std"))</f>
        <v>HIGH</v>
      </c>
      <c r="P1060">
        <v>1059</v>
      </c>
    </row>
    <row r="1061" spans="1:16" x14ac:dyDescent="0.3">
      <c r="A1061" s="1">
        <v>44798</v>
      </c>
      <c r="B1061" t="s">
        <v>21</v>
      </c>
      <c r="C1061" t="s">
        <v>14</v>
      </c>
      <c r="D1061" t="s">
        <v>12</v>
      </c>
      <c r="E1061">
        <v>6</v>
      </c>
      <c r="F1061" s="3">
        <v>6780</v>
      </c>
      <c r="G1061" s="2">
        <v>811.92</v>
      </c>
      <c r="H1061">
        <f>Master_ventas[[#This Row],[Profit]]/Master_ventas[[#This Row],[Sales]]</f>
        <v>0.11975221238938052</v>
      </c>
      <c r="I1061">
        <f ca="1">Referencia_Hoy-Master_ventas[[#This Row],[Order Date]]</f>
        <v>1525</v>
      </c>
      <c r="J1061" t="str">
        <f>UPPER(Master_ventas[[#This Row],[Product Name]])</f>
        <v>SMARTPHONE</v>
      </c>
      <c r="K1061" t="str">
        <f>UPPER(Master_ventas[[#This Row],[Category]])</f>
        <v>ELECTRONICS</v>
      </c>
      <c r="L1061">
        <f>YEAR(Master_ventas[[#This Row],[Order Date]])</f>
        <v>2022</v>
      </c>
      <c r="M1061" t="str">
        <f>CONCATENATE(LEFT(Master_ventas[[#This Row],[ProdUpper]],3),RIGHT(Master_ventas[[#This Row],[Ext-Year]],2),"-",MID(Master_ventas[[#This Row],[Category]],1,1))</f>
        <v>SMA22-E</v>
      </c>
      <c r="N1061" t="str">
        <f>MID(Master_ventas[[#This Row],[ProdUpper]],1,3)</f>
        <v>SMA</v>
      </c>
      <c r="O1061" t="str">
        <f>UPPER(IF(Master_ventas[[#This Row],[Profit]]&gt;500,"High","Std"))</f>
        <v>HIGH</v>
      </c>
      <c r="P1061">
        <v>1060</v>
      </c>
    </row>
    <row r="1062" spans="1:16" x14ac:dyDescent="0.3">
      <c r="A1062" s="1">
        <v>45200</v>
      </c>
      <c r="B1062" t="s">
        <v>19</v>
      </c>
      <c r="C1062" t="s">
        <v>14</v>
      </c>
      <c r="D1062" t="s">
        <v>9</v>
      </c>
      <c r="E1062">
        <v>5</v>
      </c>
      <c r="F1062" s="3">
        <v>3970</v>
      </c>
      <c r="G1062" s="2">
        <v>642.70000000000005</v>
      </c>
      <c r="H1062">
        <f>Master_ventas[[#This Row],[Profit]]/Master_ventas[[#This Row],[Sales]]</f>
        <v>0.16188916876574308</v>
      </c>
      <c r="I1062">
        <f ca="1">Referencia_Hoy-Master_ventas[[#This Row],[Order Date]]</f>
        <v>1123</v>
      </c>
      <c r="J1062" t="str">
        <f>UPPER(Master_ventas[[#This Row],[Product Name]])</f>
        <v>SMARTWATCH</v>
      </c>
      <c r="K1062" t="str">
        <f>UPPER(Master_ventas[[#This Row],[Category]])</f>
        <v>ELECTRONICS</v>
      </c>
      <c r="L1062">
        <f>YEAR(Master_ventas[[#This Row],[Order Date]])</f>
        <v>2023</v>
      </c>
      <c r="M1062" t="str">
        <f>CONCATENATE(LEFT(Master_ventas[[#This Row],[ProdUpper]],3),RIGHT(Master_ventas[[#This Row],[Ext-Year]],2),"-",MID(Master_ventas[[#This Row],[Category]],1,1))</f>
        <v>SMA23-E</v>
      </c>
      <c r="N1062" t="str">
        <f>MID(Master_ventas[[#This Row],[ProdUpper]],1,3)</f>
        <v>SMA</v>
      </c>
      <c r="O1062" t="str">
        <f>UPPER(IF(Master_ventas[[#This Row],[Profit]]&gt;500,"High","Std"))</f>
        <v>HIGH</v>
      </c>
      <c r="P1062">
        <v>1061</v>
      </c>
    </row>
    <row r="1063" spans="1:16" x14ac:dyDescent="0.3">
      <c r="A1063" s="1">
        <v>44934</v>
      </c>
      <c r="B1063" t="s">
        <v>20</v>
      </c>
      <c r="C1063" t="s">
        <v>11</v>
      </c>
      <c r="D1063" t="s">
        <v>9</v>
      </c>
      <c r="E1063">
        <v>7</v>
      </c>
      <c r="F1063" s="3">
        <v>5131</v>
      </c>
      <c r="G1063" s="2">
        <v>368.11</v>
      </c>
      <c r="H1063">
        <f>Master_ventas[[#This Row],[Profit]]/Master_ventas[[#This Row],[Sales]]</f>
        <v>7.1742350419021633E-2</v>
      </c>
      <c r="I1063">
        <f ca="1">Referencia_Hoy-Master_ventas[[#This Row],[Order Date]]</f>
        <v>1389</v>
      </c>
      <c r="J1063" t="str">
        <f>UPPER(Master_ventas[[#This Row],[Product Name]])</f>
        <v>MONITOR</v>
      </c>
      <c r="K1063" t="str">
        <f>UPPER(Master_ventas[[#This Row],[Category]])</f>
        <v>ACCESSORIES</v>
      </c>
      <c r="L1063">
        <f>YEAR(Master_ventas[[#This Row],[Order Date]])</f>
        <v>2023</v>
      </c>
      <c r="M1063" t="str">
        <f>CONCATENATE(LEFT(Master_ventas[[#This Row],[ProdUpper]],3),RIGHT(Master_ventas[[#This Row],[Ext-Year]],2),"-",MID(Master_ventas[[#This Row],[Category]],1,1))</f>
        <v>MON23-A</v>
      </c>
      <c r="N1063" t="str">
        <f>MID(Master_ventas[[#This Row],[ProdUpper]],1,3)</f>
        <v>MON</v>
      </c>
      <c r="O1063" t="str">
        <f>UPPER(IF(Master_ventas[[#This Row],[Profit]]&gt;500,"High","Std"))</f>
        <v>STD</v>
      </c>
      <c r="P1063">
        <v>1062</v>
      </c>
    </row>
    <row r="1064" spans="1:16" x14ac:dyDescent="0.3">
      <c r="A1064" s="1">
        <v>44836</v>
      </c>
      <c r="B1064" t="s">
        <v>23</v>
      </c>
      <c r="C1064" t="s">
        <v>14</v>
      </c>
      <c r="D1064" t="s">
        <v>12</v>
      </c>
      <c r="E1064">
        <v>7</v>
      </c>
      <c r="F1064" s="3">
        <v>1750</v>
      </c>
      <c r="G1064" s="2">
        <v>90.21</v>
      </c>
      <c r="H1064">
        <f>Master_ventas[[#This Row],[Profit]]/Master_ventas[[#This Row],[Sales]]</f>
        <v>5.1548571428571423E-2</v>
      </c>
      <c r="I1064">
        <f ca="1">Referencia_Hoy-Master_ventas[[#This Row],[Order Date]]</f>
        <v>1487</v>
      </c>
      <c r="J1064" t="str">
        <f>UPPER(Master_ventas[[#This Row],[Product Name]])</f>
        <v>LAPTOP</v>
      </c>
      <c r="K1064" t="str">
        <f>UPPER(Master_ventas[[#This Row],[Category]])</f>
        <v>ELECTRONICS</v>
      </c>
      <c r="L1064">
        <f>YEAR(Master_ventas[[#This Row],[Order Date]])</f>
        <v>2022</v>
      </c>
      <c r="M1064" t="str">
        <f>CONCATENATE(LEFT(Master_ventas[[#This Row],[ProdUpper]],3),RIGHT(Master_ventas[[#This Row],[Ext-Year]],2),"-",MID(Master_ventas[[#This Row],[Category]],1,1))</f>
        <v>LAP22-E</v>
      </c>
      <c r="N1064" t="str">
        <f>MID(Master_ventas[[#This Row],[ProdUpper]],1,3)</f>
        <v>LAP</v>
      </c>
      <c r="O1064" t="str">
        <f>UPPER(IF(Master_ventas[[#This Row],[Profit]]&gt;500,"High","Std"))</f>
        <v>STD</v>
      </c>
      <c r="P1064">
        <v>1063</v>
      </c>
    </row>
    <row r="1065" spans="1:16" x14ac:dyDescent="0.3">
      <c r="A1065" s="1">
        <v>44603</v>
      </c>
      <c r="B1065" t="s">
        <v>13</v>
      </c>
      <c r="C1065" t="s">
        <v>14</v>
      </c>
      <c r="D1065" t="s">
        <v>12</v>
      </c>
      <c r="E1065">
        <v>7</v>
      </c>
      <c r="F1065" s="3">
        <v>8337</v>
      </c>
      <c r="G1065" s="2">
        <v>753.35</v>
      </c>
      <c r="H1065">
        <f>Master_ventas[[#This Row],[Profit]]/Master_ventas[[#This Row],[Sales]]</f>
        <v>9.0362240614129785E-2</v>
      </c>
      <c r="I1065">
        <f ca="1">Referencia_Hoy-Master_ventas[[#This Row],[Order Date]]</f>
        <v>1720</v>
      </c>
      <c r="J1065" t="str">
        <f>UPPER(Master_ventas[[#This Row],[Product Name]])</f>
        <v>TABLET</v>
      </c>
      <c r="K1065" t="str">
        <f>UPPER(Master_ventas[[#This Row],[Category]])</f>
        <v>ELECTRONICS</v>
      </c>
      <c r="L1065">
        <f>YEAR(Master_ventas[[#This Row],[Order Date]])</f>
        <v>2022</v>
      </c>
      <c r="M1065" t="str">
        <f>CONCATENATE(LEFT(Master_ventas[[#This Row],[ProdUpper]],3),RIGHT(Master_ventas[[#This Row],[Ext-Year]],2),"-",MID(Master_ventas[[#This Row],[Category]],1,1))</f>
        <v>TAB22-E</v>
      </c>
      <c r="N1065" t="str">
        <f>MID(Master_ventas[[#This Row],[ProdUpper]],1,3)</f>
        <v>TAB</v>
      </c>
      <c r="O1065" t="str">
        <f>UPPER(IF(Master_ventas[[#This Row],[Profit]]&gt;500,"High","Std"))</f>
        <v>HIGH</v>
      </c>
      <c r="P1065">
        <v>1064</v>
      </c>
    </row>
    <row r="1066" spans="1:16" x14ac:dyDescent="0.3">
      <c r="A1066" s="1">
        <v>44819</v>
      </c>
      <c r="B1066" t="s">
        <v>22</v>
      </c>
      <c r="C1066" t="s">
        <v>11</v>
      </c>
      <c r="D1066" t="s">
        <v>12</v>
      </c>
      <c r="E1066">
        <v>9</v>
      </c>
      <c r="F1066" s="3">
        <v>9810</v>
      </c>
      <c r="G1066" s="2">
        <v>549.46</v>
      </c>
      <c r="H1066">
        <f>Master_ventas[[#This Row],[Profit]]/Master_ventas[[#This Row],[Sales]]</f>
        <v>5.6010193679918455E-2</v>
      </c>
      <c r="I1066">
        <f ca="1">Referencia_Hoy-Master_ventas[[#This Row],[Order Date]]</f>
        <v>1504</v>
      </c>
      <c r="J1066" t="str">
        <f>UPPER(Master_ventas[[#This Row],[Product Name]])</f>
        <v>KEYBOARD</v>
      </c>
      <c r="K1066" t="str">
        <f>UPPER(Master_ventas[[#This Row],[Category]])</f>
        <v>ACCESSORIES</v>
      </c>
      <c r="L1066">
        <f>YEAR(Master_ventas[[#This Row],[Order Date]])</f>
        <v>2022</v>
      </c>
      <c r="M1066" t="str">
        <f>CONCATENATE(LEFT(Master_ventas[[#This Row],[ProdUpper]],3),RIGHT(Master_ventas[[#This Row],[Ext-Year]],2),"-",MID(Master_ventas[[#This Row],[Category]],1,1))</f>
        <v>KEY22-A</v>
      </c>
      <c r="N1066" t="str">
        <f>MID(Master_ventas[[#This Row],[ProdUpper]],1,3)</f>
        <v>KEY</v>
      </c>
      <c r="O1066" t="str">
        <f>UPPER(IF(Master_ventas[[#This Row],[Profit]]&gt;500,"High","Std"))</f>
        <v>HIGH</v>
      </c>
      <c r="P1066">
        <v>1065</v>
      </c>
    </row>
    <row r="1067" spans="1:16" x14ac:dyDescent="0.3">
      <c r="A1067" s="1">
        <v>45319</v>
      </c>
      <c r="B1067" t="s">
        <v>22</v>
      </c>
      <c r="C1067" t="s">
        <v>11</v>
      </c>
      <c r="D1067" t="s">
        <v>12</v>
      </c>
      <c r="E1067">
        <v>3</v>
      </c>
      <c r="F1067" s="3">
        <v>2658</v>
      </c>
      <c r="G1067" s="2">
        <v>794.36</v>
      </c>
      <c r="H1067">
        <f>Master_ventas[[#This Row],[Profit]]/Master_ventas[[#This Row],[Sales]]</f>
        <v>0.29885628291948835</v>
      </c>
      <c r="I1067">
        <f ca="1">Referencia_Hoy-Master_ventas[[#This Row],[Order Date]]</f>
        <v>1004</v>
      </c>
      <c r="J1067" t="str">
        <f>UPPER(Master_ventas[[#This Row],[Product Name]])</f>
        <v>KEYBOARD</v>
      </c>
      <c r="K1067" t="str">
        <f>UPPER(Master_ventas[[#This Row],[Category]])</f>
        <v>ACCESSORIES</v>
      </c>
      <c r="L1067">
        <f>YEAR(Master_ventas[[#This Row],[Order Date]])</f>
        <v>2024</v>
      </c>
      <c r="M1067" t="str">
        <f>CONCATENATE(LEFT(Master_ventas[[#This Row],[ProdUpper]],3),RIGHT(Master_ventas[[#This Row],[Ext-Year]],2),"-",MID(Master_ventas[[#This Row],[Category]],1,1))</f>
        <v>KEY24-A</v>
      </c>
      <c r="N1067" t="str">
        <f>MID(Master_ventas[[#This Row],[ProdUpper]],1,3)</f>
        <v>KEY</v>
      </c>
      <c r="O1067" t="str">
        <f>UPPER(IF(Master_ventas[[#This Row],[Profit]]&gt;500,"High","Std"))</f>
        <v>HIGH</v>
      </c>
      <c r="P1067">
        <v>1066</v>
      </c>
    </row>
    <row r="1068" spans="1:16" x14ac:dyDescent="0.3">
      <c r="A1068" s="1">
        <v>44765</v>
      </c>
      <c r="B1068" t="s">
        <v>7</v>
      </c>
      <c r="C1068" t="s">
        <v>8</v>
      </c>
      <c r="D1068" t="s">
        <v>16</v>
      </c>
      <c r="E1068">
        <v>1</v>
      </c>
      <c r="F1068" s="3">
        <v>473</v>
      </c>
      <c r="G1068" s="2">
        <v>43.65</v>
      </c>
      <c r="H1068">
        <f>Master_ventas[[#This Row],[Profit]]/Master_ventas[[#This Row],[Sales]]</f>
        <v>9.2283298097251582E-2</v>
      </c>
      <c r="I1068">
        <f ca="1">Referencia_Hoy-Master_ventas[[#This Row],[Order Date]]</f>
        <v>1558</v>
      </c>
      <c r="J1068" t="str">
        <f>UPPER(Master_ventas[[#This Row],[Product Name]])</f>
        <v>PRINTER</v>
      </c>
      <c r="K1068" t="str">
        <f>UPPER(Master_ventas[[#This Row],[Category]])</f>
        <v>OFFICE</v>
      </c>
      <c r="L1068">
        <f>YEAR(Master_ventas[[#This Row],[Order Date]])</f>
        <v>2022</v>
      </c>
      <c r="M1068" t="str">
        <f>CONCATENATE(LEFT(Master_ventas[[#This Row],[ProdUpper]],3),RIGHT(Master_ventas[[#This Row],[Ext-Year]],2),"-",MID(Master_ventas[[#This Row],[Category]],1,1))</f>
        <v>PRI22-O</v>
      </c>
      <c r="N1068" t="str">
        <f>MID(Master_ventas[[#This Row],[ProdUpper]],1,3)</f>
        <v>PRI</v>
      </c>
      <c r="O1068" t="str">
        <f>UPPER(IF(Master_ventas[[#This Row],[Profit]]&gt;500,"High","Std"))</f>
        <v>STD</v>
      </c>
      <c r="P1068">
        <v>1067</v>
      </c>
    </row>
    <row r="1069" spans="1:16" x14ac:dyDescent="0.3">
      <c r="A1069" s="1">
        <v>44575</v>
      </c>
      <c r="B1069" t="s">
        <v>13</v>
      </c>
      <c r="C1069" t="s">
        <v>14</v>
      </c>
      <c r="D1069" t="s">
        <v>9</v>
      </c>
      <c r="E1069">
        <v>9</v>
      </c>
      <c r="F1069" s="3">
        <v>2205</v>
      </c>
      <c r="G1069" s="2">
        <v>410.01</v>
      </c>
      <c r="H1069">
        <f>Master_ventas[[#This Row],[Profit]]/Master_ventas[[#This Row],[Sales]]</f>
        <v>0.18594557823129251</v>
      </c>
      <c r="I1069">
        <f ca="1">Referencia_Hoy-Master_ventas[[#This Row],[Order Date]]</f>
        <v>1748</v>
      </c>
      <c r="J1069" t="str">
        <f>UPPER(Master_ventas[[#This Row],[Product Name]])</f>
        <v>TABLET</v>
      </c>
      <c r="K1069" t="str">
        <f>UPPER(Master_ventas[[#This Row],[Category]])</f>
        <v>ELECTRONICS</v>
      </c>
      <c r="L1069">
        <f>YEAR(Master_ventas[[#This Row],[Order Date]])</f>
        <v>2022</v>
      </c>
      <c r="M1069" t="str">
        <f>CONCATENATE(LEFT(Master_ventas[[#This Row],[ProdUpper]],3),RIGHT(Master_ventas[[#This Row],[Ext-Year]],2),"-",MID(Master_ventas[[#This Row],[Category]],1,1))</f>
        <v>TAB22-E</v>
      </c>
      <c r="N1069" t="str">
        <f>MID(Master_ventas[[#This Row],[ProdUpper]],1,3)</f>
        <v>TAB</v>
      </c>
      <c r="O1069" t="str">
        <f>UPPER(IF(Master_ventas[[#This Row],[Profit]]&gt;500,"High","Std"))</f>
        <v>STD</v>
      </c>
      <c r="P1069">
        <v>1068</v>
      </c>
    </row>
    <row r="1070" spans="1:16" x14ac:dyDescent="0.3">
      <c r="A1070" s="1">
        <v>45090</v>
      </c>
      <c r="B1070" t="s">
        <v>21</v>
      </c>
      <c r="C1070" t="s">
        <v>14</v>
      </c>
      <c r="D1070" t="s">
        <v>15</v>
      </c>
      <c r="E1070">
        <v>9</v>
      </c>
      <c r="F1070" s="3">
        <v>6948</v>
      </c>
      <c r="G1070" s="2">
        <v>1409.3</v>
      </c>
      <c r="H1070">
        <f>Master_ventas[[#This Row],[Profit]]/Master_ventas[[#This Row],[Sales]]</f>
        <v>0.20283534830166955</v>
      </c>
      <c r="I1070">
        <f ca="1">Referencia_Hoy-Master_ventas[[#This Row],[Order Date]]</f>
        <v>1233</v>
      </c>
      <c r="J1070" t="str">
        <f>UPPER(Master_ventas[[#This Row],[Product Name]])</f>
        <v>SMARTPHONE</v>
      </c>
      <c r="K1070" t="str">
        <f>UPPER(Master_ventas[[#This Row],[Category]])</f>
        <v>ELECTRONICS</v>
      </c>
      <c r="L1070">
        <f>YEAR(Master_ventas[[#This Row],[Order Date]])</f>
        <v>2023</v>
      </c>
      <c r="M1070" t="str">
        <f>CONCATENATE(LEFT(Master_ventas[[#This Row],[ProdUpper]],3),RIGHT(Master_ventas[[#This Row],[Ext-Year]],2),"-",MID(Master_ventas[[#This Row],[Category]],1,1))</f>
        <v>SMA23-E</v>
      </c>
      <c r="N1070" t="str">
        <f>MID(Master_ventas[[#This Row],[ProdUpper]],1,3)</f>
        <v>SMA</v>
      </c>
      <c r="O1070" t="str">
        <f>UPPER(IF(Master_ventas[[#This Row],[Profit]]&gt;500,"High","Std"))</f>
        <v>HIGH</v>
      </c>
      <c r="P1070">
        <v>1069</v>
      </c>
    </row>
    <row r="1071" spans="1:16" x14ac:dyDescent="0.3">
      <c r="A1071" s="1">
        <v>44813</v>
      </c>
      <c r="B1071" t="s">
        <v>13</v>
      </c>
      <c r="C1071" t="s">
        <v>14</v>
      </c>
      <c r="D1071" t="s">
        <v>9</v>
      </c>
      <c r="E1071">
        <v>3</v>
      </c>
      <c r="F1071" s="3">
        <v>774</v>
      </c>
      <c r="G1071" s="2">
        <v>212.02</v>
      </c>
      <c r="H1071">
        <f>Master_ventas[[#This Row],[Profit]]/Master_ventas[[#This Row],[Sales]]</f>
        <v>0.27392764857881136</v>
      </c>
      <c r="I1071">
        <f ca="1">Referencia_Hoy-Master_ventas[[#This Row],[Order Date]]</f>
        <v>1510</v>
      </c>
      <c r="J1071" t="str">
        <f>UPPER(Master_ventas[[#This Row],[Product Name]])</f>
        <v>TABLET</v>
      </c>
      <c r="K1071" t="str">
        <f>UPPER(Master_ventas[[#This Row],[Category]])</f>
        <v>ELECTRONICS</v>
      </c>
      <c r="L1071">
        <f>YEAR(Master_ventas[[#This Row],[Order Date]])</f>
        <v>2022</v>
      </c>
      <c r="M1071" t="str">
        <f>CONCATENATE(LEFT(Master_ventas[[#This Row],[ProdUpper]],3),RIGHT(Master_ventas[[#This Row],[Ext-Year]],2),"-",MID(Master_ventas[[#This Row],[Category]],1,1))</f>
        <v>TAB22-E</v>
      </c>
      <c r="N1071" t="str">
        <f>MID(Master_ventas[[#This Row],[ProdUpper]],1,3)</f>
        <v>TAB</v>
      </c>
      <c r="O1071" t="str">
        <f>UPPER(IF(Master_ventas[[#This Row],[Profit]]&gt;500,"High","Std"))</f>
        <v>STD</v>
      </c>
      <c r="P1071">
        <v>1070</v>
      </c>
    </row>
    <row r="1072" spans="1:16" x14ac:dyDescent="0.3">
      <c r="A1072" s="1">
        <v>45286</v>
      </c>
      <c r="B1072" t="s">
        <v>13</v>
      </c>
      <c r="C1072" t="s">
        <v>14</v>
      </c>
      <c r="D1072" t="s">
        <v>9</v>
      </c>
      <c r="E1072">
        <v>3</v>
      </c>
      <c r="F1072" s="3">
        <v>2532</v>
      </c>
      <c r="G1072" s="2">
        <v>343.13</v>
      </c>
      <c r="H1072">
        <f>Master_ventas[[#This Row],[Profit]]/Master_ventas[[#This Row],[Sales]]</f>
        <v>0.13551737756714061</v>
      </c>
      <c r="I1072">
        <f ca="1">Referencia_Hoy-Master_ventas[[#This Row],[Order Date]]</f>
        <v>1037</v>
      </c>
      <c r="J1072" t="str">
        <f>UPPER(Master_ventas[[#This Row],[Product Name]])</f>
        <v>TABLET</v>
      </c>
      <c r="K1072" t="str">
        <f>UPPER(Master_ventas[[#This Row],[Category]])</f>
        <v>ELECTRONICS</v>
      </c>
      <c r="L1072">
        <f>YEAR(Master_ventas[[#This Row],[Order Date]])</f>
        <v>2023</v>
      </c>
      <c r="M1072" t="str">
        <f>CONCATENATE(LEFT(Master_ventas[[#This Row],[ProdUpper]],3),RIGHT(Master_ventas[[#This Row],[Ext-Year]],2),"-",MID(Master_ventas[[#This Row],[Category]],1,1))</f>
        <v>TAB23-E</v>
      </c>
      <c r="N1072" t="str">
        <f>MID(Master_ventas[[#This Row],[ProdUpper]],1,3)</f>
        <v>TAB</v>
      </c>
      <c r="O1072" t="str">
        <f>UPPER(IF(Master_ventas[[#This Row],[Profit]]&gt;500,"High","Std"))</f>
        <v>STD</v>
      </c>
      <c r="P1072">
        <v>1071</v>
      </c>
    </row>
    <row r="1073" spans="1:16" x14ac:dyDescent="0.3">
      <c r="A1073" s="1">
        <v>45612</v>
      </c>
      <c r="B1073" t="s">
        <v>23</v>
      </c>
      <c r="C1073" t="s">
        <v>14</v>
      </c>
      <c r="D1073" t="s">
        <v>16</v>
      </c>
      <c r="E1073">
        <v>7</v>
      </c>
      <c r="F1073" s="3">
        <v>6587</v>
      </c>
      <c r="G1073" s="2">
        <v>1173.9100000000001</v>
      </c>
      <c r="H1073">
        <f>Master_ventas[[#This Row],[Profit]]/Master_ventas[[#This Row],[Sales]]</f>
        <v>0.17821618339152878</v>
      </c>
      <c r="I1073">
        <f ca="1">Referencia_Hoy-Master_ventas[[#This Row],[Order Date]]</f>
        <v>711</v>
      </c>
      <c r="J1073" t="str">
        <f>UPPER(Master_ventas[[#This Row],[Product Name]])</f>
        <v>LAPTOP</v>
      </c>
      <c r="K1073" t="str">
        <f>UPPER(Master_ventas[[#This Row],[Category]])</f>
        <v>ELECTRONICS</v>
      </c>
      <c r="L1073">
        <f>YEAR(Master_ventas[[#This Row],[Order Date]])</f>
        <v>2024</v>
      </c>
      <c r="M1073" t="str">
        <f>CONCATENATE(LEFT(Master_ventas[[#This Row],[ProdUpper]],3),RIGHT(Master_ventas[[#This Row],[Ext-Year]],2),"-",MID(Master_ventas[[#This Row],[Category]],1,1))</f>
        <v>LAP24-E</v>
      </c>
      <c r="N1073" t="str">
        <f>MID(Master_ventas[[#This Row],[ProdUpper]],1,3)</f>
        <v>LAP</v>
      </c>
      <c r="O1073" t="str">
        <f>UPPER(IF(Master_ventas[[#This Row],[Profit]]&gt;500,"High","Std"))</f>
        <v>HIGH</v>
      </c>
      <c r="P1073">
        <v>1072</v>
      </c>
    </row>
    <row r="1074" spans="1:16" x14ac:dyDescent="0.3">
      <c r="A1074" s="1">
        <v>45383</v>
      </c>
      <c r="B1074" t="s">
        <v>21</v>
      </c>
      <c r="C1074" t="s">
        <v>14</v>
      </c>
      <c r="D1074" t="s">
        <v>12</v>
      </c>
      <c r="E1074">
        <v>7</v>
      </c>
      <c r="F1074" s="3">
        <v>7266</v>
      </c>
      <c r="G1074" s="2">
        <v>806.79</v>
      </c>
      <c r="H1074">
        <f>Master_ventas[[#This Row],[Profit]]/Master_ventas[[#This Row],[Sales]]</f>
        <v>0.11103633360858794</v>
      </c>
      <c r="I1074">
        <f ca="1">Referencia_Hoy-Master_ventas[[#This Row],[Order Date]]</f>
        <v>940</v>
      </c>
      <c r="J1074" t="str">
        <f>UPPER(Master_ventas[[#This Row],[Product Name]])</f>
        <v>SMARTPHONE</v>
      </c>
      <c r="K1074" t="str">
        <f>UPPER(Master_ventas[[#This Row],[Category]])</f>
        <v>ELECTRONICS</v>
      </c>
      <c r="L1074">
        <f>YEAR(Master_ventas[[#This Row],[Order Date]])</f>
        <v>2024</v>
      </c>
      <c r="M1074" t="str">
        <f>CONCATENATE(LEFT(Master_ventas[[#This Row],[ProdUpper]],3),RIGHT(Master_ventas[[#This Row],[Ext-Year]],2),"-",MID(Master_ventas[[#This Row],[Category]],1,1))</f>
        <v>SMA24-E</v>
      </c>
      <c r="N1074" t="str">
        <f>MID(Master_ventas[[#This Row],[ProdUpper]],1,3)</f>
        <v>SMA</v>
      </c>
      <c r="O1074" t="str">
        <f>UPPER(IF(Master_ventas[[#This Row],[Profit]]&gt;500,"High","Std"))</f>
        <v>HIGH</v>
      </c>
      <c r="P1074">
        <v>1073</v>
      </c>
    </row>
    <row r="1075" spans="1:16" x14ac:dyDescent="0.3">
      <c r="A1075" s="1">
        <v>45623</v>
      </c>
      <c r="B1075" t="s">
        <v>21</v>
      </c>
      <c r="C1075" t="s">
        <v>14</v>
      </c>
      <c r="D1075" t="s">
        <v>12</v>
      </c>
      <c r="E1075">
        <v>7</v>
      </c>
      <c r="F1075" s="3">
        <v>6867</v>
      </c>
      <c r="G1075" s="2">
        <v>502.06</v>
      </c>
      <c r="H1075">
        <f>Master_ventas[[#This Row],[Profit]]/Master_ventas[[#This Row],[Sales]]</f>
        <v>7.3111984855104117E-2</v>
      </c>
      <c r="I1075">
        <f ca="1">Referencia_Hoy-Master_ventas[[#This Row],[Order Date]]</f>
        <v>700</v>
      </c>
      <c r="J1075" t="str">
        <f>UPPER(Master_ventas[[#This Row],[Product Name]])</f>
        <v>SMARTPHONE</v>
      </c>
      <c r="K1075" t="str">
        <f>UPPER(Master_ventas[[#This Row],[Category]])</f>
        <v>ELECTRONICS</v>
      </c>
      <c r="L1075">
        <f>YEAR(Master_ventas[[#This Row],[Order Date]])</f>
        <v>2024</v>
      </c>
      <c r="M1075" t="str">
        <f>CONCATENATE(LEFT(Master_ventas[[#This Row],[ProdUpper]],3),RIGHT(Master_ventas[[#This Row],[Ext-Year]],2),"-",MID(Master_ventas[[#This Row],[Category]],1,1))</f>
        <v>SMA24-E</v>
      </c>
      <c r="N1075" t="str">
        <f>MID(Master_ventas[[#This Row],[ProdUpper]],1,3)</f>
        <v>SMA</v>
      </c>
      <c r="O1075" t="str">
        <f>UPPER(IF(Master_ventas[[#This Row],[Profit]]&gt;500,"High","Std"))</f>
        <v>HIGH</v>
      </c>
      <c r="P1075">
        <v>1074</v>
      </c>
    </row>
    <row r="1076" spans="1:16" x14ac:dyDescent="0.3">
      <c r="A1076" s="1">
        <v>45108</v>
      </c>
      <c r="B1076" t="s">
        <v>17</v>
      </c>
      <c r="C1076" t="s">
        <v>14</v>
      </c>
      <c r="D1076" t="s">
        <v>15</v>
      </c>
      <c r="E1076">
        <v>9</v>
      </c>
      <c r="F1076" s="3">
        <v>4887</v>
      </c>
      <c r="G1076" s="2">
        <v>396.36</v>
      </c>
      <c r="H1076">
        <f>Master_ventas[[#This Row],[Profit]]/Master_ventas[[#This Row],[Sales]]</f>
        <v>8.1104972375690615E-2</v>
      </c>
      <c r="I1076">
        <f ca="1">Referencia_Hoy-Master_ventas[[#This Row],[Order Date]]</f>
        <v>1215</v>
      </c>
      <c r="J1076" t="str">
        <f>UPPER(Master_ventas[[#This Row],[Product Name]])</f>
        <v>CAMERA</v>
      </c>
      <c r="K1076" t="str">
        <f>UPPER(Master_ventas[[#This Row],[Category]])</f>
        <v>ELECTRONICS</v>
      </c>
      <c r="L1076">
        <f>YEAR(Master_ventas[[#This Row],[Order Date]])</f>
        <v>2023</v>
      </c>
      <c r="M1076" t="str">
        <f>CONCATENATE(LEFT(Master_ventas[[#This Row],[ProdUpper]],3),RIGHT(Master_ventas[[#This Row],[Ext-Year]],2),"-",MID(Master_ventas[[#This Row],[Category]],1,1))</f>
        <v>CAM23-E</v>
      </c>
      <c r="N1076" t="str">
        <f>MID(Master_ventas[[#This Row],[ProdUpper]],1,3)</f>
        <v>CAM</v>
      </c>
      <c r="O1076" t="str">
        <f>UPPER(IF(Master_ventas[[#This Row],[Profit]]&gt;500,"High","Std"))</f>
        <v>STD</v>
      </c>
      <c r="P1076">
        <v>1075</v>
      </c>
    </row>
    <row r="1077" spans="1:16" x14ac:dyDescent="0.3">
      <c r="A1077" s="1">
        <v>44970</v>
      </c>
      <c r="B1077" t="s">
        <v>10</v>
      </c>
      <c r="C1077" t="s">
        <v>11</v>
      </c>
      <c r="D1077" t="s">
        <v>16</v>
      </c>
      <c r="E1077">
        <v>4</v>
      </c>
      <c r="F1077" s="3">
        <v>864</v>
      </c>
      <c r="G1077" s="2">
        <v>251.99</v>
      </c>
      <c r="H1077">
        <f>Master_ventas[[#This Row],[Profit]]/Master_ventas[[#This Row],[Sales]]</f>
        <v>0.29165509259259259</v>
      </c>
      <c r="I1077">
        <f ca="1">Referencia_Hoy-Master_ventas[[#This Row],[Order Date]]</f>
        <v>1353</v>
      </c>
      <c r="J1077" t="str">
        <f>UPPER(Master_ventas[[#This Row],[Product Name]])</f>
        <v>MOUSE</v>
      </c>
      <c r="K1077" t="str">
        <f>UPPER(Master_ventas[[#This Row],[Category]])</f>
        <v>ACCESSORIES</v>
      </c>
      <c r="L1077">
        <f>YEAR(Master_ventas[[#This Row],[Order Date]])</f>
        <v>2023</v>
      </c>
      <c r="M1077" t="str">
        <f>CONCATENATE(LEFT(Master_ventas[[#This Row],[ProdUpper]],3),RIGHT(Master_ventas[[#This Row],[Ext-Year]],2),"-",MID(Master_ventas[[#This Row],[Category]],1,1))</f>
        <v>MOU23-A</v>
      </c>
      <c r="N1077" t="str">
        <f>MID(Master_ventas[[#This Row],[ProdUpper]],1,3)</f>
        <v>MOU</v>
      </c>
      <c r="O1077" t="str">
        <f>UPPER(IF(Master_ventas[[#This Row],[Profit]]&gt;500,"High","Std"))</f>
        <v>STD</v>
      </c>
      <c r="P1077">
        <v>1076</v>
      </c>
    </row>
    <row r="1078" spans="1:16" x14ac:dyDescent="0.3">
      <c r="A1078" s="1">
        <v>45239</v>
      </c>
      <c r="B1078" t="s">
        <v>21</v>
      </c>
      <c r="C1078" t="s">
        <v>14</v>
      </c>
      <c r="D1078" t="s">
        <v>12</v>
      </c>
      <c r="E1078">
        <v>6</v>
      </c>
      <c r="F1078" s="3">
        <v>5190</v>
      </c>
      <c r="G1078" s="2">
        <v>1215.07</v>
      </c>
      <c r="H1078">
        <f>Master_ventas[[#This Row],[Profit]]/Master_ventas[[#This Row],[Sales]]</f>
        <v>0.23411753371868976</v>
      </c>
      <c r="I1078">
        <f ca="1">Referencia_Hoy-Master_ventas[[#This Row],[Order Date]]</f>
        <v>1084</v>
      </c>
      <c r="J1078" t="str">
        <f>UPPER(Master_ventas[[#This Row],[Product Name]])</f>
        <v>SMARTPHONE</v>
      </c>
      <c r="K1078" t="str">
        <f>UPPER(Master_ventas[[#This Row],[Category]])</f>
        <v>ELECTRONICS</v>
      </c>
      <c r="L1078">
        <f>YEAR(Master_ventas[[#This Row],[Order Date]])</f>
        <v>2023</v>
      </c>
      <c r="M1078" t="str">
        <f>CONCATENATE(LEFT(Master_ventas[[#This Row],[ProdUpper]],3),RIGHT(Master_ventas[[#This Row],[Ext-Year]],2),"-",MID(Master_ventas[[#This Row],[Category]],1,1))</f>
        <v>SMA23-E</v>
      </c>
      <c r="N1078" t="str">
        <f>MID(Master_ventas[[#This Row],[ProdUpper]],1,3)</f>
        <v>SMA</v>
      </c>
      <c r="O1078" t="str">
        <f>UPPER(IF(Master_ventas[[#This Row],[Profit]]&gt;500,"High","Std"))</f>
        <v>HIGH</v>
      </c>
      <c r="P1078">
        <v>1077</v>
      </c>
    </row>
    <row r="1079" spans="1:16" x14ac:dyDescent="0.3">
      <c r="A1079" s="1">
        <v>44701</v>
      </c>
      <c r="B1079" t="s">
        <v>22</v>
      </c>
      <c r="C1079" t="s">
        <v>11</v>
      </c>
      <c r="D1079" t="s">
        <v>15</v>
      </c>
      <c r="E1079">
        <v>8</v>
      </c>
      <c r="F1079" s="3">
        <v>2128</v>
      </c>
      <c r="G1079" s="2">
        <v>294.45</v>
      </c>
      <c r="H1079">
        <f>Master_ventas[[#This Row],[Profit]]/Master_ventas[[#This Row],[Sales]]</f>
        <v>0.13836936090225563</v>
      </c>
      <c r="I1079">
        <f ca="1">Referencia_Hoy-Master_ventas[[#This Row],[Order Date]]</f>
        <v>1622</v>
      </c>
      <c r="J1079" t="str">
        <f>UPPER(Master_ventas[[#This Row],[Product Name]])</f>
        <v>KEYBOARD</v>
      </c>
      <c r="K1079" t="str">
        <f>UPPER(Master_ventas[[#This Row],[Category]])</f>
        <v>ACCESSORIES</v>
      </c>
      <c r="L1079">
        <f>YEAR(Master_ventas[[#This Row],[Order Date]])</f>
        <v>2022</v>
      </c>
      <c r="M1079" t="str">
        <f>CONCATENATE(LEFT(Master_ventas[[#This Row],[ProdUpper]],3),RIGHT(Master_ventas[[#This Row],[Ext-Year]],2),"-",MID(Master_ventas[[#This Row],[Category]],1,1))</f>
        <v>KEY22-A</v>
      </c>
      <c r="N1079" t="str">
        <f>MID(Master_ventas[[#This Row],[ProdUpper]],1,3)</f>
        <v>KEY</v>
      </c>
      <c r="O1079" t="str">
        <f>UPPER(IF(Master_ventas[[#This Row],[Profit]]&gt;500,"High","Std"))</f>
        <v>STD</v>
      </c>
      <c r="P1079">
        <v>1078</v>
      </c>
    </row>
    <row r="1080" spans="1:16" x14ac:dyDescent="0.3">
      <c r="A1080" s="1">
        <v>45469</v>
      </c>
      <c r="B1080" t="s">
        <v>10</v>
      </c>
      <c r="C1080" t="s">
        <v>11</v>
      </c>
      <c r="D1080" t="s">
        <v>12</v>
      </c>
      <c r="E1080">
        <v>2</v>
      </c>
      <c r="F1080" s="3">
        <v>1718</v>
      </c>
      <c r="G1080" s="2">
        <v>218.82</v>
      </c>
      <c r="H1080">
        <f>Master_ventas[[#This Row],[Profit]]/Master_ventas[[#This Row],[Sales]]</f>
        <v>0.12736903376018627</v>
      </c>
      <c r="I1080">
        <f ca="1">Referencia_Hoy-Master_ventas[[#This Row],[Order Date]]</f>
        <v>854</v>
      </c>
      <c r="J1080" t="str">
        <f>UPPER(Master_ventas[[#This Row],[Product Name]])</f>
        <v>MOUSE</v>
      </c>
      <c r="K1080" t="str">
        <f>UPPER(Master_ventas[[#This Row],[Category]])</f>
        <v>ACCESSORIES</v>
      </c>
      <c r="L1080">
        <f>YEAR(Master_ventas[[#This Row],[Order Date]])</f>
        <v>2024</v>
      </c>
      <c r="M1080" t="str">
        <f>CONCATENATE(LEFT(Master_ventas[[#This Row],[ProdUpper]],3),RIGHT(Master_ventas[[#This Row],[Ext-Year]],2),"-",MID(Master_ventas[[#This Row],[Category]],1,1))</f>
        <v>MOU24-A</v>
      </c>
      <c r="N1080" t="str">
        <f>MID(Master_ventas[[#This Row],[ProdUpper]],1,3)</f>
        <v>MOU</v>
      </c>
      <c r="O1080" t="str">
        <f>UPPER(IF(Master_ventas[[#This Row],[Profit]]&gt;500,"High","Std"))</f>
        <v>STD</v>
      </c>
      <c r="P1080">
        <v>1079</v>
      </c>
    </row>
    <row r="1081" spans="1:16" x14ac:dyDescent="0.3">
      <c r="A1081" s="1">
        <v>44683</v>
      </c>
      <c r="B1081" t="s">
        <v>21</v>
      </c>
      <c r="C1081" t="s">
        <v>14</v>
      </c>
      <c r="D1081" t="s">
        <v>9</v>
      </c>
      <c r="E1081">
        <v>2</v>
      </c>
      <c r="F1081" s="3">
        <v>1270</v>
      </c>
      <c r="G1081" s="2">
        <v>229.39</v>
      </c>
      <c r="H1081">
        <f>Master_ventas[[#This Row],[Profit]]/Master_ventas[[#This Row],[Sales]]</f>
        <v>0.18062204724409447</v>
      </c>
      <c r="I1081">
        <f ca="1">Referencia_Hoy-Master_ventas[[#This Row],[Order Date]]</f>
        <v>1640</v>
      </c>
      <c r="J1081" t="str">
        <f>UPPER(Master_ventas[[#This Row],[Product Name]])</f>
        <v>SMARTPHONE</v>
      </c>
      <c r="K1081" t="str">
        <f>UPPER(Master_ventas[[#This Row],[Category]])</f>
        <v>ELECTRONICS</v>
      </c>
      <c r="L1081">
        <f>YEAR(Master_ventas[[#This Row],[Order Date]])</f>
        <v>2022</v>
      </c>
      <c r="M1081" t="str">
        <f>CONCATENATE(LEFT(Master_ventas[[#This Row],[ProdUpper]],3),RIGHT(Master_ventas[[#This Row],[Ext-Year]],2),"-",MID(Master_ventas[[#This Row],[Category]],1,1))</f>
        <v>SMA22-E</v>
      </c>
      <c r="N1081" t="str">
        <f>MID(Master_ventas[[#This Row],[ProdUpper]],1,3)</f>
        <v>SMA</v>
      </c>
      <c r="O1081" t="str">
        <f>UPPER(IF(Master_ventas[[#This Row],[Profit]]&gt;500,"High","Std"))</f>
        <v>STD</v>
      </c>
      <c r="P1081">
        <v>1080</v>
      </c>
    </row>
    <row r="1082" spans="1:16" x14ac:dyDescent="0.3">
      <c r="A1082" s="1">
        <v>45064</v>
      </c>
      <c r="B1082" t="s">
        <v>22</v>
      </c>
      <c r="C1082" t="s">
        <v>11</v>
      </c>
      <c r="D1082" t="s">
        <v>12</v>
      </c>
      <c r="E1082">
        <v>7</v>
      </c>
      <c r="F1082" s="3">
        <v>2569</v>
      </c>
      <c r="G1082" s="2">
        <v>130.19</v>
      </c>
      <c r="H1082">
        <f>Master_ventas[[#This Row],[Profit]]/Master_ventas[[#This Row],[Sales]]</f>
        <v>5.0677306344881275E-2</v>
      </c>
      <c r="I1082">
        <f ca="1">Referencia_Hoy-Master_ventas[[#This Row],[Order Date]]</f>
        <v>1259</v>
      </c>
      <c r="J1082" t="str">
        <f>UPPER(Master_ventas[[#This Row],[Product Name]])</f>
        <v>KEYBOARD</v>
      </c>
      <c r="K1082" t="str">
        <f>UPPER(Master_ventas[[#This Row],[Category]])</f>
        <v>ACCESSORIES</v>
      </c>
      <c r="L1082">
        <f>YEAR(Master_ventas[[#This Row],[Order Date]])</f>
        <v>2023</v>
      </c>
      <c r="M1082" t="str">
        <f>CONCATENATE(LEFT(Master_ventas[[#This Row],[ProdUpper]],3),RIGHT(Master_ventas[[#This Row],[Ext-Year]],2),"-",MID(Master_ventas[[#This Row],[Category]],1,1))</f>
        <v>KEY23-A</v>
      </c>
      <c r="N1082" t="str">
        <f>MID(Master_ventas[[#This Row],[ProdUpper]],1,3)</f>
        <v>KEY</v>
      </c>
      <c r="O1082" t="str">
        <f>UPPER(IF(Master_ventas[[#This Row],[Profit]]&gt;500,"High","Std"))</f>
        <v>STD</v>
      </c>
      <c r="P1082">
        <v>1081</v>
      </c>
    </row>
    <row r="1083" spans="1:16" x14ac:dyDescent="0.3">
      <c r="A1083" s="1">
        <v>44606</v>
      </c>
      <c r="B1083" t="s">
        <v>7</v>
      </c>
      <c r="C1083" t="s">
        <v>8</v>
      </c>
      <c r="D1083" t="s">
        <v>15</v>
      </c>
      <c r="E1083">
        <v>2</v>
      </c>
      <c r="F1083" s="3">
        <v>1518</v>
      </c>
      <c r="G1083" s="2">
        <v>262.64999999999998</v>
      </c>
      <c r="H1083">
        <f>Master_ventas[[#This Row],[Profit]]/Master_ventas[[#This Row],[Sales]]</f>
        <v>0.17302371541501974</v>
      </c>
      <c r="I1083">
        <f ca="1">Referencia_Hoy-Master_ventas[[#This Row],[Order Date]]</f>
        <v>1717</v>
      </c>
      <c r="J1083" t="str">
        <f>UPPER(Master_ventas[[#This Row],[Product Name]])</f>
        <v>PRINTER</v>
      </c>
      <c r="K1083" t="str">
        <f>UPPER(Master_ventas[[#This Row],[Category]])</f>
        <v>OFFICE</v>
      </c>
      <c r="L1083">
        <f>YEAR(Master_ventas[[#This Row],[Order Date]])</f>
        <v>2022</v>
      </c>
      <c r="M1083" t="str">
        <f>CONCATENATE(LEFT(Master_ventas[[#This Row],[ProdUpper]],3),RIGHT(Master_ventas[[#This Row],[Ext-Year]],2),"-",MID(Master_ventas[[#This Row],[Category]],1,1))</f>
        <v>PRI22-O</v>
      </c>
      <c r="N1083" t="str">
        <f>MID(Master_ventas[[#This Row],[ProdUpper]],1,3)</f>
        <v>PRI</v>
      </c>
      <c r="O1083" t="str">
        <f>UPPER(IF(Master_ventas[[#This Row],[Profit]]&gt;500,"High","Std"))</f>
        <v>STD</v>
      </c>
      <c r="P1083">
        <v>1082</v>
      </c>
    </row>
    <row r="1084" spans="1:16" x14ac:dyDescent="0.3">
      <c r="A1084" s="1">
        <v>44887</v>
      </c>
      <c r="B1084" t="s">
        <v>18</v>
      </c>
      <c r="C1084" t="s">
        <v>11</v>
      </c>
      <c r="D1084" t="s">
        <v>15</v>
      </c>
      <c r="E1084">
        <v>2</v>
      </c>
      <c r="F1084" s="3">
        <v>1210</v>
      </c>
      <c r="G1084" s="2">
        <v>268.37</v>
      </c>
      <c r="H1084">
        <f>Master_ventas[[#This Row],[Profit]]/Master_ventas[[#This Row],[Sales]]</f>
        <v>0.22179338842975208</v>
      </c>
      <c r="I1084">
        <f ca="1">Referencia_Hoy-Master_ventas[[#This Row],[Order Date]]</f>
        <v>1436</v>
      </c>
      <c r="J1084" t="str">
        <f>UPPER(Master_ventas[[#This Row],[Product Name]])</f>
        <v>HEADPHONES</v>
      </c>
      <c r="K1084" t="str">
        <f>UPPER(Master_ventas[[#This Row],[Category]])</f>
        <v>ACCESSORIES</v>
      </c>
      <c r="L1084">
        <f>YEAR(Master_ventas[[#This Row],[Order Date]])</f>
        <v>2022</v>
      </c>
      <c r="M1084" t="str">
        <f>CONCATENATE(LEFT(Master_ventas[[#This Row],[ProdUpper]],3),RIGHT(Master_ventas[[#This Row],[Ext-Year]],2),"-",MID(Master_ventas[[#This Row],[Category]],1,1))</f>
        <v>HEA22-A</v>
      </c>
      <c r="N1084" t="str">
        <f>MID(Master_ventas[[#This Row],[ProdUpper]],1,3)</f>
        <v>HEA</v>
      </c>
      <c r="O1084" t="str">
        <f>UPPER(IF(Master_ventas[[#This Row],[Profit]]&gt;500,"High","Std"))</f>
        <v>STD</v>
      </c>
      <c r="P1084">
        <v>1083</v>
      </c>
    </row>
    <row r="1085" spans="1:16" x14ac:dyDescent="0.3">
      <c r="A1085" s="1">
        <v>44635</v>
      </c>
      <c r="B1085" t="s">
        <v>10</v>
      </c>
      <c r="C1085" t="s">
        <v>11</v>
      </c>
      <c r="D1085" t="s">
        <v>12</v>
      </c>
      <c r="E1085">
        <v>2</v>
      </c>
      <c r="F1085" s="3">
        <v>1128</v>
      </c>
      <c r="G1085" s="2">
        <v>94.13</v>
      </c>
      <c r="H1085">
        <f>Master_ventas[[#This Row],[Profit]]/Master_ventas[[#This Row],[Sales]]</f>
        <v>8.3448581560283688E-2</v>
      </c>
      <c r="I1085">
        <f ca="1">Referencia_Hoy-Master_ventas[[#This Row],[Order Date]]</f>
        <v>1688</v>
      </c>
      <c r="J1085" t="str">
        <f>UPPER(Master_ventas[[#This Row],[Product Name]])</f>
        <v>MOUSE</v>
      </c>
      <c r="K1085" t="str">
        <f>UPPER(Master_ventas[[#This Row],[Category]])</f>
        <v>ACCESSORIES</v>
      </c>
      <c r="L1085">
        <f>YEAR(Master_ventas[[#This Row],[Order Date]])</f>
        <v>2022</v>
      </c>
      <c r="M1085" t="str">
        <f>CONCATENATE(LEFT(Master_ventas[[#This Row],[ProdUpper]],3),RIGHT(Master_ventas[[#This Row],[Ext-Year]],2),"-",MID(Master_ventas[[#This Row],[Category]],1,1))</f>
        <v>MOU22-A</v>
      </c>
      <c r="N1085" t="str">
        <f>MID(Master_ventas[[#This Row],[ProdUpper]],1,3)</f>
        <v>MOU</v>
      </c>
      <c r="O1085" t="str">
        <f>UPPER(IF(Master_ventas[[#This Row],[Profit]]&gt;500,"High","Std"))</f>
        <v>STD</v>
      </c>
      <c r="P1085">
        <v>1084</v>
      </c>
    </row>
    <row r="1086" spans="1:16" x14ac:dyDescent="0.3">
      <c r="A1086" s="1">
        <v>45161</v>
      </c>
      <c r="B1086" t="s">
        <v>18</v>
      </c>
      <c r="C1086" t="s">
        <v>11</v>
      </c>
      <c r="D1086" t="s">
        <v>9</v>
      </c>
      <c r="E1086">
        <v>1</v>
      </c>
      <c r="F1086" s="3">
        <v>1077</v>
      </c>
      <c r="G1086" s="2">
        <v>77.97</v>
      </c>
      <c r="H1086">
        <f>Master_ventas[[#This Row],[Profit]]/Master_ventas[[#This Row],[Sales]]</f>
        <v>7.2395543175487465E-2</v>
      </c>
      <c r="I1086">
        <f ca="1">Referencia_Hoy-Master_ventas[[#This Row],[Order Date]]</f>
        <v>1162</v>
      </c>
      <c r="J1086" t="str">
        <f>UPPER(Master_ventas[[#This Row],[Product Name]])</f>
        <v>HEADPHONES</v>
      </c>
      <c r="K1086" t="str">
        <f>UPPER(Master_ventas[[#This Row],[Category]])</f>
        <v>ACCESSORIES</v>
      </c>
      <c r="L1086">
        <f>YEAR(Master_ventas[[#This Row],[Order Date]])</f>
        <v>2023</v>
      </c>
      <c r="M1086" t="str">
        <f>CONCATENATE(LEFT(Master_ventas[[#This Row],[ProdUpper]],3),RIGHT(Master_ventas[[#This Row],[Ext-Year]],2),"-",MID(Master_ventas[[#This Row],[Category]],1,1))</f>
        <v>HEA23-A</v>
      </c>
      <c r="N1086" t="str">
        <f>MID(Master_ventas[[#This Row],[ProdUpper]],1,3)</f>
        <v>HEA</v>
      </c>
      <c r="O1086" t="str">
        <f>UPPER(IF(Master_ventas[[#This Row],[Profit]]&gt;500,"High","Std"))</f>
        <v>STD</v>
      </c>
      <c r="P1086">
        <v>1085</v>
      </c>
    </row>
    <row r="1087" spans="1:16" x14ac:dyDescent="0.3">
      <c r="A1087" s="1">
        <v>45278</v>
      </c>
      <c r="B1087" t="s">
        <v>22</v>
      </c>
      <c r="C1087" t="s">
        <v>11</v>
      </c>
      <c r="D1087" t="s">
        <v>12</v>
      </c>
      <c r="E1087">
        <v>6</v>
      </c>
      <c r="F1087" s="3">
        <v>2244</v>
      </c>
      <c r="G1087" s="2">
        <v>517.47</v>
      </c>
      <c r="H1087">
        <f>Master_ventas[[#This Row],[Profit]]/Master_ventas[[#This Row],[Sales]]</f>
        <v>0.23060160427807488</v>
      </c>
      <c r="I1087">
        <f ca="1">Referencia_Hoy-Master_ventas[[#This Row],[Order Date]]</f>
        <v>1045</v>
      </c>
      <c r="J1087" t="str">
        <f>UPPER(Master_ventas[[#This Row],[Product Name]])</f>
        <v>KEYBOARD</v>
      </c>
      <c r="K1087" t="str">
        <f>UPPER(Master_ventas[[#This Row],[Category]])</f>
        <v>ACCESSORIES</v>
      </c>
      <c r="L1087">
        <f>YEAR(Master_ventas[[#This Row],[Order Date]])</f>
        <v>2023</v>
      </c>
      <c r="M1087" t="str">
        <f>CONCATENATE(LEFT(Master_ventas[[#This Row],[ProdUpper]],3),RIGHT(Master_ventas[[#This Row],[Ext-Year]],2),"-",MID(Master_ventas[[#This Row],[Category]],1,1))</f>
        <v>KEY23-A</v>
      </c>
      <c r="N1087" t="str">
        <f>MID(Master_ventas[[#This Row],[ProdUpper]],1,3)</f>
        <v>KEY</v>
      </c>
      <c r="O1087" t="str">
        <f>UPPER(IF(Master_ventas[[#This Row],[Profit]]&gt;500,"High","Std"))</f>
        <v>HIGH</v>
      </c>
      <c r="P1087">
        <v>1086</v>
      </c>
    </row>
    <row r="1088" spans="1:16" x14ac:dyDescent="0.3">
      <c r="A1088" s="1">
        <v>44820</v>
      </c>
      <c r="B1088" t="s">
        <v>10</v>
      </c>
      <c r="C1088" t="s">
        <v>11</v>
      </c>
      <c r="D1088" t="s">
        <v>16</v>
      </c>
      <c r="E1088">
        <v>8</v>
      </c>
      <c r="F1088" s="3">
        <v>1608</v>
      </c>
      <c r="G1088" s="2">
        <v>464.18</v>
      </c>
      <c r="H1088">
        <f>Master_ventas[[#This Row],[Profit]]/Master_ventas[[#This Row],[Sales]]</f>
        <v>0.28866915422885575</v>
      </c>
      <c r="I1088">
        <f ca="1">Referencia_Hoy-Master_ventas[[#This Row],[Order Date]]</f>
        <v>1503</v>
      </c>
      <c r="J1088" t="str">
        <f>UPPER(Master_ventas[[#This Row],[Product Name]])</f>
        <v>MOUSE</v>
      </c>
      <c r="K1088" t="str">
        <f>UPPER(Master_ventas[[#This Row],[Category]])</f>
        <v>ACCESSORIES</v>
      </c>
      <c r="L1088">
        <f>YEAR(Master_ventas[[#This Row],[Order Date]])</f>
        <v>2022</v>
      </c>
      <c r="M1088" t="str">
        <f>CONCATENATE(LEFT(Master_ventas[[#This Row],[ProdUpper]],3),RIGHT(Master_ventas[[#This Row],[Ext-Year]],2),"-",MID(Master_ventas[[#This Row],[Category]],1,1))</f>
        <v>MOU22-A</v>
      </c>
      <c r="N1088" t="str">
        <f>MID(Master_ventas[[#This Row],[ProdUpper]],1,3)</f>
        <v>MOU</v>
      </c>
      <c r="O1088" t="str">
        <f>UPPER(IF(Master_ventas[[#This Row],[Profit]]&gt;500,"High","Std"))</f>
        <v>STD</v>
      </c>
      <c r="P1088">
        <v>1087</v>
      </c>
    </row>
    <row r="1089" spans="1:16" x14ac:dyDescent="0.3">
      <c r="A1089" s="1">
        <v>45641</v>
      </c>
      <c r="B1089" t="s">
        <v>17</v>
      </c>
      <c r="C1089" t="s">
        <v>14</v>
      </c>
      <c r="D1089" t="s">
        <v>16</v>
      </c>
      <c r="E1089">
        <v>5</v>
      </c>
      <c r="F1089" s="3">
        <v>3685</v>
      </c>
      <c r="G1089" s="2">
        <v>476.2</v>
      </c>
      <c r="H1089">
        <f>Master_ventas[[#This Row],[Profit]]/Master_ventas[[#This Row],[Sales]]</f>
        <v>0.12922659430122116</v>
      </c>
      <c r="I1089">
        <f ca="1">Referencia_Hoy-Master_ventas[[#This Row],[Order Date]]</f>
        <v>682</v>
      </c>
      <c r="J1089" t="str">
        <f>UPPER(Master_ventas[[#This Row],[Product Name]])</f>
        <v>CAMERA</v>
      </c>
      <c r="K1089" t="str">
        <f>UPPER(Master_ventas[[#This Row],[Category]])</f>
        <v>ELECTRONICS</v>
      </c>
      <c r="L1089">
        <f>YEAR(Master_ventas[[#This Row],[Order Date]])</f>
        <v>2024</v>
      </c>
      <c r="M1089" t="str">
        <f>CONCATENATE(LEFT(Master_ventas[[#This Row],[ProdUpper]],3),RIGHT(Master_ventas[[#This Row],[Ext-Year]],2),"-",MID(Master_ventas[[#This Row],[Category]],1,1))</f>
        <v>CAM24-E</v>
      </c>
      <c r="N1089" t="str">
        <f>MID(Master_ventas[[#This Row],[ProdUpper]],1,3)</f>
        <v>CAM</v>
      </c>
      <c r="O1089" t="str">
        <f>UPPER(IF(Master_ventas[[#This Row],[Profit]]&gt;500,"High","Std"))</f>
        <v>STD</v>
      </c>
      <c r="P1089">
        <v>1088</v>
      </c>
    </row>
    <row r="1090" spans="1:16" x14ac:dyDescent="0.3">
      <c r="A1090" s="1">
        <v>45407</v>
      </c>
      <c r="B1090" t="s">
        <v>17</v>
      </c>
      <c r="C1090" t="s">
        <v>14</v>
      </c>
      <c r="D1090" t="s">
        <v>9</v>
      </c>
      <c r="E1090">
        <v>8</v>
      </c>
      <c r="F1090" s="3">
        <v>4080</v>
      </c>
      <c r="G1090" s="2">
        <v>1079.49</v>
      </c>
      <c r="H1090">
        <f>Master_ventas[[#This Row],[Profit]]/Master_ventas[[#This Row],[Sales]]</f>
        <v>0.26458088235294119</v>
      </c>
      <c r="I1090">
        <f ca="1">Referencia_Hoy-Master_ventas[[#This Row],[Order Date]]</f>
        <v>916</v>
      </c>
      <c r="J1090" t="str">
        <f>UPPER(Master_ventas[[#This Row],[Product Name]])</f>
        <v>CAMERA</v>
      </c>
      <c r="K1090" t="str">
        <f>UPPER(Master_ventas[[#This Row],[Category]])</f>
        <v>ELECTRONICS</v>
      </c>
      <c r="L1090">
        <f>YEAR(Master_ventas[[#This Row],[Order Date]])</f>
        <v>2024</v>
      </c>
      <c r="M1090" t="str">
        <f>CONCATENATE(LEFT(Master_ventas[[#This Row],[ProdUpper]],3),RIGHT(Master_ventas[[#This Row],[Ext-Year]],2),"-",MID(Master_ventas[[#This Row],[Category]],1,1))</f>
        <v>CAM24-E</v>
      </c>
      <c r="N1090" t="str">
        <f>MID(Master_ventas[[#This Row],[ProdUpper]],1,3)</f>
        <v>CAM</v>
      </c>
      <c r="O1090" t="str">
        <f>UPPER(IF(Master_ventas[[#This Row],[Profit]]&gt;500,"High","Std"))</f>
        <v>HIGH</v>
      </c>
      <c r="P1090">
        <v>1089</v>
      </c>
    </row>
    <row r="1091" spans="1:16" x14ac:dyDescent="0.3">
      <c r="A1091" s="1">
        <v>45331</v>
      </c>
      <c r="B1091" t="s">
        <v>20</v>
      </c>
      <c r="C1091" t="s">
        <v>11</v>
      </c>
      <c r="D1091" t="s">
        <v>9</v>
      </c>
      <c r="E1091">
        <v>1</v>
      </c>
      <c r="F1091" s="3">
        <v>404</v>
      </c>
      <c r="G1091" s="2">
        <v>84.4</v>
      </c>
      <c r="H1091">
        <f>Master_ventas[[#This Row],[Profit]]/Master_ventas[[#This Row],[Sales]]</f>
        <v>0.20891089108910893</v>
      </c>
      <c r="I1091">
        <f ca="1">Referencia_Hoy-Master_ventas[[#This Row],[Order Date]]</f>
        <v>992</v>
      </c>
      <c r="J1091" t="str">
        <f>UPPER(Master_ventas[[#This Row],[Product Name]])</f>
        <v>MONITOR</v>
      </c>
      <c r="K1091" t="str">
        <f>UPPER(Master_ventas[[#This Row],[Category]])</f>
        <v>ACCESSORIES</v>
      </c>
      <c r="L1091">
        <f>YEAR(Master_ventas[[#This Row],[Order Date]])</f>
        <v>2024</v>
      </c>
      <c r="M1091" t="str">
        <f>CONCATENATE(LEFT(Master_ventas[[#This Row],[ProdUpper]],3),RIGHT(Master_ventas[[#This Row],[Ext-Year]],2),"-",MID(Master_ventas[[#This Row],[Category]],1,1))</f>
        <v>MON24-A</v>
      </c>
      <c r="N1091" t="str">
        <f>MID(Master_ventas[[#This Row],[ProdUpper]],1,3)</f>
        <v>MON</v>
      </c>
      <c r="O1091" t="str">
        <f>UPPER(IF(Master_ventas[[#This Row],[Profit]]&gt;500,"High","Std"))</f>
        <v>STD</v>
      </c>
      <c r="P1091">
        <v>1090</v>
      </c>
    </row>
    <row r="1092" spans="1:16" x14ac:dyDescent="0.3">
      <c r="A1092" s="1">
        <v>45035</v>
      </c>
      <c r="B1092" t="s">
        <v>22</v>
      </c>
      <c r="C1092" t="s">
        <v>11</v>
      </c>
      <c r="D1092" t="s">
        <v>15</v>
      </c>
      <c r="E1092">
        <v>2</v>
      </c>
      <c r="F1092" s="3">
        <v>1738</v>
      </c>
      <c r="G1092" s="2">
        <v>163.38</v>
      </c>
      <c r="H1092">
        <f>Master_ventas[[#This Row],[Profit]]/Master_ventas[[#This Row],[Sales]]</f>
        <v>9.4004602991944755E-2</v>
      </c>
      <c r="I1092">
        <f ca="1">Referencia_Hoy-Master_ventas[[#This Row],[Order Date]]</f>
        <v>1288</v>
      </c>
      <c r="J1092" t="str">
        <f>UPPER(Master_ventas[[#This Row],[Product Name]])</f>
        <v>KEYBOARD</v>
      </c>
      <c r="K1092" t="str">
        <f>UPPER(Master_ventas[[#This Row],[Category]])</f>
        <v>ACCESSORIES</v>
      </c>
      <c r="L1092">
        <f>YEAR(Master_ventas[[#This Row],[Order Date]])</f>
        <v>2023</v>
      </c>
      <c r="M1092" t="str">
        <f>CONCATENATE(LEFT(Master_ventas[[#This Row],[ProdUpper]],3),RIGHT(Master_ventas[[#This Row],[Ext-Year]],2),"-",MID(Master_ventas[[#This Row],[Category]],1,1))</f>
        <v>KEY23-A</v>
      </c>
      <c r="N1092" t="str">
        <f>MID(Master_ventas[[#This Row],[ProdUpper]],1,3)</f>
        <v>KEY</v>
      </c>
      <c r="O1092" t="str">
        <f>UPPER(IF(Master_ventas[[#This Row],[Profit]]&gt;500,"High","Std"))</f>
        <v>STD</v>
      </c>
      <c r="P1092">
        <v>1091</v>
      </c>
    </row>
    <row r="1093" spans="1:16" x14ac:dyDescent="0.3">
      <c r="A1093" s="1">
        <v>44957</v>
      </c>
      <c r="B1093" t="s">
        <v>7</v>
      </c>
      <c r="C1093" t="s">
        <v>8</v>
      </c>
      <c r="D1093" t="s">
        <v>16</v>
      </c>
      <c r="E1093">
        <v>3</v>
      </c>
      <c r="F1093" s="3">
        <v>828</v>
      </c>
      <c r="G1093" s="2">
        <v>210.33</v>
      </c>
      <c r="H1093">
        <f>Master_ventas[[#This Row],[Profit]]/Master_ventas[[#This Row],[Sales]]</f>
        <v>0.2540217391304348</v>
      </c>
      <c r="I1093">
        <f ca="1">Referencia_Hoy-Master_ventas[[#This Row],[Order Date]]</f>
        <v>1366</v>
      </c>
      <c r="J1093" t="str">
        <f>UPPER(Master_ventas[[#This Row],[Product Name]])</f>
        <v>PRINTER</v>
      </c>
      <c r="K1093" t="str">
        <f>UPPER(Master_ventas[[#This Row],[Category]])</f>
        <v>OFFICE</v>
      </c>
      <c r="L1093">
        <f>YEAR(Master_ventas[[#This Row],[Order Date]])</f>
        <v>2023</v>
      </c>
      <c r="M1093" t="str">
        <f>CONCATENATE(LEFT(Master_ventas[[#This Row],[ProdUpper]],3),RIGHT(Master_ventas[[#This Row],[Ext-Year]],2),"-",MID(Master_ventas[[#This Row],[Category]],1,1))</f>
        <v>PRI23-O</v>
      </c>
      <c r="N1093" t="str">
        <f>MID(Master_ventas[[#This Row],[ProdUpper]],1,3)</f>
        <v>PRI</v>
      </c>
      <c r="O1093" t="str">
        <f>UPPER(IF(Master_ventas[[#This Row],[Profit]]&gt;500,"High","Std"))</f>
        <v>STD</v>
      </c>
      <c r="P1093">
        <v>1092</v>
      </c>
    </row>
    <row r="1094" spans="1:16" x14ac:dyDescent="0.3">
      <c r="A1094" s="1">
        <v>45254</v>
      </c>
      <c r="B1094" t="s">
        <v>10</v>
      </c>
      <c r="C1094" t="s">
        <v>11</v>
      </c>
      <c r="D1094" t="s">
        <v>9</v>
      </c>
      <c r="E1094">
        <v>4</v>
      </c>
      <c r="F1094" s="3">
        <v>4344</v>
      </c>
      <c r="G1094" s="2">
        <v>461.72</v>
      </c>
      <c r="H1094">
        <f>Master_ventas[[#This Row],[Profit]]/Master_ventas[[#This Row],[Sales]]</f>
        <v>0.10628913443830572</v>
      </c>
      <c r="I1094">
        <f ca="1">Referencia_Hoy-Master_ventas[[#This Row],[Order Date]]</f>
        <v>1069</v>
      </c>
      <c r="J1094" t="str">
        <f>UPPER(Master_ventas[[#This Row],[Product Name]])</f>
        <v>MOUSE</v>
      </c>
      <c r="K1094" t="str">
        <f>UPPER(Master_ventas[[#This Row],[Category]])</f>
        <v>ACCESSORIES</v>
      </c>
      <c r="L1094">
        <f>YEAR(Master_ventas[[#This Row],[Order Date]])</f>
        <v>2023</v>
      </c>
      <c r="M1094" t="str">
        <f>CONCATENATE(LEFT(Master_ventas[[#This Row],[ProdUpper]],3),RIGHT(Master_ventas[[#This Row],[Ext-Year]],2),"-",MID(Master_ventas[[#This Row],[Category]],1,1))</f>
        <v>MOU23-A</v>
      </c>
      <c r="N1094" t="str">
        <f>MID(Master_ventas[[#This Row],[ProdUpper]],1,3)</f>
        <v>MOU</v>
      </c>
      <c r="O1094" t="str">
        <f>UPPER(IF(Master_ventas[[#This Row],[Profit]]&gt;500,"High","Std"))</f>
        <v>STD</v>
      </c>
      <c r="P1094">
        <v>1093</v>
      </c>
    </row>
    <row r="1095" spans="1:16" x14ac:dyDescent="0.3">
      <c r="A1095" s="1">
        <v>45201</v>
      </c>
      <c r="B1095" t="s">
        <v>13</v>
      </c>
      <c r="C1095" t="s">
        <v>14</v>
      </c>
      <c r="D1095" t="s">
        <v>9</v>
      </c>
      <c r="E1095">
        <v>1</v>
      </c>
      <c r="F1095" s="3">
        <v>1130</v>
      </c>
      <c r="G1095" s="2">
        <v>268.88</v>
      </c>
      <c r="H1095">
        <f>Master_ventas[[#This Row],[Profit]]/Master_ventas[[#This Row],[Sales]]</f>
        <v>0.23794690265486726</v>
      </c>
      <c r="I1095">
        <f ca="1">Referencia_Hoy-Master_ventas[[#This Row],[Order Date]]</f>
        <v>1122</v>
      </c>
      <c r="J1095" t="str">
        <f>UPPER(Master_ventas[[#This Row],[Product Name]])</f>
        <v>TABLET</v>
      </c>
      <c r="K1095" t="str">
        <f>UPPER(Master_ventas[[#This Row],[Category]])</f>
        <v>ELECTRONICS</v>
      </c>
      <c r="L1095">
        <f>YEAR(Master_ventas[[#This Row],[Order Date]])</f>
        <v>2023</v>
      </c>
      <c r="M1095" t="str">
        <f>CONCATENATE(LEFT(Master_ventas[[#This Row],[ProdUpper]],3),RIGHT(Master_ventas[[#This Row],[Ext-Year]],2),"-",MID(Master_ventas[[#This Row],[Category]],1,1))</f>
        <v>TAB23-E</v>
      </c>
      <c r="N1095" t="str">
        <f>MID(Master_ventas[[#This Row],[ProdUpper]],1,3)</f>
        <v>TAB</v>
      </c>
      <c r="O1095" t="str">
        <f>UPPER(IF(Master_ventas[[#This Row],[Profit]]&gt;500,"High","Std"))</f>
        <v>STD</v>
      </c>
      <c r="P1095">
        <v>1094</v>
      </c>
    </row>
    <row r="1096" spans="1:16" x14ac:dyDescent="0.3">
      <c r="A1096" s="1">
        <v>45400</v>
      </c>
      <c r="B1096" t="s">
        <v>18</v>
      </c>
      <c r="C1096" t="s">
        <v>11</v>
      </c>
      <c r="D1096" t="s">
        <v>9</v>
      </c>
      <c r="E1096">
        <v>3</v>
      </c>
      <c r="F1096" s="3">
        <v>1698</v>
      </c>
      <c r="G1096" s="2">
        <v>304.91000000000003</v>
      </c>
      <c r="H1096">
        <f>Master_ventas[[#This Row],[Profit]]/Master_ventas[[#This Row],[Sales]]</f>
        <v>0.17957008244994113</v>
      </c>
      <c r="I1096">
        <f ca="1">Referencia_Hoy-Master_ventas[[#This Row],[Order Date]]</f>
        <v>923</v>
      </c>
      <c r="J1096" t="str">
        <f>UPPER(Master_ventas[[#This Row],[Product Name]])</f>
        <v>HEADPHONES</v>
      </c>
      <c r="K1096" t="str">
        <f>UPPER(Master_ventas[[#This Row],[Category]])</f>
        <v>ACCESSORIES</v>
      </c>
      <c r="L1096">
        <f>YEAR(Master_ventas[[#This Row],[Order Date]])</f>
        <v>2024</v>
      </c>
      <c r="M1096" t="str">
        <f>CONCATENATE(LEFT(Master_ventas[[#This Row],[ProdUpper]],3),RIGHT(Master_ventas[[#This Row],[Ext-Year]],2),"-",MID(Master_ventas[[#This Row],[Category]],1,1))</f>
        <v>HEA24-A</v>
      </c>
      <c r="N1096" t="str">
        <f>MID(Master_ventas[[#This Row],[ProdUpper]],1,3)</f>
        <v>HEA</v>
      </c>
      <c r="O1096" t="str">
        <f>UPPER(IF(Master_ventas[[#This Row],[Profit]]&gt;500,"High","Std"))</f>
        <v>STD</v>
      </c>
      <c r="P1096">
        <v>1095</v>
      </c>
    </row>
    <row r="1097" spans="1:16" x14ac:dyDescent="0.3">
      <c r="A1097" s="1">
        <v>45104</v>
      </c>
      <c r="B1097" t="s">
        <v>13</v>
      </c>
      <c r="C1097" t="s">
        <v>14</v>
      </c>
      <c r="D1097" t="s">
        <v>12</v>
      </c>
      <c r="E1097">
        <v>4</v>
      </c>
      <c r="F1097" s="3">
        <v>844</v>
      </c>
      <c r="G1097" s="2">
        <v>136.02000000000001</v>
      </c>
      <c r="H1097">
        <f>Master_ventas[[#This Row],[Profit]]/Master_ventas[[#This Row],[Sales]]</f>
        <v>0.1611611374407583</v>
      </c>
      <c r="I1097">
        <f ca="1">Referencia_Hoy-Master_ventas[[#This Row],[Order Date]]</f>
        <v>1219</v>
      </c>
      <c r="J1097" t="str">
        <f>UPPER(Master_ventas[[#This Row],[Product Name]])</f>
        <v>TABLET</v>
      </c>
      <c r="K1097" t="str">
        <f>UPPER(Master_ventas[[#This Row],[Category]])</f>
        <v>ELECTRONICS</v>
      </c>
      <c r="L1097">
        <f>YEAR(Master_ventas[[#This Row],[Order Date]])</f>
        <v>2023</v>
      </c>
      <c r="M1097" t="str">
        <f>CONCATENATE(LEFT(Master_ventas[[#This Row],[ProdUpper]],3),RIGHT(Master_ventas[[#This Row],[Ext-Year]],2),"-",MID(Master_ventas[[#This Row],[Category]],1,1))</f>
        <v>TAB23-E</v>
      </c>
      <c r="N1097" t="str">
        <f>MID(Master_ventas[[#This Row],[ProdUpper]],1,3)</f>
        <v>TAB</v>
      </c>
      <c r="O1097" t="str">
        <f>UPPER(IF(Master_ventas[[#This Row],[Profit]]&gt;500,"High","Std"))</f>
        <v>STD</v>
      </c>
      <c r="P1097">
        <v>1096</v>
      </c>
    </row>
    <row r="1098" spans="1:16" x14ac:dyDescent="0.3">
      <c r="A1098" s="1">
        <v>44977</v>
      </c>
      <c r="B1098" t="s">
        <v>7</v>
      </c>
      <c r="C1098" t="s">
        <v>8</v>
      </c>
      <c r="D1098" t="s">
        <v>16</v>
      </c>
      <c r="E1098">
        <v>2</v>
      </c>
      <c r="F1098" s="3">
        <v>2286</v>
      </c>
      <c r="G1098" s="2">
        <v>218.18</v>
      </c>
      <c r="H1098">
        <f>Master_ventas[[#This Row],[Profit]]/Master_ventas[[#This Row],[Sales]]</f>
        <v>9.5441819772528441E-2</v>
      </c>
      <c r="I1098">
        <f ca="1">Referencia_Hoy-Master_ventas[[#This Row],[Order Date]]</f>
        <v>1346</v>
      </c>
      <c r="J1098" t="str">
        <f>UPPER(Master_ventas[[#This Row],[Product Name]])</f>
        <v>PRINTER</v>
      </c>
      <c r="K1098" t="str">
        <f>UPPER(Master_ventas[[#This Row],[Category]])</f>
        <v>OFFICE</v>
      </c>
      <c r="L1098">
        <f>YEAR(Master_ventas[[#This Row],[Order Date]])</f>
        <v>2023</v>
      </c>
      <c r="M1098" t="str">
        <f>CONCATENATE(LEFT(Master_ventas[[#This Row],[ProdUpper]],3),RIGHT(Master_ventas[[#This Row],[Ext-Year]],2),"-",MID(Master_ventas[[#This Row],[Category]],1,1))</f>
        <v>PRI23-O</v>
      </c>
      <c r="N1098" t="str">
        <f>MID(Master_ventas[[#This Row],[ProdUpper]],1,3)</f>
        <v>PRI</v>
      </c>
      <c r="O1098" t="str">
        <f>UPPER(IF(Master_ventas[[#This Row],[Profit]]&gt;500,"High","Std"))</f>
        <v>STD</v>
      </c>
      <c r="P1098">
        <v>1097</v>
      </c>
    </row>
    <row r="1099" spans="1:16" x14ac:dyDescent="0.3">
      <c r="A1099" s="1">
        <v>45272</v>
      </c>
      <c r="B1099" t="s">
        <v>17</v>
      </c>
      <c r="C1099" t="s">
        <v>14</v>
      </c>
      <c r="D1099" t="s">
        <v>12</v>
      </c>
      <c r="E1099">
        <v>2</v>
      </c>
      <c r="F1099" s="3">
        <v>1026</v>
      </c>
      <c r="G1099" s="2">
        <v>170.31</v>
      </c>
      <c r="H1099">
        <f>Master_ventas[[#This Row],[Profit]]/Master_ventas[[#This Row],[Sales]]</f>
        <v>0.16599415204678364</v>
      </c>
      <c r="I1099">
        <f ca="1">Referencia_Hoy-Master_ventas[[#This Row],[Order Date]]</f>
        <v>1051</v>
      </c>
      <c r="J1099" t="str">
        <f>UPPER(Master_ventas[[#This Row],[Product Name]])</f>
        <v>CAMERA</v>
      </c>
      <c r="K1099" t="str">
        <f>UPPER(Master_ventas[[#This Row],[Category]])</f>
        <v>ELECTRONICS</v>
      </c>
      <c r="L1099">
        <f>YEAR(Master_ventas[[#This Row],[Order Date]])</f>
        <v>2023</v>
      </c>
      <c r="M1099" t="str">
        <f>CONCATENATE(LEFT(Master_ventas[[#This Row],[ProdUpper]],3),RIGHT(Master_ventas[[#This Row],[Ext-Year]],2),"-",MID(Master_ventas[[#This Row],[Category]],1,1))</f>
        <v>CAM23-E</v>
      </c>
      <c r="N1099" t="str">
        <f>MID(Master_ventas[[#This Row],[ProdUpper]],1,3)</f>
        <v>CAM</v>
      </c>
      <c r="O1099" t="str">
        <f>UPPER(IF(Master_ventas[[#This Row],[Profit]]&gt;500,"High","Std"))</f>
        <v>STD</v>
      </c>
      <c r="P1099">
        <v>1098</v>
      </c>
    </row>
    <row r="1100" spans="1:16" x14ac:dyDescent="0.3">
      <c r="A1100" s="1">
        <v>45203</v>
      </c>
      <c r="B1100" t="s">
        <v>23</v>
      </c>
      <c r="C1100" t="s">
        <v>14</v>
      </c>
      <c r="D1100" t="s">
        <v>16</v>
      </c>
      <c r="E1100">
        <v>6</v>
      </c>
      <c r="F1100" s="3">
        <v>6984</v>
      </c>
      <c r="G1100" s="2">
        <v>1433.65</v>
      </c>
      <c r="H1100">
        <f>Master_ventas[[#This Row],[Profit]]/Master_ventas[[#This Row],[Sales]]</f>
        <v>0.20527634593356245</v>
      </c>
      <c r="I1100">
        <f ca="1">Referencia_Hoy-Master_ventas[[#This Row],[Order Date]]</f>
        <v>1120</v>
      </c>
      <c r="J1100" t="str">
        <f>UPPER(Master_ventas[[#This Row],[Product Name]])</f>
        <v>LAPTOP</v>
      </c>
      <c r="K1100" t="str">
        <f>UPPER(Master_ventas[[#This Row],[Category]])</f>
        <v>ELECTRONICS</v>
      </c>
      <c r="L1100">
        <f>YEAR(Master_ventas[[#This Row],[Order Date]])</f>
        <v>2023</v>
      </c>
      <c r="M1100" t="str">
        <f>CONCATENATE(LEFT(Master_ventas[[#This Row],[ProdUpper]],3),RIGHT(Master_ventas[[#This Row],[Ext-Year]],2),"-",MID(Master_ventas[[#This Row],[Category]],1,1))</f>
        <v>LAP23-E</v>
      </c>
      <c r="N1100" t="str">
        <f>MID(Master_ventas[[#This Row],[ProdUpper]],1,3)</f>
        <v>LAP</v>
      </c>
      <c r="O1100" t="str">
        <f>UPPER(IF(Master_ventas[[#This Row],[Profit]]&gt;500,"High","Std"))</f>
        <v>HIGH</v>
      </c>
      <c r="P1100">
        <v>1099</v>
      </c>
    </row>
    <row r="1101" spans="1:16" x14ac:dyDescent="0.3">
      <c r="A1101" s="1">
        <v>44610</v>
      </c>
      <c r="B1101" t="s">
        <v>20</v>
      </c>
      <c r="C1101" t="s">
        <v>11</v>
      </c>
      <c r="D1101" t="s">
        <v>16</v>
      </c>
      <c r="E1101">
        <v>4</v>
      </c>
      <c r="F1101" s="3">
        <v>1672</v>
      </c>
      <c r="G1101" s="2">
        <v>432.35</v>
      </c>
      <c r="H1101">
        <f>Master_ventas[[#This Row],[Profit]]/Master_ventas[[#This Row],[Sales]]</f>
        <v>0.2585825358851675</v>
      </c>
      <c r="I1101">
        <f ca="1">Referencia_Hoy-Master_ventas[[#This Row],[Order Date]]</f>
        <v>1713</v>
      </c>
      <c r="J1101" t="str">
        <f>UPPER(Master_ventas[[#This Row],[Product Name]])</f>
        <v>MONITOR</v>
      </c>
      <c r="K1101" t="str">
        <f>UPPER(Master_ventas[[#This Row],[Category]])</f>
        <v>ACCESSORIES</v>
      </c>
      <c r="L1101">
        <f>YEAR(Master_ventas[[#This Row],[Order Date]])</f>
        <v>2022</v>
      </c>
      <c r="M1101" t="str">
        <f>CONCATENATE(LEFT(Master_ventas[[#This Row],[ProdUpper]],3),RIGHT(Master_ventas[[#This Row],[Ext-Year]],2),"-",MID(Master_ventas[[#This Row],[Category]],1,1))</f>
        <v>MON22-A</v>
      </c>
      <c r="N1101" t="str">
        <f>MID(Master_ventas[[#This Row],[ProdUpper]],1,3)</f>
        <v>MON</v>
      </c>
      <c r="O1101" t="str">
        <f>UPPER(IF(Master_ventas[[#This Row],[Profit]]&gt;500,"High","Std"))</f>
        <v>STD</v>
      </c>
      <c r="P1101">
        <v>1100</v>
      </c>
    </row>
    <row r="1102" spans="1:16" x14ac:dyDescent="0.3">
      <c r="A1102" s="1">
        <v>44934</v>
      </c>
      <c r="B1102" t="s">
        <v>23</v>
      </c>
      <c r="C1102" t="s">
        <v>14</v>
      </c>
      <c r="D1102" t="s">
        <v>9</v>
      </c>
      <c r="E1102">
        <v>6</v>
      </c>
      <c r="F1102" s="3">
        <v>1092</v>
      </c>
      <c r="G1102" s="2">
        <v>63.98</v>
      </c>
      <c r="H1102">
        <f>Master_ventas[[#This Row],[Profit]]/Master_ventas[[#This Row],[Sales]]</f>
        <v>5.8589743589743587E-2</v>
      </c>
      <c r="I1102">
        <f ca="1">Referencia_Hoy-Master_ventas[[#This Row],[Order Date]]</f>
        <v>1389</v>
      </c>
      <c r="J1102" t="str">
        <f>UPPER(Master_ventas[[#This Row],[Product Name]])</f>
        <v>LAPTOP</v>
      </c>
      <c r="K1102" t="str">
        <f>UPPER(Master_ventas[[#This Row],[Category]])</f>
        <v>ELECTRONICS</v>
      </c>
      <c r="L1102">
        <f>YEAR(Master_ventas[[#This Row],[Order Date]])</f>
        <v>2023</v>
      </c>
      <c r="M1102" t="str">
        <f>CONCATENATE(LEFT(Master_ventas[[#This Row],[ProdUpper]],3),RIGHT(Master_ventas[[#This Row],[Ext-Year]],2),"-",MID(Master_ventas[[#This Row],[Category]],1,1))</f>
        <v>LAP23-E</v>
      </c>
      <c r="N1102" t="str">
        <f>MID(Master_ventas[[#This Row],[ProdUpper]],1,3)</f>
        <v>LAP</v>
      </c>
      <c r="O1102" t="str">
        <f>UPPER(IF(Master_ventas[[#This Row],[Profit]]&gt;500,"High","Std"))</f>
        <v>STD</v>
      </c>
      <c r="P1102">
        <v>1101</v>
      </c>
    </row>
    <row r="1103" spans="1:16" x14ac:dyDescent="0.3">
      <c r="A1103" s="1">
        <v>45383</v>
      </c>
      <c r="B1103" t="s">
        <v>18</v>
      </c>
      <c r="C1103" t="s">
        <v>11</v>
      </c>
      <c r="D1103" t="s">
        <v>15</v>
      </c>
      <c r="E1103">
        <v>2</v>
      </c>
      <c r="F1103" s="3">
        <v>272</v>
      </c>
      <c r="G1103" s="2">
        <v>24.71</v>
      </c>
      <c r="H1103">
        <f>Master_ventas[[#This Row],[Profit]]/Master_ventas[[#This Row],[Sales]]</f>
        <v>9.0845588235294122E-2</v>
      </c>
      <c r="I1103">
        <f ca="1">Referencia_Hoy-Master_ventas[[#This Row],[Order Date]]</f>
        <v>940</v>
      </c>
      <c r="J1103" t="str">
        <f>UPPER(Master_ventas[[#This Row],[Product Name]])</f>
        <v>HEADPHONES</v>
      </c>
      <c r="K1103" t="str">
        <f>UPPER(Master_ventas[[#This Row],[Category]])</f>
        <v>ACCESSORIES</v>
      </c>
      <c r="L1103">
        <f>YEAR(Master_ventas[[#This Row],[Order Date]])</f>
        <v>2024</v>
      </c>
      <c r="M1103" t="str">
        <f>CONCATENATE(LEFT(Master_ventas[[#This Row],[ProdUpper]],3),RIGHT(Master_ventas[[#This Row],[Ext-Year]],2),"-",MID(Master_ventas[[#This Row],[Category]],1,1))</f>
        <v>HEA24-A</v>
      </c>
      <c r="N1103" t="str">
        <f>MID(Master_ventas[[#This Row],[ProdUpper]],1,3)</f>
        <v>HEA</v>
      </c>
      <c r="O1103" t="str">
        <f>UPPER(IF(Master_ventas[[#This Row],[Profit]]&gt;500,"High","Std"))</f>
        <v>STD</v>
      </c>
      <c r="P1103">
        <v>1102</v>
      </c>
    </row>
    <row r="1104" spans="1:16" x14ac:dyDescent="0.3">
      <c r="A1104" s="1">
        <v>45242</v>
      </c>
      <c r="B1104" t="s">
        <v>18</v>
      </c>
      <c r="C1104" t="s">
        <v>11</v>
      </c>
      <c r="D1104" t="s">
        <v>16</v>
      </c>
      <c r="E1104">
        <v>2</v>
      </c>
      <c r="F1104" s="3">
        <v>1126</v>
      </c>
      <c r="G1104" s="2">
        <v>204.99</v>
      </c>
      <c r="H1104">
        <f>Master_ventas[[#This Row],[Profit]]/Master_ventas[[#This Row],[Sales]]</f>
        <v>0.18205150976909415</v>
      </c>
      <c r="I1104">
        <f ca="1">Referencia_Hoy-Master_ventas[[#This Row],[Order Date]]</f>
        <v>1081</v>
      </c>
      <c r="J1104" t="str">
        <f>UPPER(Master_ventas[[#This Row],[Product Name]])</f>
        <v>HEADPHONES</v>
      </c>
      <c r="K1104" t="str">
        <f>UPPER(Master_ventas[[#This Row],[Category]])</f>
        <v>ACCESSORIES</v>
      </c>
      <c r="L1104">
        <f>YEAR(Master_ventas[[#This Row],[Order Date]])</f>
        <v>2023</v>
      </c>
      <c r="M1104" t="str">
        <f>CONCATENATE(LEFT(Master_ventas[[#This Row],[ProdUpper]],3),RIGHT(Master_ventas[[#This Row],[Ext-Year]],2),"-",MID(Master_ventas[[#This Row],[Category]],1,1))</f>
        <v>HEA23-A</v>
      </c>
      <c r="N1104" t="str">
        <f>MID(Master_ventas[[#This Row],[ProdUpper]],1,3)</f>
        <v>HEA</v>
      </c>
      <c r="O1104" t="str">
        <f>UPPER(IF(Master_ventas[[#This Row],[Profit]]&gt;500,"High","Std"))</f>
        <v>STD</v>
      </c>
      <c r="P1104">
        <v>1103</v>
      </c>
    </row>
    <row r="1105" spans="1:16" x14ac:dyDescent="0.3">
      <c r="A1105" s="1">
        <v>45221</v>
      </c>
      <c r="B1105" t="s">
        <v>10</v>
      </c>
      <c r="C1105" t="s">
        <v>11</v>
      </c>
      <c r="D1105" t="s">
        <v>16</v>
      </c>
      <c r="E1105">
        <v>7</v>
      </c>
      <c r="F1105" s="3">
        <v>8155</v>
      </c>
      <c r="G1105" s="2">
        <v>2177.38</v>
      </c>
      <c r="H1105">
        <f>Master_ventas[[#This Row],[Profit]]/Master_ventas[[#This Row],[Sales]]</f>
        <v>0.26699938687921521</v>
      </c>
      <c r="I1105">
        <f ca="1">Referencia_Hoy-Master_ventas[[#This Row],[Order Date]]</f>
        <v>1102</v>
      </c>
      <c r="J1105" t="str">
        <f>UPPER(Master_ventas[[#This Row],[Product Name]])</f>
        <v>MOUSE</v>
      </c>
      <c r="K1105" t="str">
        <f>UPPER(Master_ventas[[#This Row],[Category]])</f>
        <v>ACCESSORIES</v>
      </c>
      <c r="L1105">
        <f>YEAR(Master_ventas[[#This Row],[Order Date]])</f>
        <v>2023</v>
      </c>
      <c r="M1105" t="str">
        <f>CONCATENATE(LEFT(Master_ventas[[#This Row],[ProdUpper]],3),RIGHT(Master_ventas[[#This Row],[Ext-Year]],2),"-",MID(Master_ventas[[#This Row],[Category]],1,1))</f>
        <v>MOU23-A</v>
      </c>
      <c r="N1105" t="str">
        <f>MID(Master_ventas[[#This Row],[ProdUpper]],1,3)</f>
        <v>MOU</v>
      </c>
      <c r="O1105" t="str">
        <f>UPPER(IF(Master_ventas[[#This Row],[Profit]]&gt;500,"High","Std"))</f>
        <v>HIGH</v>
      </c>
      <c r="P1105">
        <v>1104</v>
      </c>
    </row>
    <row r="1106" spans="1:16" x14ac:dyDescent="0.3">
      <c r="A1106" s="1">
        <v>45014</v>
      </c>
      <c r="B1106" t="s">
        <v>19</v>
      </c>
      <c r="C1106" t="s">
        <v>14</v>
      </c>
      <c r="D1106" t="s">
        <v>12</v>
      </c>
      <c r="E1106">
        <v>7</v>
      </c>
      <c r="F1106" s="3">
        <v>4298</v>
      </c>
      <c r="G1106" s="2">
        <v>358.38</v>
      </c>
      <c r="H1106">
        <f>Master_ventas[[#This Row],[Profit]]/Master_ventas[[#This Row],[Sales]]</f>
        <v>8.3382968822708237E-2</v>
      </c>
      <c r="I1106">
        <f ca="1">Referencia_Hoy-Master_ventas[[#This Row],[Order Date]]</f>
        <v>1309</v>
      </c>
      <c r="J1106" t="str">
        <f>UPPER(Master_ventas[[#This Row],[Product Name]])</f>
        <v>SMARTWATCH</v>
      </c>
      <c r="K1106" t="str">
        <f>UPPER(Master_ventas[[#This Row],[Category]])</f>
        <v>ELECTRONICS</v>
      </c>
      <c r="L1106">
        <f>YEAR(Master_ventas[[#This Row],[Order Date]])</f>
        <v>2023</v>
      </c>
      <c r="M1106" t="str">
        <f>CONCATENATE(LEFT(Master_ventas[[#This Row],[ProdUpper]],3),RIGHT(Master_ventas[[#This Row],[Ext-Year]],2),"-",MID(Master_ventas[[#This Row],[Category]],1,1))</f>
        <v>SMA23-E</v>
      </c>
      <c r="N1106" t="str">
        <f>MID(Master_ventas[[#This Row],[ProdUpper]],1,3)</f>
        <v>SMA</v>
      </c>
      <c r="O1106" t="str">
        <f>UPPER(IF(Master_ventas[[#This Row],[Profit]]&gt;500,"High","Std"))</f>
        <v>STD</v>
      </c>
      <c r="P1106">
        <v>1105</v>
      </c>
    </row>
    <row r="1107" spans="1:16" x14ac:dyDescent="0.3">
      <c r="A1107" s="1">
        <v>44912</v>
      </c>
      <c r="B1107" t="s">
        <v>21</v>
      </c>
      <c r="C1107" t="s">
        <v>14</v>
      </c>
      <c r="D1107" t="s">
        <v>12</v>
      </c>
      <c r="E1107">
        <v>5</v>
      </c>
      <c r="F1107" s="3">
        <v>1365</v>
      </c>
      <c r="G1107" s="2">
        <v>310.66000000000003</v>
      </c>
      <c r="H1107">
        <f>Master_ventas[[#This Row],[Profit]]/Master_ventas[[#This Row],[Sales]]</f>
        <v>0.2275897435897436</v>
      </c>
      <c r="I1107">
        <f ca="1">Referencia_Hoy-Master_ventas[[#This Row],[Order Date]]</f>
        <v>1411</v>
      </c>
      <c r="J1107" t="str">
        <f>UPPER(Master_ventas[[#This Row],[Product Name]])</f>
        <v>SMARTPHONE</v>
      </c>
      <c r="K1107" t="str">
        <f>UPPER(Master_ventas[[#This Row],[Category]])</f>
        <v>ELECTRONICS</v>
      </c>
      <c r="L1107">
        <f>YEAR(Master_ventas[[#This Row],[Order Date]])</f>
        <v>2022</v>
      </c>
      <c r="M1107" t="str">
        <f>CONCATENATE(LEFT(Master_ventas[[#This Row],[ProdUpper]],3),RIGHT(Master_ventas[[#This Row],[Ext-Year]],2),"-",MID(Master_ventas[[#This Row],[Category]],1,1))</f>
        <v>SMA22-E</v>
      </c>
      <c r="N1107" t="str">
        <f>MID(Master_ventas[[#This Row],[ProdUpper]],1,3)</f>
        <v>SMA</v>
      </c>
      <c r="O1107" t="str">
        <f>UPPER(IF(Master_ventas[[#This Row],[Profit]]&gt;500,"High","Std"))</f>
        <v>STD</v>
      </c>
      <c r="P1107">
        <v>1106</v>
      </c>
    </row>
    <row r="1108" spans="1:16" x14ac:dyDescent="0.3">
      <c r="A1108" s="1">
        <v>45624</v>
      </c>
      <c r="B1108" t="s">
        <v>17</v>
      </c>
      <c r="C1108" t="s">
        <v>14</v>
      </c>
      <c r="D1108" t="s">
        <v>16</v>
      </c>
      <c r="E1108">
        <v>6</v>
      </c>
      <c r="F1108" s="3">
        <v>4116</v>
      </c>
      <c r="G1108" s="2">
        <v>381.35</v>
      </c>
      <c r="H1108">
        <f>Master_ventas[[#This Row],[Profit]]/Master_ventas[[#This Row],[Sales]]</f>
        <v>9.2650631681243933E-2</v>
      </c>
      <c r="I1108">
        <f ca="1">Referencia_Hoy-Master_ventas[[#This Row],[Order Date]]</f>
        <v>699</v>
      </c>
      <c r="J1108" t="str">
        <f>UPPER(Master_ventas[[#This Row],[Product Name]])</f>
        <v>CAMERA</v>
      </c>
      <c r="K1108" t="str">
        <f>UPPER(Master_ventas[[#This Row],[Category]])</f>
        <v>ELECTRONICS</v>
      </c>
      <c r="L1108">
        <f>YEAR(Master_ventas[[#This Row],[Order Date]])</f>
        <v>2024</v>
      </c>
      <c r="M1108" t="str">
        <f>CONCATENATE(LEFT(Master_ventas[[#This Row],[ProdUpper]],3),RIGHT(Master_ventas[[#This Row],[Ext-Year]],2),"-",MID(Master_ventas[[#This Row],[Category]],1,1))</f>
        <v>CAM24-E</v>
      </c>
      <c r="N1108" t="str">
        <f>MID(Master_ventas[[#This Row],[ProdUpper]],1,3)</f>
        <v>CAM</v>
      </c>
      <c r="O1108" t="str">
        <f>UPPER(IF(Master_ventas[[#This Row],[Profit]]&gt;500,"High","Std"))</f>
        <v>STD</v>
      </c>
      <c r="P1108">
        <v>1107</v>
      </c>
    </row>
    <row r="1109" spans="1:16" x14ac:dyDescent="0.3">
      <c r="A1109" s="1">
        <v>44658</v>
      </c>
      <c r="B1109" t="s">
        <v>18</v>
      </c>
      <c r="C1109" t="s">
        <v>11</v>
      </c>
      <c r="D1109" t="s">
        <v>15</v>
      </c>
      <c r="E1109">
        <v>8</v>
      </c>
      <c r="F1109" s="3">
        <v>904</v>
      </c>
      <c r="G1109" s="2">
        <v>181.45</v>
      </c>
      <c r="H1109">
        <f>Master_ventas[[#This Row],[Profit]]/Master_ventas[[#This Row],[Sales]]</f>
        <v>0.20071902654867255</v>
      </c>
      <c r="I1109">
        <f ca="1">Referencia_Hoy-Master_ventas[[#This Row],[Order Date]]</f>
        <v>1665</v>
      </c>
      <c r="J1109" t="str">
        <f>UPPER(Master_ventas[[#This Row],[Product Name]])</f>
        <v>HEADPHONES</v>
      </c>
      <c r="K1109" t="str">
        <f>UPPER(Master_ventas[[#This Row],[Category]])</f>
        <v>ACCESSORIES</v>
      </c>
      <c r="L1109">
        <f>YEAR(Master_ventas[[#This Row],[Order Date]])</f>
        <v>2022</v>
      </c>
      <c r="M1109" t="str">
        <f>CONCATENATE(LEFT(Master_ventas[[#This Row],[ProdUpper]],3),RIGHT(Master_ventas[[#This Row],[Ext-Year]],2),"-",MID(Master_ventas[[#This Row],[Category]],1,1))</f>
        <v>HEA22-A</v>
      </c>
      <c r="N1109" t="str">
        <f>MID(Master_ventas[[#This Row],[ProdUpper]],1,3)</f>
        <v>HEA</v>
      </c>
      <c r="O1109" t="str">
        <f>UPPER(IF(Master_ventas[[#This Row],[Profit]]&gt;500,"High","Std"))</f>
        <v>STD</v>
      </c>
      <c r="P1109">
        <v>1108</v>
      </c>
    </row>
    <row r="1110" spans="1:16" x14ac:dyDescent="0.3">
      <c r="A1110" s="1">
        <v>45631</v>
      </c>
      <c r="B1110" t="s">
        <v>19</v>
      </c>
      <c r="C1110" t="s">
        <v>14</v>
      </c>
      <c r="D1110" t="s">
        <v>15</v>
      </c>
      <c r="E1110">
        <v>1</v>
      </c>
      <c r="F1110" s="3">
        <v>70</v>
      </c>
      <c r="G1110" s="2">
        <v>10.64</v>
      </c>
      <c r="H1110">
        <f>Master_ventas[[#This Row],[Profit]]/Master_ventas[[#This Row],[Sales]]</f>
        <v>0.152</v>
      </c>
      <c r="I1110">
        <f ca="1">Referencia_Hoy-Master_ventas[[#This Row],[Order Date]]</f>
        <v>692</v>
      </c>
      <c r="J1110" t="str">
        <f>UPPER(Master_ventas[[#This Row],[Product Name]])</f>
        <v>SMARTWATCH</v>
      </c>
      <c r="K1110" t="str">
        <f>UPPER(Master_ventas[[#This Row],[Category]])</f>
        <v>ELECTRONICS</v>
      </c>
      <c r="L1110">
        <f>YEAR(Master_ventas[[#This Row],[Order Date]])</f>
        <v>2024</v>
      </c>
      <c r="M1110" t="str">
        <f>CONCATENATE(LEFT(Master_ventas[[#This Row],[ProdUpper]],3),RIGHT(Master_ventas[[#This Row],[Ext-Year]],2),"-",MID(Master_ventas[[#This Row],[Category]],1,1))</f>
        <v>SMA24-E</v>
      </c>
      <c r="N1110" t="str">
        <f>MID(Master_ventas[[#This Row],[ProdUpper]],1,3)</f>
        <v>SMA</v>
      </c>
      <c r="O1110" t="str">
        <f>UPPER(IF(Master_ventas[[#This Row],[Profit]]&gt;500,"High","Std"))</f>
        <v>STD</v>
      </c>
      <c r="P1110">
        <v>1109</v>
      </c>
    </row>
    <row r="1111" spans="1:16" x14ac:dyDescent="0.3">
      <c r="A1111" s="1">
        <v>45172</v>
      </c>
      <c r="B1111" t="s">
        <v>22</v>
      </c>
      <c r="C1111" t="s">
        <v>11</v>
      </c>
      <c r="D1111" t="s">
        <v>12</v>
      </c>
      <c r="E1111">
        <v>2</v>
      </c>
      <c r="F1111" s="3">
        <v>344</v>
      </c>
      <c r="G1111" s="2">
        <v>72.87</v>
      </c>
      <c r="H1111">
        <f>Master_ventas[[#This Row],[Profit]]/Master_ventas[[#This Row],[Sales]]</f>
        <v>0.21183139534883721</v>
      </c>
      <c r="I1111">
        <f ca="1">Referencia_Hoy-Master_ventas[[#This Row],[Order Date]]</f>
        <v>1151</v>
      </c>
      <c r="J1111" t="str">
        <f>UPPER(Master_ventas[[#This Row],[Product Name]])</f>
        <v>KEYBOARD</v>
      </c>
      <c r="K1111" t="str">
        <f>UPPER(Master_ventas[[#This Row],[Category]])</f>
        <v>ACCESSORIES</v>
      </c>
      <c r="L1111">
        <f>YEAR(Master_ventas[[#This Row],[Order Date]])</f>
        <v>2023</v>
      </c>
      <c r="M1111" t="str">
        <f>CONCATENATE(LEFT(Master_ventas[[#This Row],[ProdUpper]],3),RIGHT(Master_ventas[[#This Row],[Ext-Year]],2),"-",MID(Master_ventas[[#This Row],[Category]],1,1))</f>
        <v>KEY23-A</v>
      </c>
      <c r="N1111" t="str">
        <f>MID(Master_ventas[[#This Row],[ProdUpper]],1,3)</f>
        <v>KEY</v>
      </c>
      <c r="O1111" t="str">
        <f>UPPER(IF(Master_ventas[[#This Row],[Profit]]&gt;500,"High","Std"))</f>
        <v>STD</v>
      </c>
      <c r="P1111">
        <v>1110</v>
      </c>
    </row>
    <row r="1112" spans="1:16" x14ac:dyDescent="0.3">
      <c r="A1112" s="1">
        <v>45157</v>
      </c>
      <c r="B1112" t="s">
        <v>7</v>
      </c>
      <c r="C1112" t="s">
        <v>8</v>
      </c>
      <c r="D1112" t="s">
        <v>12</v>
      </c>
      <c r="E1112">
        <v>1</v>
      </c>
      <c r="F1112" s="3">
        <v>330</v>
      </c>
      <c r="G1112" s="2">
        <v>78.52</v>
      </c>
      <c r="H1112">
        <f>Master_ventas[[#This Row],[Profit]]/Master_ventas[[#This Row],[Sales]]</f>
        <v>0.23793939393939392</v>
      </c>
      <c r="I1112">
        <f ca="1">Referencia_Hoy-Master_ventas[[#This Row],[Order Date]]</f>
        <v>1166</v>
      </c>
      <c r="J1112" t="str">
        <f>UPPER(Master_ventas[[#This Row],[Product Name]])</f>
        <v>PRINTER</v>
      </c>
      <c r="K1112" t="str">
        <f>UPPER(Master_ventas[[#This Row],[Category]])</f>
        <v>OFFICE</v>
      </c>
      <c r="L1112">
        <f>YEAR(Master_ventas[[#This Row],[Order Date]])</f>
        <v>2023</v>
      </c>
      <c r="M1112" t="str">
        <f>CONCATENATE(LEFT(Master_ventas[[#This Row],[ProdUpper]],3),RIGHT(Master_ventas[[#This Row],[Ext-Year]],2),"-",MID(Master_ventas[[#This Row],[Category]],1,1))</f>
        <v>PRI23-O</v>
      </c>
      <c r="N1112" t="str">
        <f>MID(Master_ventas[[#This Row],[ProdUpper]],1,3)</f>
        <v>PRI</v>
      </c>
      <c r="O1112" t="str">
        <f>UPPER(IF(Master_ventas[[#This Row],[Profit]]&gt;500,"High","Std"))</f>
        <v>STD</v>
      </c>
      <c r="P1112">
        <v>1111</v>
      </c>
    </row>
    <row r="1113" spans="1:16" x14ac:dyDescent="0.3">
      <c r="A1113" s="1">
        <v>45521</v>
      </c>
      <c r="B1113" t="s">
        <v>18</v>
      </c>
      <c r="C1113" t="s">
        <v>11</v>
      </c>
      <c r="D1113" t="s">
        <v>15</v>
      </c>
      <c r="E1113">
        <v>2</v>
      </c>
      <c r="F1113" s="3">
        <v>518</v>
      </c>
      <c r="G1113" s="2">
        <v>34.22</v>
      </c>
      <c r="H1113">
        <f>Master_ventas[[#This Row],[Profit]]/Master_ventas[[#This Row],[Sales]]</f>
        <v>6.6061776061776059E-2</v>
      </c>
      <c r="I1113">
        <f ca="1">Referencia_Hoy-Master_ventas[[#This Row],[Order Date]]</f>
        <v>802</v>
      </c>
      <c r="J1113" t="str">
        <f>UPPER(Master_ventas[[#This Row],[Product Name]])</f>
        <v>HEADPHONES</v>
      </c>
      <c r="K1113" t="str">
        <f>UPPER(Master_ventas[[#This Row],[Category]])</f>
        <v>ACCESSORIES</v>
      </c>
      <c r="L1113">
        <f>YEAR(Master_ventas[[#This Row],[Order Date]])</f>
        <v>2024</v>
      </c>
      <c r="M1113" t="str">
        <f>CONCATENATE(LEFT(Master_ventas[[#This Row],[ProdUpper]],3),RIGHT(Master_ventas[[#This Row],[Ext-Year]],2),"-",MID(Master_ventas[[#This Row],[Category]],1,1))</f>
        <v>HEA24-A</v>
      </c>
      <c r="N1113" t="str">
        <f>MID(Master_ventas[[#This Row],[ProdUpper]],1,3)</f>
        <v>HEA</v>
      </c>
      <c r="O1113" t="str">
        <f>UPPER(IF(Master_ventas[[#This Row],[Profit]]&gt;500,"High","Std"))</f>
        <v>STD</v>
      </c>
      <c r="P1113">
        <v>1112</v>
      </c>
    </row>
    <row r="1114" spans="1:16" x14ac:dyDescent="0.3">
      <c r="A1114" s="1">
        <v>44791</v>
      </c>
      <c r="B1114" t="s">
        <v>10</v>
      </c>
      <c r="C1114" t="s">
        <v>11</v>
      </c>
      <c r="D1114" t="s">
        <v>9</v>
      </c>
      <c r="E1114">
        <v>9</v>
      </c>
      <c r="F1114" s="3">
        <v>2763</v>
      </c>
      <c r="G1114" s="2">
        <v>458.4</v>
      </c>
      <c r="H1114">
        <f>Master_ventas[[#This Row],[Profit]]/Master_ventas[[#This Row],[Sales]]</f>
        <v>0.16590662323561345</v>
      </c>
      <c r="I1114">
        <f ca="1">Referencia_Hoy-Master_ventas[[#This Row],[Order Date]]</f>
        <v>1532</v>
      </c>
      <c r="J1114" t="str">
        <f>UPPER(Master_ventas[[#This Row],[Product Name]])</f>
        <v>MOUSE</v>
      </c>
      <c r="K1114" t="str">
        <f>UPPER(Master_ventas[[#This Row],[Category]])</f>
        <v>ACCESSORIES</v>
      </c>
      <c r="L1114">
        <f>YEAR(Master_ventas[[#This Row],[Order Date]])</f>
        <v>2022</v>
      </c>
      <c r="M1114" t="str">
        <f>CONCATENATE(LEFT(Master_ventas[[#This Row],[ProdUpper]],3),RIGHT(Master_ventas[[#This Row],[Ext-Year]],2),"-",MID(Master_ventas[[#This Row],[Category]],1,1))</f>
        <v>MOU22-A</v>
      </c>
      <c r="N1114" t="str">
        <f>MID(Master_ventas[[#This Row],[ProdUpper]],1,3)</f>
        <v>MOU</v>
      </c>
      <c r="O1114" t="str">
        <f>UPPER(IF(Master_ventas[[#This Row],[Profit]]&gt;500,"High","Std"))</f>
        <v>STD</v>
      </c>
      <c r="P1114">
        <v>1113</v>
      </c>
    </row>
    <row r="1115" spans="1:16" x14ac:dyDescent="0.3">
      <c r="A1115" s="1">
        <v>44646</v>
      </c>
      <c r="B1115" t="s">
        <v>19</v>
      </c>
      <c r="C1115" t="s">
        <v>14</v>
      </c>
      <c r="D1115" t="s">
        <v>9</v>
      </c>
      <c r="E1115">
        <v>2</v>
      </c>
      <c r="F1115" s="3">
        <v>2298</v>
      </c>
      <c r="G1115" s="2">
        <v>343.53</v>
      </c>
      <c r="H1115">
        <f>Master_ventas[[#This Row],[Profit]]/Master_ventas[[#This Row],[Sales]]</f>
        <v>0.14949086161879893</v>
      </c>
      <c r="I1115">
        <f ca="1">Referencia_Hoy-Master_ventas[[#This Row],[Order Date]]</f>
        <v>1677</v>
      </c>
      <c r="J1115" t="str">
        <f>UPPER(Master_ventas[[#This Row],[Product Name]])</f>
        <v>SMARTWATCH</v>
      </c>
      <c r="K1115" t="str">
        <f>UPPER(Master_ventas[[#This Row],[Category]])</f>
        <v>ELECTRONICS</v>
      </c>
      <c r="L1115">
        <f>YEAR(Master_ventas[[#This Row],[Order Date]])</f>
        <v>2022</v>
      </c>
      <c r="M1115" t="str">
        <f>CONCATENATE(LEFT(Master_ventas[[#This Row],[ProdUpper]],3),RIGHT(Master_ventas[[#This Row],[Ext-Year]],2),"-",MID(Master_ventas[[#This Row],[Category]],1,1))</f>
        <v>SMA22-E</v>
      </c>
      <c r="N1115" t="str">
        <f>MID(Master_ventas[[#This Row],[ProdUpper]],1,3)</f>
        <v>SMA</v>
      </c>
      <c r="O1115" t="str">
        <f>UPPER(IF(Master_ventas[[#This Row],[Profit]]&gt;500,"High","Std"))</f>
        <v>STD</v>
      </c>
      <c r="P1115">
        <v>1114</v>
      </c>
    </row>
    <row r="1116" spans="1:16" x14ac:dyDescent="0.3">
      <c r="A1116" s="1">
        <v>45567</v>
      </c>
      <c r="B1116" t="s">
        <v>20</v>
      </c>
      <c r="C1116" t="s">
        <v>11</v>
      </c>
      <c r="D1116" t="s">
        <v>15</v>
      </c>
      <c r="E1116">
        <v>1</v>
      </c>
      <c r="F1116" s="3">
        <v>436</v>
      </c>
      <c r="G1116" s="2">
        <v>73.89</v>
      </c>
      <c r="H1116">
        <f>Master_ventas[[#This Row],[Profit]]/Master_ventas[[#This Row],[Sales]]</f>
        <v>0.16947247706422019</v>
      </c>
      <c r="I1116">
        <f ca="1">Referencia_Hoy-Master_ventas[[#This Row],[Order Date]]</f>
        <v>756</v>
      </c>
      <c r="J1116" t="str">
        <f>UPPER(Master_ventas[[#This Row],[Product Name]])</f>
        <v>MONITOR</v>
      </c>
      <c r="K1116" t="str">
        <f>UPPER(Master_ventas[[#This Row],[Category]])</f>
        <v>ACCESSORIES</v>
      </c>
      <c r="L1116">
        <f>YEAR(Master_ventas[[#This Row],[Order Date]])</f>
        <v>2024</v>
      </c>
      <c r="M1116" t="str">
        <f>CONCATENATE(LEFT(Master_ventas[[#This Row],[ProdUpper]],3),RIGHT(Master_ventas[[#This Row],[Ext-Year]],2),"-",MID(Master_ventas[[#This Row],[Category]],1,1))</f>
        <v>MON24-A</v>
      </c>
      <c r="N1116" t="str">
        <f>MID(Master_ventas[[#This Row],[ProdUpper]],1,3)</f>
        <v>MON</v>
      </c>
      <c r="O1116" t="str">
        <f>UPPER(IF(Master_ventas[[#This Row],[Profit]]&gt;500,"High","Std"))</f>
        <v>STD</v>
      </c>
      <c r="P1116">
        <v>1115</v>
      </c>
    </row>
    <row r="1117" spans="1:16" x14ac:dyDescent="0.3">
      <c r="A1117" s="1">
        <v>44832</v>
      </c>
      <c r="B1117" t="s">
        <v>10</v>
      </c>
      <c r="C1117" t="s">
        <v>11</v>
      </c>
      <c r="D1117" t="s">
        <v>12</v>
      </c>
      <c r="E1117">
        <v>6</v>
      </c>
      <c r="F1117" s="3">
        <v>1824</v>
      </c>
      <c r="G1117" s="2">
        <v>213.47</v>
      </c>
      <c r="H1117">
        <f>Master_ventas[[#This Row],[Profit]]/Master_ventas[[#This Row],[Sales]]</f>
        <v>0.11703399122807018</v>
      </c>
      <c r="I1117">
        <f ca="1">Referencia_Hoy-Master_ventas[[#This Row],[Order Date]]</f>
        <v>1491</v>
      </c>
      <c r="J1117" t="str">
        <f>UPPER(Master_ventas[[#This Row],[Product Name]])</f>
        <v>MOUSE</v>
      </c>
      <c r="K1117" t="str">
        <f>UPPER(Master_ventas[[#This Row],[Category]])</f>
        <v>ACCESSORIES</v>
      </c>
      <c r="L1117">
        <f>YEAR(Master_ventas[[#This Row],[Order Date]])</f>
        <v>2022</v>
      </c>
      <c r="M1117" t="str">
        <f>CONCATENATE(LEFT(Master_ventas[[#This Row],[ProdUpper]],3),RIGHT(Master_ventas[[#This Row],[Ext-Year]],2),"-",MID(Master_ventas[[#This Row],[Category]],1,1))</f>
        <v>MOU22-A</v>
      </c>
      <c r="N1117" t="str">
        <f>MID(Master_ventas[[#This Row],[ProdUpper]],1,3)</f>
        <v>MOU</v>
      </c>
      <c r="O1117" t="str">
        <f>UPPER(IF(Master_ventas[[#This Row],[Profit]]&gt;500,"High","Std"))</f>
        <v>STD</v>
      </c>
      <c r="P1117">
        <v>1116</v>
      </c>
    </row>
    <row r="1118" spans="1:16" x14ac:dyDescent="0.3">
      <c r="A1118" s="1">
        <v>45424</v>
      </c>
      <c r="B1118" t="s">
        <v>23</v>
      </c>
      <c r="C1118" t="s">
        <v>14</v>
      </c>
      <c r="D1118" t="s">
        <v>9</v>
      </c>
      <c r="E1118">
        <v>5</v>
      </c>
      <c r="F1118" s="3">
        <v>1540</v>
      </c>
      <c r="G1118" s="2">
        <v>411.83</v>
      </c>
      <c r="H1118">
        <f>Master_ventas[[#This Row],[Profit]]/Master_ventas[[#This Row],[Sales]]</f>
        <v>0.26742207792207789</v>
      </c>
      <c r="I1118">
        <f ca="1">Referencia_Hoy-Master_ventas[[#This Row],[Order Date]]</f>
        <v>899</v>
      </c>
      <c r="J1118" t="str">
        <f>UPPER(Master_ventas[[#This Row],[Product Name]])</f>
        <v>LAPTOP</v>
      </c>
      <c r="K1118" t="str">
        <f>UPPER(Master_ventas[[#This Row],[Category]])</f>
        <v>ELECTRONICS</v>
      </c>
      <c r="L1118">
        <f>YEAR(Master_ventas[[#This Row],[Order Date]])</f>
        <v>2024</v>
      </c>
      <c r="M1118" t="str">
        <f>CONCATENATE(LEFT(Master_ventas[[#This Row],[ProdUpper]],3),RIGHT(Master_ventas[[#This Row],[Ext-Year]],2),"-",MID(Master_ventas[[#This Row],[Category]],1,1))</f>
        <v>LAP24-E</v>
      </c>
      <c r="N1118" t="str">
        <f>MID(Master_ventas[[#This Row],[ProdUpper]],1,3)</f>
        <v>LAP</v>
      </c>
      <c r="O1118" t="str">
        <f>UPPER(IF(Master_ventas[[#This Row],[Profit]]&gt;500,"High","Std"))</f>
        <v>STD</v>
      </c>
      <c r="P1118">
        <v>1117</v>
      </c>
    </row>
    <row r="1119" spans="1:16" x14ac:dyDescent="0.3">
      <c r="A1119" s="1">
        <v>44999</v>
      </c>
      <c r="B1119" t="s">
        <v>13</v>
      </c>
      <c r="C1119" t="s">
        <v>14</v>
      </c>
      <c r="D1119" t="s">
        <v>12</v>
      </c>
      <c r="E1119">
        <v>7</v>
      </c>
      <c r="F1119" s="3">
        <v>5572</v>
      </c>
      <c r="G1119" s="2">
        <v>385.82</v>
      </c>
      <c r="H1119">
        <f>Master_ventas[[#This Row],[Profit]]/Master_ventas[[#This Row],[Sales]]</f>
        <v>6.9242641780330225E-2</v>
      </c>
      <c r="I1119">
        <f ca="1">Referencia_Hoy-Master_ventas[[#This Row],[Order Date]]</f>
        <v>1324</v>
      </c>
      <c r="J1119" t="str">
        <f>UPPER(Master_ventas[[#This Row],[Product Name]])</f>
        <v>TABLET</v>
      </c>
      <c r="K1119" t="str">
        <f>UPPER(Master_ventas[[#This Row],[Category]])</f>
        <v>ELECTRONICS</v>
      </c>
      <c r="L1119">
        <f>YEAR(Master_ventas[[#This Row],[Order Date]])</f>
        <v>2023</v>
      </c>
      <c r="M1119" t="str">
        <f>CONCATENATE(LEFT(Master_ventas[[#This Row],[ProdUpper]],3),RIGHT(Master_ventas[[#This Row],[Ext-Year]],2),"-",MID(Master_ventas[[#This Row],[Category]],1,1))</f>
        <v>TAB23-E</v>
      </c>
      <c r="N1119" t="str">
        <f>MID(Master_ventas[[#This Row],[ProdUpper]],1,3)</f>
        <v>TAB</v>
      </c>
      <c r="O1119" t="str">
        <f>UPPER(IF(Master_ventas[[#This Row],[Profit]]&gt;500,"High","Std"))</f>
        <v>STD</v>
      </c>
      <c r="P1119">
        <v>1118</v>
      </c>
    </row>
    <row r="1120" spans="1:16" x14ac:dyDescent="0.3">
      <c r="A1120" s="1">
        <v>45190</v>
      </c>
      <c r="B1120" t="s">
        <v>20</v>
      </c>
      <c r="C1120" t="s">
        <v>11</v>
      </c>
      <c r="D1120" t="s">
        <v>12</v>
      </c>
      <c r="E1120">
        <v>6</v>
      </c>
      <c r="F1120" s="3">
        <v>3030</v>
      </c>
      <c r="G1120" s="2">
        <v>335.71</v>
      </c>
      <c r="H1120">
        <f>Master_ventas[[#This Row],[Profit]]/Master_ventas[[#This Row],[Sales]]</f>
        <v>0.11079537953795379</v>
      </c>
      <c r="I1120">
        <f ca="1">Referencia_Hoy-Master_ventas[[#This Row],[Order Date]]</f>
        <v>1133</v>
      </c>
      <c r="J1120" t="str">
        <f>UPPER(Master_ventas[[#This Row],[Product Name]])</f>
        <v>MONITOR</v>
      </c>
      <c r="K1120" t="str">
        <f>UPPER(Master_ventas[[#This Row],[Category]])</f>
        <v>ACCESSORIES</v>
      </c>
      <c r="L1120">
        <f>YEAR(Master_ventas[[#This Row],[Order Date]])</f>
        <v>2023</v>
      </c>
      <c r="M1120" t="str">
        <f>CONCATENATE(LEFT(Master_ventas[[#This Row],[ProdUpper]],3),RIGHT(Master_ventas[[#This Row],[Ext-Year]],2),"-",MID(Master_ventas[[#This Row],[Category]],1,1))</f>
        <v>MON23-A</v>
      </c>
      <c r="N1120" t="str">
        <f>MID(Master_ventas[[#This Row],[ProdUpper]],1,3)</f>
        <v>MON</v>
      </c>
      <c r="O1120" t="str">
        <f>UPPER(IF(Master_ventas[[#This Row],[Profit]]&gt;500,"High","Std"))</f>
        <v>STD</v>
      </c>
      <c r="P1120">
        <v>1119</v>
      </c>
    </row>
    <row r="1121" spans="1:16" x14ac:dyDescent="0.3">
      <c r="A1121" s="1">
        <v>45414</v>
      </c>
      <c r="B1121" t="s">
        <v>20</v>
      </c>
      <c r="C1121" t="s">
        <v>11</v>
      </c>
      <c r="D1121" t="s">
        <v>16</v>
      </c>
      <c r="E1121">
        <v>5</v>
      </c>
      <c r="F1121" s="3">
        <v>1245</v>
      </c>
      <c r="G1121" s="2">
        <v>345.84</v>
      </c>
      <c r="H1121">
        <f>Master_ventas[[#This Row],[Profit]]/Master_ventas[[#This Row],[Sales]]</f>
        <v>0.27778313253012044</v>
      </c>
      <c r="I1121">
        <f ca="1">Referencia_Hoy-Master_ventas[[#This Row],[Order Date]]</f>
        <v>909</v>
      </c>
      <c r="J1121" t="str">
        <f>UPPER(Master_ventas[[#This Row],[Product Name]])</f>
        <v>MONITOR</v>
      </c>
      <c r="K1121" t="str">
        <f>UPPER(Master_ventas[[#This Row],[Category]])</f>
        <v>ACCESSORIES</v>
      </c>
      <c r="L1121">
        <f>YEAR(Master_ventas[[#This Row],[Order Date]])</f>
        <v>2024</v>
      </c>
      <c r="M1121" t="str">
        <f>CONCATENATE(LEFT(Master_ventas[[#This Row],[ProdUpper]],3),RIGHT(Master_ventas[[#This Row],[Ext-Year]],2),"-",MID(Master_ventas[[#This Row],[Category]],1,1))</f>
        <v>MON24-A</v>
      </c>
      <c r="N1121" t="str">
        <f>MID(Master_ventas[[#This Row],[ProdUpper]],1,3)</f>
        <v>MON</v>
      </c>
      <c r="O1121" t="str">
        <f>UPPER(IF(Master_ventas[[#This Row],[Profit]]&gt;500,"High","Std"))</f>
        <v>STD</v>
      </c>
      <c r="P1121">
        <v>1120</v>
      </c>
    </row>
    <row r="1122" spans="1:16" x14ac:dyDescent="0.3">
      <c r="A1122" s="1">
        <v>44592</v>
      </c>
      <c r="B1122" t="s">
        <v>13</v>
      </c>
      <c r="C1122" t="s">
        <v>14</v>
      </c>
      <c r="D1122" t="s">
        <v>15</v>
      </c>
      <c r="E1122">
        <v>4</v>
      </c>
      <c r="F1122" s="3">
        <v>1252</v>
      </c>
      <c r="G1122" s="2">
        <v>326.69</v>
      </c>
      <c r="H1122">
        <f>Master_ventas[[#This Row],[Profit]]/Master_ventas[[#This Row],[Sales]]</f>
        <v>0.26093450479233227</v>
      </c>
      <c r="I1122">
        <f ca="1">Referencia_Hoy-Master_ventas[[#This Row],[Order Date]]</f>
        <v>1731</v>
      </c>
      <c r="J1122" t="str">
        <f>UPPER(Master_ventas[[#This Row],[Product Name]])</f>
        <v>TABLET</v>
      </c>
      <c r="K1122" t="str">
        <f>UPPER(Master_ventas[[#This Row],[Category]])</f>
        <v>ELECTRONICS</v>
      </c>
      <c r="L1122">
        <f>YEAR(Master_ventas[[#This Row],[Order Date]])</f>
        <v>2022</v>
      </c>
      <c r="M1122" t="str">
        <f>CONCATENATE(LEFT(Master_ventas[[#This Row],[ProdUpper]],3),RIGHT(Master_ventas[[#This Row],[Ext-Year]],2),"-",MID(Master_ventas[[#This Row],[Category]],1,1))</f>
        <v>TAB22-E</v>
      </c>
      <c r="N1122" t="str">
        <f>MID(Master_ventas[[#This Row],[ProdUpper]],1,3)</f>
        <v>TAB</v>
      </c>
      <c r="O1122" t="str">
        <f>UPPER(IF(Master_ventas[[#This Row],[Profit]]&gt;500,"High","Std"))</f>
        <v>STD</v>
      </c>
      <c r="P1122">
        <v>1121</v>
      </c>
    </row>
    <row r="1123" spans="1:16" x14ac:dyDescent="0.3">
      <c r="A1123" s="1">
        <v>45447</v>
      </c>
      <c r="B1123" t="s">
        <v>17</v>
      </c>
      <c r="C1123" t="s">
        <v>14</v>
      </c>
      <c r="D1123" t="s">
        <v>9</v>
      </c>
      <c r="E1123">
        <v>9</v>
      </c>
      <c r="F1123" s="3">
        <v>4959</v>
      </c>
      <c r="G1123" s="2">
        <v>479.28</v>
      </c>
      <c r="H1123">
        <f>Master_ventas[[#This Row],[Profit]]/Master_ventas[[#This Row],[Sales]]</f>
        <v>9.6648517846339987E-2</v>
      </c>
      <c r="I1123">
        <f ca="1">Referencia_Hoy-Master_ventas[[#This Row],[Order Date]]</f>
        <v>876</v>
      </c>
      <c r="J1123" t="str">
        <f>UPPER(Master_ventas[[#This Row],[Product Name]])</f>
        <v>CAMERA</v>
      </c>
      <c r="K1123" t="str">
        <f>UPPER(Master_ventas[[#This Row],[Category]])</f>
        <v>ELECTRONICS</v>
      </c>
      <c r="L1123">
        <f>YEAR(Master_ventas[[#This Row],[Order Date]])</f>
        <v>2024</v>
      </c>
      <c r="M1123" t="str">
        <f>CONCATENATE(LEFT(Master_ventas[[#This Row],[ProdUpper]],3),RIGHT(Master_ventas[[#This Row],[Ext-Year]],2),"-",MID(Master_ventas[[#This Row],[Category]],1,1))</f>
        <v>CAM24-E</v>
      </c>
      <c r="N1123" t="str">
        <f>MID(Master_ventas[[#This Row],[ProdUpper]],1,3)</f>
        <v>CAM</v>
      </c>
      <c r="O1123" t="str">
        <f>UPPER(IF(Master_ventas[[#This Row],[Profit]]&gt;500,"High","Std"))</f>
        <v>STD</v>
      </c>
      <c r="P1123">
        <v>1122</v>
      </c>
    </row>
    <row r="1124" spans="1:16" x14ac:dyDescent="0.3">
      <c r="A1124" s="1">
        <v>44973</v>
      </c>
      <c r="B1124" t="s">
        <v>20</v>
      </c>
      <c r="C1124" t="s">
        <v>11</v>
      </c>
      <c r="D1124" t="s">
        <v>16</v>
      </c>
      <c r="E1124">
        <v>7</v>
      </c>
      <c r="F1124" s="3">
        <v>8162</v>
      </c>
      <c r="G1124" s="2">
        <v>443.81</v>
      </c>
      <c r="H1124">
        <f>Master_ventas[[#This Row],[Profit]]/Master_ventas[[#This Row],[Sales]]</f>
        <v>5.4375153148738052E-2</v>
      </c>
      <c r="I1124">
        <f ca="1">Referencia_Hoy-Master_ventas[[#This Row],[Order Date]]</f>
        <v>1350</v>
      </c>
      <c r="J1124" t="str">
        <f>UPPER(Master_ventas[[#This Row],[Product Name]])</f>
        <v>MONITOR</v>
      </c>
      <c r="K1124" t="str">
        <f>UPPER(Master_ventas[[#This Row],[Category]])</f>
        <v>ACCESSORIES</v>
      </c>
      <c r="L1124">
        <f>YEAR(Master_ventas[[#This Row],[Order Date]])</f>
        <v>2023</v>
      </c>
      <c r="M1124" t="str">
        <f>CONCATENATE(LEFT(Master_ventas[[#This Row],[ProdUpper]],3),RIGHT(Master_ventas[[#This Row],[Ext-Year]],2),"-",MID(Master_ventas[[#This Row],[Category]],1,1))</f>
        <v>MON23-A</v>
      </c>
      <c r="N1124" t="str">
        <f>MID(Master_ventas[[#This Row],[ProdUpper]],1,3)</f>
        <v>MON</v>
      </c>
      <c r="O1124" t="str">
        <f>UPPER(IF(Master_ventas[[#This Row],[Profit]]&gt;500,"High","Std"))</f>
        <v>STD</v>
      </c>
      <c r="P1124">
        <v>1123</v>
      </c>
    </row>
    <row r="1125" spans="1:16" x14ac:dyDescent="0.3">
      <c r="A1125" s="1">
        <v>45072</v>
      </c>
      <c r="B1125" t="s">
        <v>20</v>
      </c>
      <c r="C1125" t="s">
        <v>11</v>
      </c>
      <c r="D1125" t="s">
        <v>12</v>
      </c>
      <c r="E1125">
        <v>5</v>
      </c>
      <c r="F1125" s="3">
        <v>1370</v>
      </c>
      <c r="G1125" s="2">
        <v>253.92</v>
      </c>
      <c r="H1125">
        <f>Master_ventas[[#This Row],[Profit]]/Master_ventas[[#This Row],[Sales]]</f>
        <v>0.18534306569343065</v>
      </c>
      <c r="I1125">
        <f ca="1">Referencia_Hoy-Master_ventas[[#This Row],[Order Date]]</f>
        <v>1251</v>
      </c>
      <c r="J1125" t="str">
        <f>UPPER(Master_ventas[[#This Row],[Product Name]])</f>
        <v>MONITOR</v>
      </c>
      <c r="K1125" t="str">
        <f>UPPER(Master_ventas[[#This Row],[Category]])</f>
        <v>ACCESSORIES</v>
      </c>
      <c r="L1125">
        <f>YEAR(Master_ventas[[#This Row],[Order Date]])</f>
        <v>2023</v>
      </c>
      <c r="M1125" t="str">
        <f>CONCATENATE(LEFT(Master_ventas[[#This Row],[ProdUpper]],3),RIGHT(Master_ventas[[#This Row],[Ext-Year]],2),"-",MID(Master_ventas[[#This Row],[Category]],1,1))</f>
        <v>MON23-A</v>
      </c>
      <c r="N1125" t="str">
        <f>MID(Master_ventas[[#This Row],[ProdUpper]],1,3)</f>
        <v>MON</v>
      </c>
      <c r="O1125" t="str">
        <f>UPPER(IF(Master_ventas[[#This Row],[Profit]]&gt;500,"High","Std"))</f>
        <v>STD</v>
      </c>
      <c r="P1125">
        <v>1124</v>
      </c>
    </row>
    <row r="1126" spans="1:16" x14ac:dyDescent="0.3">
      <c r="A1126" s="1">
        <v>45288</v>
      </c>
      <c r="B1126" t="s">
        <v>13</v>
      </c>
      <c r="C1126" t="s">
        <v>14</v>
      </c>
      <c r="D1126" t="s">
        <v>9</v>
      </c>
      <c r="E1126">
        <v>3</v>
      </c>
      <c r="F1126" s="3">
        <v>3111</v>
      </c>
      <c r="G1126" s="2">
        <v>607.23</v>
      </c>
      <c r="H1126">
        <f>Master_ventas[[#This Row],[Profit]]/Master_ventas[[#This Row],[Sales]]</f>
        <v>0.19518804243008681</v>
      </c>
      <c r="I1126">
        <f ca="1">Referencia_Hoy-Master_ventas[[#This Row],[Order Date]]</f>
        <v>1035</v>
      </c>
      <c r="J1126" t="str">
        <f>UPPER(Master_ventas[[#This Row],[Product Name]])</f>
        <v>TABLET</v>
      </c>
      <c r="K1126" t="str">
        <f>UPPER(Master_ventas[[#This Row],[Category]])</f>
        <v>ELECTRONICS</v>
      </c>
      <c r="L1126">
        <f>YEAR(Master_ventas[[#This Row],[Order Date]])</f>
        <v>2023</v>
      </c>
      <c r="M1126" t="str">
        <f>CONCATENATE(LEFT(Master_ventas[[#This Row],[ProdUpper]],3),RIGHT(Master_ventas[[#This Row],[Ext-Year]],2),"-",MID(Master_ventas[[#This Row],[Category]],1,1))</f>
        <v>TAB23-E</v>
      </c>
      <c r="N1126" t="str">
        <f>MID(Master_ventas[[#This Row],[ProdUpper]],1,3)</f>
        <v>TAB</v>
      </c>
      <c r="O1126" t="str">
        <f>UPPER(IF(Master_ventas[[#This Row],[Profit]]&gt;500,"High","Std"))</f>
        <v>HIGH</v>
      </c>
      <c r="P1126">
        <v>1125</v>
      </c>
    </row>
    <row r="1127" spans="1:16" x14ac:dyDescent="0.3">
      <c r="A1127" s="1">
        <v>44844</v>
      </c>
      <c r="B1127" t="s">
        <v>10</v>
      </c>
      <c r="C1127" t="s">
        <v>11</v>
      </c>
      <c r="D1127" t="s">
        <v>15</v>
      </c>
      <c r="E1127">
        <v>7</v>
      </c>
      <c r="F1127" s="3">
        <v>7805</v>
      </c>
      <c r="G1127" s="2">
        <v>1078.03</v>
      </c>
      <c r="H1127">
        <f>Master_ventas[[#This Row],[Profit]]/Master_ventas[[#This Row],[Sales]]</f>
        <v>0.13812043561819345</v>
      </c>
      <c r="I1127">
        <f ca="1">Referencia_Hoy-Master_ventas[[#This Row],[Order Date]]</f>
        <v>1479</v>
      </c>
      <c r="J1127" t="str">
        <f>UPPER(Master_ventas[[#This Row],[Product Name]])</f>
        <v>MOUSE</v>
      </c>
      <c r="K1127" t="str">
        <f>UPPER(Master_ventas[[#This Row],[Category]])</f>
        <v>ACCESSORIES</v>
      </c>
      <c r="L1127">
        <f>YEAR(Master_ventas[[#This Row],[Order Date]])</f>
        <v>2022</v>
      </c>
      <c r="M1127" t="str">
        <f>CONCATENATE(LEFT(Master_ventas[[#This Row],[ProdUpper]],3),RIGHT(Master_ventas[[#This Row],[Ext-Year]],2),"-",MID(Master_ventas[[#This Row],[Category]],1,1))</f>
        <v>MOU22-A</v>
      </c>
      <c r="N1127" t="str">
        <f>MID(Master_ventas[[#This Row],[ProdUpper]],1,3)</f>
        <v>MOU</v>
      </c>
      <c r="O1127" t="str">
        <f>UPPER(IF(Master_ventas[[#This Row],[Profit]]&gt;500,"High","Std"))</f>
        <v>HIGH</v>
      </c>
      <c r="P1127">
        <v>1126</v>
      </c>
    </row>
    <row r="1128" spans="1:16" x14ac:dyDescent="0.3">
      <c r="A1128" s="1">
        <v>45403</v>
      </c>
      <c r="B1128" t="s">
        <v>21</v>
      </c>
      <c r="C1128" t="s">
        <v>14</v>
      </c>
      <c r="D1128" t="s">
        <v>15</v>
      </c>
      <c r="E1128">
        <v>9</v>
      </c>
      <c r="F1128" s="3">
        <v>10314</v>
      </c>
      <c r="G1128" s="2">
        <v>2729.6</v>
      </c>
      <c r="H1128">
        <f>Master_ventas[[#This Row],[Profit]]/Master_ventas[[#This Row],[Sales]]</f>
        <v>0.26464999030444053</v>
      </c>
      <c r="I1128">
        <f ca="1">Referencia_Hoy-Master_ventas[[#This Row],[Order Date]]</f>
        <v>920</v>
      </c>
      <c r="J1128" t="str">
        <f>UPPER(Master_ventas[[#This Row],[Product Name]])</f>
        <v>SMARTPHONE</v>
      </c>
      <c r="K1128" t="str">
        <f>UPPER(Master_ventas[[#This Row],[Category]])</f>
        <v>ELECTRONICS</v>
      </c>
      <c r="L1128">
        <f>YEAR(Master_ventas[[#This Row],[Order Date]])</f>
        <v>2024</v>
      </c>
      <c r="M1128" t="str">
        <f>CONCATENATE(LEFT(Master_ventas[[#This Row],[ProdUpper]],3),RIGHT(Master_ventas[[#This Row],[Ext-Year]],2),"-",MID(Master_ventas[[#This Row],[Category]],1,1))</f>
        <v>SMA24-E</v>
      </c>
      <c r="N1128" t="str">
        <f>MID(Master_ventas[[#This Row],[ProdUpper]],1,3)</f>
        <v>SMA</v>
      </c>
      <c r="O1128" t="str">
        <f>UPPER(IF(Master_ventas[[#This Row],[Profit]]&gt;500,"High","Std"))</f>
        <v>HIGH</v>
      </c>
      <c r="P1128">
        <v>1127</v>
      </c>
    </row>
    <row r="1129" spans="1:16" x14ac:dyDescent="0.3">
      <c r="A1129" s="1">
        <v>45198</v>
      </c>
      <c r="B1129" t="s">
        <v>22</v>
      </c>
      <c r="C1129" t="s">
        <v>11</v>
      </c>
      <c r="D1129" t="s">
        <v>15</v>
      </c>
      <c r="E1129">
        <v>9</v>
      </c>
      <c r="F1129" s="3">
        <v>10782</v>
      </c>
      <c r="G1129" s="2">
        <v>2730.14</v>
      </c>
      <c r="H1129">
        <f>Master_ventas[[#This Row],[Profit]]/Master_ventas[[#This Row],[Sales]]</f>
        <v>0.25321276201075865</v>
      </c>
      <c r="I1129">
        <f ca="1">Referencia_Hoy-Master_ventas[[#This Row],[Order Date]]</f>
        <v>1125</v>
      </c>
      <c r="J1129" t="str">
        <f>UPPER(Master_ventas[[#This Row],[Product Name]])</f>
        <v>KEYBOARD</v>
      </c>
      <c r="K1129" t="str">
        <f>UPPER(Master_ventas[[#This Row],[Category]])</f>
        <v>ACCESSORIES</v>
      </c>
      <c r="L1129">
        <f>YEAR(Master_ventas[[#This Row],[Order Date]])</f>
        <v>2023</v>
      </c>
      <c r="M1129" t="str">
        <f>CONCATENATE(LEFT(Master_ventas[[#This Row],[ProdUpper]],3),RIGHT(Master_ventas[[#This Row],[Ext-Year]],2),"-",MID(Master_ventas[[#This Row],[Category]],1,1))</f>
        <v>KEY23-A</v>
      </c>
      <c r="N1129" t="str">
        <f>MID(Master_ventas[[#This Row],[ProdUpper]],1,3)</f>
        <v>KEY</v>
      </c>
      <c r="O1129" t="str">
        <f>UPPER(IF(Master_ventas[[#This Row],[Profit]]&gt;500,"High","Std"))</f>
        <v>HIGH</v>
      </c>
      <c r="P1129">
        <v>1128</v>
      </c>
    </row>
    <row r="1130" spans="1:16" x14ac:dyDescent="0.3">
      <c r="A1130" s="1">
        <v>45587</v>
      </c>
      <c r="B1130" t="s">
        <v>20</v>
      </c>
      <c r="C1130" t="s">
        <v>11</v>
      </c>
      <c r="D1130" t="s">
        <v>16</v>
      </c>
      <c r="E1130">
        <v>5</v>
      </c>
      <c r="F1130" s="3">
        <v>4375</v>
      </c>
      <c r="G1130" s="2">
        <v>987.96</v>
      </c>
      <c r="H1130">
        <f>Master_ventas[[#This Row],[Profit]]/Master_ventas[[#This Row],[Sales]]</f>
        <v>0.22581942857142859</v>
      </c>
      <c r="I1130">
        <f ca="1">Referencia_Hoy-Master_ventas[[#This Row],[Order Date]]</f>
        <v>736</v>
      </c>
      <c r="J1130" t="str">
        <f>UPPER(Master_ventas[[#This Row],[Product Name]])</f>
        <v>MONITOR</v>
      </c>
      <c r="K1130" t="str">
        <f>UPPER(Master_ventas[[#This Row],[Category]])</f>
        <v>ACCESSORIES</v>
      </c>
      <c r="L1130">
        <f>YEAR(Master_ventas[[#This Row],[Order Date]])</f>
        <v>2024</v>
      </c>
      <c r="M1130" t="str">
        <f>CONCATENATE(LEFT(Master_ventas[[#This Row],[ProdUpper]],3),RIGHT(Master_ventas[[#This Row],[Ext-Year]],2),"-",MID(Master_ventas[[#This Row],[Category]],1,1))</f>
        <v>MON24-A</v>
      </c>
      <c r="N1130" t="str">
        <f>MID(Master_ventas[[#This Row],[ProdUpper]],1,3)</f>
        <v>MON</v>
      </c>
      <c r="O1130" t="str">
        <f>UPPER(IF(Master_ventas[[#This Row],[Profit]]&gt;500,"High","Std"))</f>
        <v>HIGH</v>
      </c>
      <c r="P1130">
        <v>1129</v>
      </c>
    </row>
    <row r="1131" spans="1:16" x14ac:dyDescent="0.3">
      <c r="A1131" s="1">
        <v>45138</v>
      </c>
      <c r="B1131" t="s">
        <v>20</v>
      </c>
      <c r="C1131" t="s">
        <v>11</v>
      </c>
      <c r="D1131" t="s">
        <v>9</v>
      </c>
      <c r="E1131">
        <v>5</v>
      </c>
      <c r="F1131" s="3">
        <v>2265</v>
      </c>
      <c r="G1131" s="2">
        <v>595.04999999999995</v>
      </c>
      <c r="H1131">
        <f>Master_ventas[[#This Row],[Profit]]/Master_ventas[[#This Row],[Sales]]</f>
        <v>0.26271523178807943</v>
      </c>
      <c r="I1131">
        <f ca="1">Referencia_Hoy-Master_ventas[[#This Row],[Order Date]]</f>
        <v>1185</v>
      </c>
      <c r="J1131" t="str">
        <f>UPPER(Master_ventas[[#This Row],[Product Name]])</f>
        <v>MONITOR</v>
      </c>
      <c r="K1131" t="str">
        <f>UPPER(Master_ventas[[#This Row],[Category]])</f>
        <v>ACCESSORIES</v>
      </c>
      <c r="L1131">
        <f>YEAR(Master_ventas[[#This Row],[Order Date]])</f>
        <v>2023</v>
      </c>
      <c r="M1131" t="str">
        <f>CONCATENATE(LEFT(Master_ventas[[#This Row],[ProdUpper]],3),RIGHT(Master_ventas[[#This Row],[Ext-Year]],2),"-",MID(Master_ventas[[#This Row],[Category]],1,1))</f>
        <v>MON23-A</v>
      </c>
      <c r="N1131" t="str">
        <f>MID(Master_ventas[[#This Row],[ProdUpper]],1,3)</f>
        <v>MON</v>
      </c>
      <c r="O1131" t="str">
        <f>UPPER(IF(Master_ventas[[#This Row],[Profit]]&gt;500,"High","Std"))</f>
        <v>HIGH</v>
      </c>
      <c r="P1131">
        <v>1130</v>
      </c>
    </row>
    <row r="1132" spans="1:16" x14ac:dyDescent="0.3">
      <c r="A1132" s="1">
        <v>44666</v>
      </c>
      <c r="B1132" t="s">
        <v>23</v>
      </c>
      <c r="C1132" t="s">
        <v>14</v>
      </c>
      <c r="D1132" t="s">
        <v>12</v>
      </c>
      <c r="E1132">
        <v>1</v>
      </c>
      <c r="F1132" s="3">
        <v>166</v>
      </c>
      <c r="G1132" s="2">
        <v>9.69</v>
      </c>
      <c r="H1132">
        <f>Master_ventas[[#This Row],[Profit]]/Master_ventas[[#This Row],[Sales]]</f>
        <v>5.8373493975903613E-2</v>
      </c>
      <c r="I1132">
        <f ca="1">Referencia_Hoy-Master_ventas[[#This Row],[Order Date]]</f>
        <v>1657</v>
      </c>
      <c r="J1132" t="str">
        <f>UPPER(Master_ventas[[#This Row],[Product Name]])</f>
        <v>LAPTOP</v>
      </c>
      <c r="K1132" t="str">
        <f>UPPER(Master_ventas[[#This Row],[Category]])</f>
        <v>ELECTRONICS</v>
      </c>
      <c r="L1132">
        <f>YEAR(Master_ventas[[#This Row],[Order Date]])</f>
        <v>2022</v>
      </c>
      <c r="M1132" t="str">
        <f>CONCATENATE(LEFT(Master_ventas[[#This Row],[ProdUpper]],3),RIGHT(Master_ventas[[#This Row],[Ext-Year]],2),"-",MID(Master_ventas[[#This Row],[Category]],1,1))</f>
        <v>LAP22-E</v>
      </c>
      <c r="N1132" t="str">
        <f>MID(Master_ventas[[#This Row],[ProdUpper]],1,3)</f>
        <v>LAP</v>
      </c>
      <c r="O1132" t="str">
        <f>UPPER(IF(Master_ventas[[#This Row],[Profit]]&gt;500,"High","Std"))</f>
        <v>STD</v>
      </c>
      <c r="P1132">
        <v>1131</v>
      </c>
    </row>
    <row r="1133" spans="1:16" x14ac:dyDescent="0.3">
      <c r="A1133" s="1">
        <v>45406</v>
      </c>
      <c r="B1133" t="s">
        <v>18</v>
      </c>
      <c r="C1133" t="s">
        <v>11</v>
      </c>
      <c r="D1133" t="s">
        <v>9</v>
      </c>
      <c r="E1133">
        <v>7</v>
      </c>
      <c r="F1133" s="3">
        <v>7217</v>
      </c>
      <c r="G1133" s="2">
        <v>1481.7</v>
      </c>
      <c r="H1133">
        <f>Master_ventas[[#This Row],[Profit]]/Master_ventas[[#This Row],[Sales]]</f>
        <v>0.2053069142302896</v>
      </c>
      <c r="I1133">
        <f ca="1">Referencia_Hoy-Master_ventas[[#This Row],[Order Date]]</f>
        <v>917</v>
      </c>
      <c r="J1133" t="str">
        <f>UPPER(Master_ventas[[#This Row],[Product Name]])</f>
        <v>HEADPHONES</v>
      </c>
      <c r="K1133" t="str">
        <f>UPPER(Master_ventas[[#This Row],[Category]])</f>
        <v>ACCESSORIES</v>
      </c>
      <c r="L1133">
        <f>YEAR(Master_ventas[[#This Row],[Order Date]])</f>
        <v>2024</v>
      </c>
      <c r="M1133" t="str">
        <f>CONCATENATE(LEFT(Master_ventas[[#This Row],[ProdUpper]],3),RIGHT(Master_ventas[[#This Row],[Ext-Year]],2),"-",MID(Master_ventas[[#This Row],[Category]],1,1))</f>
        <v>HEA24-A</v>
      </c>
      <c r="N1133" t="str">
        <f>MID(Master_ventas[[#This Row],[ProdUpper]],1,3)</f>
        <v>HEA</v>
      </c>
      <c r="O1133" t="str">
        <f>UPPER(IF(Master_ventas[[#This Row],[Profit]]&gt;500,"High","Std"))</f>
        <v>HIGH</v>
      </c>
      <c r="P1133">
        <v>1132</v>
      </c>
    </row>
    <row r="1134" spans="1:16" x14ac:dyDescent="0.3">
      <c r="A1134" s="1">
        <v>44577</v>
      </c>
      <c r="B1134" t="s">
        <v>13</v>
      </c>
      <c r="C1134" t="s">
        <v>14</v>
      </c>
      <c r="D1134" t="s">
        <v>12</v>
      </c>
      <c r="E1134">
        <v>3</v>
      </c>
      <c r="F1134" s="3">
        <v>1767</v>
      </c>
      <c r="G1134" s="2">
        <v>186.54</v>
      </c>
      <c r="H1134">
        <f>Master_ventas[[#This Row],[Profit]]/Master_ventas[[#This Row],[Sales]]</f>
        <v>0.10556876061120543</v>
      </c>
      <c r="I1134">
        <f ca="1">Referencia_Hoy-Master_ventas[[#This Row],[Order Date]]</f>
        <v>1746</v>
      </c>
      <c r="J1134" t="str">
        <f>UPPER(Master_ventas[[#This Row],[Product Name]])</f>
        <v>TABLET</v>
      </c>
      <c r="K1134" t="str">
        <f>UPPER(Master_ventas[[#This Row],[Category]])</f>
        <v>ELECTRONICS</v>
      </c>
      <c r="L1134">
        <f>YEAR(Master_ventas[[#This Row],[Order Date]])</f>
        <v>2022</v>
      </c>
      <c r="M1134" t="str">
        <f>CONCATENATE(LEFT(Master_ventas[[#This Row],[ProdUpper]],3),RIGHT(Master_ventas[[#This Row],[Ext-Year]],2),"-",MID(Master_ventas[[#This Row],[Category]],1,1))</f>
        <v>TAB22-E</v>
      </c>
      <c r="N1134" t="str">
        <f>MID(Master_ventas[[#This Row],[ProdUpper]],1,3)</f>
        <v>TAB</v>
      </c>
      <c r="O1134" t="str">
        <f>UPPER(IF(Master_ventas[[#This Row],[Profit]]&gt;500,"High","Std"))</f>
        <v>STD</v>
      </c>
      <c r="P1134">
        <v>1133</v>
      </c>
    </row>
    <row r="1135" spans="1:16" x14ac:dyDescent="0.3">
      <c r="A1135" s="1">
        <v>45266</v>
      </c>
      <c r="B1135" t="s">
        <v>23</v>
      </c>
      <c r="C1135" t="s">
        <v>14</v>
      </c>
      <c r="D1135" t="s">
        <v>12</v>
      </c>
      <c r="E1135">
        <v>3</v>
      </c>
      <c r="F1135" s="3">
        <v>2883</v>
      </c>
      <c r="G1135" s="2">
        <v>557.80999999999995</v>
      </c>
      <c r="H1135">
        <f>Master_ventas[[#This Row],[Profit]]/Master_ventas[[#This Row],[Sales]]</f>
        <v>0.19348248352410682</v>
      </c>
      <c r="I1135">
        <f ca="1">Referencia_Hoy-Master_ventas[[#This Row],[Order Date]]</f>
        <v>1057</v>
      </c>
      <c r="J1135" t="str">
        <f>UPPER(Master_ventas[[#This Row],[Product Name]])</f>
        <v>LAPTOP</v>
      </c>
      <c r="K1135" t="str">
        <f>UPPER(Master_ventas[[#This Row],[Category]])</f>
        <v>ELECTRONICS</v>
      </c>
      <c r="L1135">
        <f>YEAR(Master_ventas[[#This Row],[Order Date]])</f>
        <v>2023</v>
      </c>
      <c r="M1135" t="str">
        <f>CONCATENATE(LEFT(Master_ventas[[#This Row],[ProdUpper]],3),RIGHT(Master_ventas[[#This Row],[Ext-Year]],2),"-",MID(Master_ventas[[#This Row],[Category]],1,1))</f>
        <v>LAP23-E</v>
      </c>
      <c r="N1135" t="str">
        <f>MID(Master_ventas[[#This Row],[ProdUpper]],1,3)</f>
        <v>LAP</v>
      </c>
      <c r="O1135" t="str">
        <f>UPPER(IF(Master_ventas[[#This Row],[Profit]]&gt;500,"High","Std"))</f>
        <v>HIGH</v>
      </c>
      <c r="P1135">
        <v>1134</v>
      </c>
    </row>
    <row r="1136" spans="1:16" x14ac:dyDescent="0.3">
      <c r="A1136" s="1">
        <v>45539</v>
      </c>
      <c r="B1136" t="s">
        <v>19</v>
      </c>
      <c r="C1136" t="s">
        <v>14</v>
      </c>
      <c r="D1136" t="s">
        <v>15</v>
      </c>
      <c r="E1136">
        <v>3</v>
      </c>
      <c r="F1136" s="3">
        <v>1338</v>
      </c>
      <c r="G1136" s="2">
        <v>396.08</v>
      </c>
      <c r="H1136">
        <f>Master_ventas[[#This Row],[Profit]]/Master_ventas[[#This Row],[Sales]]</f>
        <v>0.29602391629297459</v>
      </c>
      <c r="I1136">
        <f ca="1">Referencia_Hoy-Master_ventas[[#This Row],[Order Date]]</f>
        <v>784</v>
      </c>
      <c r="J1136" t="str">
        <f>UPPER(Master_ventas[[#This Row],[Product Name]])</f>
        <v>SMARTWATCH</v>
      </c>
      <c r="K1136" t="str">
        <f>UPPER(Master_ventas[[#This Row],[Category]])</f>
        <v>ELECTRONICS</v>
      </c>
      <c r="L1136">
        <f>YEAR(Master_ventas[[#This Row],[Order Date]])</f>
        <v>2024</v>
      </c>
      <c r="M1136" t="str">
        <f>CONCATENATE(LEFT(Master_ventas[[#This Row],[ProdUpper]],3),RIGHT(Master_ventas[[#This Row],[Ext-Year]],2),"-",MID(Master_ventas[[#This Row],[Category]],1,1))</f>
        <v>SMA24-E</v>
      </c>
      <c r="N1136" t="str">
        <f>MID(Master_ventas[[#This Row],[ProdUpper]],1,3)</f>
        <v>SMA</v>
      </c>
      <c r="O1136" t="str">
        <f>UPPER(IF(Master_ventas[[#This Row],[Profit]]&gt;500,"High","Std"))</f>
        <v>STD</v>
      </c>
      <c r="P1136">
        <v>1135</v>
      </c>
    </row>
    <row r="1137" spans="1:16" x14ac:dyDescent="0.3">
      <c r="A1137" s="1">
        <v>45528</v>
      </c>
      <c r="B1137" t="s">
        <v>7</v>
      </c>
      <c r="C1137" t="s">
        <v>8</v>
      </c>
      <c r="D1137" t="s">
        <v>12</v>
      </c>
      <c r="E1137">
        <v>9</v>
      </c>
      <c r="F1137" s="3">
        <v>9459</v>
      </c>
      <c r="G1137" s="2">
        <v>604.05999999999995</v>
      </c>
      <c r="H1137">
        <f>Master_ventas[[#This Row],[Profit]]/Master_ventas[[#This Row],[Sales]]</f>
        <v>6.3860873242414629E-2</v>
      </c>
      <c r="I1137">
        <f ca="1">Referencia_Hoy-Master_ventas[[#This Row],[Order Date]]</f>
        <v>795</v>
      </c>
      <c r="J1137" t="str">
        <f>UPPER(Master_ventas[[#This Row],[Product Name]])</f>
        <v>PRINTER</v>
      </c>
      <c r="K1137" t="str">
        <f>UPPER(Master_ventas[[#This Row],[Category]])</f>
        <v>OFFICE</v>
      </c>
      <c r="L1137">
        <f>YEAR(Master_ventas[[#This Row],[Order Date]])</f>
        <v>2024</v>
      </c>
      <c r="M1137" t="str">
        <f>CONCATENATE(LEFT(Master_ventas[[#This Row],[ProdUpper]],3),RIGHT(Master_ventas[[#This Row],[Ext-Year]],2),"-",MID(Master_ventas[[#This Row],[Category]],1,1))</f>
        <v>PRI24-O</v>
      </c>
      <c r="N1137" t="str">
        <f>MID(Master_ventas[[#This Row],[ProdUpper]],1,3)</f>
        <v>PRI</v>
      </c>
      <c r="O1137" t="str">
        <f>UPPER(IF(Master_ventas[[#This Row],[Profit]]&gt;500,"High","Std"))</f>
        <v>HIGH</v>
      </c>
      <c r="P1137">
        <v>1136</v>
      </c>
    </row>
    <row r="1138" spans="1:16" x14ac:dyDescent="0.3">
      <c r="A1138" s="1">
        <v>44722</v>
      </c>
      <c r="B1138" t="s">
        <v>7</v>
      </c>
      <c r="C1138" t="s">
        <v>8</v>
      </c>
      <c r="D1138" t="s">
        <v>9</v>
      </c>
      <c r="E1138">
        <v>3</v>
      </c>
      <c r="F1138" s="3">
        <v>168</v>
      </c>
      <c r="G1138" s="2">
        <v>45.31</v>
      </c>
      <c r="H1138">
        <f>Master_ventas[[#This Row],[Profit]]/Master_ventas[[#This Row],[Sales]]</f>
        <v>0.26970238095238097</v>
      </c>
      <c r="I1138">
        <f ca="1">Referencia_Hoy-Master_ventas[[#This Row],[Order Date]]</f>
        <v>1601</v>
      </c>
      <c r="J1138" t="str">
        <f>UPPER(Master_ventas[[#This Row],[Product Name]])</f>
        <v>PRINTER</v>
      </c>
      <c r="K1138" t="str">
        <f>UPPER(Master_ventas[[#This Row],[Category]])</f>
        <v>OFFICE</v>
      </c>
      <c r="L1138">
        <f>YEAR(Master_ventas[[#This Row],[Order Date]])</f>
        <v>2022</v>
      </c>
      <c r="M1138" t="str">
        <f>CONCATENATE(LEFT(Master_ventas[[#This Row],[ProdUpper]],3),RIGHT(Master_ventas[[#This Row],[Ext-Year]],2),"-",MID(Master_ventas[[#This Row],[Category]],1,1))</f>
        <v>PRI22-O</v>
      </c>
      <c r="N1138" t="str">
        <f>MID(Master_ventas[[#This Row],[ProdUpper]],1,3)</f>
        <v>PRI</v>
      </c>
      <c r="O1138" t="str">
        <f>UPPER(IF(Master_ventas[[#This Row],[Profit]]&gt;500,"High","Std"))</f>
        <v>STD</v>
      </c>
      <c r="P1138">
        <v>1137</v>
      </c>
    </row>
    <row r="1139" spans="1:16" x14ac:dyDescent="0.3">
      <c r="A1139" s="1">
        <v>44837</v>
      </c>
      <c r="B1139" t="s">
        <v>21</v>
      </c>
      <c r="C1139" t="s">
        <v>14</v>
      </c>
      <c r="D1139" t="s">
        <v>15</v>
      </c>
      <c r="E1139">
        <v>9</v>
      </c>
      <c r="F1139" s="3">
        <v>4536</v>
      </c>
      <c r="G1139" s="2">
        <v>479.78</v>
      </c>
      <c r="H1139">
        <f>Master_ventas[[#This Row],[Profit]]/Master_ventas[[#This Row],[Sales]]</f>
        <v>0.1057716049382716</v>
      </c>
      <c r="I1139">
        <f ca="1">Referencia_Hoy-Master_ventas[[#This Row],[Order Date]]</f>
        <v>1486</v>
      </c>
      <c r="J1139" t="str">
        <f>UPPER(Master_ventas[[#This Row],[Product Name]])</f>
        <v>SMARTPHONE</v>
      </c>
      <c r="K1139" t="str">
        <f>UPPER(Master_ventas[[#This Row],[Category]])</f>
        <v>ELECTRONICS</v>
      </c>
      <c r="L1139">
        <f>YEAR(Master_ventas[[#This Row],[Order Date]])</f>
        <v>2022</v>
      </c>
      <c r="M1139" t="str">
        <f>CONCATENATE(LEFT(Master_ventas[[#This Row],[ProdUpper]],3),RIGHT(Master_ventas[[#This Row],[Ext-Year]],2),"-",MID(Master_ventas[[#This Row],[Category]],1,1))</f>
        <v>SMA22-E</v>
      </c>
      <c r="N1139" t="str">
        <f>MID(Master_ventas[[#This Row],[ProdUpper]],1,3)</f>
        <v>SMA</v>
      </c>
      <c r="O1139" t="str">
        <f>UPPER(IF(Master_ventas[[#This Row],[Profit]]&gt;500,"High","Std"))</f>
        <v>STD</v>
      </c>
      <c r="P1139">
        <v>1138</v>
      </c>
    </row>
    <row r="1140" spans="1:16" x14ac:dyDescent="0.3">
      <c r="A1140" s="1">
        <v>44617</v>
      </c>
      <c r="B1140" t="s">
        <v>10</v>
      </c>
      <c r="C1140" t="s">
        <v>11</v>
      </c>
      <c r="D1140" t="s">
        <v>12</v>
      </c>
      <c r="E1140">
        <v>4</v>
      </c>
      <c r="F1140" s="3">
        <v>4404</v>
      </c>
      <c r="G1140" s="2">
        <v>793.7</v>
      </c>
      <c r="H1140">
        <f>Master_ventas[[#This Row],[Profit]]/Master_ventas[[#This Row],[Sales]]</f>
        <v>0.18022252497729338</v>
      </c>
      <c r="I1140">
        <f ca="1">Referencia_Hoy-Master_ventas[[#This Row],[Order Date]]</f>
        <v>1706</v>
      </c>
      <c r="J1140" t="str">
        <f>UPPER(Master_ventas[[#This Row],[Product Name]])</f>
        <v>MOUSE</v>
      </c>
      <c r="K1140" t="str">
        <f>UPPER(Master_ventas[[#This Row],[Category]])</f>
        <v>ACCESSORIES</v>
      </c>
      <c r="L1140">
        <f>YEAR(Master_ventas[[#This Row],[Order Date]])</f>
        <v>2022</v>
      </c>
      <c r="M1140" t="str">
        <f>CONCATENATE(LEFT(Master_ventas[[#This Row],[ProdUpper]],3),RIGHT(Master_ventas[[#This Row],[Ext-Year]],2),"-",MID(Master_ventas[[#This Row],[Category]],1,1))</f>
        <v>MOU22-A</v>
      </c>
      <c r="N1140" t="str">
        <f>MID(Master_ventas[[#This Row],[ProdUpper]],1,3)</f>
        <v>MOU</v>
      </c>
      <c r="O1140" t="str">
        <f>UPPER(IF(Master_ventas[[#This Row],[Profit]]&gt;500,"High","Std"))</f>
        <v>HIGH</v>
      </c>
      <c r="P1140">
        <v>1139</v>
      </c>
    </row>
    <row r="1141" spans="1:16" x14ac:dyDescent="0.3">
      <c r="A1141" s="1">
        <v>45156</v>
      </c>
      <c r="B1141" t="s">
        <v>20</v>
      </c>
      <c r="C1141" t="s">
        <v>11</v>
      </c>
      <c r="D1141" t="s">
        <v>9</v>
      </c>
      <c r="E1141">
        <v>4</v>
      </c>
      <c r="F1141" s="3">
        <v>1952</v>
      </c>
      <c r="G1141" s="2">
        <v>148.66999999999999</v>
      </c>
      <c r="H1141">
        <f>Master_ventas[[#This Row],[Profit]]/Master_ventas[[#This Row],[Sales]]</f>
        <v>7.6162909836065565E-2</v>
      </c>
      <c r="I1141">
        <f ca="1">Referencia_Hoy-Master_ventas[[#This Row],[Order Date]]</f>
        <v>1167</v>
      </c>
      <c r="J1141" t="str">
        <f>UPPER(Master_ventas[[#This Row],[Product Name]])</f>
        <v>MONITOR</v>
      </c>
      <c r="K1141" t="str">
        <f>UPPER(Master_ventas[[#This Row],[Category]])</f>
        <v>ACCESSORIES</v>
      </c>
      <c r="L1141">
        <f>YEAR(Master_ventas[[#This Row],[Order Date]])</f>
        <v>2023</v>
      </c>
      <c r="M1141" t="str">
        <f>CONCATENATE(LEFT(Master_ventas[[#This Row],[ProdUpper]],3),RIGHT(Master_ventas[[#This Row],[Ext-Year]],2),"-",MID(Master_ventas[[#This Row],[Category]],1,1))</f>
        <v>MON23-A</v>
      </c>
      <c r="N1141" t="str">
        <f>MID(Master_ventas[[#This Row],[ProdUpper]],1,3)</f>
        <v>MON</v>
      </c>
      <c r="O1141" t="str">
        <f>UPPER(IF(Master_ventas[[#This Row],[Profit]]&gt;500,"High","Std"))</f>
        <v>STD</v>
      </c>
      <c r="P1141">
        <v>1140</v>
      </c>
    </row>
    <row r="1142" spans="1:16" x14ac:dyDescent="0.3">
      <c r="A1142" s="1">
        <v>44918</v>
      </c>
      <c r="B1142" t="s">
        <v>10</v>
      </c>
      <c r="C1142" t="s">
        <v>11</v>
      </c>
      <c r="D1142" t="s">
        <v>9</v>
      </c>
      <c r="E1142">
        <v>3</v>
      </c>
      <c r="F1142" s="3">
        <v>2004</v>
      </c>
      <c r="G1142" s="2">
        <v>467.76</v>
      </c>
      <c r="H1142">
        <f>Master_ventas[[#This Row],[Profit]]/Master_ventas[[#This Row],[Sales]]</f>
        <v>0.23341317365269459</v>
      </c>
      <c r="I1142">
        <f ca="1">Referencia_Hoy-Master_ventas[[#This Row],[Order Date]]</f>
        <v>1405</v>
      </c>
      <c r="J1142" t="str">
        <f>UPPER(Master_ventas[[#This Row],[Product Name]])</f>
        <v>MOUSE</v>
      </c>
      <c r="K1142" t="str">
        <f>UPPER(Master_ventas[[#This Row],[Category]])</f>
        <v>ACCESSORIES</v>
      </c>
      <c r="L1142">
        <f>YEAR(Master_ventas[[#This Row],[Order Date]])</f>
        <v>2022</v>
      </c>
      <c r="M1142" t="str">
        <f>CONCATENATE(LEFT(Master_ventas[[#This Row],[ProdUpper]],3),RIGHT(Master_ventas[[#This Row],[Ext-Year]],2),"-",MID(Master_ventas[[#This Row],[Category]],1,1))</f>
        <v>MOU22-A</v>
      </c>
      <c r="N1142" t="str">
        <f>MID(Master_ventas[[#This Row],[ProdUpper]],1,3)</f>
        <v>MOU</v>
      </c>
      <c r="O1142" t="str">
        <f>UPPER(IF(Master_ventas[[#This Row],[Profit]]&gt;500,"High","Std"))</f>
        <v>STD</v>
      </c>
      <c r="P1142">
        <v>1141</v>
      </c>
    </row>
    <row r="1143" spans="1:16" x14ac:dyDescent="0.3">
      <c r="A1143" s="1">
        <v>44742</v>
      </c>
      <c r="B1143" t="s">
        <v>22</v>
      </c>
      <c r="C1143" t="s">
        <v>11</v>
      </c>
      <c r="D1143" t="s">
        <v>15</v>
      </c>
      <c r="E1143">
        <v>4</v>
      </c>
      <c r="F1143" s="3">
        <v>468</v>
      </c>
      <c r="G1143" s="2">
        <v>131.47999999999999</v>
      </c>
      <c r="H1143">
        <f>Master_ventas[[#This Row],[Profit]]/Master_ventas[[#This Row],[Sales]]</f>
        <v>0.28094017094017093</v>
      </c>
      <c r="I1143">
        <f ca="1">Referencia_Hoy-Master_ventas[[#This Row],[Order Date]]</f>
        <v>1581</v>
      </c>
      <c r="J1143" t="str">
        <f>UPPER(Master_ventas[[#This Row],[Product Name]])</f>
        <v>KEYBOARD</v>
      </c>
      <c r="K1143" t="str">
        <f>UPPER(Master_ventas[[#This Row],[Category]])</f>
        <v>ACCESSORIES</v>
      </c>
      <c r="L1143">
        <f>YEAR(Master_ventas[[#This Row],[Order Date]])</f>
        <v>2022</v>
      </c>
      <c r="M1143" t="str">
        <f>CONCATENATE(LEFT(Master_ventas[[#This Row],[ProdUpper]],3),RIGHT(Master_ventas[[#This Row],[Ext-Year]],2),"-",MID(Master_ventas[[#This Row],[Category]],1,1))</f>
        <v>KEY22-A</v>
      </c>
      <c r="N1143" t="str">
        <f>MID(Master_ventas[[#This Row],[ProdUpper]],1,3)</f>
        <v>KEY</v>
      </c>
      <c r="O1143" t="str">
        <f>UPPER(IF(Master_ventas[[#This Row],[Profit]]&gt;500,"High","Std"))</f>
        <v>STD</v>
      </c>
      <c r="P1143">
        <v>1142</v>
      </c>
    </row>
    <row r="1144" spans="1:16" x14ac:dyDescent="0.3">
      <c r="A1144" s="1">
        <v>45606</v>
      </c>
      <c r="B1144" t="s">
        <v>21</v>
      </c>
      <c r="C1144" t="s">
        <v>14</v>
      </c>
      <c r="D1144" t="s">
        <v>16</v>
      </c>
      <c r="E1144">
        <v>9</v>
      </c>
      <c r="F1144" s="3">
        <v>8667</v>
      </c>
      <c r="G1144" s="2">
        <v>1597.49</v>
      </c>
      <c r="H1144">
        <f>Master_ventas[[#This Row],[Profit]]/Master_ventas[[#This Row],[Sales]]</f>
        <v>0.18431868005076729</v>
      </c>
      <c r="I1144">
        <f ca="1">Referencia_Hoy-Master_ventas[[#This Row],[Order Date]]</f>
        <v>717</v>
      </c>
      <c r="J1144" t="str">
        <f>UPPER(Master_ventas[[#This Row],[Product Name]])</f>
        <v>SMARTPHONE</v>
      </c>
      <c r="K1144" t="str">
        <f>UPPER(Master_ventas[[#This Row],[Category]])</f>
        <v>ELECTRONICS</v>
      </c>
      <c r="L1144">
        <f>YEAR(Master_ventas[[#This Row],[Order Date]])</f>
        <v>2024</v>
      </c>
      <c r="M1144" t="str">
        <f>CONCATENATE(LEFT(Master_ventas[[#This Row],[ProdUpper]],3),RIGHT(Master_ventas[[#This Row],[Ext-Year]],2),"-",MID(Master_ventas[[#This Row],[Category]],1,1))</f>
        <v>SMA24-E</v>
      </c>
      <c r="N1144" t="str">
        <f>MID(Master_ventas[[#This Row],[ProdUpper]],1,3)</f>
        <v>SMA</v>
      </c>
      <c r="O1144" t="str">
        <f>UPPER(IF(Master_ventas[[#This Row],[Profit]]&gt;500,"High","Std"))</f>
        <v>HIGH</v>
      </c>
      <c r="P1144">
        <v>1143</v>
      </c>
    </row>
    <row r="1145" spans="1:16" x14ac:dyDescent="0.3">
      <c r="A1145" s="1">
        <v>45346</v>
      </c>
      <c r="B1145" t="s">
        <v>7</v>
      </c>
      <c r="C1145" t="s">
        <v>8</v>
      </c>
      <c r="D1145" t="s">
        <v>16</v>
      </c>
      <c r="E1145">
        <v>7</v>
      </c>
      <c r="F1145" s="3">
        <v>6097</v>
      </c>
      <c r="G1145" s="2">
        <v>567.32000000000005</v>
      </c>
      <c r="H1145">
        <f>Master_ventas[[#This Row],[Profit]]/Master_ventas[[#This Row],[Sales]]</f>
        <v>9.3049040511727091E-2</v>
      </c>
      <c r="I1145">
        <f ca="1">Referencia_Hoy-Master_ventas[[#This Row],[Order Date]]</f>
        <v>977</v>
      </c>
      <c r="J1145" t="str">
        <f>UPPER(Master_ventas[[#This Row],[Product Name]])</f>
        <v>PRINTER</v>
      </c>
      <c r="K1145" t="str">
        <f>UPPER(Master_ventas[[#This Row],[Category]])</f>
        <v>OFFICE</v>
      </c>
      <c r="L1145">
        <f>YEAR(Master_ventas[[#This Row],[Order Date]])</f>
        <v>2024</v>
      </c>
      <c r="M1145" t="str">
        <f>CONCATENATE(LEFT(Master_ventas[[#This Row],[ProdUpper]],3),RIGHT(Master_ventas[[#This Row],[Ext-Year]],2),"-",MID(Master_ventas[[#This Row],[Category]],1,1))</f>
        <v>PRI24-O</v>
      </c>
      <c r="N1145" t="str">
        <f>MID(Master_ventas[[#This Row],[ProdUpper]],1,3)</f>
        <v>PRI</v>
      </c>
      <c r="O1145" t="str">
        <f>UPPER(IF(Master_ventas[[#This Row],[Profit]]&gt;500,"High","Std"))</f>
        <v>HIGH</v>
      </c>
      <c r="P1145">
        <v>1144</v>
      </c>
    </row>
    <row r="1146" spans="1:16" x14ac:dyDescent="0.3">
      <c r="A1146" s="1">
        <v>44662</v>
      </c>
      <c r="B1146" t="s">
        <v>18</v>
      </c>
      <c r="C1146" t="s">
        <v>11</v>
      </c>
      <c r="D1146" t="s">
        <v>15</v>
      </c>
      <c r="E1146">
        <v>9</v>
      </c>
      <c r="F1146" s="3">
        <v>4752</v>
      </c>
      <c r="G1146" s="2">
        <v>1415.65</v>
      </c>
      <c r="H1146">
        <f>Master_ventas[[#This Row],[Profit]]/Master_ventas[[#This Row],[Sales]]</f>
        <v>0.2979061447811448</v>
      </c>
      <c r="I1146">
        <f ca="1">Referencia_Hoy-Master_ventas[[#This Row],[Order Date]]</f>
        <v>1661</v>
      </c>
      <c r="J1146" t="str">
        <f>UPPER(Master_ventas[[#This Row],[Product Name]])</f>
        <v>HEADPHONES</v>
      </c>
      <c r="K1146" t="str">
        <f>UPPER(Master_ventas[[#This Row],[Category]])</f>
        <v>ACCESSORIES</v>
      </c>
      <c r="L1146">
        <f>YEAR(Master_ventas[[#This Row],[Order Date]])</f>
        <v>2022</v>
      </c>
      <c r="M1146" t="str">
        <f>CONCATENATE(LEFT(Master_ventas[[#This Row],[ProdUpper]],3),RIGHT(Master_ventas[[#This Row],[Ext-Year]],2),"-",MID(Master_ventas[[#This Row],[Category]],1,1))</f>
        <v>HEA22-A</v>
      </c>
      <c r="N1146" t="str">
        <f>MID(Master_ventas[[#This Row],[ProdUpper]],1,3)</f>
        <v>HEA</v>
      </c>
      <c r="O1146" t="str">
        <f>UPPER(IF(Master_ventas[[#This Row],[Profit]]&gt;500,"High","Std"))</f>
        <v>HIGH</v>
      </c>
      <c r="P1146">
        <v>1145</v>
      </c>
    </row>
    <row r="1147" spans="1:16" x14ac:dyDescent="0.3">
      <c r="A1147" s="1">
        <v>45056</v>
      </c>
      <c r="B1147" t="s">
        <v>22</v>
      </c>
      <c r="C1147" t="s">
        <v>11</v>
      </c>
      <c r="D1147" t="s">
        <v>12</v>
      </c>
      <c r="E1147">
        <v>1</v>
      </c>
      <c r="F1147" s="3">
        <v>1172</v>
      </c>
      <c r="G1147" s="2">
        <v>124.9</v>
      </c>
      <c r="H1147">
        <f>Master_ventas[[#This Row],[Profit]]/Master_ventas[[#This Row],[Sales]]</f>
        <v>0.10656996587030718</v>
      </c>
      <c r="I1147">
        <f ca="1">Referencia_Hoy-Master_ventas[[#This Row],[Order Date]]</f>
        <v>1267</v>
      </c>
      <c r="J1147" t="str">
        <f>UPPER(Master_ventas[[#This Row],[Product Name]])</f>
        <v>KEYBOARD</v>
      </c>
      <c r="K1147" t="str">
        <f>UPPER(Master_ventas[[#This Row],[Category]])</f>
        <v>ACCESSORIES</v>
      </c>
      <c r="L1147">
        <f>YEAR(Master_ventas[[#This Row],[Order Date]])</f>
        <v>2023</v>
      </c>
      <c r="M1147" t="str">
        <f>CONCATENATE(LEFT(Master_ventas[[#This Row],[ProdUpper]],3),RIGHT(Master_ventas[[#This Row],[Ext-Year]],2),"-",MID(Master_ventas[[#This Row],[Category]],1,1))</f>
        <v>KEY23-A</v>
      </c>
      <c r="N1147" t="str">
        <f>MID(Master_ventas[[#This Row],[ProdUpper]],1,3)</f>
        <v>KEY</v>
      </c>
      <c r="O1147" t="str">
        <f>UPPER(IF(Master_ventas[[#This Row],[Profit]]&gt;500,"High","Std"))</f>
        <v>STD</v>
      </c>
      <c r="P1147">
        <v>1146</v>
      </c>
    </row>
    <row r="1148" spans="1:16" x14ac:dyDescent="0.3">
      <c r="A1148" s="1">
        <v>44701</v>
      </c>
      <c r="B1148" t="s">
        <v>22</v>
      </c>
      <c r="C1148" t="s">
        <v>11</v>
      </c>
      <c r="D1148" t="s">
        <v>9</v>
      </c>
      <c r="E1148">
        <v>2</v>
      </c>
      <c r="F1148" s="3">
        <v>1608</v>
      </c>
      <c r="G1148" s="2">
        <v>170.29</v>
      </c>
      <c r="H1148">
        <f>Master_ventas[[#This Row],[Profit]]/Master_ventas[[#This Row],[Sales]]</f>
        <v>0.10590174129353233</v>
      </c>
      <c r="I1148">
        <f ca="1">Referencia_Hoy-Master_ventas[[#This Row],[Order Date]]</f>
        <v>1622</v>
      </c>
      <c r="J1148" t="str">
        <f>UPPER(Master_ventas[[#This Row],[Product Name]])</f>
        <v>KEYBOARD</v>
      </c>
      <c r="K1148" t="str">
        <f>UPPER(Master_ventas[[#This Row],[Category]])</f>
        <v>ACCESSORIES</v>
      </c>
      <c r="L1148">
        <f>YEAR(Master_ventas[[#This Row],[Order Date]])</f>
        <v>2022</v>
      </c>
      <c r="M1148" t="str">
        <f>CONCATENATE(LEFT(Master_ventas[[#This Row],[ProdUpper]],3),RIGHT(Master_ventas[[#This Row],[Ext-Year]],2),"-",MID(Master_ventas[[#This Row],[Category]],1,1))</f>
        <v>KEY22-A</v>
      </c>
      <c r="N1148" t="str">
        <f>MID(Master_ventas[[#This Row],[ProdUpper]],1,3)</f>
        <v>KEY</v>
      </c>
      <c r="O1148" t="str">
        <f>UPPER(IF(Master_ventas[[#This Row],[Profit]]&gt;500,"High","Std"))</f>
        <v>STD</v>
      </c>
      <c r="P1148">
        <v>1147</v>
      </c>
    </row>
    <row r="1149" spans="1:16" x14ac:dyDescent="0.3">
      <c r="A1149" s="1">
        <v>45067</v>
      </c>
      <c r="B1149" t="s">
        <v>7</v>
      </c>
      <c r="C1149" t="s">
        <v>8</v>
      </c>
      <c r="D1149" t="s">
        <v>15</v>
      </c>
      <c r="E1149">
        <v>7</v>
      </c>
      <c r="F1149" s="3">
        <v>7595</v>
      </c>
      <c r="G1149" s="2">
        <v>969.07</v>
      </c>
      <c r="H1149">
        <f>Master_ventas[[#This Row],[Profit]]/Master_ventas[[#This Row],[Sales]]</f>
        <v>0.12759315339038843</v>
      </c>
      <c r="I1149">
        <f ca="1">Referencia_Hoy-Master_ventas[[#This Row],[Order Date]]</f>
        <v>1256</v>
      </c>
      <c r="J1149" t="str">
        <f>UPPER(Master_ventas[[#This Row],[Product Name]])</f>
        <v>PRINTER</v>
      </c>
      <c r="K1149" t="str">
        <f>UPPER(Master_ventas[[#This Row],[Category]])</f>
        <v>OFFICE</v>
      </c>
      <c r="L1149">
        <f>YEAR(Master_ventas[[#This Row],[Order Date]])</f>
        <v>2023</v>
      </c>
      <c r="M1149" t="str">
        <f>CONCATENATE(LEFT(Master_ventas[[#This Row],[ProdUpper]],3),RIGHT(Master_ventas[[#This Row],[Ext-Year]],2),"-",MID(Master_ventas[[#This Row],[Category]],1,1))</f>
        <v>PRI23-O</v>
      </c>
      <c r="N1149" t="str">
        <f>MID(Master_ventas[[#This Row],[ProdUpper]],1,3)</f>
        <v>PRI</v>
      </c>
      <c r="O1149" t="str">
        <f>UPPER(IF(Master_ventas[[#This Row],[Profit]]&gt;500,"High","Std"))</f>
        <v>HIGH</v>
      </c>
      <c r="P1149">
        <v>1148</v>
      </c>
    </row>
    <row r="1150" spans="1:16" x14ac:dyDescent="0.3">
      <c r="A1150" s="1">
        <v>45490</v>
      </c>
      <c r="B1150" t="s">
        <v>19</v>
      </c>
      <c r="C1150" t="s">
        <v>14</v>
      </c>
      <c r="D1150" t="s">
        <v>16</v>
      </c>
      <c r="E1150">
        <v>1</v>
      </c>
      <c r="F1150" s="3">
        <v>1142</v>
      </c>
      <c r="G1150" s="2">
        <v>306.83999999999997</v>
      </c>
      <c r="H1150">
        <f>Master_ventas[[#This Row],[Profit]]/Master_ventas[[#This Row],[Sales]]</f>
        <v>0.26868651488616463</v>
      </c>
      <c r="I1150">
        <f ca="1">Referencia_Hoy-Master_ventas[[#This Row],[Order Date]]</f>
        <v>833</v>
      </c>
      <c r="J1150" t="str">
        <f>UPPER(Master_ventas[[#This Row],[Product Name]])</f>
        <v>SMARTWATCH</v>
      </c>
      <c r="K1150" t="str">
        <f>UPPER(Master_ventas[[#This Row],[Category]])</f>
        <v>ELECTRONICS</v>
      </c>
      <c r="L1150">
        <f>YEAR(Master_ventas[[#This Row],[Order Date]])</f>
        <v>2024</v>
      </c>
      <c r="M1150" t="str">
        <f>CONCATENATE(LEFT(Master_ventas[[#This Row],[ProdUpper]],3),RIGHT(Master_ventas[[#This Row],[Ext-Year]],2),"-",MID(Master_ventas[[#This Row],[Category]],1,1))</f>
        <v>SMA24-E</v>
      </c>
      <c r="N1150" t="str">
        <f>MID(Master_ventas[[#This Row],[ProdUpper]],1,3)</f>
        <v>SMA</v>
      </c>
      <c r="O1150" t="str">
        <f>UPPER(IF(Master_ventas[[#This Row],[Profit]]&gt;500,"High","Std"))</f>
        <v>STD</v>
      </c>
      <c r="P1150">
        <v>1149</v>
      </c>
    </row>
    <row r="1151" spans="1:16" x14ac:dyDescent="0.3">
      <c r="A1151" s="1">
        <v>45614</v>
      </c>
      <c r="B1151" t="s">
        <v>22</v>
      </c>
      <c r="C1151" t="s">
        <v>11</v>
      </c>
      <c r="D1151" t="s">
        <v>9</v>
      </c>
      <c r="E1151">
        <v>2</v>
      </c>
      <c r="F1151" s="3">
        <v>116</v>
      </c>
      <c r="G1151" s="2">
        <v>13.67</v>
      </c>
      <c r="H1151">
        <f>Master_ventas[[#This Row],[Profit]]/Master_ventas[[#This Row],[Sales]]</f>
        <v>0.1178448275862069</v>
      </c>
      <c r="I1151">
        <f ca="1">Referencia_Hoy-Master_ventas[[#This Row],[Order Date]]</f>
        <v>709</v>
      </c>
      <c r="J1151" t="str">
        <f>UPPER(Master_ventas[[#This Row],[Product Name]])</f>
        <v>KEYBOARD</v>
      </c>
      <c r="K1151" t="str">
        <f>UPPER(Master_ventas[[#This Row],[Category]])</f>
        <v>ACCESSORIES</v>
      </c>
      <c r="L1151">
        <f>YEAR(Master_ventas[[#This Row],[Order Date]])</f>
        <v>2024</v>
      </c>
      <c r="M1151" t="str">
        <f>CONCATENATE(LEFT(Master_ventas[[#This Row],[ProdUpper]],3),RIGHT(Master_ventas[[#This Row],[Ext-Year]],2),"-",MID(Master_ventas[[#This Row],[Category]],1,1))</f>
        <v>KEY24-A</v>
      </c>
      <c r="N1151" t="str">
        <f>MID(Master_ventas[[#This Row],[ProdUpper]],1,3)</f>
        <v>KEY</v>
      </c>
      <c r="O1151" t="str">
        <f>UPPER(IF(Master_ventas[[#This Row],[Profit]]&gt;500,"High","Std"))</f>
        <v>STD</v>
      </c>
      <c r="P1151">
        <v>1150</v>
      </c>
    </row>
    <row r="1152" spans="1:16" x14ac:dyDescent="0.3">
      <c r="A1152" s="1">
        <v>44718</v>
      </c>
      <c r="B1152" t="s">
        <v>21</v>
      </c>
      <c r="C1152" t="s">
        <v>14</v>
      </c>
      <c r="D1152" t="s">
        <v>12</v>
      </c>
      <c r="E1152">
        <v>9</v>
      </c>
      <c r="F1152" s="3">
        <v>3951</v>
      </c>
      <c r="G1152" s="2">
        <v>908.13</v>
      </c>
      <c r="H1152">
        <f>Master_ventas[[#This Row],[Profit]]/Master_ventas[[#This Row],[Sales]]</f>
        <v>0.22984813971146545</v>
      </c>
      <c r="I1152">
        <f ca="1">Referencia_Hoy-Master_ventas[[#This Row],[Order Date]]</f>
        <v>1605</v>
      </c>
      <c r="J1152" t="str">
        <f>UPPER(Master_ventas[[#This Row],[Product Name]])</f>
        <v>SMARTPHONE</v>
      </c>
      <c r="K1152" t="str">
        <f>UPPER(Master_ventas[[#This Row],[Category]])</f>
        <v>ELECTRONICS</v>
      </c>
      <c r="L1152">
        <f>YEAR(Master_ventas[[#This Row],[Order Date]])</f>
        <v>2022</v>
      </c>
      <c r="M1152" t="str">
        <f>CONCATENATE(LEFT(Master_ventas[[#This Row],[ProdUpper]],3),RIGHT(Master_ventas[[#This Row],[Ext-Year]],2),"-",MID(Master_ventas[[#This Row],[Category]],1,1))</f>
        <v>SMA22-E</v>
      </c>
      <c r="N1152" t="str">
        <f>MID(Master_ventas[[#This Row],[ProdUpper]],1,3)</f>
        <v>SMA</v>
      </c>
      <c r="O1152" t="str">
        <f>UPPER(IF(Master_ventas[[#This Row],[Profit]]&gt;500,"High","Std"))</f>
        <v>HIGH</v>
      </c>
      <c r="P1152">
        <v>1151</v>
      </c>
    </row>
    <row r="1153" spans="1:16" x14ac:dyDescent="0.3">
      <c r="A1153" s="1">
        <v>45281</v>
      </c>
      <c r="B1153" t="s">
        <v>22</v>
      </c>
      <c r="C1153" t="s">
        <v>11</v>
      </c>
      <c r="D1153" t="s">
        <v>12</v>
      </c>
      <c r="E1153">
        <v>2</v>
      </c>
      <c r="F1153" s="3">
        <v>1606</v>
      </c>
      <c r="G1153" s="2">
        <v>138.96</v>
      </c>
      <c r="H1153">
        <f>Master_ventas[[#This Row],[Profit]]/Master_ventas[[#This Row],[Sales]]</f>
        <v>8.6525529265255294E-2</v>
      </c>
      <c r="I1153">
        <f ca="1">Referencia_Hoy-Master_ventas[[#This Row],[Order Date]]</f>
        <v>1042</v>
      </c>
      <c r="J1153" t="str">
        <f>UPPER(Master_ventas[[#This Row],[Product Name]])</f>
        <v>KEYBOARD</v>
      </c>
      <c r="K1153" t="str">
        <f>UPPER(Master_ventas[[#This Row],[Category]])</f>
        <v>ACCESSORIES</v>
      </c>
      <c r="L1153">
        <f>YEAR(Master_ventas[[#This Row],[Order Date]])</f>
        <v>2023</v>
      </c>
      <c r="M1153" t="str">
        <f>CONCATENATE(LEFT(Master_ventas[[#This Row],[ProdUpper]],3),RIGHT(Master_ventas[[#This Row],[Ext-Year]],2),"-",MID(Master_ventas[[#This Row],[Category]],1,1))</f>
        <v>KEY23-A</v>
      </c>
      <c r="N1153" t="str">
        <f>MID(Master_ventas[[#This Row],[ProdUpper]],1,3)</f>
        <v>KEY</v>
      </c>
      <c r="O1153" t="str">
        <f>UPPER(IF(Master_ventas[[#This Row],[Profit]]&gt;500,"High","Std"))</f>
        <v>STD</v>
      </c>
      <c r="P1153">
        <v>1152</v>
      </c>
    </row>
    <row r="1154" spans="1:16" x14ac:dyDescent="0.3">
      <c r="A1154" s="1">
        <v>44881</v>
      </c>
      <c r="B1154" t="s">
        <v>18</v>
      </c>
      <c r="C1154" t="s">
        <v>11</v>
      </c>
      <c r="D1154" t="s">
        <v>15</v>
      </c>
      <c r="E1154">
        <v>3</v>
      </c>
      <c r="F1154" s="3">
        <v>2025</v>
      </c>
      <c r="G1154" s="2">
        <v>403</v>
      </c>
      <c r="H1154">
        <f>Master_ventas[[#This Row],[Profit]]/Master_ventas[[#This Row],[Sales]]</f>
        <v>0.19901234567901235</v>
      </c>
      <c r="I1154">
        <f ca="1">Referencia_Hoy-Master_ventas[[#This Row],[Order Date]]</f>
        <v>1442</v>
      </c>
      <c r="J1154" t="str">
        <f>UPPER(Master_ventas[[#This Row],[Product Name]])</f>
        <v>HEADPHONES</v>
      </c>
      <c r="K1154" t="str">
        <f>UPPER(Master_ventas[[#This Row],[Category]])</f>
        <v>ACCESSORIES</v>
      </c>
      <c r="L1154">
        <f>YEAR(Master_ventas[[#This Row],[Order Date]])</f>
        <v>2022</v>
      </c>
      <c r="M1154" t="str">
        <f>CONCATENATE(LEFT(Master_ventas[[#This Row],[ProdUpper]],3),RIGHT(Master_ventas[[#This Row],[Ext-Year]],2),"-",MID(Master_ventas[[#This Row],[Category]],1,1))</f>
        <v>HEA22-A</v>
      </c>
      <c r="N1154" t="str">
        <f>MID(Master_ventas[[#This Row],[ProdUpper]],1,3)</f>
        <v>HEA</v>
      </c>
      <c r="O1154" t="str">
        <f>UPPER(IF(Master_ventas[[#This Row],[Profit]]&gt;500,"High","Std"))</f>
        <v>STD</v>
      </c>
      <c r="P1154">
        <v>1153</v>
      </c>
    </row>
    <row r="1155" spans="1:16" x14ac:dyDescent="0.3">
      <c r="A1155" s="1">
        <v>45131</v>
      </c>
      <c r="B1155" t="s">
        <v>19</v>
      </c>
      <c r="C1155" t="s">
        <v>14</v>
      </c>
      <c r="D1155" t="s">
        <v>16</v>
      </c>
      <c r="E1155">
        <v>2</v>
      </c>
      <c r="F1155" s="3">
        <v>2006</v>
      </c>
      <c r="G1155" s="2">
        <v>235.52</v>
      </c>
      <c r="H1155">
        <f>Master_ventas[[#This Row],[Profit]]/Master_ventas[[#This Row],[Sales]]</f>
        <v>0.11740777666999004</v>
      </c>
      <c r="I1155">
        <f ca="1">Referencia_Hoy-Master_ventas[[#This Row],[Order Date]]</f>
        <v>1192</v>
      </c>
      <c r="J1155" t="str">
        <f>UPPER(Master_ventas[[#This Row],[Product Name]])</f>
        <v>SMARTWATCH</v>
      </c>
      <c r="K1155" t="str">
        <f>UPPER(Master_ventas[[#This Row],[Category]])</f>
        <v>ELECTRONICS</v>
      </c>
      <c r="L1155">
        <f>YEAR(Master_ventas[[#This Row],[Order Date]])</f>
        <v>2023</v>
      </c>
      <c r="M1155" t="str">
        <f>CONCATENATE(LEFT(Master_ventas[[#This Row],[ProdUpper]],3),RIGHT(Master_ventas[[#This Row],[Ext-Year]],2),"-",MID(Master_ventas[[#This Row],[Category]],1,1))</f>
        <v>SMA23-E</v>
      </c>
      <c r="N1155" t="str">
        <f>MID(Master_ventas[[#This Row],[ProdUpper]],1,3)</f>
        <v>SMA</v>
      </c>
      <c r="O1155" t="str">
        <f>UPPER(IF(Master_ventas[[#This Row],[Profit]]&gt;500,"High","Std"))</f>
        <v>STD</v>
      </c>
      <c r="P1155">
        <v>1154</v>
      </c>
    </row>
    <row r="1156" spans="1:16" x14ac:dyDescent="0.3">
      <c r="A1156" s="1">
        <v>45448</v>
      </c>
      <c r="B1156" t="s">
        <v>17</v>
      </c>
      <c r="C1156" t="s">
        <v>14</v>
      </c>
      <c r="D1156" t="s">
        <v>15</v>
      </c>
      <c r="E1156">
        <v>9</v>
      </c>
      <c r="F1156" s="3">
        <v>9423</v>
      </c>
      <c r="G1156" s="2">
        <v>652.05999999999995</v>
      </c>
      <c r="H1156">
        <f>Master_ventas[[#This Row],[Profit]]/Master_ventas[[#This Row],[Sales]]</f>
        <v>6.9198768969542607E-2</v>
      </c>
      <c r="I1156">
        <f ca="1">Referencia_Hoy-Master_ventas[[#This Row],[Order Date]]</f>
        <v>875</v>
      </c>
      <c r="J1156" t="str">
        <f>UPPER(Master_ventas[[#This Row],[Product Name]])</f>
        <v>CAMERA</v>
      </c>
      <c r="K1156" t="str">
        <f>UPPER(Master_ventas[[#This Row],[Category]])</f>
        <v>ELECTRONICS</v>
      </c>
      <c r="L1156">
        <f>YEAR(Master_ventas[[#This Row],[Order Date]])</f>
        <v>2024</v>
      </c>
      <c r="M1156" t="str">
        <f>CONCATENATE(LEFT(Master_ventas[[#This Row],[ProdUpper]],3),RIGHT(Master_ventas[[#This Row],[Ext-Year]],2),"-",MID(Master_ventas[[#This Row],[Category]],1,1))</f>
        <v>CAM24-E</v>
      </c>
      <c r="N1156" t="str">
        <f>MID(Master_ventas[[#This Row],[ProdUpper]],1,3)</f>
        <v>CAM</v>
      </c>
      <c r="O1156" t="str">
        <f>UPPER(IF(Master_ventas[[#This Row],[Profit]]&gt;500,"High","Std"))</f>
        <v>HIGH</v>
      </c>
      <c r="P1156">
        <v>1155</v>
      </c>
    </row>
    <row r="1157" spans="1:16" x14ac:dyDescent="0.3">
      <c r="A1157" s="1">
        <v>44797</v>
      </c>
      <c r="B1157" t="s">
        <v>23</v>
      </c>
      <c r="C1157" t="s">
        <v>14</v>
      </c>
      <c r="D1157" t="s">
        <v>9</v>
      </c>
      <c r="E1157">
        <v>4</v>
      </c>
      <c r="F1157" s="3">
        <v>2276</v>
      </c>
      <c r="G1157" s="2">
        <v>399.94</v>
      </c>
      <c r="H1157">
        <f>Master_ventas[[#This Row],[Profit]]/Master_ventas[[#This Row],[Sales]]</f>
        <v>0.17572056239015818</v>
      </c>
      <c r="I1157">
        <f ca="1">Referencia_Hoy-Master_ventas[[#This Row],[Order Date]]</f>
        <v>1526</v>
      </c>
      <c r="J1157" t="str">
        <f>UPPER(Master_ventas[[#This Row],[Product Name]])</f>
        <v>LAPTOP</v>
      </c>
      <c r="K1157" t="str">
        <f>UPPER(Master_ventas[[#This Row],[Category]])</f>
        <v>ELECTRONICS</v>
      </c>
      <c r="L1157">
        <f>YEAR(Master_ventas[[#This Row],[Order Date]])</f>
        <v>2022</v>
      </c>
      <c r="M1157" t="str">
        <f>CONCATENATE(LEFT(Master_ventas[[#This Row],[ProdUpper]],3),RIGHT(Master_ventas[[#This Row],[Ext-Year]],2),"-",MID(Master_ventas[[#This Row],[Category]],1,1))</f>
        <v>LAP22-E</v>
      </c>
      <c r="N1157" t="str">
        <f>MID(Master_ventas[[#This Row],[ProdUpper]],1,3)</f>
        <v>LAP</v>
      </c>
      <c r="O1157" t="str">
        <f>UPPER(IF(Master_ventas[[#This Row],[Profit]]&gt;500,"High","Std"))</f>
        <v>STD</v>
      </c>
      <c r="P1157">
        <v>1156</v>
      </c>
    </row>
    <row r="1158" spans="1:16" x14ac:dyDescent="0.3">
      <c r="A1158" s="1">
        <v>44795</v>
      </c>
      <c r="B1158" t="s">
        <v>20</v>
      </c>
      <c r="C1158" t="s">
        <v>11</v>
      </c>
      <c r="D1158" t="s">
        <v>16</v>
      </c>
      <c r="E1158">
        <v>5</v>
      </c>
      <c r="F1158" s="3">
        <v>4880</v>
      </c>
      <c r="G1158" s="2">
        <v>664.06</v>
      </c>
      <c r="H1158">
        <f>Master_ventas[[#This Row],[Profit]]/Master_ventas[[#This Row],[Sales]]</f>
        <v>0.13607786885245901</v>
      </c>
      <c r="I1158">
        <f ca="1">Referencia_Hoy-Master_ventas[[#This Row],[Order Date]]</f>
        <v>1528</v>
      </c>
      <c r="J1158" t="str">
        <f>UPPER(Master_ventas[[#This Row],[Product Name]])</f>
        <v>MONITOR</v>
      </c>
      <c r="K1158" t="str">
        <f>UPPER(Master_ventas[[#This Row],[Category]])</f>
        <v>ACCESSORIES</v>
      </c>
      <c r="L1158">
        <f>YEAR(Master_ventas[[#This Row],[Order Date]])</f>
        <v>2022</v>
      </c>
      <c r="M1158" t="str">
        <f>CONCATENATE(LEFT(Master_ventas[[#This Row],[ProdUpper]],3),RIGHT(Master_ventas[[#This Row],[Ext-Year]],2),"-",MID(Master_ventas[[#This Row],[Category]],1,1))</f>
        <v>MON22-A</v>
      </c>
      <c r="N1158" t="str">
        <f>MID(Master_ventas[[#This Row],[ProdUpper]],1,3)</f>
        <v>MON</v>
      </c>
      <c r="O1158" t="str">
        <f>UPPER(IF(Master_ventas[[#This Row],[Profit]]&gt;500,"High","Std"))</f>
        <v>HIGH</v>
      </c>
      <c r="P1158">
        <v>1157</v>
      </c>
    </row>
    <row r="1159" spans="1:16" x14ac:dyDescent="0.3">
      <c r="A1159" s="1">
        <v>45614</v>
      </c>
      <c r="B1159" t="s">
        <v>23</v>
      </c>
      <c r="C1159" t="s">
        <v>14</v>
      </c>
      <c r="D1159" t="s">
        <v>12</v>
      </c>
      <c r="E1159">
        <v>3</v>
      </c>
      <c r="F1159" s="3">
        <v>1773</v>
      </c>
      <c r="G1159" s="2">
        <v>183.15</v>
      </c>
      <c r="H1159">
        <f>Master_ventas[[#This Row],[Profit]]/Master_ventas[[#This Row],[Sales]]</f>
        <v>0.10329949238578681</v>
      </c>
      <c r="I1159">
        <f ca="1">Referencia_Hoy-Master_ventas[[#This Row],[Order Date]]</f>
        <v>709</v>
      </c>
      <c r="J1159" t="str">
        <f>UPPER(Master_ventas[[#This Row],[Product Name]])</f>
        <v>LAPTOP</v>
      </c>
      <c r="K1159" t="str">
        <f>UPPER(Master_ventas[[#This Row],[Category]])</f>
        <v>ELECTRONICS</v>
      </c>
      <c r="L1159">
        <f>YEAR(Master_ventas[[#This Row],[Order Date]])</f>
        <v>2024</v>
      </c>
      <c r="M1159" t="str">
        <f>CONCATENATE(LEFT(Master_ventas[[#This Row],[ProdUpper]],3),RIGHT(Master_ventas[[#This Row],[Ext-Year]],2),"-",MID(Master_ventas[[#This Row],[Category]],1,1))</f>
        <v>LAP24-E</v>
      </c>
      <c r="N1159" t="str">
        <f>MID(Master_ventas[[#This Row],[ProdUpper]],1,3)</f>
        <v>LAP</v>
      </c>
      <c r="O1159" t="str">
        <f>UPPER(IF(Master_ventas[[#This Row],[Profit]]&gt;500,"High","Std"))</f>
        <v>STD</v>
      </c>
      <c r="P1159">
        <v>1158</v>
      </c>
    </row>
    <row r="1160" spans="1:16" x14ac:dyDescent="0.3">
      <c r="A1160" s="1">
        <v>44947</v>
      </c>
      <c r="B1160" t="s">
        <v>19</v>
      </c>
      <c r="C1160" t="s">
        <v>14</v>
      </c>
      <c r="D1160" t="s">
        <v>15</v>
      </c>
      <c r="E1160">
        <v>9</v>
      </c>
      <c r="F1160" s="3">
        <v>2718</v>
      </c>
      <c r="G1160" s="2">
        <v>195.97</v>
      </c>
      <c r="H1160">
        <f>Master_ventas[[#This Row],[Profit]]/Master_ventas[[#This Row],[Sales]]</f>
        <v>7.2100809418690209E-2</v>
      </c>
      <c r="I1160">
        <f ca="1">Referencia_Hoy-Master_ventas[[#This Row],[Order Date]]</f>
        <v>1376</v>
      </c>
      <c r="J1160" t="str">
        <f>UPPER(Master_ventas[[#This Row],[Product Name]])</f>
        <v>SMARTWATCH</v>
      </c>
      <c r="K1160" t="str">
        <f>UPPER(Master_ventas[[#This Row],[Category]])</f>
        <v>ELECTRONICS</v>
      </c>
      <c r="L1160">
        <f>YEAR(Master_ventas[[#This Row],[Order Date]])</f>
        <v>2023</v>
      </c>
      <c r="M1160" t="str">
        <f>CONCATENATE(LEFT(Master_ventas[[#This Row],[ProdUpper]],3),RIGHT(Master_ventas[[#This Row],[Ext-Year]],2),"-",MID(Master_ventas[[#This Row],[Category]],1,1))</f>
        <v>SMA23-E</v>
      </c>
      <c r="N1160" t="str">
        <f>MID(Master_ventas[[#This Row],[ProdUpper]],1,3)</f>
        <v>SMA</v>
      </c>
      <c r="O1160" t="str">
        <f>UPPER(IF(Master_ventas[[#This Row],[Profit]]&gt;500,"High","Std"))</f>
        <v>STD</v>
      </c>
      <c r="P1160">
        <v>1159</v>
      </c>
    </row>
    <row r="1161" spans="1:16" x14ac:dyDescent="0.3">
      <c r="A1161" s="1">
        <v>44872</v>
      </c>
      <c r="B1161" t="s">
        <v>18</v>
      </c>
      <c r="C1161" t="s">
        <v>11</v>
      </c>
      <c r="D1161" t="s">
        <v>12</v>
      </c>
      <c r="E1161">
        <v>4</v>
      </c>
      <c r="F1161" s="3">
        <v>3168</v>
      </c>
      <c r="G1161" s="2">
        <v>939.45</v>
      </c>
      <c r="H1161">
        <f>Master_ventas[[#This Row],[Profit]]/Master_ventas[[#This Row],[Sales]]</f>
        <v>0.29654356060606063</v>
      </c>
      <c r="I1161">
        <f ca="1">Referencia_Hoy-Master_ventas[[#This Row],[Order Date]]</f>
        <v>1451</v>
      </c>
      <c r="J1161" t="str">
        <f>UPPER(Master_ventas[[#This Row],[Product Name]])</f>
        <v>HEADPHONES</v>
      </c>
      <c r="K1161" t="str">
        <f>UPPER(Master_ventas[[#This Row],[Category]])</f>
        <v>ACCESSORIES</v>
      </c>
      <c r="L1161">
        <f>YEAR(Master_ventas[[#This Row],[Order Date]])</f>
        <v>2022</v>
      </c>
      <c r="M1161" t="str">
        <f>CONCATENATE(LEFT(Master_ventas[[#This Row],[ProdUpper]],3),RIGHT(Master_ventas[[#This Row],[Ext-Year]],2),"-",MID(Master_ventas[[#This Row],[Category]],1,1))</f>
        <v>HEA22-A</v>
      </c>
      <c r="N1161" t="str">
        <f>MID(Master_ventas[[#This Row],[ProdUpper]],1,3)</f>
        <v>HEA</v>
      </c>
      <c r="O1161" t="str">
        <f>UPPER(IF(Master_ventas[[#This Row],[Profit]]&gt;500,"High","Std"))</f>
        <v>HIGH</v>
      </c>
      <c r="P1161">
        <v>1160</v>
      </c>
    </row>
    <row r="1162" spans="1:16" x14ac:dyDescent="0.3">
      <c r="A1162" s="1">
        <v>44592</v>
      </c>
      <c r="B1162" t="s">
        <v>17</v>
      </c>
      <c r="C1162" t="s">
        <v>14</v>
      </c>
      <c r="D1162" t="s">
        <v>16</v>
      </c>
      <c r="E1162">
        <v>2</v>
      </c>
      <c r="F1162" s="3">
        <v>1716</v>
      </c>
      <c r="G1162" s="2">
        <v>368.06</v>
      </c>
      <c r="H1162">
        <f>Master_ventas[[#This Row],[Profit]]/Master_ventas[[#This Row],[Sales]]</f>
        <v>0.21448717948717949</v>
      </c>
      <c r="I1162">
        <f ca="1">Referencia_Hoy-Master_ventas[[#This Row],[Order Date]]</f>
        <v>1731</v>
      </c>
      <c r="J1162" t="str">
        <f>UPPER(Master_ventas[[#This Row],[Product Name]])</f>
        <v>CAMERA</v>
      </c>
      <c r="K1162" t="str">
        <f>UPPER(Master_ventas[[#This Row],[Category]])</f>
        <v>ELECTRONICS</v>
      </c>
      <c r="L1162">
        <f>YEAR(Master_ventas[[#This Row],[Order Date]])</f>
        <v>2022</v>
      </c>
      <c r="M1162" t="str">
        <f>CONCATENATE(LEFT(Master_ventas[[#This Row],[ProdUpper]],3),RIGHT(Master_ventas[[#This Row],[Ext-Year]],2),"-",MID(Master_ventas[[#This Row],[Category]],1,1))</f>
        <v>CAM22-E</v>
      </c>
      <c r="N1162" t="str">
        <f>MID(Master_ventas[[#This Row],[ProdUpper]],1,3)</f>
        <v>CAM</v>
      </c>
      <c r="O1162" t="str">
        <f>UPPER(IF(Master_ventas[[#This Row],[Profit]]&gt;500,"High","Std"))</f>
        <v>STD</v>
      </c>
      <c r="P1162">
        <v>1161</v>
      </c>
    </row>
    <row r="1163" spans="1:16" x14ac:dyDescent="0.3">
      <c r="A1163" s="1">
        <v>45329</v>
      </c>
      <c r="B1163" t="s">
        <v>21</v>
      </c>
      <c r="C1163" t="s">
        <v>14</v>
      </c>
      <c r="D1163" t="s">
        <v>16</v>
      </c>
      <c r="E1163">
        <v>2</v>
      </c>
      <c r="F1163" s="3">
        <v>214</v>
      </c>
      <c r="G1163" s="2">
        <v>14.08</v>
      </c>
      <c r="H1163">
        <f>Master_ventas[[#This Row],[Profit]]/Master_ventas[[#This Row],[Sales]]</f>
        <v>6.5794392523364484E-2</v>
      </c>
      <c r="I1163">
        <f ca="1">Referencia_Hoy-Master_ventas[[#This Row],[Order Date]]</f>
        <v>994</v>
      </c>
      <c r="J1163" t="str">
        <f>UPPER(Master_ventas[[#This Row],[Product Name]])</f>
        <v>SMARTPHONE</v>
      </c>
      <c r="K1163" t="str">
        <f>UPPER(Master_ventas[[#This Row],[Category]])</f>
        <v>ELECTRONICS</v>
      </c>
      <c r="L1163">
        <f>YEAR(Master_ventas[[#This Row],[Order Date]])</f>
        <v>2024</v>
      </c>
      <c r="M1163" t="str">
        <f>CONCATENATE(LEFT(Master_ventas[[#This Row],[ProdUpper]],3),RIGHT(Master_ventas[[#This Row],[Ext-Year]],2),"-",MID(Master_ventas[[#This Row],[Category]],1,1))</f>
        <v>SMA24-E</v>
      </c>
      <c r="N1163" t="str">
        <f>MID(Master_ventas[[#This Row],[ProdUpper]],1,3)</f>
        <v>SMA</v>
      </c>
      <c r="O1163" t="str">
        <f>UPPER(IF(Master_ventas[[#This Row],[Profit]]&gt;500,"High","Std"))</f>
        <v>STD</v>
      </c>
      <c r="P1163">
        <v>1162</v>
      </c>
    </row>
    <row r="1164" spans="1:16" x14ac:dyDescent="0.3">
      <c r="A1164" s="1">
        <v>45447</v>
      </c>
      <c r="B1164" t="s">
        <v>17</v>
      </c>
      <c r="C1164" t="s">
        <v>14</v>
      </c>
      <c r="D1164" t="s">
        <v>12</v>
      </c>
      <c r="E1164">
        <v>2</v>
      </c>
      <c r="F1164" s="3">
        <v>2092</v>
      </c>
      <c r="G1164" s="2">
        <v>366.12</v>
      </c>
      <c r="H1164">
        <f>Master_ventas[[#This Row],[Profit]]/Master_ventas[[#This Row],[Sales]]</f>
        <v>0.1750095602294455</v>
      </c>
      <c r="I1164">
        <f ca="1">Referencia_Hoy-Master_ventas[[#This Row],[Order Date]]</f>
        <v>876</v>
      </c>
      <c r="J1164" t="str">
        <f>UPPER(Master_ventas[[#This Row],[Product Name]])</f>
        <v>CAMERA</v>
      </c>
      <c r="K1164" t="str">
        <f>UPPER(Master_ventas[[#This Row],[Category]])</f>
        <v>ELECTRONICS</v>
      </c>
      <c r="L1164">
        <f>YEAR(Master_ventas[[#This Row],[Order Date]])</f>
        <v>2024</v>
      </c>
      <c r="M1164" t="str">
        <f>CONCATENATE(LEFT(Master_ventas[[#This Row],[ProdUpper]],3),RIGHT(Master_ventas[[#This Row],[Ext-Year]],2),"-",MID(Master_ventas[[#This Row],[Category]],1,1))</f>
        <v>CAM24-E</v>
      </c>
      <c r="N1164" t="str">
        <f>MID(Master_ventas[[#This Row],[ProdUpper]],1,3)</f>
        <v>CAM</v>
      </c>
      <c r="O1164" t="str">
        <f>UPPER(IF(Master_ventas[[#This Row],[Profit]]&gt;500,"High","Std"))</f>
        <v>STD</v>
      </c>
      <c r="P1164">
        <v>1163</v>
      </c>
    </row>
    <row r="1165" spans="1:16" x14ac:dyDescent="0.3">
      <c r="A1165" s="1">
        <v>45372</v>
      </c>
      <c r="B1165" t="s">
        <v>18</v>
      </c>
      <c r="C1165" t="s">
        <v>11</v>
      </c>
      <c r="D1165" t="s">
        <v>16</v>
      </c>
      <c r="E1165">
        <v>3</v>
      </c>
      <c r="F1165" s="3">
        <v>225</v>
      </c>
      <c r="G1165" s="2">
        <v>46.96</v>
      </c>
      <c r="H1165">
        <f>Master_ventas[[#This Row],[Profit]]/Master_ventas[[#This Row],[Sales]]</f>
        <v>0.20871111111111113</v>
      </c>
      <c r="I1165">
        <f ca="1">Referencia_Hoy-Master_ventas[[#This Row],[Order Date]]</f>
        <v>951</v>
      </c>
      <c r="J1165" t="str">
        <f>UPPER(Master_ventas[[#This Row],[Product Name]])</f>
        <v>HEADPHONES</v>
      </c>
      <c r="K1165" t="str">
        <f>UPPER(Master_ventas[[#This Row],[Category]])</f>
        <v>ACCESSORIES</v>
      </c>
      <c r="L1165">
        <f>YEAR(Master_ventas[[#This Row],[Order Date]])</f>
        <v>2024</v>
      </c>
      <c r="M1165" t="str">
        <f>CONCATENATE(LEFT(Master_ventas[[#This Row],[ProdUpper]],3),RIGHT(Master_ventas[[#This Row],[Ext-Year]],2),"-",MID(Master_ventas[[#This Row],[Category]],1,1))</f>
        <v>HEA24-A</v>
      </c>
      <c r="N1165" t="str">
        <f>MID(Master_ventas[[#This Row],[ProdUpper]],1,3)</f>
        <v>HEA</v>
      </c>
      <c r="O1165" t="str">
        <f>UPPER(IF(Master_ventas[[#This Row],[Profit]]&gt;500,"High","Std"))</f>
        <v>STD</v>
      </c>
      <c r="P1165">
        <v>1164</v>
      </c>
    </row>
    <row r="1166" spans="1:16" x14ac:dyDescent="0.3">
      <c r="A1166" s="1">
        <v>45011</v>
      </c>
      <c r="B1166" t="s">
        <v>19</v>
      </c>
      <c r="C1166" t="s">
        <v>14</v>
      </c>
      <c r="D1166" t="s">
        <v>12</v>
      </c>
      <c r="E1166">
        <v>1</v>
      </c>
      <c r="F1166" s="3">
        <v>859</v>
      </c>
      <c r="G1166" s="2">
        <v>217.67</v>
      </c>
      <c r="H1166">
        <f>Master_ventas[[#This Row],[Profit]]/Master_ventas[[#This Row],[Sales]]</f>
        <v>0.25339930151338763</v>
      </c>
      <c r="I1166">
        <f ca="1">Referencia_Hoy-Master_ventas[[#This Row],[Order Date]]</f>
        <v>1312</v>
      </c>
      <c r="J1166" t="str">
        <f>UPPER(Master_ventas[[#This Row],[Product Name]])</f>
        <v>SMARTWATCH</v>
      </c>
      <c r="K1166" t="str">
        <f>UPPER(Master_ventas[[#This Row],[Category]])</f>
        <v>ELECTRONICS</v>
      </c>
      <c r="L1166">
        <f>YEAR(Master_ventas[[#This Row],[Order Date]])</f>
        <v>2023</v>
      </c>
      <c r="M1166" t="str">
        <f>CONCATENATE(LEFT(Master_ventas[[#This Row],[ProdUpper]],3),RIGHT(Master_ventas[[#This Row],[Ext-Year]],2),"-",MID(Master_ventas[[#This Row],[Category]],1,1))</f>
        <v>SMA23-E</v>
      </c>
      <c r="N1166" t="str">
        <f>MID(Master_ventas[[#This Row],[ProdUpper]],1,3)</f>
        <v>SMA</v>
      </c>
      <c r="O1166" t="str">
        <f>UPPER(IF(Master_ventas[[#This Row],[Profit]]&gt;500,"High","Std"))</f>
        <v>STD</v>
      </c>
      <c r="P1166">
        <v>1165</v>
      </c>
    </row>
    <row r="1167" spans="1:16" x14ac:dyDescent="0.3">
      <c r="A1167" s="1">
        <v>44661</v>
      </c>
      <c r="B1167" t="s">
        <v>7</v>
      </c>
      <c r="C1167" t="s">
        <v>8</v>
      </c>
      <c r="D1167" t="s">
        <v>16</v>
      </c>
      <c r="E1167">
        <v>2</v>
      </c>
      <c r="F1167" s="3">
        <v>2070</v>
      </c>
      <c r="G1167" s="2">
        <v>183.41</v>
      </c>
      <c r="H1167">
        <f>Master_ventas[[#This Row],[Profit]]/Master_ventas[[#This Row],[Sales]]</f>
        <v>8.8603864734299514E-2</v>
      </c>
      <c r="I1167">
        <f ca="1">Referencia_Hoy-Master_ventas[[#This Row],[Order Date]]</f>
        <v>1662</v>
      </c>
      <c r="J1167" t="str">
        <f>UPPER(Master_ventas[[#This Row],[Product Name]])</f>
        <v>PRINTER</v>
      </c>
      <c r="K1167" t="str">
        <f>UPPER(Master_ventas[[#This Row],[Category]])</f>
        <v>OFFICE</v>
      </c>
      <c r="L1167">
        <f>YEAR(Master_ventas[[#This Row],[Order Date]])</f>
        <v>2022</v>
      </c>
      <c r="M1167" t="str">
        <f>CONCATENATE(LEFT(Master_ventas[[#This Row],[ProdUpper]],3),RIGHT(Master_ventas[[#This Row],[Ext-Year]],2),"-",MID(Master_ventas[[#This Row],[Category]],1,1))</f>
        <v>PRI22-O</v>
      </c>
      <c r="N1167" t="str">
        <f>MID(Master_ventas[[#This Row],[ProdUpper]],1,3)</f>
        <v>PRI</v>
      </c>
      <c r="O1167" t="str">
        <f>UPPER(IF(Master_ventas[[#This Row],[Profit]]&gt;500,"High","Std"))</f>
        <v>STD</v>
      </c>
      <c r="P1167">
        <v>1166</v>
      </c>
    </row>
    <row r="1168" spans="1:16" x14ac:dyDescent="0.3">
      <c r="A1168" s="1">
        <v>45453</v>
      </c>
      <c r="B1168" t="s">
        <v>22</v>
      </c>
      <c r="C1168" t="s">
        <v>11</v>
      </c>
      <c r="D1168" t="s">
        <v>15</v>
      </c>
      <c r="E1168">
        <v>6</v>
      </c>
      <c r="F1168" s="3">
        <v>3240</v>
      </c>
      <c r="G1168" s="2">
        <v>758.19</v>
      </c>
      <c r="H1168">
        <f>Master_ventas[[#This Row],[Profit]]/Master_ventas[[#This Row],[Sales]]</f>
        <v>0.23400925925925928</v>
      </c>
      <c r="I1168">
        <f ca="1">Referencia_Hoy-Master_ventas[[#This Row],[Order Date]]</f>
        <v>870</v>
      </c>
      <c r="J1168" t="str">
        <f>UPPER(Master_ventas[[#This Row],[Product Name]])</f>
        <v>KEYBOARD</v>
      </c>
      <c r="K1168" t="str">
        <f>UPPER(Master_ventas[[#This Row],[Category]])</f>
        <v>ACCESSORIES</v>
      </c>
      <c r="L1168">
        <f>YEAR(Master_ventas[[#This Row],[Order Date]])</f>
        <v>2024</v>
      </c>
      <c r="M1168" t="str">
        <f>CONCATENATE(LEFT(Master_ventas[[#This Row],[ProdUpper]],3),RIGHT(Master_ventas[[#This Row],[Ext-Year]],2),"-",MID(Master_ventas[[#This Row],[Category]],1,1))</f>
        <v>KEY24-A</v>
      </c>
      <c r="N1168" t="str">
        <f>MID(Master_ventas[[#This Row],[ProdUpper]],1,3)</f>
        <v>KEY</v>
      </c>
      <c r="O1168" t="str">
        <f>UPPER(IF(Master_ventas[[#This Row],[Profit]]&gt;500,"High","Std"))</f>
        <v>HIGH</v>
      </c>
      <c r="P1168">
        <v>1167</v>
      </c>
    </row>
    <row r="1169" spans="1:16" x14ac:dyDescent="0.3">
      <c r="A1169" s="1">
        <v>44842</v>
      </c>
      <c r="B1169" t="s">
        <v>13</v>
      </c>
      <c r="C1169" t="s">
        <v>14</v>
      </c>
      <c r="D1169" t="s">
        <v>12</v>
      </c>
      <c r="E1169">
        <v>2</v>
      </c>
      <c r="F1169" s="3">
        <v>1748</v>
      </c>
      <c r="G1169" s="2">
        <v>506.52</v>
      </c>
      <c r="H1169">
        <f>Master_ventas[[#This Row],[Profit]]/Master_ventas[[#This Row],[Sales]]</f>
        <v>0.28977116704805489</v>
      </c>
      <c r="I1169">
        <f ca="1">Referencia_Hoy-Master_ventas[[#This Row],[Order Date]]</f>
        <v>1481</v>
      </c>
      <c r="J1169" t="str">
        <f>UPPER(Master_ventas[[#This Row],[Product Name]])</f>
        <v>TABLET</v>
      </c>
      <c r="K1169" t="str">
        <f>UPPER(Master_ventas[[#This Row],[Category]])</f>
        <v>ELECTRONICS</v>
      </c>
      <c r="L1169">
        <f>YEAR(Master_ventas[[#This Row],[Order Date]])</f>
        <v>2022</v>
      </c>
      <c r="M1169" t="str">
        <f>CONCATENATE(LEFT(Master_ventas[[#This Row],[ProdUpper]],3),RIGHT(Master_ventas[[#This Row],[Ext-Year]],2),"-",MID(Master_ventas[[#This Row],[Category]],1,1))</f>
        <v>TAB22-E</v>
      </c>
      <c r="N1169" t="str">
        <f>MID(Master_ventas[[#This Row],[ProdUpper]],1,3)</f>
        <v>TAB</v>
      </c>
      <c r="O1169" t="str">
        <f>UPPER(IF(Master_ventas[[#This Row],[Profit]]&gt;500,"High","Std"))</f>
        <v>HIGH</v>
      </c>
      <c r="P1169">
        <v>1168</v>
      </c>
    </row>
    <row r="1170" spans="1:16" x14ac:dyDescent="0.3">
      <c r="A1170" s="1">
        <v>45113</v>
      </c>
      <c r="B1170" t="s">
        <v>10</v>
      </c>
      <c r="C1170" t="s">
        <v>11</v>
      </c>
      <c r="D1170" t="s">
        <v>16</v>
      </c>
      <c r="E1170">
        <v>8</v>
      </c>
      <c r="F1170" s="3">
        <v>2080</v>
      </c>
      <c r="G1170" s="2">
        <v>108.48</v>
      </c>
      <c r="H1170">
        <f>Master_ventas[[#This Row],[Profit]]/Master_ventas[[#This Row],[Sales]]</f>
        <v>5.2153846153846155E-2</v>
      </c>
      <c r="I1170">
        <f ca="1">Referencia_Hoy-Master_ventas[[#This Row],[Order Date]]</f>
        <v>1210</v>
      </c>
      <c r="J1170" t="str">
        <f>UPPER(Master_ventas[[#This Row],[Product Name]])</f>
        <v>MOUSE</v>
      </c>
      <c r="K1170" t="str">
        <f>UPPER(Master_ventas[[#This Row],[Category]])</f>
        <v>ACCESSORIES</v>
      </c>
      <c r="L1170">
        <f>YEAR(Master_ventas[[#This Row],[Order Date]])</f>
        <v>2023</v>
      </c>
      <c r="M1170" t="str">
        <f>CONCATENATE(LEFT(Master_ventas[[#This Row],[ProdUpper]],3),RIGHT(Master_ventas[[#This Row],[Ext-Year]],2),"-",MID(Master_ventas[[#This Row],[Category]],1,1))</f>
        <v>MOU23-A</v>
      </c>
      <c r="N1170" t="str">
        <f>MID(Master_ventas[[#This Row],[ProdUpper]],1,3)</f>
        <v>MOU</v>
      </c>
      <c r="O1170" t="str">
        <f>UPPER(IF(Master_ventas[[#This Row],[Profit]]&gt;500,"High","Std"))</f>
        <v>STD</v>
      </c>
      <c r="P1170">
        <v>1169</v>
      </c>
    </row>
    <row r="1171" spans="1:16" x14ac:dyDescent="0.3">
      <c r="A1171" s="1">
        <v>44730</v>
      </c>
      <c r="B1171" t="s">
        <v>19</v>
      </c>
      <c r="C1171" t="s">
        <v>14</v>
      </c>
      <c r="D1171" t="s">
        <v>9</v>
      </c>
      <c r="E1171">
        <v>3</v>
      </c>
      <c r="F1171" s="3">
        <v>2193</v>
      </c>
      <c r="G1171" s="2">
        <v>521.14</v>
      </c>
      <c r="H1171">
        <f>Master_ventas[[#This Row],[Profit]]/Master_ventas[[#This Row],[Sales]]</f>
        <v>0.23763793889648882</v>
      </c>
      <c r="I1171">
        <f ca="1">Referencia_Hoy-Master_ventas[[#This Row],[Order Date]]</f>
        <v>1593</v>
      </c>
      <c r="J1171" t="str">
        <f>UPPER(Master_ventas[[#This Row],[Product Name]])</f>
        <v>SMARTWATCH</v>
      </c>
      <c r="K1171" t="str">
        <f>UPPER(Master_ventas[[#This Row],[Category]])</f>
        <v>ELECTRONICS</v>
      </c>
      <c r="L1171">
        <f>YEAR(Master_ventas[[#This Row],[Order Date]])</f>
        <v>2022</v>
      </c>
      <c r="M1171" t="str">
        <f>CONCATENATE(LEFT(Master_ventas[[#This Row],[ProdUpper]],3),RIGHT(Master_ventas[[#This Row],[Ext-Year]],2),"-",MID(Master_ventas[[#This Row],[Category]],1,1))</f>
        <v>SMA22-E</v>
      </c>
      <c r="N1171" t="str">
        <f>MID(Master_ventas[[#This Row],[ProdUpper]],1,3)</f>
        <v>SMA</v>
      </c>
      <c r="O1171" t="str">
        <f>UPPER(IF(Master_ventas[[#This Row],[Profit]]&gt;500,"High","Std"))</f>
        <v>HIGH</v>
      </c>
      <c r="P1171">
        <v>1170</v>
      </c>
    </row>
    <row r="1172" spans="1:16" x14ac:dyDescent="0.3">
      <c r="A1172" s="1">
        <v>45085</v>
      </c>
      <c r="B1172" t="s">
        <v>18</v>
      </c>
      <c r="C1172" t="s">
        <v>11</v>
      </c>
      <c r="D1172" t="s">
        <v>16</v>
      </c>
      <c r="E1172">
        <v>5</v>
      </c>
      <c r="F1172" s="3">
        <v>2080</v>
      </c>
      <c r="G1172" s="2">
        <v>614.77</v>
      </c>
      <c r="H1172">
        <f>Master_ventas[[#This Row],[Profit]]/Master_ventas[[#This Row],[Sales]]</f>
        <v>0.29556250000000001</v>
      </c>
      <c r="I1172">
        <f ca="1">Referencia_Hoy-Master_ventas[[#This Row],[Order Date]]</f>
        <v>1238</v>
      </c>
      <c r="J1172" t="str">
        <f>UPPER(Master_ventas[[#This Row],[Product Name]])</f>
        <v>HEADPHONES</v>
      </c>
      <c r="K1172" t="str">
        <f>UPPER(Master_ventas[[#This Row],[Category]])</f>
        <v>ACCESSORIES</v>
      </c>
      <c r="L1172">
        <f>YEAR(Master_ventas[[#This Row],[Order Date]])</f>
        <v>2023</v>
      </c>
      <c r="M1172" t="str">
        <f>CONCATENATE(LEFT(Master_ventas[[#This Row],[ProdUpper]],3),RIGHT(Master_ventas[[#This Row],[Ext-Year]],2),"-",MID(Master_ventas[[#This Row],[Category]],1,1))</f>
        <v>HEA23-A</v>
      </c>
      <c r="N1172" t="str">
        <f>MID(Master_ventas[[#This Row],[ProdUpper]],1,3)</f>
        <v>HEA</v>
      </c>
      <c r="O1172" t="str">
        <f>UPPER(IF(Master_ventas[[#This Row],[Profit]]&gt;500,"High","Std"))</f>
        <v>HIGH</v>
      </c>
      <c r="P1172">
        <v>1171</v>
      </c>
    </row>
    <row r="1173" spans="1:16" x14ac:dyDescent="0.3">
      <c r="A1173" s="1">
        <v>44694</v>
      </c>
      <c r="B1173" t="s">
        <v>10</v>
      </c>
      <c r="C1173" t="s">
        <v>11</v>
      </c>
      <c r="D1173" t="s">
        <v>15</v>
      </c>
      <c r="E1173">
        <v>5</v>
      </c>
      <c r="F1173" s="3">
        <v>5070</v>
      </c>
      <c r="G1173" s="2">
        <v>986.39</v>
      </c>
      <c r="H1173">
        <f>Master_ventas[[#This Row],[Profit]]/Master_ventas[[#This Row],[Sales]]</f>
        <v>0.19455424063116369</v>
      </c>
      <c r="I1173">
        <f ca="1">Referencia_Hoy-Master_ventas[[#This Row],[Order Date]]</f>
        <v>1629</v>
      </c>
      <c r="J1173" t="str">
        <f>UPPER(Master_ventas[[#This Row],[Product Name]])</f>
        <v>MOUSE</v>
      </c>
      <c r="K1173" t="str">
        <f>UPPER(Master_ventas[[#This Row],[Category]])</f>
        <v>ACCESSORIES</v>
      </c>
      <c r="L1173">
        <f>YEAR(Master_ventas[[#This Row],[Order Date]])</f>
        <v>2022</v>
      </c>
      <c r="M1173" t="str">
        <f>CONCATENATE(LEFT(Master_ventas[[#This Row],[ProdUpper]],3),RIGHT(Master_ventas[[#This Row],[Ext-Year]],2),"-",MID(Master_ventas[[#This Row],[Category]],1,1))</f>
        <v>MOU22-A</v>
      </c>
      <c r="N1173" t="str">
        <f>MID(Master_ventas[[#This Row],[ProdUpper]],1,3)</f>
        <v>MOU</v>
      </c>
      <c r="O1173" t="str">
        <f>UPPER(IF(Master_ventas[[#This Row],[Profit]]&gt;500,"High","Std"))</f>
        <v>HIGH</v>
      </c>
      <c r="P1173">
        <v>1172</v>
      </c>
    </row>
    <row r="1174" spans="1:16" x14ac:dyDescent="0.3">
      <c r="A1174" s="1">
        <v>45359</v>
      </c>
      <c r="B1174" t="s">
        <v>23</v>
      </c>
      <c r="C1174" t="s">
        <v>14</v>
      </c>
      <c r="D1174" t="s">
        <v>15</v>
      </c>
      <c r="E1174">
        <v>7</v>
      </c>
      <c r="F1174" s="3">
        <v>469</v>
      </c>
      <c r="G1174" s="2">
        <v>47.4</v>
      </c>
      <c r="H1174">
        <f>Master_ventas[[#This Row],[Profit]]/Master_ventas[[#This Row],[Sales]]</f>
        <v>0.10106609808102344</v>
      </c>
      <c r="I1174">
        <f ca="1">Referencia_Hoy-Master_ventas[[#This Row],[Order Date]]</f>
        <v>964</v>
      </c>
      <c r="J1174" t="str">
        <f>UPPER(Master_ventas[[#This Row],[Product Name]])</f>
        <v>LAPTOP</v>
      </c>
      <c r="K1174" t="str">
        <f>UPPER(Master_ventas[[#This Row],[Category]])</f>
        <v>ELECTRONICS</v>
      </c>
      <c r="L1174">
        <f>YEAR(Master_ventas[[#This Row],[Order Date]])</f>
        <v>2024</v>
      </c>
      <c r="M1174" t="str">
        <f>CONCATENATE(LEFT(Master_ventas[[#This Row],[ProdUpper]],3),RIGHT(Master_ventas[[#This Row],[Ext-Year]],2),"-",MID(Master_ventas[[#This Row],[Category]],1,1))</f>
        <v>LAP24-E</v>
      </c>
      <c r="N1174" t="str">
        <f>MID(Master_ventas[[#This Row],[ProdUpper]],1,3)</f>
        <v>LAP</v>
      </c>
      <c r="O1174" t="str">
        <f>UPPER(IF(Master_ventas[[#This Row],[Profit]]&gt;500,"High","Std"))</f>
        <v>STD</v>
      </c>
      <c r="P1174">
        <v>1173</v>
      </c>
    </row>
    <row r="1175" spans="1:16" x14ac:dyDescent="0.3">
      <c r="A1175" s="1">
        <v>45207</v>
      </c>
      <c r="B1175" t="s">
        <v>7</v>
      </c>
      <c r="C1175" t="s">
        <v>8</v>
      </c>
      <c r="D1175" t="s">
        <v>15</v>
      </c>
      <c r="E1175">
        <v>1</v>
      </c>
      <c r="F1175" s="3">
        <v>802</v>
      </c>
      <c r="G1175" s="2">
        <v>153.55000000000001</v>
      </c>
      <c r="H1175">
        <f>Master_ventas[[#This Row],[Profit]]/Master_ventas[[#This Row],[Sales]]</f>
        <v>0.19145885286783043</v>
      </c>
      <c r="I1175">
        <f ca="1">Referencia_Hoy-Master_ventas[[#This Row],[Order Date]]</f>
        <v>1116</v>
      </c>
      <c r="J1175" t="str">
        <f>UPPER(Master_ventas[[#This Row],[Product Name]])</f>
        <v>PRINTER</v>
      </c>
      <c r="K1175" t="str">
        <f>UPPER(Master_ventas[[#This Row],[Category]])</f>
        <v>OFFICE</v>
      </c>
      <c r="L1175">
        <f>YEAR(Master_ventas[[#This Row],[Order Date]])</f>
        <v>2023</v>
      </c>
      <c r="M1175" t="str">
        <f>CONCATENATE(LEFT(Master_ventas[[#This Row],[ProdUpper]],3),RIGHT(Master_ventas[[#This Row],[Ext-Year]],2),"-",MID(Master_ventas[[#This Row],[Category]],1,1))</f>
        <v>PRI23-O</v>
      </c>
      <c r="N1175" t="str">
        <f>MID(Master_ventas[[#This Row],[ProdUpper]],1,3)</f>
        <v>PRI</v>
      </c>
      <c r="O1175" t="str">
        <f>UPPER(IF(Master_ventas[[#This Row],[Profit]]&gt;500,"High","Std"))</f>
        <v>STD</v>
      </c>
      <c r="P1175">
        <v>1174</v>
      </c>
    </row>
    <row r="1176" spans="1:16" x14ac:dyDescent="0.3">
      <c r="A1176" s="1">
        <v>45657</v>
      </c>
      <c r="B1176" t="s">
        <v>21</v>
      </c>
      <c r="C1176" t="s">
        <v>14</v>
      </c>
      <c r="D1176" t="s">
        <v>16</v>
      </c>
      <c r="E1176">
        <v>6</v>
      </c>
      <c r="F1176" s="3">
        <v>930</v>
      </c>
      <c r="G1176" s="2">
        <v>213.6</v>
      </c>
      <c r="H1176">
        <f>Master_ventas[[#This Row],[Profit]]/Master_ventas[[#This Row],[Sales]]</f>
        <v>0.22967741935483871</v>
      </c>
      <c r="I1176">
        <f ca="1">Referencia_Hoy-Master_ventas[[#This Row],[Order Date]]</f>
        <v>666</v>
      </c>
      <c r="J1176" t="str">
        <f>UPPER(Master_ventas[[#This Row],[Product Name]])</f>
        <v>SMARTPHONE</v>
      </c>
      <c r="K1176" t="str">
        <f>UPPER(Master_ventas[[#This Row],[Category]])</f>
        <v>ELECTRONICS</v>
      </c>
      <c r="L1176">
        <f>YEAR(Master_ventas[[#This Row],[Order Date]])</f>
        <v>2024</v>
      </c>
      <c r="M1176" t="str">
        <f>CONCATENATE(LEFT(Master_ventas[[#This Row],[ProdUpper]],3),RIGHT(Master_ventas[[#This Row],[Ext-Year]],2),"-",MID(Master_ventas[[#This Row],[Category]],1,1))</f>
        <v>SMA24-E</v>
      </c>
      <c r="N1176" t="str">
        <f>MID(Master_ventas[[#This Row],[ProdUpper]],1,3)</f>
        <v>SMA</v>
      </c>
      <c r="O1176" t="str">
        <f>UPPER(IF(Master_ventas[[#This Row],[Profit]]&gt;500,"High","Std"))</f>
        <v>STD</v>
      </c>
      <c r="P1176">
        <v>1175</v>
      </c>
    </row>
    <row r="1177" spans="1:16" x14ac:dyDescent="0.3">
      <c r="A1177" s="1">
        <v>44631</v>
      </c>
      <c r="B1177" t="s">
        <v>19</v>
      </c>
      <c r="C1177" t="s">
        <v>14</v>
      </c>
      <c r="D1177" t="s">
        <v>15</v>
      </c>
      <c r="E1177">
        <v>1</v>
      </c>
      <c r="F1177" s="3">
        <v>495</v>
      </c>
      <c r="G1177" s="2">
        <v>55.17</v>
      </c>
      <c r="H1177">
        <f>Master_ventas[[#This Row],[Profit]]/Master_ventas[[#This Row],[Sales]]</f>
        <v>0.11145454545454546</v>
      </c>
      <c r="I1177">
        <f ca="1">Referencia_Hoy-Master_ventas[[#This Row],[Order Date]]</f>
        <v>1692</v>
      </c>
      <c r="J1177" t="str">
        <f>UPPER(Master_ventas[[#This Row],[Product Name]])</f>
        <v>SMARTWATCH</v>
      </c>
      <c r="K1177" t="str">
        <f>UPPER(Master_ventas[[#This Row],[Category]])</f>
        <v>ELECTRONICS</v>
      </c>
      <c r="L1177">
        <f>YEAR(Master_ventas[[#This Row],[Order Date]])</f>
        <v>2022</v>
      </c>
      <c r="M1177" t="str">
        <f>CONCATENATE(LEFT(Master_ventas[[#This Row],[ProdUpper]],3),RIGHT(Master_ventas[[#This Row],[Ext-Year]],2),"-",MID(Master_ventas[[#This Row],[Category]],1,1))</f>
        <v>SMA22-E</v>
      </c>
      <c r="N1177" t="str">
        <f>MID(Master_ventas[[#This Row],[ProdUpper]],1,3)</f>
        <v>SMA</v>
      </c>
      <c r="O1177" t="str">
        <f>UPPER(IF(Master_ventas[[#This Row],[Profit]]&gt;500,"High","Std"))</f>
        <v>STD</v>
      </c>
      <c r="P1177">
        <v>1176</v>
      </c>
    </row>
    <row r="1178" spans="1:16" x14ac:dyDescent="0.3">
      <c r="A1178" s="1">
        <v>45505</v>
      </c>
      <c r="B1178" t="s">
        <v>20</v>
      </c>
      <c r="C1178" t="s">
        <v>11</v>
      </c>
      <c r="D1178" t="s">
        <v>12</v>
      </c>
      <c r="E1178">
        <v>6</v>
      </c>
      <c r="F1178" s="3">
        <v>4938</v>
      </c>
      <c r="G1178" s="2">
        <v>847.89</v>
      </c>
      <c r="H1178">
        <f>Master_ventas[[#This Row],[Profit]]/Master_ventas[[#This Row],[Sales]]</f>
        <v>0.17170716889428919</v>
      </c>
      <c r="I1178">
        <f ca="1">Referencia_Hoy-Master_ventas[[#This Row],[Order Date]]</f>
        <v>818</v>
      </c>
      <c r="J1178" t="str">
        <f>UPPER(Master_ventas[[#This Row],[Product Name]])</f>
        <v>MONITOR</v>
      </c>
      <c r="K1178" t="str">
        <f>UPPER(Master_ventas[[#This Row],[Category]])</f>
        <v>ACCESSORIES</v>
      </c>
      <c r="L1178">
        <f>YEAR(Master_ventas[[#This Row],[Order Date]])</f>
        <v>2024</v>
      </c>
      <c r="M1178" t="str">
        <f>CONCATENATE(LEFT(Master_ventas[[#This Row],[ProdUpper]],3),RIGHT(Master_ventas[[#This Row],[Ext-Year]],2),"-",MID(Master_ventas[[#This Row],[Category]],1,1))</f>
        <v>MON24-A</v>
      </c>
      <c r="N1178" t="str">
        <f>MID(Master_ventas[[#This Row],[ProdUpper]],1,3)</f>
        <v>MON</v>
      </c>
      <c r="O1178" t="str">
        <f>UPPER(IF(Master_ventas[[#This Row],[Profit]]&gt;500,"High","Std"))</f>
        <v>HIGH</v>
      </c>
      <c r="P1178">
        <v>1177</v>
      </c>
    </row>
    <row r="1179" spans="1:16" x14ac:dyDescent="0.3">
      <c r="A1179" s="1">
        <v>44794</v>
      </c>
      <c r="B1179" t="s">
        <v>13</v>
      </c>
      <c r="C1179" t="s">
        <v>14</v>
      </c>
      <c r="D1179" t="s">
        <v>15</v>
      </c>
      <c r="E1179">
        <v>2</v>
      </c>
      <c r="F1179" s="3">
        <v>1300</v>
      </c>
      <c r="G1179" s="2">
        <v>267.45999999999998</v>
      </c>
      <c r="H1179">
        <f>Master_ventas[[#This Row],[Profit]]/Master_ventas[[#This Row],[Sales]]</f>
        <v>0.20573846153846151</v>
      </c>
      <c r="I1179">
        <f ca="1">Referencia_Hoy-Master_ventas[[#This Row],[Order Date]]</f>
        <v>1529</v>
      </c>
      <c r="J1179" t="str">
        <f>UPPER(Master_ventas[[#This Row],[Product Name]])</f>
        <v>TABLET</v>
      </c>
      <c r="K1179" t="str">
        <f>UPPER(Master_ventas[[#This Row],[Category]])</f>
        <v>ELECTRONICS</v>
      </c>
      <c r="L1179">
        <f>YEAR(Master_ventas[[#This Row],[Order Date]])</f>
        <v>2022</v>
      </c>
      <c r="M1179" t="str">
        <f>CONCATENATE(LEFT(Master_ventas[[#This Row],[ProdUpper]],3),RIGHT(Master_ventas[[#This Row],[Ext-Year]],2),"-",MID(Master_ventas[[#This Row],[Category]],1,1))</f>
        <v>TAB22-E</v>
      </c>
      <c r="N1179" t="str">
        <f>MID(Master_ventas[[#This Row],[ProdUpper]],1,3)</f>
        <v>TAB</v>
      </c>
      <c r="O1179" t="str">
        <f>UPPER(IF(Master_ventas[[#This Row],[Profit]]&gt;500,"High","Std"))</f>
        <v>STD</v>
      </c>
      <c r="P1179">
        <v>1178</v>
      </c>
    </row>
    <row r="1180" spans="1:16" x14ac:dyDescent="0.3">
      <c r="A1180" s="1">
        <v>45637</v>
      </c>
      <c r="B1180" t="s">
        <v>10</v>
      </c>
      <c r="C1180" t="s">
        <v>11</v>
      </c>
      <c r="D1180" t="s">
        <v>15</v>
      </c>
      <c r="E1180">
        <v>7</v>
      </c>
      <c r="F1180" s="3">
        <v>2100</v>
      </c>
      <c r="G1180" s="2">
        <v>131.66999999999999</v>
      </c>
      <c r="H1180">
        <f>Master_ventas[[#This Row],[Profit]]/Master_ventas[[#This Row],[Sales]]</f>
        <v>6.2699999999999992E-2</v>
      </c>
      <c r="I1180">
        <f ca="1">Referencia_Hoy-Master_ventas[[#This Row],[Order Date]]</f>
        <v>686</v>
      </c>
      <c r="J1180" t="str">
        <f>UPPER(Master_ventas[[#This Row],[Product Name]])</f>
        <v>MOUSE</v>
      </c>
      <c r="K1180" t="str">
        <f>UPPER(Master_ventas[[#This Row],[Category]])</f>
        <v>ACCESSORIES</v>
      </c>
      <c r="L1180">
        <f>YEAR(Master_ventas[[#This Row],[Order Date]])</f>
        <v>2024</v>
      </c>
      <c r="M1180" t="str">
        <f>CONCATENATE(LEFT(Master_ventas[[#This Row],[ProdUpper]],3),RIGHT(Master_ventas[[#This Row],[Ext-Year]],2),"-",MID(Master_ventas[[#This Row],[Category]],1,1))</f>
        <v>MOU24-A</v>
      </c>
      <c r="N1180" t="str">
        <f>MID(Master_ventas[[#This Row],[ProdUpper]],1,3)</f>
        <v>MOU</v>
      </c>
      <c r="O1180" t="str">
        <f>UPPER(IF(Master_ventas[[#This Row],[Profit]]&gt;500,"High","Std"))</f>
        <v>STD</v>
      </c>
      <c r="P1180">
        <v>1179</v>
      </c>
    </row>
    <row r="1181" spans="1:16" x14ac:dyDescent="0.3">
      <c r="A1181" s="1">
        <v>45364</v>
      </c>
      <c r="B1181" t="s">
        <v>17</v>
      </c>
      <c r="C1181" t="s">
        <v>14</v>
      </c>
      <c r="D1181" t="s">
        <v>15</v>
      </c>
      <c r="E1181">
        <v>2</v>
      </c>
      <c r="F1181" s="3">
        <v>2248</v>
      </c>
      <c r="G1181" s="2">
        <v>636.52</v>
      </c>
      <c r="H1181">
        <f>Master_ventas[[#This Row],[Profit]]/Master_ventas[[#This Row],[Sales]]</f>
        <v>0.2831494661921708</v>
      </c>
      <c r="I1181">
        <f ca="1">Referencia_Hoy-Master_ventas[[#This Row],[Order Date]]</f>
        <v>959</v>
      </c>
      <c r="J1181" t="str">
        <f>UPPER(Master_ventas[[#This Row],[Product Name]])</f>
        <v>CAMERA</v>
      </c>
      <c r="K1181" t="str">
        <f>UPPER(Master_ventas[[#This Row],[Category]])</f>
        <v>ELECTRONICS</v>
      </c>
      <c r="L1181">
        <f>YEAR(Master_ventas[[#This Row],[Order Date]])</f>
        <v>2024</v>
      </c>
      <c r="M1181" t="str">
        <f>CONCATENATE(LEFT(Master_ventas[[#This Row],[ProdUpper]],3),RIGHT(Master_ventas[[#This Row],[Ext-Year]],2),"-",MID(Master_ventas[[#This Row],[Category]],1,1))</f>
        <v>CAM24-E</v>
      </c>
      <c r="N1181" t="str">
        <f>MID(Master_ventas[[#This Row],[ProdUpper]],1,3)</f>
        <v>CAM</v>
      </c>
      <c r="O1181" t="str">
        <f>UPPER(IF(Master_ventas[[#This Row],[Profit]]&gt;500,"High","Std"))</f>
        <v>HIGH</v>
      </c>
      <c r="P1181">
        <v>1180</v>
      </c>
    </row>
    <row r="1182" spans="1:16" x14ac:dyDescent="0.3">
      <c r="A1182" s="1">
        <v>45265</v>
      </c>
      <c r="B1182" t="s">
        <v>18</v>
      </c>
      <c r="C1182" t="s">
        <v>11</v>
      </c>
      <c r="D1182" t="s">
        <v>9</v>
      </c>
      <c r="E1182">
        <v>8</v>
      </c>
      <c r="F1182" s="3">
        <v>7096</v>
      </c>
      <c r="G1182" s="2">
        <v>991.23</v>
      </c>
      <c r="H1182">
        <f>Master_ventas[[#This Row],[Profit]]/Master_ventas[[#This Row],[Sales]]</f>
        <v>0.13968855693348364</v>
      </c>
      <c r="I1182">
        <f ca="1">Referencia_Hoy-Master_ventas[[#This Row],[Order Date]]</f>
        <v>1058</v>
      </c>
      <c r="J1182" t="str">
        <f>UPPER(Master_ventas[[#This Row],[Product Name]])</f>
        <v>HEADPHONES</v>
      </c>
      <c r="K1182" t="str">
        <f>UPPER(Master_ventas[[#This Row],[Category]])</f>
        <v>ACCESSORIES</v>
      </c>
      <c r="L1182">
        <f>YEAR(Master_ventas[[#This Row],[Order Date]])</f>
        <v>2023</v>
      </c>
      <c r="M1182" t="str">
        <f>CONCATENATE(LEFT(Master_ventas[[#This Row],[ProdUpper]],3),RIGHT(Master_ventas[[#This Row],[Ext-Year]],2),"-",MID(Master_ventas[[#This Row],[Category]],1,1))</f>
        <v>HEA23-A</v>
      </c>
      <c r="N1182" t="str">
        <f>MID(Master_ventas[[#This Row],[ProdUpper]],1,3)</f>
        <v>HEA</v>
      </c>
      <c r="O1182" t="str">
        <f>UPPER(IF(Master_ventas[[#This Row],[Profit]]&gt;500,"High","Std"))</f>
        <v>HIGH</v>
      </c>
      <c r="P1182">
        <v>1181</v>
      </c>
    </row>
    <row r="1183" spans="1:16" x14ac:dyDescent="0.3">
      <c r="A1183" s="1">
        <v>44694</v>
      </c>
      <c r="B1183" t="s">
        <v>18</v>
      </c>
      <c r="C1183" t="s">
        <v>11</v>
      </c>
      <c r="D1183" t="s">
        <v>12</v>
      </c>
      <c r="E1183">
        <v>3</v>
      </c>
      <c r="F1183" s="3">
        <v>1992</v>
      </c>
      <c r="G1183" s="2">
        <v>252.21</v>
      </c>
      <c r="H1183">
        <f>Master_ventas[[#This Row],[Profit]]/Master_ventas[[#This Row],[Sales]]</f>
        <v>0.12661144578313255</v>
      </c>
      <c r="I1183">
        <f ca="1">Referencia_Hoy-Master_ventas[[#This Row],[Order Date]]</f>
        <v>1629</v>
      </c>
      <c r="J1183" t="str">
        <f>UPPER(Master_ventas[[#This Row],[Product Name]])</f>
        <v>HEADPHONES</v>
      </c>
      <c r="K1183" t="str">
        <f>UPPER(Master_ventas[[#This Row],[Category]])</f>
        <v>ACCESSORIES</v>
      </c>
      <c r="L1183">
        <f>YEAR(Master_ventas[[#This Row],[Order Date]])</f>
        <v>2022</v>
      </c>
      <c r="M1183" t="str">
        <f>CONCATENATE(LEFT(Master_ventas[[#This Row],[ProdUpper]],3),RIGHT(Master_ventas[[#This Row],[Ext-Year]],2),"-",MID(Master_ventas[[#This Row],[Category]],1,1))</f>
        <v>HEA22-A</v>
      </c>
      <c r="N1183" t="str">
        <f>MID(Master_ventas[[#This Row],[ProdUpper]],1,3)</f>
        <v>HEA</v>
      </c>
      <c r="O1183" t="str">
        <f>UPPER(IF(Master_ventas[[#This Row],[Profit]]&gt;500,"High","Std"))</f>
        <v>STD</v>
      </c>
      <c r="P1183">
        <v>1182</v>
      </c>
    </row>
    <row r="1184" spans="1:16" x14ac:dyDescent="0.3">
      <c r="A1184" s="1">
        <v>44590</v>
      </c>
      <c r="B1184" t="s">
        <v>17</v>
      </c>
      <c r="C1184" t="s">
        <v>14</v>
      </c>
      <c r="D1184" t="s">
        <v>15</v>
      </c>
      <c r="E1184">
        <v>4</v>
      </c>
      <c r="F1184" s="3">
        <v>4056</v>
      </c>
      <c r="G1184" s="2">
        <v>1189.26</v>
      </c>
      <c r="H1184">
        <f>Master_ventas[[#This Row],[Profit]]/Master_ventas[[#This Row],[Sales]]</f>
        <v>0.29321005917159765</v>
      </c>
      <c r="I1184">
        <f ca="1">Referencia_Hoy-Master_ventas[[#This Row],[Order Date]]</f>
        <v>1733</v>
      </c>
      <c r="J1184" t="str">
        <f>UPPER(Master_ventas[[#This Row],[Product Name]])</f>
        <v>CAMERA</v>
      </c>
      <c r="K1184" t="str">
        <f>UPPER(Master_ventas[[#This Row],[Category]])</f>
        <v>ELECTRONICS</v>
      </c>
      <c r="L1184">
        <f>YEAR(Master_ventas[[#This Row],[Order Date]])</f>
        <v>2022</v>
      </c>
      <c r="M1184" t="str">
        <f>CONCATENATE(LEFT(Master_ventas[[#This Row],[ProdUpper]],3),RIGHT(Master_ventas[[#This Row],[Ext-Year]],2),"-",MID(Master_ventas[[#This Row],[Category]],1,1))</f>
        <v>CAM22-E</v>
      </c>
      <c r="N1184" t="str">
        <f>MID(Master_ventas[[#This Row],[ProdUpper]],1,3)</f>
        <v>CAM</v>
      </c>
      <c r="O1184" t="str">
        <f>UPPER(IF(Master_ventas[[#This Row],[Profit]]&gt;500,"High","Std"))</f>
        <v>HIGH</v>
      </c>
      <c r="P1184">
        <v>1183</v>
      </c>
    </row>
    <row r="1185" spans="1:16" x14ac:dyDescent="0.3">
      <c r="A1185" s="1">
        <v>44917</v>
      </c>
      <c r="B1185" t="s">
        <v>17</v>
      </c>
      <c r="C1185" t="s">
        <v>14</v>
      </c>
      <c r="D1185" t="s">
        <v>12</v>
      </c>
      <c r="E1185">
        <v>2</v>
      </c>
      <c r="F1185" s="3">
        <v>1986</v>
      </c>
      <c r="G1185" s="2">
        <v>208.88</v>
      </c>
      <c r="H1185">
        <f>Master_ventas[[#This Row],[Profit]]/Master_ventas[[#This Row],[Sales]]</f>
        <v>0.10517623363544813</v>
      </c>
      <c r="I1185">
        <f ca="1">Referencia_Hoy-Master_ventas[[#This Row],[Order Date]]</f>
        <v>1406</v>
      </c>
      <c r="J1185" t="str">
        <f>UPPER(Master_ventas[[#This Row],[Product Name]])</f>
        <v>CAMERA</v>
      </c>
      <c r="K1185" t="str">
        <f>UPPER(Master_ventas[[#This Row],[Category]])</f>
        <v>ELECTRONICS</v>
      </c>
      <c r="L1185">
        <f>YEAR(Master_ventas[[#This Row],[Order Date]])</f>
        <v>2022</v>
      </c>
      <c r="M1185" t="str">
        <f>CONCATENATE(LEFT(Master_ventas[[#This Row],[ProdUpper]],3),RIGHT(Master_ventas[[#This Row],[Ext-Year]],2),"-",MID(Master_ventas[[#This Row],[Category]],1,1))</f>
        <v>CAM22-E</v>
      </c>
      <c r="N1185" t="str">
        <f>MID(Master_ventas[[#This Row],[ProdUpper]],1,3)</f>
        <v>CAM</v>
      </c>
      <c r="O1185" t="str">
        <f>UPPER(IF(Master_ventas[[#This Row],[Profit]]&gt;500,"High","Std"))</f>
        <v>STD</v>
      </c>
      <c r="P1185">
        <v>1184</v>
      </c>
    </row>
    <row r="1186" spans="1:16" x14ac:dyDescent="0.3">
      <c r="A1186" s="1">
        <v>45389</v>
      </c>
      <c r="B1186" t="s">
        <v>7</v>
      </c>
      <c r="C1186" t="s">
        <v>8</v>
      </c>
      <c r="D1186" t="s">
        <v>12</v>
      </c>
      <c r="E1186">
        <v>3</v>
      </c>
      <c r="F1186" s="3">
        <v>1635</v>
      </c>
      <c r="G1186" s="2">
        <v>196.73</v>
      </c>
      <c r="H1186">
        <f>Master_ventas[[#This Row],[Profit]]/Master_ventas[[#This Row],[Sales]]</f>
        <v>0.12032415902140672</v>
      </c>
      <c r="I1186">
        <f ca="1">Referencia_Hoy-Master_ventas[[#This Row],[Order Date]]</f>
        <v>934</v>
      </c>
      <c r="J1186" t="str">
        <f>UPPER(Master_ventas[[#This Row],[Product Name]])</f>
        <v>PRINTER</v>
      </c>
      <c r="K1186" t="str">
        <f>UPPER(Master_ventas[[#This Row],[Category]])</f>
        <v>OFFICE</v>
      </c>
      <c r="L1186">
        <f>YEAR(Master_ventas[[#This Row],[Order Date]])</f>
        <v>2024</v>
      </c>
      <c r="M1186" t="str">
        <f>CONCATENATE(LEFT(Master_ventas[[#This Row],[ProdUpper]],3),RIGHT(Master_ventas[[#This Row],[Ext-Year]],2),"-",MID(Master_ventas[[#This Row],[Category]],1,1))</f>
        <v>PRI24-O</v>
      </c>
      <c r="N1186" t="str">
        <f>MID(Master_ventas[[#This Row],[ProdUpper]],1,3)</f>
        <v>PRI</v>
      </c>
      <c r="O1186" t="str">
        <f>UPPER(IF(Master_ventas[[#This Row],[Profit]]&gt;500,"High","Std"))</f>
        <v>STD</v>
      </c>
      <c r="P1186">
        <v>1185</v>
      </c>
    </row>
    <row r="1187" spans="1:16" x14ac:dyDescent="0.3">
      <c r="A1187" s="1">
        <v>44625</v>
      </c>
      <c r="B1187" t="s">
        <v>19</v>
      </c>
      <c r="C1187" t="s">
        <v>14</v>
      </c>
      <c r="D1187" t="s">
        <v>12</v>
      </c>
      <c r="E1187">
        <v>9</v>
      </c>
      <c r="F1187" s="3">
        <v>3132</v>
      </c>
      <c r="G1187" s="2">
        <v>443.27</v>
      </c>
      <c r="H1187">
        <f>Master_ventas[[#This Row],[Profit]]/Master_ventas[[#This Row],[Sales]]</f>
        <v>0.14152937420178799</v>
      </c>
      <c r="I1187">
        <f ca="1">Referencia_Hoy-Master_ventas[[#This Row],[Order Date]]</f>
        <v>1698</v>
      </c>
      <c r="J1187" t="str">
        <f>UPPER(Master_ventas[[#This Row],[Product Name]])</f>
        <v>SMARTWATCH</v>
      </c>
      <c r="K1187" t="str">
        <f>UPPER(Master_ventas[[#This Row],[Category]])</f>
        <v>ELECTRONICS</v>
      </c>
      <c r="L1187">
        <f>YEAR(Master_ventas[[#This Row],[Order Date]])</f>
        <v>2022</v>
      </c>
      <c r="M1187" t="str">
        <f>CONCATENATE(LEFT(Master_ventas[[#This Row],[ProdUpper]],3),RIGHT(Master_ventas[[#This Row],[Ext-Year]],2),"-",MID(Master_ventas[[#This Row],[Category]],1,1))</f>
        <v>SMA22-E</v>
      </c>
      <c r="N1187" t="str">
        <f>MID(Master_ventas[[#This Row],[ProdUpper]],1,3)</f>
        <v>SMA</v>
      </c>
      <c r="O1187" t="str">
        <f>UPPER(IF(Master_ventas[[#This Row],[Profit]]&gt;500,"High","Std"))</f>
        <v>STD</v>
      </c>
      <c r="P1187">
        <v>1186</v>
      </c>
    </row>
    <row r="1188" spans="1:16" x14ac:dyDescent="0.3">
      <c r="A1188" s="1">
        <v>45067</v>
      </c>
      <c r="B1188" t="s">
        <v>21</v>
      </c>
      <c r="C1188" t="s">
        <v>14</v>
      </c>
      <c r="D1188" t="s">
        <v>15</v>
      </c>
      <c r="E1188">
        <v>8</v>
      </c>
      <c r="F1188" s="3">
        <v>7064</v>
      </c>
      <c r="G1188" s="2">
        <v>1554.52</v>
      </c>
      <c r="H1188">
        <f>Master_ventas[[#This Row],[Profit]]/Master_ventas[[#This Row],[Sales]]</f>
        <v>0.22006228765571914</v>
      </c>
      <c r="I1188">
        <f ca="1">Referencia_Hoy-Master_ventas[[#This Row],[Order Date]]</f>
        <v>1256</v>
      </c>
      <c r="J1188" t="str">
        <f>UPPER(Master_ventas[[#This Row],[Product Name]])</f>
        <v>SMARTPHONE</v>
      </c>
      <c r="K1188" t="str">
        <f>UPPER(Master_ventas[[#This Row],[Category]])</f>
        <v>ELECTRONICS</v>
      </c>
      <c r="L1188">
        <f>YEAR(Master_ventas[[#This Row],[Order Date]])</f>
        <v>2023</v>
      </c>
      <c r="M1188" t="str">
        <f>CONCATENATE(LEFT(Master_ventas[[#This Row],[ProdUpper]],3),RIGHT(Master_ventas[[#This Row],[Ext-Year]],2),"-",MID(Master_ventas[[#This Row],[Category]],1,1))</f>
        <v>SMA23-E</v>
      </c>
      <c r="N1188" t="str">
        <f>MID(Master_ventas[[#This Row],[ProdUpper]],1,3)</f>
        <v>SMA</v>
      </c>
      <c r="O1188" t="str">
        <f>UPPER(IF(Master_ventas[[#This Row],[Profit]]&gt;500,"High","Std"))</f>
        <v>HIGH</v>
      </c>
      <c r="P1188">
        <v>1187</v>
      </c>
    </row>
    <row r="1189" spans="1:16" x14ac:dyDescent="0.3">
      <c r="A1189" s="1">
        <v>45367</v>
      </c>
      <c r="B1189" t="s">
        <v>17</v>
      </c>
      <c r="C1189" t="s">
        <v>14</v>
      </c>
      <c r="D1189" t="s">
        <v>12</v>
      </c>
      <c r="E1189">
        <v>1</v>
      </c>
      <c r="F1189" s="3">
        <v>907</v>
      </c>
      <c r="G1189" s="2">
        <v>249.2</v>
      </c>
      <c r="H1189">
        <f>Master_ventas[[#This Row],[Profit]]/Master_ventas[[#This Row],[Sales]]</f>
        <v>0.27475192943770671</v>
      </c>
      <c r="I1189">
        <f ca="1">Referencia_Hoy-Master_ventas[[#This Row],[Order Date]]</f>
        <v>956</v>
      </c>
      <c r="J1189" t="str">
        <f>UPPER(Master_ventas[[#This Row],[Product Name]])</f>
        <v>CAMERA</v>
      </c>
      <c r="K1189" t="str">
        <f>UPPER(Master_ventas[[#This Row],[Category]])</f>
        <v>ELECTRONICS</v>
      </c>
      <c r="L1189">
        <f>YEAR(Master_ventas[[#This Row],[Order Date]])</f>
        <v>2024</v>
      </c>
      <c r="M1189" t="str">
        <f>CONCATENATE(LEFT(Master_ventas[[#This Row],[ProdUpper]],3),RIGHT(Master_ventas[[#This Row],[Ext-Year]],2),"-",MID(Master_ventas[[#This Row],[Category]],1,1))</f>
        <v>CAM24-E</v>
      </c>
      <c r="N1189" t="str">
        <f>MID(Master_ventas[[#This Row],[ProdUpper]],1,3)</f>
        <v>CAM</v>
      </c>
      <c r="O1189" t="str">
        <f>UPPER(IF(Master_ventas[[#This Row],[Profit]]&gt;500,"High","Std"))</f>
        <v>STD</v>
      </c>
      <c r="P1189">
        <v>1188</v>
      </c>
    </row>
    <row r="1190" spans="1:16" x14ac:dyDescent="0.3">
      <c r="A1190" s="1">
        <v>44940</v>
      </c>
      <c r="B1190" t="s">
        <v>10</v>
      </c>
      <c r="C1190" t="s">
        <v>11</v>
      </c>
      <c r="D1190" t="s">
        <v>15</v>
      </c>
      <c r="E1190">
        <v>9</v>
      </c>
      <c r="F1190" s="3">
        <v>7938</v>
      </c>
      <c r="G1190" s="2">
        <v>1191.4100000000001</v>
      </c>
      <c r="H1190">
        <f>Master_ventas[[#This Row],[Profit]]/Master_ventas[[#This Row],[Sales]]</f>
        <v>0.15008944318468129</v>
      </c>
      <c r="I1190">
        <f ca="1">Referencia_Hoy-Master_ventas[[#This Row],[Order Date]]</f>
        <v>1383</v>
      </c>
      <c r="J1190" t="str">
        <f>UPPER(Master_ventas[[#This Row],[Product Name]])</f>
        <v>MOUSE</v>
      </c>
      <c r="K1190" t="str">
        <f>UPPER(Master_ventas[[#This Row],[Category]])</f>
        <v>ACCESSORIES</v>
      </c>
      <c r="L1190">
        <f>YEAR(Master_ventas[[#This Row],[Order Date]])</f>
        <v>2023</v>
      </c>
      <c r="M1190" t="str">
        <f>CONCATENATE(LEFT(Master_ventas[[#This Row],[ProdUpper]],3),RIGHT(Master_ventas[[#This Row],[Ext-Year]],2),"-",MID(Master_ventas[[#This Row],[Category]],1,1))</f>
        <v>MOU23-A</v>
      </c>
      <c r="N1190" t="str">
        <f>MID(Master_ventas[[#This Row],[ProdUpper]],1,3)</f>
        <v>MOU</v>
      </c>
      <c r="O1190" t="str">
        <f>UPPER(IF(Master_ventas[[#This Row],[Profit]]&gt;500,"High","Std"))</f>
        <v>HIGH</v>
      </c>
      <c r="P1190">
        <v>1189</v>
      </c>
    </row>
    <row r="1191" spans="1:16" x14ac:dyDescent="0.3">
      <c r="A1191" s="1">
        <v>45241</v>
      </c>
      <c r="B1191" t="s">
        <v>7</v>
      </c>
      <c r="C1191" t="s">
        <v>8</v>
      </c>
      <c r="D1191" t="s">
        <v>15</v>
      </c>
      <c r="E1191">
        <v>4</v>
      </c>
      <c r="F1191" s="3">
        <v>4360</v>
      </c>
      <c r="G1191" s="2">
        <v>1207.46</v>
      </c>
      <c r="H1191">
        <f>Master_ventas[[#This Row],[Profit]]/Master_ventas[[#This Row],[Sales]]</f>
        <v>0.27694036697247709</v>
      </c>
      <c r="I1191">
        <f ca="1">Referencia_Hoy-Master_ventas[[#This Row],[Order Date]]</f>
        <v>1082</v>
      </c>
      <c r="J1191" t="str">
        <f>UPPER(Master_ventas[[#This Row],[Product Name]])</f>
        <v>PRINTER</v>
      </c>
      <c r="K1191" t="str">
        <f>UPPER(Master_ventas[[#This Row],[Category]])</f>
        <v>OFFICE</v>
      </c>
      <c r="L1191">
        <f>YEAR(Master_ventas[[#This Row],[Order Date]])</f>
        <v>2023</v>
      </c>
      <c r="M1191" t="str">
        <f>CONCATENATE(LEFT(Master_ventas[[#This Row],[ProdUpper]],3),RIGHT(Master_ventas[[#This Row],[Ext-Year]],2),"-",MID(Master_ventas[[#This Row],[Category]],1,1))</f>
        <v>PRI23-O</v>
      </c>
      <c r="N1191" t="str">
        <f>MID(Master_ventas[[#This Row],[ProdUpper]],1,3)</f>
        <v>PRI</v>
      </c>
      <c r="O1191" t="str">
        <f>UPPER(IF(Master_ventas[[#This Row],[Profit]]&gt;500,"High","Std"))</f>
        <v>HIGH</v>
      </c>
      <c r="P1191">
        <v>1190</v>
      </c>
    </row>
    <row r="1192" spans="1:16" x14ac:dyDescent="0.3">
      <c r="A1192" s="1">
        <v>45523</v>
      </c>
      <c r="B1192" t="s">
        <v>22</v>
      </c>
      <c r="C1192" t="s">
        <v>11</v>
      </c>
      <c r="D1192" t="s">
        <v>16</v>
      </c>
      <c r="E1192">
        <v>3</v>
      </c>
      <c r="F1192" s="3">
        <v>375</v>
      </c>
      <c r="G1192" s="2">
        <v>95.04</v>
      </c>
      <c r="H1192">
        <f>Master_ventas[[#This Row],[Profit]]/Master_ventas[[#This Row],[Sales]]</f>
        <v>0.25344</v>
      </c>
      <c r="I1192">
        <f ca="1">Referencia_Hoy-Master_ventas[[#This Row],[Order Date]]</f>
        <v>800</v>
      </c>
      <c r="J1192" t="str">
        <f>UPPER(Master_ventas[[#This Row],[Product Name]])</f>
        <v>KEYBOARD</v>
      </c>
      <c r="K1192" t="str">
        <f>UPPER(Master_ventas[[#This Row],[Category]])</f>
        <v>ACCESSORIES</v>
      </c>
      <c r="L1192">
        <f>YEAR(Master_ventas[[#This Row],[Order Date]])</f>
        <v>2024</v>
      </c>
      <c r="M1192" t="str">
        <f>CONCATENATE(LEFT(Master_ventas[[#This Row],[ProdUpper]],3),RIGHT(Master_ventas[[#This Row],[Ext-Year]],2),"-",MID(Master_ventas[[#This Row],[Category]],1,1))</f>
        <v>KEY24-A</v>
      </c>
      <c r="N1192" t="str">
        <f>MID(Master_ventas[[#This Row],[ProdUpper]],1,3)</f>
        <v>KEY</v>
      </c>
      <c r="O1192" t="str">
        <f>UPPER(IF(Master_ventas[[#This Row],[Profit]]&gt;500,"High","Std"))</f>
        <v>STD</v>
      </c>
      <c r="P1192">
        <v>1191</v>
      </c>
    </row>
    <row r="1193" spans="1:16" x14ac:dyDescent="0.3">
      <c r="A1193" s="1">
        <v>44828</v>
      </c>
      <c r="B1193" t="s">
        <v>20</v>
      </c>
      <c r="C1193" t="s">
        <v>11</v>
      </c>
      <c r="D1193" t="s">
        <v>9</v>
      </c>
      <c r="E1193">
        <v>7</v>
      </c>
      <c r="F1193" s="3">
        <v>826</v>
      </c>
      <c r="G1193" s="2">
        <v>101.01</v>
      </c>
      <c r="H1193">
        <f>Master_ventas[[#This Row],[Profit]]/Master_ventas[[#This Row],[Sales]]</f>
        <v>0.12228813559322034</v>
      </c>
      <c r="I1193">
        <f ca="1">Referencia_Hoy-Master_ventas[[#This Row],[Order Date]]</f>
        <v>1495</v>
      </c>
      <c r="J1193" t="str">
        <f>UPPER(Master_ventas[[#This Row],[Product Name]])</f>
        <v>MONITOR</v>
      </c>
      <c r="K1193" t="str">
        <f>UPPER(Master_ventas[[#This Row],[Category]])</f>
        <v>ACCESSORIES</v>
      </c>
      <c r="L1193">
        <f>YEAR(Master_ventas[[#This Row],[Order Date]])</f>
        <v>2022</v>
      </c>
      <c r="M1193" t="str">
        <f>CONCATENATE(LEFT(Master_ventas[[#This Row],[ProdUpper]],3),RIGHT(Master_ventas[[#This Row],[Ext-Year]],2),"-",MID(Master_ventas[[#This Row],[Category]],1,1))</f>
        <v>MON22-A</v>
      </c>
      <c r="N1193" t="str">
        <f>MID(Master_ventas[[#This Row],[ProdUpper]],1,3)</f>
        <v>MON</v>
      </c>
      <c r="O1193" t="str">
        <f>UPPER(IF(Master_ventas[[#This Row],[Profit]]&gt;500,"High","Std"))</f>
        <v>STD</v>
      </c>
      <c r="P1193">
        <v>1192</v>
      </c>
    </row>
    <row r="1194" spans="1:16" x14ac:dyDescent="0.3">
      <c r="A1194" s="1">
        <v>45234</v>
      </c>
      <c r="B1194" t="s">
        <v>18</v>
      </c>
      <c r="C1194" t="s">
        <v>11</v>
      </c>
      <c r="D1194" t="s">
        <v>12</v>
      </c>
      <c r="E1194">
        <v>1</v>
      </c>
      <c r="F1194" s="3">
        <v>1011</v>
      </c>
      <c r="G1194" s="2">
        <v>186.42</v>
      </c>
      <c r="H1194">
        <f>Master_ventas[[#This Row],[Profit]]/Master_ventas[[#This Row],[Sales]]</f>
        <v>0.18439169139465875</v>
      </c>
      <c r="I1194">
        <f ca="1">Referencia_Hoy-Master_ventas[[#This Row],[Order Date]]</f>
        <v>1089</v>
      </c>
      <c r="J1194" t="str">
        <f>UPPER(Master_ventas[[#This Row],[Product Name]])</f>
        <v>HEADPHONES</v>
      </c>
      <c r="K1194" t="str">
        <f>UPPER(Master_ventas[[#This Row],[Category]])</f>
        <v>ACCESSORIES</v>
      </c>
      <c r="L1194">
        <f>YEAR(Master_ventas[[#This Row],[Order Date]])</f>
        <v>2023</v>
      </c>
      <c r="M1194" t="str">
        <f>CONCATENATE(LEFT(Master_ventas[[#This Row],[ProdUpper]],3),RIGHT(Master_ventas[[#This Row],[Ext-Year]],2),"-",MID(Master_ventas[[#This Row],[Category]],1,1))</f>
        <v>HEA23-A</v>
      </c>
      <c r="N1194" t="str">
        <f>MID(Master_ventas[[#This Row],[ProdUpper]],1,3)</f>
        <v>HEA</v>
      </c>
      <c r="O1194" t="str">
        <f>UPPER(IF(Master_ventas[[#This Row],[Profit]]&gt;500,"High","Std"))</f>
        <v>STD</v>
      </c>
      <c r="P1194">
        <v>1193</v>
      </c>
    </row>
    <row r="1195" spans="1:16" x14ac:dyDescent="0.3">
      <c r="A1195" s="1">
        <v>45178</v>
      </c>
      <c r="B1195" t="s">
        <v>10</v>
      </c>
      <c r="C1195" t="s">
        <v>11</v>
      </c>
      <c r="D1195" t="s">
        <v>12</v>
      </c>
      <c r="E1195">
        <v>3</v>
      </c>
      <c r="F1195" s="3">
        <v>807</v>
      </c>
      <c r="G1195" s="2">
        <v>148.58000000000001</v>
      </c>
      <c r="H1195">
        <f>Master_ventas[[#This Row],[Profit]]/Master_ventas[[#This Row],[Sales]]</f>
        <v>0.18411400247831475</v>
      </c>
      <c r="I1195">
        <f ca="1">Referencia_Hoy-Master_ventas[[#This Row],[Order Date]]</f>
        <v>1145</v>
      </c>
      <c r="J1195" t="str">
        <f>UPPER(Master_ventas[[#This Row],[Product Name]])</f>
        <v>MOUSE</v>
      </c>
      <c r="K1195" t="str">
        <f>UPPER(Master_ventas[[#This Row],[Category]])</f>
        <v>ACCESSORIES</v>
      </c>
      <c r="L1195">
        <f>YEAR(Master_ventas[[#This Row],[Order Date]])</f>
        <v>2023</v>
      </c>
      <c r="M1195" t="str">
        <f>CONCATENATE(LEFT(Master_ventas[[#This Row],[ProdUpper]],3),RIGHT(Master_ventas[[#This Row],[Ext-Year]],2),"-",MID(Master_ventas[[#This Row],[Category]],1,1))</f>
        <v>MOU23-A</v>
      </c>
      <c r="N1195" t="str">
        <f>MID(Master_ventas[[#This Row],[ProdUpper]],1,3)</f>
        <v>MOU</v>
      </c>
      <c r="O1195" t="str">
        <f>UPPER(IF(Master_ventas[[#This Row],[Profit]]&gt;500,"High","Std"))</f>
        <v>STD</v>
      </c>
      <c r="P1195">
        <v>1194</v>
      </c>
    </row>
    <row r="1196" spans="1:16" x14ac:dyDescent="0.3">
      <c r="A1196" s="1">
        <v>45643</v>
      </c>
      <c r="B1196" t="s">
        <v>18</v>
      </c>
      <c r="C1196" t="s">
        <v>11</v>
      </c>
      <c r="D1196" t="s">
        <v>9</v>
      </c>
      <c r="E1196">
        <v>2</v>
      </c>
      <c r="F1196" s="3">
        <v>1840</v>
      </c>
      <c r="G1196" s="2">
        <v>367.7</v>
      </c>
      <c r="H1196">
        <f>Master_ventas[[#This Row],[Profit]]/Master_ventas[[#This Row],[Sales]]</f>
        <v>0.19983695652173913</v>
      </c>
      <c r="I1196">
        <f ca="1">Referencia_Hoy-Master_ventas[[#This Row],[Order Date]]</f>
        <v>680</v>
      </c>
      <c r="J1196" t="str">
        <f>UPPER(Master_ventas[[#This Row],[Product Name]])</f>
        <v>HEADPHONES</v>
      </c>
      <c r="K1196" t="str">
        <f>UPPER(Master_ventas[[#This Row],[Category]])</f>
        <v>ACCESSORIES</v>
      </c>
      <c r="L1196">
        <f>YEAR(Master_ventas[[#This Row],[Order Date]])</f>
        <v>2024</v>
      </c>
      <c r="M1196" t="str">
        <f>CONCATENATE(LEFT(Master_ventas[[#This Row],[ProdUpper]],3),RIGHT(Master_ventas[[#This Row],[Ext-Year]],2),"-",MID(Master_ventas[[#This Row],[Category]],1,1))</f>
        <v>HEA24-A</v>
      </c>
      <c r="N1196" t="str">
        <f>MID(Master_ventas[[#This Row],[ProdUpper]],1,3)</f>
        <v>HEA</v>
      </c>
      <c r="O1196" t="str">
        <f>UPPER(IF(Master_ventas[[#This Row],[Profit]]&gt;500,"High","Std"))</f>
        <v>STD</v>
      </c>
      <c r="P1196">
        <v>1195</v>
      </c>
    </row>
    <row r="1197" spans="1:16" x14ac:dyDescent="0.3">
      <c r="A1197" s="1">
        <v>44599</v>
      </c>
      <c r="B1197" t="s">
        <v>22</v>
      </c>
      <c r="C1197" t="s">
        <v>11</v>
      </c>
      <c r="D1197" t="s">
        <v>16</v>
      </c>
      <c r="E1197">
        <v>5</v>
      </c>
      <c r="F1197" s="3">
        <v>4550</v>
      </c>
      <c r="G1197" s="2">
        <v>1039.3399999999999</v>
      </c>
      <c r="H1197">
        <f>Master_ventas[[#This Row],[Profit]]/Master_ventas[[#This Row],[Sales]]</f>
        <v>0.22842637362637361</v>
      </c>
      <c r="I1197">
        <f ca="1">Referencia_Hoy-Master_ventas[[#This Row],[Order Date]]</f>
        <v>1724</v>
      </c>
      <c r="J1197" t="str">
        <f>UPPER(Master_ventas[[#This Row],[Product Name]])</f>
        <v>KEYBOARD</v>
      </c>
      <c r="K1197" t="str">
        <f>UPPER(Master_ventas[[#This Row],[Category]])</f>
        <v>ACCESSORIES</v>
      </c>
      <c r="L1197">
        <f>YEAR(Master_ventas[[#This Row],[Order Date]])</f>
        <v>2022</v>
      </c>
      <c r="M1197" t="str">
        <f>CONCATENATE(LEFT(Master_ventas[[#This Row],[ProdUpper]],3),RIGHT(Master_ventas[[#This Row],[Ext-Year]],2),"-",MID(Master_ventas[[#This Row],[Category]],1,1))</f>
        <v>KEY22-A</v>
      </c>
      <c r="N1197" t="str">
        <f>MID(Master_ventas[[#This Row],[ProdUpper]],1,3)</f>
        <v>KEY</v>
      </c>
      <c r="O1197" t="str">
        <f>UPPER(IF(Master_ventas[[#This Row],[Profit]]&gt;500,"High","Std"))</f>
        <v>HIGH</v>
      </c>
      <c r="P1197">
        <v>1196</v>
      </c>
    </row>
    <row r="1198" spans="1:16" x14ac:dyDescent="0.3">
      <c r="A1198" s="1">
        <v>45298</v>
      </c>
      <c r="B1198" t="s">
        <v>21</v>
      </c>
      <c r="C1198" t="s">
        <v>14</v>
      </c>
      <c r="D1198" t="s">
        <v>9</v>
      </c>
      <c r="E1198">
        <v>9</v>
      </c>
      <c r="F1198" s="3">
        <v>8793</v>
      </c>
      <c r="G1198" s="2">
        <v>901.7</v>
      </c>
      <c r="H1198">
        <f>Master_ventas[[#This Row],[Profit]]/Master_ventas[[#This Row],[Sales]]</f>
        <v>0.10254748095075629</v>
      </c>
      <c r="I1198">
        <f ca="1">Referencia_Hoy-Master_ventas[[#This Row],[Order Date]]</f>
        <v>1025</v>
      </c>
      <c r="J1198" t="str">
        <f>UPPER(Master_ventas[[#This Row],[Product Name]])</f>
        <v>SMARTPHONE</v>
      </c>
      <c r="K1198" t="str">
        <f>UPPER(Master_ventas[[#This Row],[Category]])</f>
        <v>ELECTRONICS</v>
      </c>
      <c r="L1198">
        <f>YEAR(Master_ventas[[#This Row],[Order Date]])</f>
        <v>2024</v>
      </c>
      <c r="M1198" t="str">
        <f>CONCATENATE(LEFT(Master_ventas[[#This Row],[ProdUpper]],3),RIGHT(Master_ventas[[#This Row],[Ext-Year]],2),"-",MID(Master_ventas[[#This Row],[Category]],1,1))</f>
        <v>SMA24-E</v>
      </c>
      <c r="N1198" t="str">
        <f>MID(Master_ventas[[#This Row],[ProdUpper]],1,3)</f>
        <v>SMA</v>
      </c>
      <c r="O1198" t="str">
        <f>UPPER(IF(Master_ventas[[#This Row],[Profit]]&gt;500,"High","Std"))</f>
        <v>HIGH</v>
      </c>
      <c r="P1198">
        <v>1197</v>
      </c>
    </row>
    <row r="1199" spans="1:16" x14ac:dyDescent="0.3">
      <c r="A1199" s="1">
        <v>45482</v>
      </c>
      <c r="B1199" t="s">
        <v>18</v>
      </c>
      <c r="C1199" t="s">
        <v>11</v>
      </c>
      <c r="D1199" t="s">
        <v>9</v>
      </c>
      <c r="E1199">
        <v>5</v>
      </c>
      <c r="F1199" s="3">
        <v>310</v>
      </c>
      <c r="G1199" s="2">
        <v>32.01</v>
      </c>
      <c r="H1199">
        <f>Master_ventas[[#This Row],[Profit]]/Master_ventas[[#This Row],[Sales]]</f>
        <v>0.10325806451612903</v>
      </c>
      <c r="I1199">
        <f ca="1">Referencia_Hoy-Master_ventas[[#This Row],[Order Date]]</f>
        <v>841</v>
      </c>
      <c r="J1199" t="str">
        <f>UPPER(Master_ventas[[#This Row],[Product Name]])</f>
        <v>HEADPHONES</v>
      </c>
      <c r="K1199" t="str">
        <f>UPPER(Master_ventas[[#This Row],[Category]])</f>
        <v>ACCESSORIES</v>
      </c>
      <c r="L1199">
        <f>YEAR(Master_ventas[[#This Row],[Order Date]])</f>
        <v>2024</v>
      </c>
      <c r="M1199" t="str">
        <f>CONCATENATE(LEFT(Master_ventas[[#This Row],[ProdUpper]],3),RIGHT(Master_ventas[[#This Row],[Ext-Year]],2),"-",MID(Master_ventas[[#This Row],[Category]],1,1))</f>
        <v>HEA24-A</v>
      </c>
      <c r="N1199" t="str">
        <f>MID(Master_ventas[[#This Row],[ProdUpper]],1,3)</f>
        <v>HEA</v>
      </c>
      <c r="O1199" t="str">
        <f>UPPER(IF(Master_ventas[[#This Row],[Profit]]&gt;500,"High","Std"))</f>
        <v>STD</v>
      </c>
      <c r="P1199">
        <v>1198</v>
      </c>
    </row>
    <row r="1200" spans="1:16" x14ac:dyDescent="0.3">
      <c r="A1200" s="1">
        <v>45258</v>
      </c>
      <c r="B1200" t="s">
        <v>18</v>
      </c>
      <c r="C1200" t="s">
        <v>11</v>
      </c>
      <c r="D1200" t="s">
        <v>12</v>
      </c>
      <c r="E1200">
        <v>3</v>
      </c>
      <c r="F1200" s="3">
        <v>1143</v>
      </c>
      <c r="G1200" s="2">
        <v>275.04000000000002</v>
      </c>
      <c r="H1200">
        <f>Master_ventas[[#This Row],[Profit]]/Master_ventas[[#This Row],[Sales]]</f>
        <v>0.24062992125984253</v>
      </c>
      <c r="I1200">
        <f ca="1">Referencia_Hoy-Master_ventas[[#This Row],[Order Date]]</f>
        <v>1065</v>
      </c>
      <c r="J1200" t="str">
        <f>UPPER(Master_ventas[[#This Row],[Product Name]])</f>
        <v>HEADPHONES</v>
      </c>
      <c r="K1200" t="str">
        <f>UPPER(Master_ventas[[#This Row],[Category]])</f>
        <v>ACCESSORIES</v>
      </c>
      <c r="L1200">
        <f>YEAR(Master_ventas[[#This Row],[Order Date]])</f>
        <v>2023</v>
      </c>
      <c r="M1200" t="str">
        <f>CONCATENATE(LEFT(Master_ventas[[#This Row],[ProdUpper]],3),RIGHT(Master_ventas[[#This Row],[Ext-Year]],2),"-",MID(Master_ventas[[#This Row],[Category]],1,1))</f>
        <v>HEA23-A</v>
      </c>
      <c r="N1200" t="str">
        <f>MID(Master_ventas[[#This Row],[ProdUpper]],1,3)</f>
        <v>HEA</v>
      </c>
      <c r="O1200" t="str">
        <f>UPPER(IF(Master_ventas[[#This Row],[Profit]]&gt;500,"High","Std"))</f>
        <v>STD</v>
      </c>
      <c r="P1200">
        <v>1199</v>
      </c>
    </row>
    <row r="1201" spans="1:16" x14ac:dyDescent="0.3">
      <c r="A1201" s="1">
        <v>44630</v>
      </c>
      <c r="B1201" t="s">
        <v>20</v>
      </c>
      <c r="C1201" t="s">
        <v>11</v>
      </c>
      <c r="D1201" t="s">
        <v>16</v>
      </c>
      <c r="E1201">
        <v>3</v>
      </c>
      <c r="F1201" s="3">
        <v>2610</v>
      </c>
      <c r="G1201" s="2">
        <v>740.21</v>
      </c>
      <c r="H1201">
        <f>Master_ventas[[#This Row],[Profit]]/Master_ventas[[#This Row],[Sales]]</f>
        <v>0.28360536398467434</v>
      </c>
      <c r="I1201">
        <f ca="1">Referencia_Hoy-Master_ventas[[#This Row],[Order Date]]</f>
        <v>1693</v>
      </c>
      <c r="J1201" t="str">
        <f>UPPER(Master_ventas[[#This Row],[Product Name]])</f>
        <v>MONITOR</v>
      </c>
      <c r="K1201" t="str">
        <f>UPPER(Master_ventas[[#This Row],[Category]])</f>
        <v>ACCESSORIES</v>
      </c>
      <c r="L1201">
        <f>YEAR(Master_ventas[[#This Row],[Order Date]])</f>
        <v>2022</v>
      </c>
      <c r="M1201" t="str">
        <f>CONCATENATE(LEFT(Master_ventas[[#This Row],[ProdUpper]],3),RIGHT(Master_ventas[[#This Row],[Ext-Year]],2),"-",MID(Master_ventas[[#This Row],[Category]],1,1))</f>
        <v>MON22-A</v>
      </c>
      <c r="N1201" t="str">
        <f>MID(Master_ventas[[#This Row],[ProdUpper]],1,3)</f>
        <v>MON</v>
      </c>
      <c r="O1201" t="str">
        <f>UPPER(IF(Master_ventas[[#This Row],[Profit]]&gt;500,"High","Std"))</f>
        <v>HIGH</v>
      </c>
      <c r="P1201">
        <v>1200</v>
      </c>
    </row>
    <row r="1202" spans="1:16" x14ac:dyDescent="0.3">
      <c r="A1202" s="1">
        <v>44773</v>
      </c>
      <c r="B1202" t="s">
        <v>13</v>
      </c>
      <c r="C1202" t="s">
        <v>14</v>
      </c>
      <c r="D1202" t="s">
        <v>16</v>
      </c>
      <c r="E1202">
        <v>6</v>
      </c>
      <c r="F1202" s="3">
        <v>1494</v>
      </c>
      <c r="G1202" s="2">
        <v>269.25</v>
      </c>
      <c r="H1202">
        <f>Master_ventas[[#This Row],[Profit]]/Master_ventas[[#This Row],[Sales]]</f>
        <v>0.18022088353413654</v>
      </c>
      <c r="I1202">
        <f ca="1">Referencia_Hoy-Master_ventas[[#This Row],[Order Date]]</f>
        <v>1550</v>
      </c>
      <c r="J1202" t="str">
        <f>UPPER(Master_ventas[[#This Row],[Product Name]])</f>
        <v>TABLET</v>
      </c>
      <c r="K1202" t="str">
        <f>UPPER(Master_ventas[[#This Row],[Category]])</f>
        <v>ELECTRONICS</v>
      </c>
      <c r="L1202">
        <f>YEAR(Master_ventas[[#This Row],[Order Date]])</f>
        <v>2022</v>
      </c>
      <c r="M1202" t="str">
        <f>CONCATENATE(LEFT(Master_ventas[[#This Row],[ProdUpper]],3),RIGHT(Master_ventas[[#This Row],[Ext-Year]],2),"-",MID(Master_ventas[[#This Row],[Category]],1,1))</f>
        <v>TAB22-E</v>
      </c>
      <c r="N1202" t="str">
        <f>MID(Master_ventas[[#This Row],[ProdUpper]],1,3)</f>
        <v>TAB</v>
      </c>
      <c r="O1202" t="str">
        <f>UPPER(IF(Master_ventas[[#This Row],[Profit]]&gt;500,"High","Std"))</f>
        <v>STD</v>
      </c>
      <c r="P1202">
        <v>1201</v>
      </c>
    </row>
    <row r="1203" spans="1:16" x14ac:dyDescent="0.3">
      <c r="A1203" s="1">
        <v>45112</v>
      </c>
      <c r="B1203" t="s">
        <v>21</v>
      </c>
      <c r="C1203" t="s">
        <v>14</v>
      </c>
      <c r="D1203" t="s">
        <v>9</v>
      </c>
      <c r="E1203">
        <v>4</v>
      </c>
      <c r="F1203" s="3">
        <v>1524</v>
      </c>
      <c r="G1203" s="2">
        <v>189.32</v>
      </c>
      <c r="H1203">
        <f>Master_ventas[[#This Row],[Profit]]/Master_ventas[[#This Row],[Sales]]</f>
        <v>0.12422572178477689</v>
      </c>
      <c r="I1203">
        <f ca="1">Referencia_Hoy-Master_ventas[[#This Row],[Order Date]]</f>
        <v>1211</v>
      </c>
      <c r="J1203" t="str">
        <f>UPPER(Master_ventas[[#This Row],[Product Name]])</f>
        <v>SMARTPHONE</v>
      </c>
      <c r="K1203" t="str">
        <f>UPPER(Master_ventas[[#This Row],[Category]])</f>
        <v>ELECTRONICS</v>
      </c>
      <c r="L1203">
        <f>YEAR(Master_ventas[[#This Row],[Order Date]])</f>
        <v>2023</v>
      </c>
      <c r="M1203" t="str">
        <f>CONCATENATE(LEFT(Master_ventas[[#This Row],[ProdUpper]],3),RIGHT(Master_ventas[[#This Row],[Ext-Year]],2),"-",MID(Master_ventas[[#This Row],[Category]],1,1))</f>
        <v>SMA23-E</v>
      </c>
      <c r="N1203" t="str">
        <f>MID(Master_ventas[[#This Row],[ProdUpper]],1,3)</f>
        <v>SMA</v>
      </c>
      <c r="O1203" t="str">
        <f>UPPER(IF(Master_ventas[[#This Row],[Profit]]&gt;500,"High","Std"))</f>
        <v>STD</v>
      </c>
      <c r="P1203">
        <v>1202</v>
      </c>
    </row>
    <row r="1204" spans="1:16" x14ac:dyDescent="0.3">
      <c r="A1204" s="1">
        <v>45251</v>
      </c>
      <c r="B1204" t="s">
        <v>13</v>
      </c>
      <c r="C1204" t="s">
        <v>14</v>
      </c>
      <c r="D1204" t="s">
        <v>9</v>
      </c>
      <c r="E1204">
        <v>9</v>
      </c>
      <c r="F1204" s="3">
        <v>9441</v>
      </c>
      <c r="G1204" s="2">
        <v>2171.42</v>
      </c>
      <c r="H1204">
        <f>Master_ventas[[#This Row],[Profit]]/Master_ventas[[#This Row],[Sales]]</f>
        <v>0.22999894079017055</v>
      </c>
      <c r="I1204">
        <f ca="1">Referencia_Hoy-Master_ventas[[#This Row],[Order Date]]</f>
        <v>1072</v>
      </c>
      <c r="J1204" t="str">
        <f>UPPER(Master_ventas[[#This Row],[Product Name]])</f>
        <v>TABLET</v>
      </c>
      <c r="K1204" t="str">
        <f>UPPER(Master_ventas[[#This Row],[Category]])</f>
        <v>ELECTRONICS</v>
      </c>
      <c r="L1204">
        <f>YEAR(Master_ventas[[#This Row],[Order Date]])</f>
        <v>2023</v>
      </c>
      <c r="M1204" t="str">
        <f>CONCATENATE(LEFT(Master_ventas[[#This Row],[ProdUpper]],3),RIGHT(Master_ventas[[#This Row],[Ext-Year]],2),"-",MID(Master_ventas[[#This Row],[Category]],1,1))</f>
        <v>TAB23-E</v>
      </c>
      <c r="N1204" t="str">
        <f>MID(Master_ventas[[#This Row],[ProdUpper]],1,3)</f>
        <v>TAB</v>
      </c>
      <c r="O1204" t="str">
        <f>UPPER(IF(Master_ventas[[#This Row],[Profit]]&gt;500,"High","Std"))</f>
        <v>HIGH</v>
      </c>
      <c r="P1204">
        <v>1203</v>
      </c>
    </row>
    <row r="1205" spans="1:16" x14ac:dyDescent="0.3">
      <c r="A1205" s="1">
        <v>44730</v>
      </c>
      <c r="B1205" t="s">
        <v>21</v>
      </c>
      <c r="C1205" t="s">
        <v>14</v>
      </c>
      <c r="D1205" t="s">
        <v>15</v>
      </c>
      <c r="E1205">
        <v>4</v>
      </c>
      <c r="F1205" s="3">
        <v>3520</v>
      </c>
      <c r="G1205" s="2">
        <v>417.26</v>
      </c>
      <c r="H1205">
        <f>Master_ventas[[#This Row],[Profit]]/Master_ventas[[#This Row],[Sales]]</f>
        <v>0.11853977272727273</v>
      </c>
      <c r="I1205">
        <f ca="1">Referencia_Hoy-Master_ventas[[#This Row],[Order Date]]</f>
        <v>1593</v>
      </c>
      <c r="J1205" t="str">
        <f>UPPER(Master_ventas[[#This Row],[Product Name]])</f>
        <v>SMARTPHONE</v>
      </c>
      <c r="K1205" t="str">
        <f>UPPER(Master_ventas[[#This Row],[Category]])</f>
        <v>ELECTRONICS</v>
      </c>
      <c r="L1205">
        <f>YEAR(Master_ventas[[#This Row],[Order Date]])</f>
        <v>2022</v>
      </c>
      <c r="M1205" t="str">
        <f>CONCATENATE(LEFT(Master_ventas[[#This Row],[ProdUpper]],3),RIGHT(Master_ventas[[#This Row],[Ext-Year]],2),"-",MID(Master_ventas[[#This Row],[Category]],1,1))</f>
        <v>SMA22-E</v>
      </c>
      <c r="N1205" t="str">
        <f>MID(Master_ventas[[#This Row],[ProdUpper]],1,3)</f>
        <v>SMA</v>
      </c>
      <c r="O1205" t="str">
        <f>UPPER(IF(Master_ventas[[#This Row],[Profit]]&gt;500,"High","Std"))</f>
        <v>STD</v>
      </c>
      <c r="P1205">
        <v>1204</v>
      </c>
    </row>
    <row r="1206" spans="1:16" x14ac:dyDescent="0.3">
      <c r="A1206" s="1">
        <v>45014</v>
      </c>
      <c r="B1206" t="s">
        <v>13</v>
      </c>
      <c r="C1206" t="s">
        <v>14</v>
      </c>
      <c r="D1206" t="s">
        <v>16</v>
      </c>
      <c r="E1206">
        <v>2</v>
      </c>
      <c r="F1206" s="3">
        <v>390</v>
      </c>
      <c r="G1206" s="2">
        <v>103.99</v>
      </c>
      <c r="H1206">
        <f>Master_ventas[[#This Row],[Profit]]/Master_ventas[[#This Row],[Sales]]</f>
        <v>0.26664102564102565</v>
      </c>
      <c r="I1206">
        <f ca="1">Referencia_Hoy-Master_ventas[[#This Row],[Order Date]]</f>
        <v>1309</v>
      </c>
      <c r="J1206" t="str">
        <f>UPPER(Master_ventas[[#This Row],[Product Name]])</f>
        <v>TABLET</v>
      </c>
      <c r="K1206" t="str">
        <f>UPPER(Master_ventas[[#This Row],[Category]])</f>
        <v>ELECTRONICS</v>
      </c>
      <c r="L1206">
        <f>YEAR(Master_ventas[[#This Row],[Order Date]])</f>
        <v>2023</v>
      </c>
      <c r="M1206" t="str">
        <f>CONCATENATE(LEFT(Master_ventas[[#This Row],[ProdUpper]],3),RIGHT(Master_ventas[[#This Row],[Ext-Year]],2),"-",MID(Master_ventas[[#This Row],[Category]],1,1))</f>
        <v>TAB23-E</v>
      </c>
      <c r="N1206" t="str">
        <f>MID(Master_ventas[[#This Row],[ProdUpper]],1,3)</f>
        <v>TAB</v>
      </c>
      <c r="O1206" t="str">
        <f>UPPER(IF(Master_ventas[[#This Row],[Profit]]&gt;500,"High","Std"))</f>
        <v>STD</v>
      </c>
      <c r="P1206">
        <v>1205</v>
      </c>
    </row>
    <row r="1207" spans="1:16" x14ac:dyDescent="0.3">
      <c r="A1207" s="1">
        <v>45318</v>
      </c>
      <c r="B1207" t="s">
        <v>7</v>
      </c>
      <c r="C1207" t="s">
        <v>8</v>
      </c>
      <c r="D1207" t="s">
        <v>15</v>
      </c>
      <c r="E1207">
        <v>3</v>
      </c>
      <c r="F1207" s="3">
        <v>3219</v>
      </c>
      <c r="G1207" s="2">
        <v>255.09</v>
      </c>
      <c r="H1207">
        <f>Master_ventas[[#This Row],[Profit]]/Master_ventas[[#This Row],[Sales]]</f>
        <v>7.9245107176141666E-2</v>
      </c>
      <c r="I1207">
        <f ca="1">Referencia_Hoy-Master_ventas[[#This Row],[Order Date]]</f>
        <v>1005</v>
      </c>
      <c r="J1207" t="str">
        <f>UPPER(Master_ventas[[#This Row],[Product Name]])</f>
        <v>PRINTER</v>
      </c>
      <c r="K1207" t="str">
        <f>UPPER(Master_ventas[[#This Row],[Category]])</f>
        <v>OFFICE</v>
      </c>
      <c r="L1207">
        <f>YEAR(Master_ventas[[#This Row],[Order Date]])</f>
        <v>2024</v>
      </c>
      <c r="M1207" t="str">
        <f>CONCATENATE(LEFT(Master_ventas[[#This Row],[ProdUpper]],3),RIGHT(Master_ventas[[#This Row],[Ext-Year]],2),"-",MID(Master_ventas[[#This Row],[Category]],1,1))</f>
        <v>PRI24-O</v>
      </c>
      <c r="N1207" t="str">
        <f>MID(Master_ventas[[#This Row],[ProdUpper]],1,3)</f>
        <v>PRI</v>
      </c>
      <c r="O1207" t="str">
        <f>UPPER(IF(Master_ventas[[#This Row],[Profit]]&gt;500,"High","Std"))</f>
        <v>STD</v>
      </c>
      <c r="P1207">
        <v>1206</v>
      </c>
    </row>
    <row r="1208" spans="1:16" x14ac:dyDescent="0.3">
      <c r="A1208" s="1">
        <v>45564</v>
      </c>
      <c r="B1208" t="s">
        <v>23</v>
      </c>
      <c r="C1208" t="s">
        <v>14</v>
      </c>
      <c r="D1208" t="s">
        <v>9</v>
      </c>
      <c r="E1208">
        <v>1</v>
      </c>
      <c r="F1208" s="3">
        <v>450</v>
      </c>
      <c r="G1208" s="2">
        <v>75.89</v>
      </c>
      <c r="H1208">
        <f>Master_ventas[[#This Row],[Profit]]/Master_ventas[[#This Row],[Sales]]</f>
        <v>0.16864444444444446</v>
      </c>
      <c r="I1208">
        <f ca="1">Referencia_Hoy-Master_ventas[[#This Row],[Order Date]]</f>
        <v>759</v>
      </c>
      <c r="J1208" t="str">
        <f>UPPER(Master_ventas[[#This Row],[Product Name]])</f>
        <v>LAPTOP</v>
      </c>
      <c r="K1208" t="str">
        <f>UPPER(Master_ventas[[#This Row],[Category]])</f>
        <v>ELECTRONICS</v>
      </c>
      <c r="L1208">
        <f>YEAR(Master_ventas[[#This Row],[Order Date]])</f>
        <v>2024</v>
      </c>
      <c r="M1208" t="str">
        <f>CONCATENATE(LEFT(Master_ventas[[#This Row],[ProdUpper]],3),RIGHT(Master_ventas[[#This Row],[Ext-Year]],2),"-",MID(Master_ventas[[#This Row],[Category]],1,1))</f>
        <v>LAP24-E</v>
      </c>
      <c r="N1208" t="str">
        <f>MID(Master_ventas[[#This Row],[ProdUpper]],1,3)</f>
        <v>LAP</v>
      </c>
      <c r="O1208" t="str">
        <f>UPPER(IF(Master_ventas[[#This Row],[Profit]]&gt;500,"High","Std"))</f>
        <v>STD</v>
      </c>
      <c r="P1208">
        <v>1207</v>
      </c>
    </row>
    <row r="1209" spans="1:16" x14ac:dyDescent="0.3">
      <c r="A1209" s="1">
        <v>45150</v>
      </c>
      <c r="B1209" t="s">
        <v>19</v>
      </c>
      <c r="C1209" t="s">
        <v>14</v>
      </c>
      <c r="D1209" t="s">
        <v>15</v>
      </c>
      <c r="E1209">
        <v>4</v>
      </c>
      <c r="F1209" s="3">
        <v>828</v>
      </c>
      <c r="G1209" s="2">
        <v>216.98</v>
      </c>
      <c r="H1209">
        <f>Master_ventas[[#This Row],[Profit]]/Master_ventas[[#This Row],[Sales]]</f>
        <v>0.26205314009661834</v>
      </c>
      <c r="I1209">
        <f ca="1">Referencia_Hoy-Master_ventas[[#This Row],[Order Date]]</f>
        <v>1173</v>
      </c>
      <c r="J1209" t="str">
        <f>UPPER(Master_ventas[[#This Row],[Product Name]])</f>
        <v>SMARTWATCH</v>
      </c>
      <c r="K1209" t="str">
        <f>UPPER(Master_ventas[[#This Row],[Category]])</f>
        <v>ELECTRONICS</v>
      </c>
      <c r="L1209">
        <f>YEAR(Master_ventas[[#This Row],[Order Date]])</f>
        <v>2023</v>
      </c>
      <c r="M1209" t="str">
        <f>CONCATENATE(LEFT(Master_ventas[[#This Row],[ProdUpper]],3),RIGHT(Master_ventas[[#This Row],[Ext-Year]],2),"-",MID(Master_ventas[[#This Row],[Category]],1,1))</f>
        <v>SMA23-E</v>
      </c>
      <c r="N1209" t="str">
        <f>MID(Master_ventas[[#This Row],[ProdUpper]],1,3)</f>
        <v>SMA</v>
      </c>
      <c r="O1209" t="str">
        <f>UPPER(IF(Master_ventas[[#This Row],[Profit]]&gt;500,"High","Std"))</f>
        <v>STD</v>
      </c>
      <c r="P1209">
        <v>1208</v>
      </c>
    </row>
    <row r="1210" spans="1:16" x14ac:dyDescent="0.3">
      <c r="A1210" s="1">
        <v>44578</v>
      </c>
      <c r="B1210" t="s">
        <v>7</v>
      </c>
      <c r="C1210" t="s">
        <v>8</v>
      </c>
      <c r="D1210" t="s">
        <v>12</v>
      </c>
      <c r="E1210">
        <v>1</v>
      </c>
      <c r="F1210" s="3">
        <v>1146</v>
      </c>
      <c r="G1210" s="2">
        <v>152.79</v>
      </c>
      <c r="H1210">
        <f>Master_ventas[[#This Row],[Profit]]/Master_ventas[[#This Row],[Sales]]</f>
        <v>0.13332460732984291</v>
      </c>
      <c r="I1210">
        <f ca="1">Referencia_Hoy-Master_ventas[[#This Row],[Order Date]]</f>
        <v>1745</v>
      </c>
      <c r="J1210" t="str">
        <f>UPPER(Master_ventas[[#This Row],[Product Name]])</f>
        <v>PRINTER</v>
      </c>
      <c r="K1210" t="str">
        <f>UPPER(Master_ventas[[#This Row],[Category]])</f>
        <v>OFFICE</v>
      </c>
      <c r="L1210">
        <f>YEAR(Master_ventas[[#This Row],[Order Date]])</f>
        <v>2022</v>
      </c>
      <c r="M1210" t="str">
        <f>CONCATENATE(LEFT(Master_ventas[[#This Row],[ProdUpper]],3),RIGHT(Master_ventas[[#This Row],[Ext-Year]],2),"-",MID(Master_ventas[[#This Row],[Category]],1,1))</f>
        <v>PRI22-O</v>
      </c>
      <c r="N1210" t="str">
        <f>MID(Master_ventas[[#This Row],[ProdUpper]],1,3)</f>
        <v>PRI</v>
      </c>
      <c r="O1210" t="str">
        <f>UPPER(IF(Master_ventas[[#This Row],[Profit]]&gt;500,"High","Std"))</f>
        <v>STD</v>
      </c>
      <c r="P1210">
        <v>1209</v>
      </c>
    </row>
    <row r="1211" spans="1:16" x14ac:dyDescent="0.3">
      <c r="A1211" s="1">
        <v>45482</v>
      </c>
      <c r="B1211" t="s">
        <v>20</v>
      </c>
      <c r="C1211" t="s">
        <v>11</v>
      </c>
      <c r="D1211" t="s">
        <v>16</v>
      </c>
      <c r="E1211">
        <v>3</v>
      </c>
      <c r="F1211" s="3">
        <v>1986</v>
      </c>
      <c r="G1211" s="2">
        <v>361.33</v>
      </c>
      <c r="H1211">
        <f>Master_ventas[[#This Row],[Profit]]/Master_ventas[[#This Row],[Sales]]</f>
        <v>0.18193856998992949</v>
      </c>
      <c r="I1211">
        <f ca="1">Referencia_Hoy-Master_ventas[[#This Row],[Order Date]]</f>
        <v>841</v>
      </c>
      <c r="J1211" t="str">
        <f>UPPER(Master_ventas[[#This Row],[Product Name]])</f>
        <v>MONITOR</v>
      </c>
      <c r="K1211" t="str">
        <f>UPPER(Master_ventas[[#This Row],[Category]])</f>
        <v>ACCESSORIES</v>
      </c>
      <c r="L1211">
        <f>YEAR(Master_ventas[[#This Row],[Order Date]])</f>
        <v>2024</v>
      </c>
      <c r="M1211" t="str">
        <f>CONCATENATE(LEFT(Master_ventas[[#This Row],[ProdUpper]],3),RIGHT(Master_ventas[[#This Row],[Ext-Year]],2),"-",MID(Master_ventas[[#This Row],[Category]],1,1))</f>
        <v>MON24-A</v>
      </c>
      <c r="N1211" t="str">
        <f>MID(Master_ventas[[#This Row],[ProdUpper]],1,3)</f>
        <v>MON</v>
      </c>
      <c r="O1211" t="str">
        <f>UPPER(IF(Master_ventas[[#This Row],[Profit]]&gt;500,"High","Std"))</f>
        <v>STD</v>
      </c>
      <c r="P1211">
        <v>1210</v>
      </c>
    </row>
    <row r="1212" spans="1:16" x14ac:dyDescent="0.3">
      <c r="A1212" s="1">
        <v>45006</v>
      </c>
      <c r="B1212" t="s">
        <v>19</v>
      </c>
      <c r="C1212" t="s">
        <v>14</v>
      </c>
      <c r="D1212" t="s">
        <v>9</v>
      </c>
      <c r="E1212">
        <v>8</v>
      </c>
      <c r="F1212" s="3">
        <v>7264</v>
      </c>
      <c r="G1212" s="2">
        <v>1776.83</v>
      </c>
      <c r="H1212">
        <f>Master_ventas[[#This Row],[Profit]]/Master_ventas[[#This Row],[Sales]]</f>
        <v>0.24460765418502201</v>
      </c>
      <c r="I1212">
        <f ca="1">Referencia_Hoy-Master_ventas[[#This Row],[Order Date]]</f>
        <v>1317</v>
      </c>
      <c r="J1212" t="str">
        <f>UPPER(Master_ventas[[#This Row],[Product Name]])</f>
        <v>SMARTWATCH</v>
      </c>
      <c r="K1212" t="str">
        <f>UPPER(Master_ventas[[#This Row],[Category]])</f>
        <v>ELECTRONICS</v>
      </c>
      <c r="L1212">
        <f>YEAR(Master_ventas[[#This Row],[Order Date]])</f>
        <v>2023</v>
      </c>
      <c r="M1212" t="str">
        <f>CONCATENATE(LEFT(Master_ventas[[#This Row],[ProdUpper]],3),RIGHT(Master_ventas[[#This Row],[Ext-Year]],2),"-",MID(Master_ventas[[#This Row],[Category]],1,1))</f>
        <v>SMA23-E</v>
      </c>
      <c r="N1212" t="str">
        <f>MID(Master_ventas[[#This Row],[ProdUpper]],1,3)</f>
        <v>SMA</v>
      </c>
      <c r="O1212" t="str">
        <f>UPPER(IF(Master_ventas[[#This Row],[Profit]]&gt;500,"High","Std"))</f>
        <v>HIGH</v>
      </c>
      <c r="P1212">
        <v>1211</v>
      </c>
    </row>
    <row r="1213" spans="1:16" x14ac:dyDescent="0.3">
      <c r="A1213" s="1">
        <v>45085</v>
      </c>
      <c r="B1213" t="s">
        <v>23</v>
      </c>
      <c r="C1213" t="s">
        <v>14</v>
      </c>
      <c r="D1213" t="s">
        <v>12</v>
      </c>
      <c r="E1213">
        <v>7</v>
      </c>
      <c r="F1213" s="3">
        <v>7469</v>
      </c>
      <c r="G1213" s="2">
        <v>915.63</v>
      </c>
      <c r="H1213">
        <f>Master_ventas[[#This Row],[Profit]]/Master_ventas[[#This Row],[Sales]]</f>
        <v>0.12259070826081135</v>
      </c>
      <c r="I1213">
        <f ca="1">Referencia_Hoy-Master_ventas[[#This Row],[Order Date]]</f>
        <v>1238</v>
      </c>
      <c r="J1213" t="str">
        <f>UPPER(Master_ventas[[#This Row],[Product Name]])</f>
        <v>LAPTOP</v>
      </c>
      <c r="K1213" t="str">
        <f>UPPER(Master_ventas[[#This Row],[Category]])</f>
        <v>ELECTRONICS</v>
      </c>
      <c r="L1213">
        <f>YEAR(Master_ventas[[#This Row],[Order Date]])</f>
        <v>2023</v>
      </c>
      <c r="M1213" t="str">
        <f>CONCATENATE(LEFT(Master_ventas[[#This Row],[ProdUpper]],3),RIGHT(Master_ventas[[#This Row],[Ext-Year]],2),"-",MID(Master_ventas[[#This Row],[Category]],1,1))</f>
        <v>LAP23-E</v>
      </c>
      <c r="N1213" t="str">
        <f>MID(Master_ventas[[#This Row],[ProdUpper]],1,3)</f>
        <v>LAP</v>
      </c>
      <c r="O1213" t="str">
        <f>UPPER(IF(Master_ventas[[#This Row],[Profit]]&gt;500,"High","Std"))</f>
        <v>HIGH</v>
      </c>
      <c r="P1213">
        <v>1212</v>
      </c>
    </row>
    <row r="1214" spans="1:16" x14ac:dyDescent="0.3">
      <c r="A1214" s="1">
        <v>45370</v>
      </c>
      <c r="B1214" t="s">
        <v>23</v>
      </c>
      <c r="C1214" t="s">
        <v>14</v>
      </c>
      <c r="D1214" t="s">
        <v>15</v>
      </c>
      <c r="E1214">
        <v>5</v>
      </c>
      <c r="F1214" s="3">
        <v>1385</v>
      </c>
      <c r="G1214" s="2">
        <v>165.55</v>
      </c>
      <c r="H1214">
        <f>Master_ventas[[#This Row],[Profit]]/Master_ventas[[#This Row],[Sales]]</f>
        <v>0.11953068592057763</v>
      </c>
      <c r="I1214">
        <f ca="1">Referencia_Hoy-Master_ventas[[#This Row],[Order Date]]</f>
        <v>953</v>
      </c>
      <c r="J1214" t="str">
        <f>UPPER(Master_ventas[[#This Row],[Product Name]])</f>
        <v>LAPTOP</v>
      </c>
      <c r="K1214" t="str">
        <f>UPPER(Master_ventas[[#This Row],[Category]])</f>
        <v>ELECTRONICS</v>
      </c>
      <c r="L1214">
        <f>YEAR(Master_ventas[[#This Row],[Order Date]])</f>
        <v>2024</v>
      </c>
      <c r="M1214" t="str">
        <f>CONCATENATE(LEFT(Master_ventas[[#This Row],[ProdUpper]],3),RIGHT(Master_ventas[[#This Row],[Ext-Year]],2),"-",MID(Master_ventas[[#This Row],[Category]],1,1))</f>
        <v>LAP24-E</v>
      </c>
      <c r="N1214" t="str">
        <f>MID(Master_ventas[[#This Row],[ProdUpper]],1,3)</f>
        <v>LAP</v>
      </c>
      <c r="O1214" t="str">
        <f>UPPER(IF(Master_ventas[[#This Row],[Profit]]&gt;500,"High","Std"))</f>
        <v>STD</v>
      </c>
      <c r="P1214">
        <v>1213</v>
      </c>
    </row>
    <row r="1215" spans="1:16" x14ac:dyDescent="0.3">
      <c r="A1215" s="1">
        <v>44998</v>
      </c>
      <c r="B1215" t="s">
        <v>13</v>
      </c>
      <c r="C1215" t="s">
        <v>14</v>
      </c>
      <c r="D1215" t="s">
        <v>9</v>
      </c>
      <c r="E1215">
        <v>4</v>
      </c>
      <c r="F1215" s="3">
        <v>4556</v>
      </c>
      <c r="G1215" s="2">
        <v>315.07</v>
      </c>
      <c r="H1215">
        <f>Master_ventas[[#This Row],[Profit]]/Master_ventas[[#This Row],[Sales]]</f>
        <v>6.9154960491659354E-2</v>
      </c>
      <c r="I1215">
        <f ca="1">Referencia_Hoy-Master_ventas[[#This Row],[Order Date]]</f>
        <v>1325</v>
      </c>
      <c r="J1215" t="str">
        <f>UPPER(Master_ventas[[#This Row],[Product Name]])</f>
        <v>TABLET</v>
      </c>
      <c r="K1215" t="str">
        <f>UPPER(Master_ventas[[#This Row],[Category]])</f>
        <v>ELECTRONICS</v>
      </c>
      <c r="L1215">
        <f>YEAR(Master_ventas[[#This Row],[Order Date]])</f>
        <v>2023</v>
      </c>
      <c r="M1215" t="str">
        <f>CONCATENATE(LEFT(Master_ventas[[#This Row],[ProdUpper]],3),RIGHT(Master_ventas[[#This Row],[Ext-Year]],2),"-",MID(Master_ventas[[#This Row],[Category]],1,1))</f>
        <v>TAB23-E</v>
      </c>
      <c r="N1215" t="str">
        <f>MID(Master_ventas[[#This Row],[ProdUpper]],1,3)</f>
        <v>TAB</v>
      </c>
      <c r="O1215" t="str">
        <f>UPPER(IF(Master_ventas[[#This Row],[Profit]]&gt;500,"High","Std"))</f>
        <v>STD</v>
      </c>
      <c r="P1215">
        <v>1214</v>
      </c>
    </row>
    <row r="1216" spans="1:16" x14ac:dyDescent="0.3">
      <c r="A1216" s="1">
        <v>45330</v>
      </c>
      <c r="B1216" t="s">
        <v>20</v>
      </c>
      <c r="C1216" t="s">
        <v>11</v>
      </c>
      <c r="D1216" t="s">
        <v>9</v>
      </c>
      <c r="E1216">
        <v>3</v>
      </c>
      <c r="F1216" s="3">
        <v>456</v>
      </c>
      <c r="G1216" s="2">
        <v>61.42</v>
      </c>
      <c r="H1216">
        <f>Master_ventas[[#This Row],[Profit]]/Master_ventas[[#This Row],[Sales]]</f>
        <v>0.13469298245614036</v>
      </c>
      <c r="I1216">
        <f ca="1">Referencia_Hoy-Master_ventas[[#This Row],[Order Date]]</f>
        <v>993</v>
      </c>
      <c r="J1216" t="str">
        <f>UPPER(Master_ventas[[#This Row],[Product Name]])</f>
        <v>MONITOR</v>
      </c>
      <c r="K1216" t="str">
        <f>UPPER(Master_ventas[[#This Row],[Category]])</f>
        <v>ACCESSORIES</v>
      </c>
      <c r="L1216">
        <f>YEAR(Master_ventas[[#This Row],[Order Date]])</f>
        <v>2024</v>
      </c>
      <c r="M1216" t="str">
        <f>CONCATENATE(LEFT(Master_ventas[[#This Row],[ProdUpper]],3),RIGHT(Master_ventas[[#This Row],[Ext-Year]],2),"-",MID(Master_ventas[[#This Row],[Category]],1,1))</f>
        <v>MON24-A</v>
      </c>
      <c r="N1216" t="str">
        <f>MID(Master_ventas[[#This Row],[ProdUpper]],1,3)</f>
        <v>MON</v>
      </c>
      <c r="O1216" t="str">
        <f>UPPER(IF(Master_ventas[[#This Row],[Profit]]&gt;500,"High","Std"))</f>
        <v>STD</v>
      </c>
      <c r="P1216">
        <v>1215</v>
      </c>
    </row>
    <row r="1217" spans="1:16" x14ac:dyDescent="0.3">
      <c r="A1217" s="1">
        <v>45611</v>
      </c>
      <c r="B1217" t="s">
        <v>20</v>
      </c>
      <c r="C1217" t="s">
        <v>11</v>
      </c>
      <c r="D1217" t="s">
        <v>9</v>
      </c>
      <c r="E1217">
        <v>2</v>
      </c>
      <c r="F1217" s="3">
        <v>1984</v>
      </c>
      <c r="G1217" s="2">
        <v>125.13</v>
      </c>
      <c r="H1217">
        <f>Master_ventas[[#This Row],[Profit]]/Master_ventas[[#This Row],[Sales]]</f>
        <v>6.3069556451612899E-2</v>
      </c>
      <c r="I1217">
        <f ca="1">Referencia_Hoy-Master_ventas[[#This Row],[Order Date]]</f>
        <v>712</v>
      </c>
      <c r="J1217" t="str">
        <f>UPPER(Master_ventas[[#This Row],[Product Name]])</f>
        <v>MONITOR</v>
      </c>
      <c r="K1217" t="str">
        <f>UPPER(Master_ventas[[#This Row],[Category]])</f>
        <v>ACCESSORIES</v>
      </c>
      <c r="L1217">
        <f>YEAR(Master_ventas[[#This Row],[Order Date]])</f>
        <v>2024</v>
      </c>
      <c r="M1217" t="str">
        <f>CONCATENATE(LEFT(Master_ventas[[#This Row],[ProdUpper]],3),RIGHT(Master_ventas[[#This Row],[Ext-Year]],2),"-",MID(Master_ventas[[#This Row],[Category]],1,1))</f>
        <v>MON24-A</v>
      </c>
      <c r="N1217" t="str">
        <f>MID(Master_ventas[[#This Row],[ProdUpper]],1,3)</f>
        <v>MON</v>
      </c>
      <c r="O1217" t="str">
        <f>UPPER(IF(Master_ventas[[#This Row],[Profit]]&gt;500,"High","Std"))</f>
        <v>STD</v>
      </c>
      <c r="P1217">
        <v>1216</v>
      </c>
    </row>
    <row r="1218" spans="1:16" x14ac:dyDescent="0.3">
      <c r="A1218" s="1">
        <v>45552</v>
      </c>
      <c r="B1218" t="s">
        <v>19</v>
      </c>
      <c r="C1218" t="s">
        <v>14</v>
      </c>
      <c r="D1218" t="s">
        <v>9</v>
      </c>
      <c r="E1218">
        <v>6</v>
      </c>
      <c r="F1218" s="3">
        <v>5178</v>
      </c>
      <c r="G1218" s="2">
        <v>1321.58</v>
      </c>
      <c r="H1218">
        <f>Master_ventas[[#This Row],[Profit]]/Master_ventas[[#This Row],[Sales]]</f>
        <v>0.25522981846272691</v>
      </c>
      <c r="I1218">
        <f ca="1">Referencia_Hoy-Master_ventas[[#This Row],[Order Date]]</f>
        <v>771</v>
      </c>
      <c r="J1218" t="str">
        <f>UPPER(Master_ventas[[#This Row],[Product Name]])</f>
        <v>SMARTWATCH</v>
      </c>
      <c r="K1218" t="str">
        <f>UPPER(Master_ventas[[#This Row],[Category]])</f>
        <v>ELECTRONICS</v>
      </c>
      <c r="L1218">
        <f>YEAR(Master_ventas[[#This Row],[Order Date]])</f>
        <v>2024</v>
      </c>
      <c r="M1218" t="str">
        <f>CONCATENATE(LEFT(Master_ventas[[#This Row],[ProdUpper]],3),RIGHT(Master_ventas[[#This Row],[Ext-Year]],2),"-",MID(Master_ventas[[#This Row],[Category]],1,1))</f>
        <v>SMA24-E</v>
      </c>
      <c r="N1218" t="str">
        <f>MID(Master_ventas[[#This Row],[ProdUpper]],1,3)</f>
        <v>SMA</v>
      </c>
      <c r="O1218" t="str">
        <f>UPPER(IF(Master_ventas[[#This Row],[Profit]]&gt;500,"High","Std"))</f>
        <v>HIGH</v>
      </c>
      <c r="P1218">
        <v>1217</v>
      </c>
    </row>
    <row r="1219" spans="1:16" x14ac:dyDescent="0.3">
      <c r="A1219" s="1">
        <v>45057</v>
      </c>
      <c r="B1219" t="s">
        <v>19</v>
      </c>
      <c r="C1219" t="s">
        <v>14</v>
      </c>
      <c r="D1219" t="s">
        <v>16</v>
      </c>
      <c r="E1219">
        <v>1</v>
      </c>
      <c r="F1219" s="3">
        <v>281</v>
      </c>
      <c r="G1219" s="2">
        <v>30.51</v>
      </c>
      <c r="H1219">
        <f>Master_ventas[[#This Row],[Profit]]/Master_ventas[[#This Row],[Sales]]</f>
        <v>0.10857651245551601</v>
      </c>
      <c r="I1219">
        <f ca="1">Referencia_Hoy-Master_ventas[[#This Row],[Order Date]]</f>
        <v>1266</v>
      </c>
      <c r="J1219" t="str">
        <f>UPPER(Master_ventas[[#This Row],[Product Name]])</f>
        <v>SMARTWATCH</v>
      </c>
      <c r="K1219" t="str">
        <f>UPPER(Master_ventas[[#This Row],[Category]])</f>
        <v>ELECTRONICS</v>
      </c>
      <c r="L1219">
        <f>YEAR(Master_ventas[[#This Row],[Order Date]])</f>
        <v>2023</v>
      </c>
      <c r="M1219" t="str">
        <f>CONCATENATE(LEFT(Master_ventas[[#This Row],[ProdUpper]],3),RIGHT(Master_ventas[[#This Row],[Ext-Year]],2),"-",MID(Master_ventas[[#This Row],[Category]],1,1))</f>
        <v>SMA23-E</v>
      </c>
      <c r="N1219" t="str">
        <f>MID(Master_ventas[[#This Row],[ProdUpper]],1,3)</f>
        <v>SMA</v>
      </c>
      <c r="O1219" t="str">
        <f>UPPER(IF(Master_ventas[[#This Row],[Profit]]&gt;500,"High","Std"))</f>
        <v>STD</v>
      </c>
      <c r="P1219">
        <v>1218</v>
      </c>
    </row>
    <row r="1220" spans="1:16" x14ac:dyDescent="0.3">
      <c r="A1220" s="1">
        <v>45622</v>
      </c>
      <c r="B1220" t="s">
        <v>20</v>
      </c>
      <c r="C1220" t="s">
        <v>11</v>
      </c>
      <c r="D1220" t="s">
        <v>15</v>
      </c>
      <c r="E1220">
        <v>9</v>
      </c>
      <c r="F1220" s="3">
        <v>3033</v>
      </c>
      <c r="G1220" s="2">
        <v>177.92</v>
      </c>
      <c r="H1220">
        <f>Master_ventas[[#This Row],[Profit]]/Master_ventas[[#This Row],[Sales]]</f>
        <v>5.8661391361688096E-2</v>
      </c>
      <c r="I1220">
        <f ca="1">Referencia_Hoy-Master_ventas[[#This Row],[Order Date]]</f>
        <v>701</v>
      </c>
      <c r="J1220" t="str">
        <f>UPPER(Master_ventas[[#This Row],[Product Name]])</f>
        <v>MONITOR</v>
      </c>
      <c r="K1220" t="str">
        <f>UPPER(Master_ventas[[#This Row],[Category]])</f>
        <v>ACCESSORIES</v>
      </c>
      <c r="L1220">
        <f>YEAR(Master_ventas[[#This Row],[Order Date]])</f>
        <v>2024</v>
      </c>
      <c r="M1220" t="str">
        <f>CONCATENATE(LEFT(Master_ventas[[#This Row],[ProdUpper]],3),RIGHT(Master_ventas[[#This Row],[Ext-Year]],2),"-",MID(Master_ventas[[#This Row],[Category]],1,1))</f>
        <v>MON24-A</v>
      </c>
      <c r="N1220" t="str">
        <f>MID(Master_ventas[[#This Row],[ProdUpper]],1,3)</f>
        <v>MON</v>
      </c>
      <c r="O1220" t="str">
        <f>UPPER(IF(Master_ventas[[#This Row],[Profit]]&gt;500,"High","Std"))</f>
        <v>STD</v>
      </c>
      <c r="P1220">
        <v>1219</v>
      </c>
    </row>
    <row r="1221" spans="1:16" x14ac:dyDescent="0.3">
      <c r="A1221" s="1">
        <v>44647</v>
      </c>
      <c r="B1221" t="s">
        <v>17</v>
      </c>
      <c r="C1221" t="s">
        <v>14</v>
      </c>
      <c r="D1221" t="s">
        <v>12</v>
      </c>
      <c r="E1221">
        <v>3</v>
      </c>
      <c r="F1221" s="3">
        <v>1107</v>
      </c>
      <c r="G1221" s="2">
        <v>65.88</v>
      </c>
      <c r="H1221">
        <f>Master_ventas[[#This Row],[Profit]]/Master_ventas[[#This Row],[Sales]]</f>
        <v>5.9512195121951217E-2</v>
      </c>
      <c r="I1221">
        <f ca="1">Referencia_Hoy-Master_ventas[[#This Row],[Order Date]]</f>
        <v>1676</v>
      </c>
      <c r="J1221" t="str">
        <f>UPPER(Master_ventas[[#This Row],[Product Name]])</f>
        <v>CAMERA</v>
      </c>
      <c r="K1221" t="str">
        <f>UPPER(Master_ventas[[#This Row],[Category]])</f>
        <v>ELECTRONICS</v>
      </c>
      <c r="L1221">
        <f>YEAR(Master_ventas[[#This Row],[Order Date]])</f>
        <v>2022</v>
      </c>
      <c r="M1221" t="str">
        <f>CONCATENATE(LEFT(Master_ventas[[#This Row],[ProdUpper]],3),RIGHT(Master_ventas[[#This Row],[Ext-Year]],2),"-",MID(Master_ventas[[#This Row],[Category]],1,1))</f>
        <v>CAM22-E</v>
      </c>
      <c r="N1221" t="str">
        <f>MID(Master_ventas[[#This Row],[ProdUpper]],1,3)</f>
        <v>CAM</v>
      </c>
      <c r="O1221" t="str">
        <f>UPPER(IF(Master_ventas[[#This Row],[Profit]]&gt;500,"High","Std"))</f>
        <v>STD</v>
      </c>
      <c r="P1221">
        <v>1220</v>
      </c>
    </row>
    <row r="1222" spans="1:16" x14ac:dyDescent="0.3">
      <c r="A1222" s="1">
        <v>44661</v>
      </c>
      <c r="B1222" t="s">
        <v>10</v>
      </c>
      <c r="C1222" t="s">
        <v>11</v>
      </c>
      <c r="D1222" t="s">
        <v>15</v>
      </c>
      <c r="E1222">
        <v>3</v>
      </c>
      <c r="F1222" s="3">
        <v>1446</v>
      </c>
      <c r="G1222" s="2">
        <v>356.7</v>
      </c>
      <c r="H1222">
        <f>Master_ventas[[#This Row],[Profit]]/Master_ventas[[#This Row],[Sales]]</f>
        <v>0.24668049792531119</v>
      </c>
      <c r="I1222">
        <f ca="1">Referencia_Hoy-Master_ventas[[#This Row],[Order Date]]</f>
        <v>1662</v>
      </c>
      <c r="J1222" t="str">
        <f>UPPER(Master_ventas[[#This Row],[Product Name]])</f>
        <v>MOUSE</v>
      </c>
      <c r="K1222" t="str">
        <f>UPPER(Master_ventas[[#This Row],[Category]])</f>
        <v>ACCESSORIES</v>
      </c>
      <c r="L1222">
        <f>YEAR(Master_ventas[[#This Row],[Order Date]])</f>
        <v>2022</v>
      </c>
      <c r="M1222" t="str">
        <f>CONCATENATE(LEFT(Master_ventas[[#This Row],[ProdUpper]],3),RIGHT(Master_ventas[[#This Row],[Ext-Year]],2),"-",MID(Master_ventas[[#This Row],[Category]],1,1))</f>
        <v>MOU22-A</v>
      </c>
      <c r="N1222" t="str">
        <f>MID(Master_ventas[[#This Row],[ProdUpper]],1,3)</f>
        <v>MOU</v>
      </c>
      <c r="O1222" t="str">
        <f>UPPER(IF(Master_ventas[[#This Row],[Profit]]&gt;500,"High","Std"))</f>
        <v>STD</v>
      </c>
      <c r="P1222">
        <v>1221</v>
      </c>
    </row>
    <row r="1223" spans="1:16" x14ac:dyDescent="0.3">
      <c r="A1223" s="1">
        <v>45500</v>
      </c>
      <c r="B1223" t="s">
        <v>7</v>
      </c>
      <c r="C1223" t="s">
        <v>8</v>
      </c>
      <c r="D1223" t="s">
        <v>9</v>
      </c>
      <c r="E1223">
        <v>3</v>
      </c>
      <c r="F1223" s="3">
        <v>1335</v>
      </c>
      <c r="G1223" s="2">
        <v>263.04000000000002</v>
      </c>
      <c r="H1223">
        <f>Master_ventas[[#This Row],[Profit]]/Master_ventas[[#This Row],[Sales]]</f>
        <v>0.19703370786516855</v>
      </c>
      <c r="I1223">
        <f ca="1">Referencia_Hoy-Master_ventas[[#This Row],[Order Date]]</f>
        <v>823</v>
      </c>
      <c r="J1223" t="str">
        <f>UPPER(Master_ventas[[#This Row],[Product Name]])</f>
        <v>PRINTER</v>
      </c>
      <c r="K1223" t="str">
        <f>UPPER(Master_ventas[[#This Row],[Category]])</f>
        <v>OFFICE</v>
      </c>
      <c r="L1223">
        <f>YEAR(Master_ventas[[#This Row],[Order Date]])</f>
        <v>2024</v>
      </c>
      <c r="M1223" t="str">
        <f>CONCATENATE(LEFT(Master_ventas[[#This Row],[ProdUpper]],3),RIGHT(Master_ventas[[#This Row],[Ext-Year]],2),"-",MID(Master_ventas[[#This Row],[Category]],1,1))</f>
        <v>PRI24-O</v>
      </c>
      <c r="N1223" t="str">
        <f>MID(Master_ventas[[#This Row],[ProdUpper]],1,3)</f>
        <v>PRI</v>
      </c>
      <c r="O1223" t="str">
        <f>UPPER(IF(Master_ventas[[#This Row],[Profit]]&gt;500,"High","Std"))</f>
        <v>STD</v>
      </c>
      <c r="P1223">
        <v>1222</v>
      </c>
    </row>
    <row r="1224" spans="1:16" x14ac:dyDescent="0.3">
      <c r="A1224" s="1">
        <v>44949</v>
      </c>
      <c r="B1224" t="s">
        <v>10</v>
      </c>
      <c r="C1224" t="s">
        <v>11</v>
      </c>
      <c r="D1224" t="s">
        <v>15</v>
      </c>
      <c r="E1224">
        <v>2</v>
      </c>
      <c r="F1224" s="3">
        <v>266</v>
      </c>
      <c r="G1224" s="2">
        <v>20.11</v>
      </c>
      <c r="H1224">
        <f>Master_ventas[[#This Row],[Profit]]/Master_ventas[[#This Row],[Sales]]</f>
        <v>7.5601503759398489E-2</v>
      </c>
      <c r="I1224">
        <f ca="1">Referencia_Hoy-Master_ventas[[#This Row],[Order Date]]</f>
        <v>1374</v>
      </c>
      <c r="J1224" t="str">
        <f>UPPER(Master_ventas[[#This Row],[Product Name]])</f>
        <v>MOUSE</v>
      </c>
      <c r="K1224" t="str">
        <f>UPPER(Master_ventas[[#This Row],[Category]])</f>
        <v>ACCESSORIES</v>
      </c>
      <c r="L1224">
        <f>YEAR(Master_ventas[[#This Row],[Order Date]])</f>
        <v>2023</v>
      </c>
      <c r="M1224" t="str">
        <f>CONCATENATE(LEFT(Master_ventas[[#This Row],[ProdUpper]],3),RIGHT(Master_ventas[[#This Row],[Ext-Year]],2),"-",MID(Master_ventas[[#This Row],[Category]],1,1))</f>
        <v>MOU23-A</v>
      </c>
      <c r="N1224" t="str">
        <f>MID(Master_ventas[[#This Row],[ProdUpper]],1,3)</f>
        <v>MOU</v>
      </c>
      <c r="O1224" t="str">
        <f>UPPER(IF(Master_ventas[[#This Row],[Profit]]&gt;500,"High","Std"))</f>
        <v>STD</v>
      </c>
      <c r="P1224">
        <v>1223</v>
      </c>
    </row>
    <row r="1225" spans="1:16" x14ac:dyDescent="0.3">
      <c r="A1225" s="1">
        <v>45404</v>
      </c>
      <c r="B1225" t="s">
        <v>21</v>
      </c>
      <c r="C1225" t="s">
        <v>14</v>
      </c>
      <c r="D1225" t="s">
        <v>16</v>
      </c>
      <c r="E1225">
        <v>6</v>
      </c>
      <c r="F1225" s="3">
        <v>648</v>
      </c>
      <c r="G1225" s="2">
        <v>162.30000000000001</v>
      </c>
      <c r="H1225">
        <f>Master_ventas[[#This Row],[Profit]]/Master_ventas[[#This Row],[Sales]]</f>
        <v>0.250462962962963</v>
      </c>
      <c r="I1225">
        <f ca="1">Referencia_Hoy-Master_ventas[[#This Row],[Order Date]]</f>
        <v>919</v>
      </c>
      <c r="J1225" t="str">
        <f>UPPER(Master_ventas[[#This Row],[Product Name]])</f>
        <v>SMARTPHONE</v>
      </c>
      <c r="K1225" t="str">
        <f>UPPER(Master_ventas[[#This Row],[Category]])</f>
        <v>ELECTRONICS</v>
      </c>
      <c r="L1225">
        <f>YEAR(Master_ventas[[#This Row],[Order Date]])</f>
        <v>2024</v>
      </c>
      <c r="M1225" t="str">
        <f>CONCATENATE(LEFT(Master_ventas[[#This Row],[ProdUpper]],3),RIGHT(Master_ventas[[#This Row],[Ext-Year]],2),"-",MID(Master_ventas[[#This Row],[Category]],1,1))</f>
        <v>SMA24-E</v>
      </c>
      <c r="N1225" t="str">
        <f>MID(Master_ventas[[#This Row],[ProdUpper]],1,3)</f>
        <v>SMA</v>
      </c>
      <c r="O1225" t="str">
        <f>UPPER(IF(Master_ventas[[#This Row],[Profit]]&gt;500,"High","Std"))</f>
        <v>STD</v>
      </c>
      <c r="P1225">
        <v>1224</v>
      </c>
    </row>
    <row r="1226" spans="1:16" x14ac:dyDescent="0.3">
      <c r="A1226" s="1">
        <v>45000</v>
      </c>
      <c r="B1226" t="s">
        <v>13</v>
      </c>
      <c r="C1226" t="s">
        <v>14</v>
      </c>
      <c r="D1226" t="s">
        <v>15</v>
      </c>
      <c r="E1226">
        <v>2</v>
      </c>
      <c r="F1226" s="3">
        <v>344</v>
      </c>
      <c r="G1226" s="2">
        <v>80.87</v>
      </c>
      <c r="H1226">
        <f>Master_ventas[[#This Row],[Profit]]/Master_ventas[[#This Row],[Sales]]</f>
        <v>0.2350872093023256</v>
      </c>
      <c r="I1226">
        <f ca="1">Referencia_Hoy-Master_ventas[[#This Row],[Order Date]]</f>
        <v>1323</v>
      </c>
      <c r="J1226" t="str">
        <f>UPPER(Master_ventas[[#This Row],[Product Name]])</f>
        <v>TABLET</v>
      </c>
      <c r="K1226" t="str">
        <f>UPPER(Master_ventas[[#This Row],[Category]])</f>
        <v>ELECTRONICS</v>
      </c>
      <c r="L1226">
        <f>YEAR(Master_ventas[[#This Row],[Order Date]])</f>
        <v>2023</v>
      </c>
      <c r="M1226" t="str">
        <f>CONCATENATE(LEFT(Master_ventas[[#This Row],[ProdUpper]],3),RIGHT(Master_ventas[[#This Row],[Ext-Year]],2),"-",MID(Master_ventas[[#This Row],[Category]],1,1))</f>
        <v>TAB23-E</v>
      </c>
      <c r="N1226" t="str">
        <f>MID(Master_ventas[[#This Row],[ProdUpper]],1,3)</f>
        <v>TAB</v>
      </c>
      <c r="O1226" t="str">
        <f>UPPER(IF(Master_ventas[[#This Row],[Profit]]&gt;500,"High","Std"))</f>
        <v>STD</v>
      </c>
      <c r="P1226">
        <v>1225</v>
      </c>
    </row>
    <row r="1227" spans="1:16" x14ac:dyDescent="0.3">
      <c r="A1227" s="1">
        <v>45437</v>
      </c>
      <c r="B1227" t="s">
        <v>21</v>
      </c>
      <c r="C1227" t="s">
        <v>14</v>
      </c>
      <c r="D1227" t="s">
        <v>16</v>
      </c>
      <c r="E1227">
        <v>6</v>
      </c>
      <c r="F1227" s="3">
        <v>5724</v>
      </c>
      <c r="G1227" s="2">
        <v>1640.19</v>
      </c>
      <c r="H1227">
        <f>Master_ventas[[#This Row],[Profit]]/Master_ventas[[#This Row],[Sales]]</f>
        <v>0.2865461215932914</v>
      </c>
      <c r="I1227">
        <f ca="1">Referencia_Hoy-Master_ventas[[#This Row],[Order Date]]</f>
        <v>886</v>
      </c>
      <c r="J1227" t="str">
        <f>UPPER(Master_ventas[[#This Row],[Product Name]])</f>
        <v>SMARTPHONE</v>
      </c>
      <c r="K1227" t="str">
        <f>UPPER(Master_ventas[[#This Row],[Category]])</f>
        <v>ELECTRONICS</v>
      </c>
      <c r="L1227">
        <f>YEAR(Master_ventas[[#This Row],[Order Date]])</f>
        <v>2024</v>
      </c>
      <c r="M1227" t="str">
        <f>CONCATENATE(LEFT(Master_ventas[[#This Row],[ProdUpper]],3),RIGHT(Master_ventas[[#This Row],[Ext-Year]],2),"-",MID(Master_ventas[[#This Row],[Category]],1,1))</f>
        <v>SMA24-E</v>
      </c>
      <c r="N1227" t="str">
        <f>MID(Master_ventas[[#This Row],[ProdUpper]],1,3)</f>
        <v>SMA</v>
      </c>
      <c r="O1227" t="str">
        <f>UPPER(IF(Master_ventas[[#This Row],[Profit]]&gt;500,"High","Std"))</f>
        <v>HIGH</v>
      </c>
      <c r="P1227">
        <v>1226</v>
      </c>
    </row>
    <row r="1228" spans="1:16" x14ac:dyDescent="0.3">
      <c r="A1228" s="1">
        <v>44636</v>
      </c>
      <c r="B1228" t="s">
        <v>18</v>
      </c>
      <c r="C1228" t="s">
        <v>11</v>
      </c>
      <c r="D1228" t="s">
        <v>12</v>
      </c>
      <c r="E1228">
        <v>5</v>
      </c>
      <c r="F1228" s="3">
        <v>4920</v>
      </c>
      <c r="G1228" s="2">
        <v>323.38</v>
      </c>
      <c r="H1228">
        <f>Master_ventas[[#This Row],[Profit]]/Master_ventas[[#This Row],[Sales]]</f>
        <v>6.5727642276422762E-2</v>
      </c>
      <c r="I1228">
        <f ca="1">Referencia_Hoy-Master_ventas[[#This Row],[Order Date]]</f>
        <v>1687</v>
      </c>
      <c r="J1228" t="str">
        <f>UPPER(Master_ventas[[#This Row],[Product Name]])</f>
        <v>HEADPHONES</v>
      </c>
      <c r="K1228" t="str">
        <f>UPPER(Master_ventas[[#This Row],[Category]])</f>
        <v>ACCESSORIES</v>
      </c>
      <c r="L1228">
        <f>YEAR(Master_ventas[[#This Row],[Order Date]])</f>
        <v>2022</v>
      </c>
      <c r="M1228" t="str">
        <f>CONCATENATE(LEFT(Master_ventas[[#This Row],[ProdUpper]],3),RIGHT(Master_ventas[[#This Row],[Ext-Year]],2),"-",MID(Master_ventas[[#This Row],[Category]],1,1))</f>
        <v>HEA22-A</v>
      </c>
      <c r="N1228" t="str">
        <f>MID(Master_ventas[[#This Row],[ProdUpper]],1,3)</f>
        <v>HEA</v>
      </c>
      <c r="O1228" t="str">
        <f>UPPER(IF(Master_ventas[[#This Row],[Profit]]&gt;500,"High","Std"))</f>
        <v>STD</v>
      </c>
      <c r="P1228">
        <v>1227</v>
      </c>
    </row>
    <row r="1229" spans="1:16" x14ac:dyDescent="0.3">
      <c r="A1229" s="1">
        <v>44933</v>
      </c>
      <c r="B1229" t="s">
        <v>17</v>
      </c>
      <c r="C1229" t="s">
        <v>14</v>
      </c>
      <c r="D1229" t="s">
        <v>16</v>
      </c>
      <c r="E1229">
        <v>5</v>
      </c>
      <c r="F1229" s="3">
        <v>5440</v>
      </c>
      <c r="G1229" s="2">
        <v>457.04</v>
      </c>
      <c r="H1229">
        <f>Master_ventas[[#This Row],[Profit]]/Master_ventas[[#This Row],[Sales]]</f>
        <v>8.401470588235295E-2</v>
      </c>
      <c r="I1229">
        <f ca="1">Referencia_Hoy-Master_ventas[[#This Row],[Order Date]]</f>
        <v>1390</v>
      </c>
      <c r="J1229" t="str">
        <f>UPPER(Master_ventas[[#This Row],[Product Name]])</f>
        <v>CAMERA</v>
      </c>
      <c r="K1229" t="str">
        <f>UPPER(Master_ventas[[#This Row],[Category]])</f>
        <v>ELECTRONICS</v>
      </c>
      <c r="L1229">
        <f>YEAR(Master_ventas[[#This Row],[Order Date]])</f>
        <v>2023</v>
      </c>
      <c r="M1229" t="str">
        <f>CONCATENATE(LEFT(Master_ventas[[#This Row],[ProdUpper]],3),RIGHT(Master_ventas[[#This Row],[Ext-Year]],2),"-",MID(Master_ventas[[#This Row],[Category]],1,1))</f>
        <v>CAM23-E</v>
      </c>
      <c r="N1229" t="str">
        <f>MID(Master_ventas[[#This Row],[ProdUpper]],1,3)</f>
        <v>CAM</v>
      </c>
      <c r="O1229" t="str">
        <f>UPPER(IF(Master_ventas[[#This Row],[Profit]]&gt;500,"High","Std"))</f>
        <v>STD</v>
      </c>
      <c r="P1229">
        <v>1228</v>
      </c>
    </row>
    <row r="1230" spans="1:16" x14ac:dyDescent="0.3">
      <c r="A1230" s="1">
        <v>45407</v>
      </c>
      <c r="B1230" t="s">
        <v>21</v>
      </c>
      <c r="C1230" t="s">
        <v>14</v>
      </c>
      <c r="D1230" t="s">
        <v>16</v>
      </c>
      <c r="E1230">
        <v>7</v>
      </c>
      <c r="F1230" s="3">
        <v>7994</v>
      </c>
      <c r="G1230" s="2">
        <v>908.65</v>
      </c>
      <c r="H1230">
        <f>Master_ventas[[#This Row],[Profit]]/Master_ventas[[#This Row],[Sales]]</f>
        <v>0.11366649987490618</v>
      </c>
      <c r="I1230">
        <f ca="1">Referencia_Hoy-Master_ventas[[#This Row],[Order Date]]</f>
        <v>916</v>
      </c>
      <c r="J1230" t="str">
        <f>UPPER(Master_ventas[[#This Row],[Product Name]])</f>
        <v>SMARTPHONE</v>
      </c>
      <c r="K1230" t="str">
        <f>UPPER(Master_ventas[[#This Row],[Category]])</f>
        <v>ELECTRONICS</v>
      </c>
      <c r="L1230">
        <f>YEAR(Master_ventas[[#This Row],[Order Date]])</f>
        <v>2024</v>
      </c>
      <c r="M1230" t="str">
        <f>CONCATENATE(LEFT(Master_ventas[[#This Row],[ProdUpper]],3),RIGHT(Master_ventas[[#This Row],[Ext-Year]],2),"-",MID(Master_ventas[[#This Row],[Category]],1,1))</f>
        <v>SMA24-E</v>
      </c>
      <c r="N1230" t="str">
        <f>MID(Master_ventas[[#This Row],[ProdUpper]],1,3)</f>
        <v>SMA</v>
      </c>
      <c r="O1230" t="str">
        <f>UPPER(IF(Master_ventas[[#This Row],[Profit]]&gt;500,"High","Std"))</f>
        <v>HIGH</v>
      </c>
      <c r="P1230">
        <v>1229</v>
      </c>
    </row>
    <row r="1231" spans="1:16" x14ac:dyDescent="0.3">
      <c r="A1231" s="1">
        <v>45222</v>
      </c>
      <c r="B1231" t="s">
        <v>17</v>
      </c>
      <c r="C1231" t="s">
        <v>14</v>
      </c>
      <c r="D1231" t="s">
        <v>15</v>
      </c>
      <c r="E1231">
        <v>9</v>
      </c>
      <c r="F1231" s="3">
        <v>3780</v>
      </c>
      <c r="G1231" s="2">
        <v>724.36</v>
      </c>
      <c r="H1231">
        <f>Master_ventas[[#This Row],[Profit]]/Master_ventas[[#This Row],[Sales]]</f>
        <v>0.19162962962962962</v>
      </c>
      <c r="I1231">
        <f ca="1">Referencia_Hoy-Master_ventas[[#This Row],[Order Date]]</f>
        <v>1101</v>
      </c>
      <c r="J1231" t="str">
        <f>UPPER(Master_ventas[[#This Row],[Product Name]])</f>
        <v>CAMERA</v>
      </c>
      <c r="K1231" t="str">
        <f>UPPER(Master_ventas[[#This Row],[Category]])</f>
        <v>ELECTRONICS</v>
      </c>
      <c r="L1231">
        <f>YEAR(Master_ventas[[#This Row],[Order Date]])</f>
        <v>2023</v>
      </c>
      <c r="M1231" t="str">
        <f>CONCATENATE(LEFT(Master_ventas[[#This Row],[ProdUpper]],3),RIGHT(Master_ventas[[#This Row],[Ext-Year]],2),"-",MID(Master_ventas[[#This Row],[Category]],1,1))</f>
        <v>CAM23-E</v>
      </c>
      <c r="N1231" t="str">
        <f>MID(Master_ventas[[#This Row],[ProdUpper]],1,3)</f>
        <v>CAM</v>
      </c>
      <c r="O1231" t="str">
        <f>UPPER(IF(Master_ventas[[#This Row],[Profit]]&gt;500,"High","Std"))</f>
        <v>HIGH</v>
      </c>
      <c r="P1231">
        <v>1230</v>
      </c>
    </row>
    <row r="1232" spans="1:16" x14ac:dyDescent="0.3">
      <c r="A1232" s="1">
        <v>45073</v>
      </c>
      <c r="B1232" t="s">
        <v>21</v>
      </c>
      <c r="C1232" t="s">
        <v>14</v>
      </c>
      <c r="D1232" t="s">
        <v>9</v>
      </c>
      <c r="E1232">
        <v>1</v>
      </c>
      <c r="F1232" s="3">
        <v>1017</v>
      </c>
      <c r="G1232" s="2">
        <v>209.97</v>
      </c>
      <c r="H1232">
        <f>Master_ventas[[#This Row],[Profit]]/Master_ventas[[#This Row],[Sales]]</f>
        <v>0.20646017699115043</v>
      </c>
      <c r="I1232">
        <f ca="1">Referencia_Hoy-Master_ventas[[#This Row],[Order Date]]</f>
        <v>1250</v>
      </c>
      <c r="J1232" t="str">
        <f>UPPER(Master_ventas[[#This Row],[Product Name]])</f>
        <v>SMARTPHONE</v>
      </c>
      <c r="K1232" t="str">
        <f>UPPER(Master_ventas[[#This Row],[Category]])</f>
        <v>ELECTRONICS</v>
      </c>
      <c r="L1232">
        <f>YEAR(Master_ventas[[#This Row],[Order Date]])</f>
        <v>2023</v>
      </c>
      <c r="M1232" t="str">
        <f>CONCATENATE(LEFT(Master_ventas[[#This Row],[ProdUpper]],3),RIGHT(Master_ventas[[#This Row],[Ext-Year]],2),"-",MID(Master_ventas[[#This Row],[Category]],1,1))</f>
        <v>SMA23-E</v>
      </c>
      <c r="N1232" t="str">
        <f>MID(Master_ventas[[#This Row],[ProdUpper]],1,3)</f>
        <v>SMA</v>
      </c>
      <c r="O1232" t="str">
        <f>UPPER(IF(Master_ventas[[#This Row],[Profit]]&gt;500,"High","Std"))</f>
        <v>STD</v>
      </c>
      <c r="P1232">
        <v>1231</v>
      </c>
    </row>
    <row r="1233" spans="1:16" x14ac:dyDescent="0.3">
      <c r="A1233" s="1">
        <v>44957</v>
      </c>
      <c r="B1233" t="s">
        <v>21</v>
      </c>
      <c r="C1233" t="s">
        <v>14</v>
      </c>
      <c r="D1233" t="s">
        <v>16</v>
      </c>
      <c r="E1233">
        <v>6</v>
      </c>
      <c r="F1233" s="3">
        <v>1578</v>
      </c>
      <c r="G1233" s="2">
        <v>82.85</v>
      </c>
      <c r="H1233">
        <f>Master_ventas[[#This Row],[Profit]]/Master_ventas[[#This Row],[Sales]]</f>
        <v>5.2503168567807346E-2</v>
      </c>
      <c r="I1233">
        <f ca="1">Referencia_Hoy-Master_ventas[[#This Row],[Order Date]]</f>
        <v>1366</v>
      </c>
      <c r="J1233" t="str">
        <f>UPPER(Master_ventas[[#This Row],[Product Name]])</f>
        <v>SMARTPHONE</v>
      </c>
      <c r="K1233" t="str">
        <f>UPPER(Master_ventas[[#This Row],[Category]])</f>
        <v>ELECTRONICS</v>
      </c>
      <c r="L1233">
        <f>YEAR(Master_ventas[[#This Row],[Order Date]])</f>
        <v>2023</v>
      </c>
      <c r="M1233" t="str">
        <f>CONCATENATE(LEFT(Master_ventas[[#This Row],[ProdUpper]],3),RIGHT(Master_ventas[[#This Row],[Ext-Year]],2),"-",MID(Master_ventas[[#This Row],[Category]],1,1))</f>
        <v>SMA23-E</v>
      </c>
      <c r="N1233" t="str">
        <f>MID(Master_ventas[[#This Row],[ProdUpper]],1,3)</f>
        <v>SMA</v>
      </c>
      <c r="O1233" t="str">
        <f>UPPER(IF(Master_ventas[[#This Row],[Profit]]&gt;500,"High","Std"))</f>
        <v>STD</v>
      </c>
      <c r="P1233">
        <v>1232</v>
      </c>
    </row>
    <row r="1234" spans="1:16" x14ac:dyDescent="0.3">
      <c r="A1234" s="1">
        <v>45208</v>
      </c>
      <c r="B1234" t="s">
        <v>21</v>
      </c>
      <c r="C1234" t="s">
        <v>14</v>
      </c>
      <c r="D1234" t="s">
        <v>15</v>
      </c>
      <c r="E1234">
        <v>2</v>
      </c>
      <c r="F1234" s="3">
        <v>912</v>
      </c>
      <c r="G1234" s="2">
        <v>161.37</v>
      </c>
      <c r="H1234">
        <f>Master_ventas[[#This Row],[Profit]]/Master_ventas[[#This Row],[Sales]]</f>
        <v>0.17694078947368422</v>
      </c>
      <c r="I1234">
        <f ca="1">Referencia_Hoy-Master_ventas[[#This Row],[Order Date]]</f>
        <v>1115</v>
      </c>
      <c r="J1234" t="str">
        <f>UPPER(Master_ventas[[#This Row],[Product Name]])</f>
        <v>SMARTPHONE</v>
      </c>
      <c r="K1234" t="str">
        <f>UPPER(Master_ventas[[#This Row],[Category]])</f>
        <v>ELECTRONICS</v>
      </c>
      <c r="L1234">
        <f>YEAR(Master_ventas[[#This Row],[Order Date]])</f>
        <v>2023</v>
      </c>
      <c r="M1234" t="str">
        <f>CONCATENATE(LEFT(Master_ventas[[#This Row],[ProdUpper]],3),RIGHT(Master_ventas[[#This Row],[Ext-Year]],2),"-",MID(Master_ventas[[#This Row],[Category]],1,1))</f>
        <v>SMA23-E</v>
      </c>
      <c r="N1234" t="str">
        <f>MID(Master_ventas[[#This Row],[ProdUpper]],1,3)</f>
        <v>SMA</v>
      </c>
      <c r="O1234" t="str">
        <f>UPPER(IF(Master_ventas[[#This Row],[Profit]]&gt;500,"High","Std"))</f>
        <v>STD</v>
      </c>
      <c r="P1234">
        <v>1233</v>
      </c>
    </row>
    <row r="1235" spans="1:16" x14ac:dyDescent="0.3">
      <c r="A1235" s="1">
        <v>45411</v>
      </c>
      <c r="B1235" t="s">
        <v>23</v>
      </c>
      <c r="C1235" t="s">
        <v>14</v>
      </c>
      <c r="D1235" t="s">
        <v>16</v>
      </c>
      <c r="E1235">
        <v>6</v>
      </c>
      <c r="F1235" s="3">
        <v>2520</v>
      </c>
      <c r="G1235" s="2">
        <v>182.59</v>
      </c>
      <c r="H1235">
        <f>Master_ventas[[#This Row],[Profit]]/Master_ventas[[#This Row],[Sales]]</f>
        <v>7.2456349206349205E-2</v>
      </c>
      <c r="I1235">
        <f ca="1">Referencia_Hoy-Master_ventas[[#This Row],[Order Date]]</f>
        <v>912</v>
      </c>
      <c r="J1235" t="str">
        <f>UPPER(Master_ventas[[#This Row],[Product Name]])</f>
        <v>LAPTOP</v>
      </c>
      <c r="K1235" t="str">
        <f>UPPER(Master_ventas[[#This Row],[Category]])</f>
        <v>ELECTRONICS</v>
      </c>
      <c r="L1235">
        <f>YEAR(Master_ventas[[#This Row],[Order Date]])</f>
        <v>2024</v>
      </c>
      <c r="M1235" t="str">
        <f>CONCATENATE(LEFT(Master_ventas[[#This Row],[ProdUpper]],3),RIGHT(Master_ventas[[#This Row],[Ext-Year]],2),"-",MID(Master_ventas[[#This Row],[Category]],1,1))</f>
        <v>LAP24-E</v>
      </c>
      <c r="N1235" t="str">
        <f>MID(Master_ventas[[#This Row],[ProdUpper]],1,3)</f>
        <v>LAP</v>
      </c>
      <c r="O1235" t="str">
        <f>UPPER(IF(Master_ventas[[#This Row],[Profit]]&gt;500,"High","Std"))</f>
        <v>STD</v>
      </c>
      <c r="P1235">
        <v>1234</v>
      </c>
    </row>
    <row r="1236" spans="1:16" x14ac:dyDescent="0.3">
      <c r="A1236" s="1">
        <v>45632</v>
      </c>
      <c r="B1236" t="s">
        <v>10</v>
      </c>
      <c r="C1236" t="s">
        <v>11</v>
      </c>
      <c r="D1236" t="s">
        <v>12</v>
      </c>
      <c r="E1236">
        <v>8</v>
      </c>
      <c r="F1236" s="3">
        <v>2632</v>
      </c>
      <c r="G1236" s="2">
        <v>262.55</v>
      </c>
      <c r="H1236">
        <f>Master_ventas[[#This Row],[Profit]]/Master_ventas[[#This Row],[Sales]]</f>
        <v>9.975303951367781E-2</v>
      </c>
      <c r="I1236">
        <f ca="1">Referencia_Hoy-Master_ventas[[#This Row],[Order Date]]</f>
        <v>691</v>
      </c>
      <c r="J1236" t="str">
        <f>UPPER(Master_ventas[[#This Row],[Product Name]])</f>
        <v>MOUSE</v>
      </c>
      <c r="K1236" t="str">
        <f>UPPER(Master_ventas[[#This Row],[Category]])</f>
        <v>ACCESSORIES</v>
      </c>
      <c r="L1236">
        <f>YEAR(Master_ventas[[#This Row],[Order Date]])</f>
        <v>2024</v>
      </c>
      <c r="M1236" t="str">
        <f>CONCATENATE(LEFT(Master_ventas[[#This Row],[ProdUpper]],3),RIGHT(Master_ventas[[#This Row],[Ext-Year]],2),"-",MID(Master_ventas[[#This Row],[Category]],1,1))</f>
        <v>MOU24-A</v>
      </c>
      <c r="N1236" t="str">
        <f>MID(Master_ventas[[#This Row],[ProdUpper]],1,3)</f>
        <v>MOU</v>
      </c>
      <c r="O1236" t="str">
        <f>UPPER(IF(Master_ventas[[#This Row],[Profit]]&gt;500,"High","Std"))</f>
        <v>STD</v>
      </c>
      <c r="P1236">
        <v>1235</v>
      </c>
    </row>
    <row r="1237" spans="1:16" x14ac:dyDescent="0.3">
      <c r="A1237" s="1">
        <v>45117</v>
      </c>
      <c r="B1237" t="s">
        <v>20</v>
      </c>
      <c r="C1237" t="s">
        <v>11</v>
      </c>
      <c r="D1237" t="s">
        <v>16</v>
      </c>
      <c r="E1237">
        <v>6</v>
      </c>
      <c r="F1237" s="3">
        <v>6582</v>
      </c>
      <c r="G1237" s="2">
        <v>729.68</v>
      </c>
      <c r="H1237">
        <f>Master_ventas[[#This Row],[Profit]]/Master_ventas[[#This Row],[Sales]]</f>
        <v>0.11085992099665755</v>
      </c>
      <c r="I1237">
        <f ca="1">Referencia_Hoy-Master_ventas[[#This Row],[Order Date]]</f>
        <v>1206</v>
      </c>
      <c r="J1237" t="str">
        <f>UPPER(Master_ventas[[#This Row],[Product Name]])</f>
        <v>MONITOR</v>
      </c>
      <c r="K1237" t="str">
        <f>UPPER(Master_ventas[[#This Row],[Category]])</f>
        <v>ACCESSORIES</v>
      </c>
      <c r="L1237">
        <f>YEAR(Master_ventas[[#This Row],[Order Date]])</f>
        <v>2023</v>
      </c>
      <c r="M1237" t="str">
        <f>CONCATENATE(LEFT(Master_ventas[[#This Row],[ProdUpper]],3),RIGHT(Master_ventas[[#This Row],[Ext-Year]],2),"-",MID(Master_ventas[[#This Row],[Category]],1,1))</f>
        <v>MON23-A</v>
      </c>
      <c r="N1237" t="str">
        <f>MID(Master_ventas[[#This Row],[ProdUpper]],1,3)</f>
        <v>MON</v>
      </c>
      <c r="O1237" t="str">
        <f>UPPER(IF(Master_ventas[[#This Row],[Profit]]&gt;500,"High","Std"))</f>
        <v>HIGH</v>
      </c>
      <c r="P1237">
        <v>1236</v>
      </c>
    </row>
    <row r="1238" spans="1:16" x14ac:dyDescent="0.3">
      <c r="A1238" s="1">
        <v>45307</v>
      </c>
      <c r="B1238" t="s">
        <v>17</v>
      </c>
      <c r="C1238" t="s">
        <v>14</v>
      </c>
      <c r="D1238" t="s">
        <v>12</v>
      </c>
      <c r="E1238">
        <v>8</v>
      </c>
      <c r="F1238" s="3">
        <v>3432</v>
      </c>
      <c r="G1238" s="2">
        <v>172.69</v>
      </c>
      <c r="H1238">
        <f>Master_ventas[[#This Row],[Profit]]/Master_ventas[[#This Row],[Sales]]</f>
        <v>5.031759906759907E-2</v>
      </c>
      <c r="I1238">
        <f ca="1">Referencia_Hoy-Master_ventas[[#This Row],[Order Date]]</f>
        <v>1016</v>
      </c>
      <c r="J1238" t="str">
        <f>UPPER(Master_ventas[[#This Row],[Product Name]])</f>
        <v>CAMERA</v>
      </c>
      <c r="K1238" t="str">
        <f>UPPER(Master_ventas[[#This Row],[Category]])</f>
        <v>ELECTRONICS</v>
      </c>
      <c r="L1238">
        <f>YEAR(Master_ventas[[#This Row],[Order Date]])</f>
        <v>2024</v>
      </c>
      <c r="M1238" t="str">
        <f>CONCATENATE(LEFT(Master_ventas[[#This Row],[ProdUpper]],3),RIGHT(Master_ventas[[#This Row],[Ext-Year]],2),"-",MID(Master_ventas[[#This Row],[Category]],1,1))</f>
        <v>CAM24-E</v>
      </c>
      <c r="N1238" t="str">
        <f>MID(Master_ventas[[#This Row],[ProdUpper]],1,3)</f>
        <v>CAM</v>
      </c>
      <c r="O1238" t="str">
        <f>UPPER(IF(Master_ventas[[#This Row],[Profit]]&gt;500,"High","Std"))</f>
        <v>STD</v>
      </c>
      <c r="P1238">
        <v>1237</v>
      </c>
    </row>
    <row r="1239" spans="1:16" x14ac:dyDescent="0.3">
      <c r="A1239" s="1">
        <v>45179</v>
      </c>
      <c r="B1239" t="s">
        <v>22</v>
      </c>
      <c r="C1239" t="s">
        <v>11</v>
      </c>
      <c r="D1239" t="s">
        <v>15</v>
      </c>
      <c r="E1239">
        <v>2</v>
      </c>
      <c r="F1239" s="3">
        <v>1030</v>
      </c>
      <c r="G1239" s="2">
        <v>254.65</v>
      </c>
      <c r="H1239">
        <f>Master_ventas[[#This Row],[Profit]]/Master_ventas[[#This Row],[Sales]]</f>
        <v>0.24723300970873788</v>
      </c>
      <c r="I1239">
        <f ca="1">Referencia_Hoy-Master_ventas[[#This Row],[Order Date]]</f>
        <v>1144</v>
      </c>
      <c r="J1239" t="str">
        <f>UPPER(Master_ventas[[#This Row],[Product Name]])</f>
        <v>KEYBOARD</v>
      </c>
      <c r="K1239" t="str">
        <f>UPPER(Master_ventas[[#This Row],[Category]])</f>
        <v>ACCESSORIES</v>
      </c>
      <c r="L1239">
        <f>YEAR(Master_ventas[[#This Row],[Order Date]])</f>
        <v>2023</v>
      </c>
      <c r="M1239" t="str">
        <f>CONCATENATE(LEFT(Master_ventas[[#This Row],[ProdUpper]],3),RIGHT(Master_ventas[[#This Row],[Ext-Year]],2),"-",MID(Master_ventas[[#This Row],[Category]],1,1))</f>
        <v>KEY23-A</v>
      </c>
      <c r="N1239" t="str">
        <f>MID(Master_ventas[[#This Row],[ProdUpper]],1,3)</f>
        <v>KEY</v>
      </c>
      <c r="O1239" t="str">
        <f>UPPER(IF(Master_ventas[[#This Row],[Profit]]&gt;500,"High","Std"))</f>
        <v>STD</v>
      </c>
      <c r="P1239">
        <v>1238</v>
      </c>
    </row>
    <row r="1240" spans="1:16" x14ac:dyDescent="0.3">
      <c r="A1240" s="1">
        <v>44847</v>
      </c>
      <c r="B1240" t="s">
        <v>10</v>
      </c>
      <c r="C1240" t="s">
        <v>11</v>
      </c>
      <c r="D1240" t="s">
        <v>16</v>
      </c>
      <c r="E1240">
        <v>8</v>
      </c>
      <c r="F1240" s="3">
        <v>1192</v>
      </c>
      <c r="G1240" s="2">
        <v>289.91000000000003</v>
      </c>
      <c r="H1240">
        <f>Master_ventas[[#This Row],[Profit]]/Master_ventas[[#This Row],[Sales]]</f>
        <v>0.24321308724832216</v>
      </c>
      <c r="I1240">
        <f ca="1">Referencia_Hoy-Master_ventas[[#This Row],[Order Date]]</f>
        <v>1476</v>
      </c>
      <c r="J1240" t="str">
        <f>UPPER(Master_ventas[[#This Row],[Product Name]])</f>
        <v>MOUSE</v>
      </c>
      <c r="K1240" t="str">
        <f>UPPER(Master_ventas[[#This Row],[Category]])</f>
        <v>ACCESSORIES</v>
      </c>
      <c r="L1240">
        <f>YEAR(Master_ventas[[#This Row],[Order Date]])</f>
        <v>2022</v>
      </c>
      <c r="M1240" t="str">
        <f>CONCATENATE(LEFT(Master_ventas[[#This Row],[ProdUpper]],3),RIGHT(Master_ventas[[#This Row],[Ext-Year]],2),"-",MID(Master_ventas[[#This Row],[Category]],1,1))</f>
        <v>MOU22-A</v>
      </c>
      <c r="N1240" t="str">
        <f>MID(Master_ventas[[#This Row],[ProdUpper]],1,3)</f>
        <v>MOU</v>
      </c>
      <c r="O1240" t="str">
        <f>UPPER(IF(Master_ventas[[#This Row],[Profit]]&gt;500,"High","Std"))</f>
        <v>STD</v>
      </c>
      <c r="P1240">
        <v>1239</v>
      </c>
    </row>
    <row r="1241" spans="1:16" x14ac:dyDescent="0.3">
      <c r="A1241" s="1">
        <v>45497</v>
      </c>
      <c r="B1241" t="s">
        <v>7</v>
      </c>
      <c r="C1241" t="s">
        <v>8</v>
      </c>
      <c r="D1241" t="s">
        <v>16</v>
      </c>
      <c r="E1241">
        <v>9</v>
      </c>
      <c r="F1241" s="3">
        <v>7083</v>
      </c>
      <c r="G1241" s="2">
        <v>994.47</v>
      </c>
      <c r="H1241">
        <f>Master_ventas[[#This Row],[Profit]]/Master_ventas[[#This Row],[Sales]]</f>
        <v>0.1404023718763236</v>
      </c>
      <c r="I1241">
        <f ca="1">Referencia_Hoy-Master_ventas[[#This Row],[Order Date]]</f>
        <v>826</v>
      </c>
      <c r="J1241" t="str">
        <f>UPPER(Master_ventas[[#This Row],[Product Name]])</f>
        <v>PRINTER</v>
      </c>
      <c r="K1241" t="str">
        <f>UPPER(Master_ventas[[#This Row],[Category]])</f>
        <v>OFFICE</v>
      </c>
      <c r="L1241">
        <f>YEAR(Master_ventas[[#This Row],[Order Date]])</f>
        <v>2024</v>
      </c>
      <c r="M1241" t="str">
        <f>CONCATENATE(LEFT(Master_ventas[[#This Row],[ProdUpper]],3),RIGHT(Master_ventas[[#This Row],[Ext-Year]],2),"-",MID(Master_ventas[[#This Row],[Category]],1,1))</f>
        <v>PRI24-O</v>
      </c>
      <c r="N1241" t="str">
        <f>MID(Master_ventas[[#This Row],[ProdUpper]],1,3)</f>
        <v>PRI</v>
      </c>
      <c r="O1241" t="str">
        <f>UPPER(IF(Master_ventas[[#This Row],[Profit]]&gt;500,"High","Std"))</f>
        <v>HIGH</v>
      </c>
      <c r="P1241">
        <v>1240</v>
      </c>
    </row>
    <row r="1242" spans="1:16" x14ac:dyDescent="0.3">
      <c r="A1242" s="1">
        <v>44614</v>
      </c>
      <c r="B1242" t="s">
        <v>7</v>
      </c>
      <c r="C1242" t="s">
        <v>8</v>
      </c>
      <c r="D1242" t="s">
        <v>15</v>
      </c>
      <c r="E1242">
        <v>7</v>
      </c>
      <c r="F1242" s="3">
        <v>3675</v>
      </c>
      <c r="G1242" s="2">
        <v>227.14</v>
      </c>
      <c r="H1242">
        <f>Master_ventas[[#This Row],[Profit]]/Master_ventas[[#This Row],[Sales]]</f>
        <v>6.1806802721088433E-2</v>
      </c>
      <c r="I1242">
        <f ca="1">Referencia_Hoy-Master_ventas[[#This Row],[Order Date]]</f>
        <v>1709</v>
      </c>
      <c r="J1242" t="str">
        <f>UPPER(Master_ventas[[#This Row],[Product Name]])</f>
        <v>PRINTER</v>
      </c>
      <c r="K1242" t="str">
        <f>UPPER(Master_ventas[[#This Row],[Category]])</f>
        <v>OFFICE</v>
      </c>
      <c r="L1242">
        <f>YEAR(Master_ventas[[#This Row],[Order Date]])</f>
        <v>2022</v>
      </c>
      <c r="M1242" t="str">
        <f>CONCATENATE(LEFT(Master_ventas[[#This Row],[ProdUpper]],3),RIGHT(Master_ventas[[#This Row],[Ext-Year]],2),"-",MID(Master_ventas[[#This Row],[Category]],1,1))</f>
        <v>PRI22-O</v>
      </c>
      <c r="N1242" t="str">
        <f>MID(Master_ventas[[#This Row],[ProdUpper]],1,3)</f>
        <v>PRI</v>
      </c>
      <c r="O1242" t="str">
        <f>UPPER(IF(Master_ventas[[#This Row],[Profit]]&gt;500,"High","Std"))</f>
        <v>STD</v>
      </c>
      <c r="P1242">
        <v>1241</v>
      </c>
    </row>
    <row r="1243" spans="1:16" x14ac:dyDescent="0.3">
      <c r="A1243" s="1">
        <v>45229</v>
      </c>
      <c r="B1243" t="s">
        <v>20</v>
      </c>
      <c r="C1243" t="s">
        <v>11</v>
      </c>
      <c r="D1243" t="s">
        <v>9</v>
      </c>
      <c r="E1243">
        <v>4</v>
      </c>
      <c r="F1243" s="3">
        <v>4740</v>
      </c>
      <c r="G1243" s="2">
        <v>833.27</v>
      </c>
      <c r="H1243">
        <f>Master_ventas[[#This Row],[Profit]]/Master_ventas[[#This Row],[Sales]]</f>
        <v>0.17579535864978901</v>
      </c>
      <c r="I1243">
        <f ca="1">Referencia_Hoy-Master_ventas[[#This Row],[Order Date]]</f>
        <v>1094</v>
      </c>
      <c r="J1243" t="str">
        <f>UPPER(Master_ventas[[#This Row],[Product Name]])</f>
        <v>MONITOR</v>
      </c>
      <c r="K1243" t="str">
        <f>UPPER(Master_ventas[[#This Row],[Category]])</f>
        <v>ACCESSORIES</v>
      </c>
      <c r="L1243">
        <f>YEAR(Master_ventas[[#This Row],[Order Date]])</f>
        <v>2023</v>
      </c>
      <c r="M1243" t="str">
        <f>CONCATENATE(LEFT(Master_ventas[[#This Row],[ProdUpper]],3),RIGHT(Master_ventas[[#This Row],[Ext-Year]],2),"-",MID(Master_ventas[[#This Row],[Category]],1,1))</f>
        <v>MON23-A</v>
      </c>
      <c r="N1243" t="str">
        <f>MID(Master_ventas[[#This Row],[ProdUpper]],1,3)</f>
        <v>MON</v>
      </c>
      <c r="O1243" t="str">
        <f>UPPER(IF(Master_ventas[[#This Row],[Profit]]&gt;500,"High","Std"))</f>
        <v>HIGH</v>
      </c>
      <c r="P1243">
        <v>1242</v>
      </c>
    </row>
    <row r="1244" spans="1:16" x14ac:dyDescent="0.3">
      <c r="A1244" s="1">
        <v>45396</v>
      </c>
      <c r="B1244" t="s">
        <v>18</v>
      </c>
      <c r="C1244" t="s">
        <v>11</v>
      </c>
      <c r="D1244" t="s">
        <v>12</v>
      </c>
      <c r="E1244">
        <v>4</v>
      </c>
      <c r="F1244" s="3">
        <v>1716</v>
      </c>
      <c r="G1244" s="2">
        <v>364.96</v>
      </c>
      <c r="H1244">
        <f>Master_ventas[[#This Row],[Profit]]/Master_ventas[[#This Row],[Sales]]</f>
        <v>0.21268065268065267</v>
      </c>
      <c r="I1244">
        <f ca="1">Referencia_Hoy-Master_ventas[[#This Row],[Order Date]]</f>
        <v>927</v>
      </c>
      <c r="J1244" t="str">
        <f>UPPER(Master_ventas[[#This Row],[Product Name]])</f>
        <v>HEADPHONES</v>
      </c>
      <c r="K1244" t="str">
        <f>UPPER(Master_ventas[[#This Row],[Category]])</f>
        <v>ACCESSORIES</v>
      </c>
      <c r="L1244">
        <f>YEAR(Master_ventas[[#This Row],[Order Date]])</f>
        <v>2024</v>
      </c>
      <c r="M1244" t="str">
        <f>CONCATENATE(LEFT(Master_ventas[[#This Row],[ProdUpper]],3),RIGHT(Master_ventas[[#This Row],[Ext-Year]],2),"-",MID(Master_ventas[[#This Row],[Category]],1,1))</f>
        <v>HEA24-A</v>
      </c>
      <c r="N1244" t="str">
        <f>MID(Master_ventas[[#This Row],[ProdUpper]],1,3)</f>
        <v>HEA</v>
      </c>
      <c r="O1244" t="str">
        <f>UPPER(IF(Master_ventas[[#This Row],[Profit]]&gt;500,"High","Std"))</f>
        <v>STD</v>
      </c>
      <c r="P1244">
        <v>1243</v>
      </c>
    </row>
    <row r="1245" spans="1:16" x14ac:dyDescent="0.3">
      <c r="A1245" s="1">
        <v>44964</v>
      </c>
      <c r="B1245" t="s">
        <v>7</v>
      </c>
      <c r="C1245" t="s">
        <v>8</v>
      </c>
      <c r="D1245" t="s">
        <v>15</v>
      </c>
      <c r="E1245">
        <v>7</v>
      </c>
      <c r="F1245" s="3">
        <v>3528</v>
      </c>
      <c r="G1245" s="2">
        <v>260.06</v>
      </c>
      <c r="H1245">
        <f>Master_ventas[[#This Row],[Profit]]/Master_ventas[[#This Row],[Sales]]</f>
        <v>7.3713151927437645E-2</v>
      </c>
      <c r="I1245">
        <f ca="1">Referencia_Hoy-Master_ventas[[#This Row],[Order Date]]</f>
        <v>1359</v>
      </c>
      <c r="J1245" t="str">
        <f>UPPER(Master_ventas[[#This Row],[Product Name]])</f>
        <v>PRINTER</v>
      </c>
      <c r="K1245" t="str">
        <f>UPPER(Master_ventas[[#This Row],[Category]])</f>
        <v>OFFICE</v>
      </c>
      <c r="L1245">
        <f>YEAR(Master_ventas[[#This Row],[Order Date]])</f>
        <v>2023</v>
      </c>
      <c r="M1245" t="str">
        <f>CONCATENATE(LEFT(Master_ventas[[#This Row],[ProdUpper]],3),RIGHT(Master_ventas[[#This Row],[Ext-Year]],2),"-",MID(Master_ventas[[#This Row],[Category]],1,1))</f>
        <v>PRI23-O</v>
      </c>
      <c r="N1245" t="str">
        <f>MID(Master_ventas[[#This Row],[ProdUpper]],1,3)</f>
        <v>PRI</v>
      </c>
      <c r="O1245" t="str">
        <f>UPPER(IF(Master_ventas[[#This Row],[Profit]]&gt;500,"High","Std"))</f>
        <v>STD</v>
      </c>
      <c r="P1245">
        <v>1244</v>
      </c>
    </row>
    <row r="1246" spans="1:16" x14ac:dyDescent="0.3">
      <c r="A1246" s="1">
        <v>44734</v>
      </c>
      <c r="B1246" t="s">
        <v>17</v>
      </c>
      <c r="C1246" t="s">
        <v>14</v>
      </c>
      <c r="D1246" t="s">
        <v>15</v>
      </c>
      <c r="E1246">
        <v>3</v>
      </c>
      <c r="F1246" s="3">
        <v>777</v>
      </c>
      <c r="G1246" s="2">
        <v>71.72</v>
      </c>
      <c r="H1246">
        <f>Master_ventas[[#This Row],[Profit]]/Master_ventas[[#This Row],[Sales]]</f>
        <v>9.2303732303732303E-2</v>
      </c>
      <c r="I1246">
        <f ca="1">Referencia_Hoy-Master_ventas[[#This Row],[Order Date]]</f>
        <v>1589</v>
      </c>
      <c r="J1246" t="str">
        <f>UPPER(Master_ventas[[#This Row],[Product Name]])</f>
        <v>CAMERA</v>
      </c>
      <c r="K1246" t="str">
        <f>UPPER(Master_ventas[[#This Row],[Category]])</f>
        <v>ELECTRONICS</v>
      </c>
      <c r="L1246">
        <f>YEAR(Master_ventas[[#This Row],[Order Date]])</f>
        <v>2022</v>
      </c>
      <c r="M1246" t="str">
        <f>CONCATENATE(LEFT(Master_ventas[[#This Row],[ProdUpper]],3),RIGHT(Master_ventas[[#This Row],[Ext-Year]],2),"-",MID(Master_ventas[[#This Row],[Category]],1,1))</f>
        <v>CAM22-E</v>
      </c>
      <c r="N1246" t="str">
        <f>MID(Master_ventas[[#This Row],[ProdUpper]],1,3)</f>
        <v>CAM</v>
      </c>
      <c r="O1246" t="str">
        <f>UPPER(IF(Master_ventas[[#This Row],[Profit]]&gt;500,"High","Std"))</f>
        <v>STD</v>
      </c>
      <c r="P1246">
        <v>1245</v>
      </c>
    </row>
    <row r="1247" spans="1:16" x14ac:dyDescent="0.3">
      <c r="A1247" s="1">
        <v>44680</v>
      </c>
      <c r="B1247" t="s">
        <v>17</v>
      </c>
      <c r="C1247" t="s">
        <v>14</v>
      </c>
      <c r="D1247" t="s">
        <v>12</v>
      </c>
      <c r="E1247">
        <v>4</v>
      </c>
      <c r="F1247" s="3">
        <v>3368</v>
      </c>
      <c r="G1247" s="2">
        <v>558.92999999999995</v>
      </c>
      <c r="H1247">
        <f>Master_ventas[[#This Row],[Profit]]/Master_ventas[[#This Row],[Sales]]</f>
        <v>0.16595308788598573</v>
      </c>
      <c r="I1247">
        <f ca="1">Referencia_Hoy-Master_ventas[[#This Row],[Order Date]]</f>
        <v>1643</v>
      </c>
      <c r="J1247" t="str">
        <f>UPPER(Master_ventas[[#This Row],[Product Name]])</f>
        <v>CAMERA</v>
      </c>
      <c r="K1247" t="str">
        <f>UPPER(Master_ventas[[#This Row],[Category]])</f>
        <v>ELECTRONICS</v>
      </c>
      <c r="L1247">
        <f>YEAR(Master_ventas[[#This Row],[Order Date]])</f>
        <v>2022</v>
      </c>
      <c r="M1247" t="str">
        <f>CONCATENATE(LEFT(Master_ventas[[#This Row],[ProdUpper]],3),RIGHT(Master_ventas[[#This Row],[Ext-Year]],2),"-",MID(Master_ventas[[#This Row],[Category]],1,1))</f>
        <v>CAM22-E</v>
      </c>
      <c r="N1247" t="str">
        <f>MID(Master_ventas[[#This Row],[ProdUpper]],1,3)</f>
        <v>CAM</v>
      </c>
      <c r="O1247" t="str">
        <f>UPPER(IF(Master_ventas[[#This Row],[Profit]]&gt;500,"High","Std"))</f>
        <v>HIGH</v>
      </c>
      <c r="P1247">
        <v>1246</v>
      </c>
    </row>
    <row r="1248" spans="1:16" x14ac:dyDescent="0.3">
      <c r="A1248" s="1">
        <v>44845</v>
      </c>
      <c r="B1248" t="s">
        <v>13</v>
      </c>
      <c r="C1248" t="s">
        <v>14</v>
      </c>
      <c r="D1248" t="s">
        <v>9</v>
      </c>
      <c r="E1248">
        <v>4</v>
      </c>
      <c r="F1248" s="3">
        <v>4240</v>
      </c>
      <c r="G1248" s="2">
        <v>251.46</v>
      </c>
      <c r="H1248">
        <f>Master_ventas[[#This Row],[Profit]]/Master_ventas[[#This Row],[Sales]]</f>
        <v>5.9306603773584911E-2</v>
      </c>
      <c r="I1248">
        <f ca="1">Referencia_Hoy-Master_ventas[[#This Row],[Order Date]]</f>
        <v>1478</v>
      </c>
      <c r="J1248" t="str">
        <f>UPPER(Master_ventas[[#This Row],[Product Name]])</f>
        <v>TABLET</v>
      </c>
      <c r="K1248" t="str">
        <f>UPPER(Master_ventas[[#This Row],[Category]])</f>
        <v>ELECTRONICS</v>
      </c>
      <c r="L1248">
        <f>YEAR(Master_ventas[[#This Row],[Order Date]])</f>
        <v>2022</v>
      </c>
      <c r="M1248" t="str">
        <f>CONCATENATE(LEFT(Master_ventas[[#This Row],[ProdUpper]],3),RIGHT(Master_ventas[[#This Row],[Ext-Year]],2),"-",MID(Master_ventas[[#This Row],[Category]],1,1))</f>
        <v>TAB22-E</v>
      </c>
      <c r="N1248" t="str">
        <f>MID(Master_ventas[[#This Row],[ProdUpper]],1,3)</f>
        <v>TAB</v>
      </c>
      <c r="O1248" t="str">
        <f>UPPER(IF(Master_ventas[[#This Row],[Profit]]&gt;500,"High","Std"))</f>
        <v>STD</v>
      </c>
      <c r="P1248">
        <v>1247</v>
      </c>
    </row>
    <row r="1249" spans="1:16" x14ac:dyDescent="0.3">
      <c r="A1249" s="1">
        <v>44666</v>
      </c>
      <c r="B1249" t="s">
        <v>23</v>
      </c>
      <c r="C1249" t="s">
        <v>14</v>
      </c>
      <c r="D1249" t="s">
        <v>15</v>
      </c>
      <c r="E1249">
        <v>3</v>
      </c>
      <c r="F1249" s="3">
        <v>3285</v>
      </c>
      <c r="G1249" s="2">
        <v>292.87</v>
      </c>
      <c r="H1249">
        <f>Master_ventas[[#This Row],[Profit]]/Master_ventas[[#This Row],[Sales]]</f>
        <v>8.9153729071537291E-2</v>
      </c>
      <c r="I1249">
        <f ca="1">Referencia_Hoy-Master_ventas[[#This Row],[Order Date]]</f>
        <v>1657</v>
      </c>
      <c r="J1249" t="str">
        <f>UPPER(Master_ventas[[#This Row],[Product Name]])</f>
        <v>LAPTOP</v>
      </c>
      <c r="K1249" t="str">
        <f>UPPER(Master_ventas[[#This Row],[Category]])</f>
        <v>ELECTRONICS</v>
      </c>
      <c r="L1249">
        <f>YEAR(Master_ventas[[#This Row],[Order Date]])</f>
        <v>2022</v>
      </c>
      <c r="M1249" t="str">
        <f>CONCATENATE(LEFT(Master_ventas[[#This Row],[ProdUpper]],3),RIGHT(Master_ventas[[#This Row],[Ext-Year]],2),"-",MID(Master_ventas[[#This Row],[Category]],1,1))</f>
        <v>LAP22-E</v>
      </c>
      <c r="N1249" t="str">
        <f>MID(Master_ventas[[#This Row],[ProdUpper]],1,3)</f>
        <v>LAP</v>
      </c>
      <c r="O1249" t="str">
        <f>UPPER(IF(Master_ventas[[#This Row],[Profit]]&gt;500,"High","Std"))</f>
        <v>STD</v>
      </c>
      <c r="P1249">
        <v>1248</v>
      </c>
    </row>
    <row r="1250" spans="1:16" x14ac:dyDescent="0.3">
      <c r="A1250" s="1">
        <v>44940</v>
      </c>
      <c r="B1250" t="s">
        <v>21</v>
      </c>
      <c r="C1250" t="s">
        <v>14</v>
      </c>
      <c r="D1250" t="s">
        <v>15</v>
      </c>
      <c r="E1250">
        <v>6</v>
      </c>
      <c r="F1250" s="3">
        <v>4872</v>
      </c>
      <c r="G1250" s="2">
        <v>612.73</v>
      </c>
      <c r="H1250">
        <f>Master_ventas[[#This Row],[Profit]]/Master_ventas[[#This Row],[Sales]]</f>
        <v>0.12576559934318554</v>
      </c>
      <c r="I1250">
        <f ca="1">Referencia_Hoy-Master_ventas[[#This Row],[Order Date]]</f>
        <v>1383</v>
      </c>
      <c r="J1250" t="str">
        <f>UPPER(Master_ventas[[#This Row],[Product Name]])</f>
        <v>SMARTPHONE</v>
      </c>
      <c r="K1250" t="str">
        <f>UPPER(Master_ventas[[#This Row],[Category]])</f>
        <v>ELECTRONICS</v>
      </c>
      <c r="L1250">
        <f>YEAR(Master_ventas[[#This Row],[Order Date]])</f>
        <v>2023</v>
      </c>
      <c r="M1250" t="str">
        <f>CONCATENATE(LEFT(Master_ventas[[#This Row],[ProdUpper]],3),RIGHT(Master_ventas[[#This Row],[Ext-Year]],2),"-",MID(Master_ventas[[#This Row],[Category]],1,1))</f>
        <v>SMA23-E</v>
      </c>
      <c r="N1250" t="str">
        <f>MID(Master_ventas[[#This Row],[ProdUpper]],1,3)</f>
        <v>SMA</v>
      </c>
      <c r="O1250" t="str">
        <f>UPPER(IF(Master_ventas[[#This Row],[Profit]]&gt;500,"High","Std"))</f>
        <v>HIGH</v>
      </c>
      <c r="P1250">
        <v>1249</v>
      </c>
    </row>
    <row r="1251" spans="1:16" x14ac:dyDescent="0.3">
      <c r="A1251" s="1">
        <v>44797</v>
      </c>
      <c r="B1251" t="s">
        <v>21</v>
      </c>
      <c r="C1251" t="s">
        <v>14</v>
      </c>
      <c r="D1251" t="s">
        <v>12</v>
      </c>
      <c r="E1251">
        <v>9</v>
      </c>
      <c r="F1251" s="3">
        <v>2466</v>
      </c>
      <c r="G1251" s="2">
        <v>638.41</v>
      </c>
      <c r="H1251">
        <f>Master_ventas[[#This Row],[Profit]]/Master_ventas[[#This Row],[Sales]]</f>
        <v>0.2588848337388483</v>
      </c>
      <c r="I1251">
        <f ca="1">Referencia_Hoy-Master_ventas[[#This Row],[Order Date]]</f>
        <v>1526</v>
      </c>
      <c r="J1251" t="str">
        <f>UPPER(Master_ventas[[#This Row],[Product Name]])</f>
        <v>SMARTPHONE</v>
      </c>
      <c r="K1251" t="str">
        <f>UPPER(Master_ventas[[#This Row],[Category]])</f>
        <v>ELECTRONICS</v>
      </c>
      <c r="L1251">
        <f>YEAR(Master_ventas[[#This Row],[Order Date]])</f>
        <v>2022</v>
      </c>
      <c r="M1251" t="str">
        <f>CONCATENATE(LEFT(Master_ventas[[#This Row],[ProdUpper]],3),RIGHT(Master_ventas[[#This Row],[Ext-Year]],2),"-",MID(Master_ventas[[#This Row],[Category]],1,1))</f>
        <v>SMA22-E</v>
      </c>
      <c r="N1251" t="str">
        <f>MID(Master_ventas[[#This Row],[ProdUpper]],1,3)</f>
        <v>SMA</v>
      </c>
      <c r="O1251" t="str">
        <f>UPPER(IF(Master_ventas[[#This Row],[Profit]]&gt;500,"High","Std"))</f>
        <v>HIGH</v>
      </c>
      <c r="P1251">
        <v>1250</v>
      </c>
    </row>
    <row r="1252" spans="1:16" x14ac:dyDescent="0.3">
      <c r="A1252" s="1">
        <v>45591</v>
      </c>
      <c r="B1252" t="s">
        <v>13</v>
      </c>
      <c r="C1252" t="s">
        <v>14</v>
      </c>
      <c r="D1252" t="s">
        <v>16</v>
      </c>
      <c r="E1252">
        <v>5</v>
      </c>
      <c r="F1252" s="3">
        <v>2465</v>
      </c>
      <c r="G1252" s="2">
        <v>497.19</v>
      </c>
      <c r="H1252">
        <f>Master_ventas[[#This Row],[Profit]]/Master_ventas[[#This Row],[Sales]]</f>
        <v>0.20169979716024342</v>
      </c>
      <c r="I1252">
        <f ca="1">Referencia_Hoy-Master_ventas[[#This Row],[Order Date]]</f>
        <v>732</v>
      </c>
      <c r="J1252" t="str">
        <f>UPPER(Master_ventas[[#This Row],[Product Name]])</f>
        <v>TABLET</v>
      </c>
      <c r="K1252" t="str">
        <f>UPPER(Master_ventas[[#This Row],[Category]])</f>
        <v>ELECTRONICS</v>
      </c>
      <c r="L1252">
        <f>YEAR(Master_ventas[[#This Row],[Order Date]])</f>
        <v>2024</v>
      </c>
      <c r="M1252" t="str">
        <f>CONCATENATE(LEFT(Master_ventas[[#This Row],[ProdUpper]],3),RIGHT(Master_ventas[[#This Row],[Ext-Year]],2),"-",MID(Master_ventas[[#This Row],[Category]],1,1))</f>
        <v>TAB24-E</v>
      </c>
      <c r="N1252" t="str">
        <f>MID(Master_ventas[[#This Row],[ProdUpper]],1,3)</f>
        <v>TAB</v>
      </c>
      <c r="O1252" t="str">
        <f>UPPER(IF(Master_ventas[[#This Row],[Profit]]&gt;500,"High","Std"))</f>
        <v>STD</v>
      </c>
      <c r="P1252">
        <v>1251</v>
      </c>
    </row>
    <row r="1253" spans="1:16" x14ac:dyDescent="0.3">
      <c r="A1253" s="1">
        <v>45061</v>
      </c>
      <c r="B1253" t="s">
        <v>13</v>
      </c>
      <c r="C1253" t="s">
        <v>14</v>
      </c>
      <c r="D1253" t="s">
        <v>9</v>
      </c>
      <c r="E1253">
        <v>3</v>
      </c>
      <c r="F1253" s="3">
        <v>612</v>
      </c>
      <c r="G1253" s="2">
        <v>40.15</v>
      </c>
      <c r="H1253">
        <f>Master_ventas[[#This Row],[Profit]]/Master_ventas[[#This Row],[Sales]]</f>
        <v>6.5604575163398696E-2</v>
      </c>
      <c r="I1253">
        <f ca="1">Referencia_Hoy-Master_ventas[[#This Row],[Order Date]]</f>
        <v>1262</v>
      </c>
      <c r="J1253" t="str">
        <f>UPPER(Master_ventas[[#This Row],[Product Name]])</f>
        <v>TABLET</v>
      </c>
      <c r="K1253" t="str">
        <f>UPPER(Master_ventas[[#This Row],[Category]])</f>
        <v>ELECTRONICS</v>
      </c>
      <c r="L1253">
        <f>YEAR(Master_ventas[[#This Row],[Order Date]])</f>
        <v>2023</v>
      </c>
      <c r="M1253" t="str">
        <f>CONCATENATE(LEFT(Master_ventas[[#This Row],[ProdUpper]],3),RIGHT(Master_ventas[[#This Row],[Ext-Year]],2),"-",MID(Master_ventas[[#This Row],[Category]],1,1))</f>
        <v>TAB23-E</v>
      </c>
      <c r="N1253" t="str">
        <f>MID(Master_ventas[[#This Row],[ProdUpper]],1,3)</f>
        <v>TAB</v>
      </c>
      <c r="O1253" t="str">
        <f>UPPER(IF(Master_ventas[[#This Row],[Profit]]&gt;500,"High","Std"))</f>
        <v>STD</v>
      </c>
      <c r="P1253">
        <v>1252</v>
      </c>
    </row>
    <row r="1254" spans="1:16" x14ac:dyDescent="0.3">
      <c r="A1254" s="1">
        <v>44859</v>
      </c>
      <c r="B1254" t="s">
        <v>13</v>
      </c>
      <c r="C1254" t="s">
        <v>14</v>
      </c>
      <c r="D1254" t="s">
        <v>15</v>
      </c>
      <c r="E1254">
        <v>5</v>
      </c>
      <c r="F1254" s="3">
        <v>4170</v>
      </c>
      <c r="G1254" s="2">
        <v>658.98</v>
      </c>
      <c r="H1254">
        <f>Master_ventas[[#This Row],[Profit]]/Master_ventas[[#This Row],[Sales]]</f>
        <v>0.15802877697841727</v>
      </c>
      <c r="I1254">
        <f ca="1">Referencia_Hoy-Master_ventas[[#This Row],[Order Date]]</f>
        <v>1464</v>
      </c>
      <c r="J1254" t="str">
        <f>UPPER(Master_ventas[[#This Row],[Product Name]])</f>
        <v>TABLET</v>
      </c>
      <c r="K1254" t="str">
        <f>UPPER(Master_ventas[[#This Row],[Category]])</f>
        <v>ELECTRONICS</v>
      </c>
      <c r="L1254">
        <f>YEAR(Master_ventas[[#This Row],[Order Date]])</f>
        <v>2022</v>
      </c>
      <c r="M1254" t="str">
        <f>CONCATENATE(LEFT(Master_ventas[[#This Row],[ProdUpper]],3),RIGHT(Master_ventas[[#This Row],[Ext-Year]],2),"-",MID(Master_ventas[[#This Row],[Category]],1,1))</f>
        <v>TAB22-E</v>
      </c>
      <c r="N1254" t="str">
        <f>MID(Master_ventas[[#This Row],[ProdUpper]],1,3)</f>
        <v>TAB</v>
      </c>
      <c r="O1254" t="str">
        <f>UPPER(IF(Master_ventas[[#This Row],[Profit]]&gt;500,"High","Std"))</f>
        <v>HIGH</v>
      </c>
      <c r="P1254">
        <v>1253</v>
      </c>
    </row>
    <row r="1255" spans="1:16" x14ac:dyDescent="0.3">
      <c r="A1255" s="1">
        <v>44998</v>
      </c>
      <c r="B1255" t="s">
        <v>17</v>
      </c>
      <c r="C1255" t="s">
        <v>14</v>
      </c>
      <c r="D1255" t="s">
        <v>15</v>
      </c>
      <c r="E1255">
        <v>8</v>
      </c>
      <c r="F1255" s="3">
        <v>1088</v>
      </c>
      <c r="G1255" s="2">
        <v>160.33000000000001</v>
      </c>
      <c r="H1255">
        <f>Master_ventas[[#This Row],[Profit]]/Master_ventas[[#This Row],[Sales]]</f>
        <v>0.14736213235294118</v>
      </c>
      <c r="I1255">
        <f ca="1">Referencia_Hoy-Master_ventas[[#This Row],[Order Date]]</f>
        <v>1325</v>
      </c>
      <c r="J1255" t="str">
        <f>UPPER(Master_ventas[[#This Row],[Product Name]])</f>
        <v>CAMERA</v>
      </c>
      <c r="K1255" t="str">
        <f>UPPER(Master_ventas[[#This Row],[Category]])</f>
        <v>ELECTRONICS</v>
      </c>
      <c r="L1255">
        <f>YEAR(Master_ventas[[#This Row],[Order Date]])</f>
        <v>2023</v>
      </c>
      <c r="M1255" t="str">
        <f>CONCATENATE(LEFT(Master_ventas[[#This Row],[ProdUpper]],3),RIGHT(Master_ventas[[#This Row],[Ext-Year]],2),"-",MID(Master_ventas[[#This Row],[Category]],1,1))</f>
        <v>CAM23-E</v>
      </c>
      <c r="N1255" t="str">
        <f>MID(Master_ventas[[#This Row],[ProdUpper]],1,3)</f>
        <v>CAM</v>
      </c>
      <c r="O1255" t="str">
        <f>UPPER(IF(Master_ventas[[#This Row],[Profit]]&gt;500,"High","Std"))</f>
        <v>STD</v>
      </c>
      <c r="P1255">
        <v>1254</v>
      </c>
    </row>
    <row r="1256" spans="1:16" x14ac:dyDescent="0.3">
      <c r="A1256" s="1">
        <v>45503</v>
      </c>
      <c r="B1256" t="s">
        <v>22</v>
      </c>
      <c r="C1256" t="s">
        <v>11</v>
      </c>
      <c r="D1256" t="s">
        <v>16</v>
      </c>
      <c r="E1256">
        <v>2</v>
      </c>
      <c r="F1256" s="3">
        <v>1626</v>
      </c>
      <c r="G1256" s="2">
        <v>354.49</v>
      </c>
      <c r="H1256">
        <f>Master_ventas[[#This Row],[Profit]]/Master_ventas[[#This Row],[Sales]]</f>
        <v>0.21801353013530136</v>
      </c>
      <c r="I1256">
        <f ca="1">Referencia_Hoy-Master_ventas[[#This Row],[Order Date]]</f>
        <v>820</v>
      </c>
      <c r="J1256" t="str">
        <f>UPPER(Master_ventas[[#This Row],[Product Name]])</f>
        <v>KEYBOARD</v>
      </c>
      <c r="K1256" t="str">
        <f>UPPER(Master_ventas[[#This Row],[Category]])</f>
        <v>ACCESSORIES</v>
      </c>
      <c r="L1256">
        <f>YEAR(Master_ventas[[#This Row],[Order Date]])</f>
        <v>2024</v>
      </c>
      <c r="M1256" t="str">
        <f>CONCATENATE(LEFT(Master_ventas[[#This Row],[ProdUpper]],3),RIGHT(Master_ventas[[#This Row],[Ext-Year]],2),"-",MID(Master_ventas[[#This Row],[Category]],1,1))</f>
        <v>KEY24-A</v>
      </c>
      <c r="N1256" t="str">
        <f>MID(Master_ventas[[#This Row],[ProdUpper]],1,3)</f>
        <v>KEY</v>
      </c>
      <c r="O1256" t="str">
        <f>UPPER(IF(Master_ventas[[#This Row],[Profit]]&gt;500,"High","Std"))</f>
        <v>STD</v>
      </c>
      <c r="P1256">
        <v>1255</v>
      </c>
    </row>
    <row r="1257" spans="1:16" x14ac:dyDescent="0.3">
      <c r="A1257" s="1">
        <v>45236</v>
      </c>
      <c r="B1257" t="s">
        <v>21</v>
      </c>
      <c r="C1257" t="s">
        <v>14</v>
      </c>
      <c r="D1257" t="s">
        <v>9</v>
      </c>
      <c r="E1257">
        <v>6</v>
      </c>
      <c r="F1257" s="3">
        <v>6486</v>
      </c>
      <c r="G1257" s="2">
        <v>359.49</v>
      </c>
      <c r="H1257">
        <f>Master_ventas[[#This Row],[Profit]]/Master_ventas[[#This Row],[Sales]]</f>
        <v>5.5425531914893619E-2</v>
      </c>
      <c r="I1257">
        <f ca="1">Referencia_Hoy-Master_ventas[[#This Row],[Order Date]]</f>
        <v>1087</v>
      </c>
      <c r="J1257" t="str">
        <f>UPPER(Master_ventas[[#This Row],[Product Name]])</f>
        <v>SMARTPHONE</v>
      </c>
      <c r="K1257" t="str">
        <f>UPPER(Master_ventas[[#This Row],[Category]])</f>
        <v>ELECTRONICS</v>
      </c>
      <c r="L1257">
        <f>YEAR(Master_ventas[[#This Row],[Order Date]])</f>
        <v>2023</v>
      </c>
      <c r="M1257" t="str">
        <f>CONCATENATE(LEFT(Master_ventas[[#This Row],[ProdUpper]],3),RIGHT(Master_ventas[[#This Row],[Ext-Year]],2),"-",MID(Master_ventas[[#This Row],[Category]],1,1))</f>
        <v>SMA23-E</v>
      </c>
      <c r="N1257" t="str">
        <f>MID(Master_ventas[[#This Row],[ProdUpper]],1,3)</f>
        <v>SMA</v>
      </c>
      <c r="O1257" t="str">
        <f>UPPER(IF(Master_ventas[[#This Row],[Profit]]&gt;500,"High","Std"))</f>
        <v>STD</v>
      </c>
      <c r="P1257">
        <v>1256</v>
      </c>
    </row>
    <row r="1258" spans="1:16" x14ac:dyDescent="0.3">
      <c r="A1258" s="1">
        <v>44909</v>
      </c>
      <c r="B1258" t="s">
        <v>20</v>
      </c>
      <c r="C1258" t="s">
        <v>11</v>
      </c>
      <c r="D1258" t="s">
        <v>16</v>
      </c>
      <c r="E1258">
        <v>8</v>
      </c>
      <c r="F1258" s="3">
        <v>6968</v>
      </c>
      <c r="G1258" s="2">
        <v>1226.22</v>
      </c>
      <c r="H1258">
        <f>Master_ventas[[#This Row],[Profit]]/Master_ventas[[#This Row],[Sales]]</f>
        <v>0.17597876004592422</v>
      </c>
      <c r="I1258">
        <f ca="1">Referencia_Hoy-Master_ventas[[#This Row],[Order Date]]</f>
        <v>1414</v>
      </c>
      <c r="J1258" t="str">
        <f>UPPER(Master_ventas[[#This Row],[Product Name]])</f>
        <v>MONITOR</v>
      </c>
      <c r="K1258" t="str">
        <f>UPPER(Master_ventas[[#This Row],[Category]])</f>
        <v>ACCESSORIES</v>
      </c>
      <c r="L1258">
        <f>YEAR(Master_ventas[[#This Row],[Order Date]])</f>
        <v>2022</v>
      </c>
      <c r="M1258" t="str">
        <f>CONCATENATE(LEFT(Master_ventas[[#This Row],[ProdUpper]],3),RIGHT(Master_ventas[[#This Row],[Ext-Year]],2),"-",MID(Master_ventas[[#This Row],[Category]],1,1))</f>
        <v>MON22-A</v>
      </c>
      <c r="N1258" t="str">
        <f>MID(Master_ventas[[#This Row],[ProdUpper]],1,3)</f>
        <v>MON</v>
      </c>
      <c r="O1258" t="str">
        <f>UPPER(IF(Master_ventas[[#This Row],[Profit]]&gt;500,"High","Std"))</f>
        <v>HIGH</v>
      </c>
      <c r="P1258">
        <v>1257</v>
      </c>
    </row>
    <row r="1259" spans="1:16" x14ac:dyDescent="0.3">
      <c r="A1259" s="1">
        <v>45294</v>
      </c>
      <c r="B1259" t="s">
        <v>21</v>
      </c>
      <c r="C1259" t="s">
        <v>14</v>
      </c>
      <c r="D1259" t="s">
        <v>9</v>
      </c>
      <c r="E1259">
        <v>1</v>
      </c>
      <c r="F1259" s="3">
        <v>357</v>
      </c>
      <c r="G1259" s="2">
        <v>82.86</v>
      </c>
      <c r="H1259">
        <f>Master_ventas[[#This Row],[Profit]]/Master_ventas[[#This Row],[Sales]]</f>
        <v>0.23210084033613446</v>
      </c>
      <c r="I1259">
        <f ca="1">Referencia_Hoy-Master_ventas[[#This Row],[Order Date]]</f>
        <v>1029</v>
      </c>
      <c r="J1259" t="str">
        <f>UPPER(Master_ventas[[#This Row],[Product Name]])</f>
        <v>SMARTPHONE</v>
      </c>
      <c r="K1259" t="str">
        <f>UPPER(Master_ventas[[#This Row],[Category]])</f>
        <v>ELECTRONICS</v>
      </c>
      <c r="L1259">
        <f>YEAR(Master_ventas[[#This Row],[Order Date]])</f>
        <v>2024</v>
      </c>
      <c r="M1259" t="str">
        <f>CONCATENATE(LEFT(Master_ventas[[#This Row],[ProdUpper]],3),RIGHT(Master_ventas[[#This Row],[Ext-Year]],2),"-",MID(Master_ventas[[#This Row],[Category]],1,1))</f>
        <v>SMA24-E</v>
      </c>
      <c r="N1259" t="str">
        <f>MID(Master_ventas[[#This Row],[ProdUpper]],1,3)</f>
        <v>SMA</v>
      </c>
      <c r="O1259" t="str">
        <f>UPPER(IF(Master_ventas[[#This Row],[Profit]]&gt;500,"High","Std"))</f>
        <v>STD</v>
      </c>
      <c r="P1259">
        <v>1258</v>
      </c>
    </row>
    <row r="1260" spans="1:16" x14ac:dyDescent="0.3">
      <c r="A1260" s="1">
        <v>45339</v>
      </c>
      <c r="B1260" t="s">
        <v>23</v>
      </c>
      <c r="C1260" t="s">
        <v>14</v>
      </c>
      <c r="D1260" t="s">
        <v>15</v>
      </c>
      <c r="E1260">
        <v>1</v>
      </c>
      <c r="F1260" s="3">
        <v>454</v>
      </c>
      <c r="G1260" s="2">
        <v>58.4</v>
      </c>
      <c r="H1260">
        <f>Master_ventas[[#This Row],[Profit]]/Master_ventas[[#This Row],[Sales]]</f>
        <v>0.12863436123348018</v>
      </c>
      <c r="I1260">
        <f ca="1">Referencia_Hoy-Master_ventas[[#This Row],[Order Date]]</f>
        <v>984</v>
      </c>
      <c r="J1260" t="str">
        <f>UPPER(Master_ventas[[#This Row],[Product Name]])</f>
        <v>LAPTOP</v>
      </c>
      <c r="K1260" t="str">
        <f>UPPER(Master_ventas[[#This Row],[Category]])</f>
        <v>ELECTRONICS</v>
      </c>
      <c r="L1260">
        <f>YEAR(Master_ventas[[#This Row],[Order Date]])</f>
        <v>2024</v>
      </c>
      <c r="M1260" t="str">
        <f>CONCATENATE(LEFT(Master_ventas[[#This Row],[ProdUpper]],3),RIGHT(Master_ventas[[#This Row],[Ext-Year]],2),"-",MID(Master_ventas[[#This Row],[Category]],1,1))</f>
        <v>LAP24-E</v>
      </c>
      <c r="N1260" t="str">
        <f>MID(Master_ventas[[#This Row],[ProdUpper]],1,3)</f>
        <v>LAP</v>
      </c>
      <c r="O1260" t="str">
        <f>UPPER(IF(Master_ventas[[#This Row],[Profit]]&gt;500,"High","Std"))</f>
        <v>STD</v>
      </c>
      <c r="P1260">
        <v>1259</v>
      </c>
    </row>
    <row r="1261" spans="1:16" x14ac:dyDescent="0.3">
      <c r="A1261" s="1">
        <v>45386</v>
      </c>
      <c r="B1261" t="s">
        <v>13</v>
      </c>
      <c r="C1261" t="s">
        <v>14</v>
      </c>
      <c r="D1261" t="s">
        <v>12</v>
      </c>
      <c r="E1261">
        <v>3</v>
      </c>
      <c r="F1261" s="3">
        <v>3582</v>
      </c>
      <c r="G1261" s="2">
        <v>501.47</v>
      </c>
      <c r="H1261">
        <f>Master_ventas[[#This Row],[Profit]]/Master_ventas[[#This Row],[Sales]]</f>
        <v>0.13999720826353992</v>
      </c>
      <c r="I1261">
        <f ca="1">Referencia_Hoy-Master_ventas[[#This Row],[Order Date]]</f>
        <v>937</v>
      </c>
      <c r="J1261" t="str">
        <f>UPPER(Master_ventas[[#This Row],[Product Name]])</f>
        <v>TABLET</v>
      </c>
      <c r="K1261" t="str">
        <f>UPPER(Master_ventas[[#This Row],[Category]])</f>
        <v>ELECTRONICS</v>
      </c>
      <c r="L1261">
        <f>YEAR(Master_ventas[[#This Row],[Order Date]])</f>
        <v>2024</v>
      </c>
      <c r="M1261" t="str">
        <f>CONCATENATE(LEFT(Master_ventas[[#This Row],[ProdUpper]],3),RIGHT(Master_ventas[[#This Row],[Ext-Year]],2),"-",MID(Master_ventas[[#This Row],[Category]],1,1))</f>
        <v>TAB24-E</v>
      </c>
      <c r="N1261" t="str">
        <f>MID(Master_ventas[[#This Row],[ProdUpper]],1,3)</f>
        <v>TAB</v>
      </c>
      <c r="O1261" t="str">
        <f>UPPER(IF(Master_ventas[[#This Row],[Profit]]&gt;500,"High","Std"))</f>
        <v>HIGH</v>
      </c>
      <c r="P1261">
        <v>1260</v>
      </c>
    </row>
    <row r="1262" spans="1:16" x14ac:dyDescent="0.3">
      <c r="A1262" s="1">
        <v>45468</v>
      </c>
      <c r="B1262" t="s">
        <v>13</v>
      </c>
      <c r="C1262" t="s">
        <v>14</v>
      </c>
      <c r="D1262" t="s">
        <v>16</v>
      </c>
      <c r="E1262">
        <v>9</v>
      </c>
      <c r="F1262" s="3">
        <v>3762</v>
      </c>
      <c r="G1262" s="2">
        <v>484.75</v>
      </c>
      <c r="H1262">
        <f>Master_ventas[[#This Row],[Profit]]/Master_ventas[[#This Row],[Sales]]</f>
        <v>0.12885433280170122</v>
      </c>
      <c r="I1262">
        <f ca="1">Referencia_Hoy-Master_ventas[[#This Row],[Order Date]]</f>
        <v>855</v>
      </c>
      <c r="J1262" t="str">
        <f>UPPER(Master_ventas[[#This Row],[Product Name]])</f>
        <v>TABLET</v>
      </c>
      <c r="K1262" t="str">
        <f>UPPER(Master_ventas[[#This Row],[Category]])</f>
        <v>ELECTRONICS</v>
      </c>
      <c r="L1262">
        <f>YEAR(Master_ventas[[#This Row],[Order Date]])</f>
        <v>2024</v>
      </c>
      <c r="M1262" t="str">
        <f>CONCATENATE(LEFT(Master_ventas[[#This Row],[ProdUpper]],3),RIGHT(Master_ventas[[#This Row],[Ext-Year]],2),"-",MID(Master_ventas[[#This Row],[Category]],1,1))</f>
        <v>TAB24-E</v>
      </c>
      <c r="N1262" t="str">
        <f>MID(Master_ventas[[#This Row],[ProdUpper]],1,3)</f>
        <v>TAB</v>
      </c>
      <c r="O1262" t="str">
        <f>UPPER(IF(Master_ventas[[#This Row],[Profit]]&gt;500,"High","Std"))</f>
        <v>STD</v>
      </c>
      <c r="P1262">
        <v>1261</v>
      </c>
    </row>
    <row r="1263" spans="1:16" x14ac:dyDescent="0.3">
      <c r="A1263" s="1">
        <v>45596</v>
      </c>
      <c r="B1263" t="s">
        <v>19</v>
      </c>
      <c r="C1263" t="s">
        <v>14</v>
      </c>
      <c r="D1263" t="s">
        <v>15</v>
      </c>
      <c r="E1263">
        <v>9</v>
      </c>
      <c r="F1263" s="3">
        <v>6642</v>
      </c>
      <c r="G1263" s="2">
        <v>394.48</v>
      </c>
      <c r="H1263">
        <f>Master_ventas[[#This Row],[Profit]]/Master_ventas[[#This Row],[Sales]]</f>
        <v>5.9391749473050287E-2</v>
      </c>
      <c r="I1263">
        <f ca="1">Referencia_Hoy-Master_ventas[[#This Row],[Order Date]]</f>
        <v>727</v>
      </c>
      <c r="J1263" t="str">
        <f>UPPER(Master_ventas[[#This Row],[Product Name]])</f>
        <v>SMARTWATCH</v>
      </c>
      <c r="K1263" t="str">
        <f>UPPER(Master_ventas[[#This Row],[Category]])</f>
        <v>ELECTRONICS</v>
      </c>
      <c r="L1263">
        <f>YEAR(Master_ventas[[#This Row],[Order Date]])</f>
        <v>2024</v>
      </c>
      <c r="M1263" t="str">
        <f>CONCATENATE(LEFT(Master_ventas[[#This Row],[ProdUpper]],3),RIGHT(Master_ventas[[#This Row],[Ext-Year]],2),"-",MID(Master_ventas[[#This Row],[Category]],1,1))</f>
        <v>SMA24-E</v>
      </c>
      <c r="N1263" t="str">
        <f>MID(Master_ventas[[#This Row],[ProdUpper]],1,3)</f>
        <v>SMA</v>
      </c>
      <c r="O1263" t="str">
        <f>UPPER(IF(Master_ventas[[#This Row],[Profit]]&gt;500,"High","Std"))</f>
        <v>STD</v>
      </c>
      <c r="P1263">
        <v>1262</v>
      </c>
    </row>
    <row r="1264" spans="1:16" x14ac:dyDescent="0.3">
      <c r="A1264" s="1">
        <v>45560</v>
      </c>
      <c r="B1264" t="s">
        <v>20</v>
      </c>
      <c r="C1264" t="s">
        <v>11</v>
      </c>
      <c r="D1264" t="s">
        <v>16</v>
      </c>
      <c r="E1264">
        <v>4</v>
      </c>
      <c r="F1264" s="3">
        <v>408</v>
      </c>
      <c r="G1264" s="2">
        <v>45.2</v>
      </c>
      <c r="H1264">
        <f>Master_ventas[[#This Row],[Profit]]/Master_ventas[[#This Row],[Sales]]</f>
        <v>0.1107843137254902</v>
      </c>
      <c r="I1264">
        <f ca="1">Referencia_Hoy-Master_ventas[[#This Row],[Order Date]]</f>
        <v>763</v>
      </c>
      <c r="J1264" t="str">
        <f>UPPER(Master_ventas[[#This Row],[Product Name]])</f>
        <v>MONITOR</v>
      </c>
      <c r="K1264" t="str">
        <f>UPPER(Master_ventas[[#This Row],[Category]])</f>
        <v>ACCESSORIES</v>
      </c>
      <c r="L1264">
        <f>YEAR(Master_ventas[[#This Row],[Order Date]])</f>
        <v>2024</v>
      </c>
      <c r="M1264" t="str">
        <f>CONCATENATE(LEFT(Master_ventas[[#This Row],[ProdUpper]],3),RIGHT(Master_ventas[[#This Row],[Ext-Year]],2),"-",MID(Master_ventas[[#This Row],[Category]],1,1))</f>
        <v>MON24-A</v>
      </c>
      <c r="N1264" t="str">
        <f>MID(Master_ventas[[#This Row],[ProdUpper]],1,3)</f>
        <v>MON</v>
      </c>
      <c r="O1264" t="str">
        <f>UPPER(IF(Master_ventas[[#This Row],[Profit]]&gt;500,"High","Std"))</f>
        <v>STD</v>
      </c>
      <c r="P1264">
        <v>1263</v>
      </c>
    </row>
    <row r="1265" spans="1:16" x14ac:dyDescent="0.3">
      <c r="A1265" s="1">
        <v>45359</v>
      </c>
      <c r="B1265" t="s">
        <v>13</v>
      </c>
      <c r="C1265" t="s">
        <v>14</v>
      </c>
      <c r="D1265" t="s">
        <v>16</v>
      </c>
      <c r="E1265">
        <v>1</v>
      </c>
      <c r="F1265" s="3">
        <v>105</v>
      </c>
      <c r="G1265" s="2">
        <v>25.26</v>
      </c>
      <c r="H1265">
        <f>Master_ventas[[#This Row],[Profit]]/Master_ventas[[#This Row],[Sales]]</f>
        <v>0.24057142857142857</v>
      </c>
      <c r="I1265">
        <f ca="1">Referencia_Hoy-Master_ventas[[#This Row],[Order Date]]</f>
        <v>964</v>
      </c>
      <c r="J1265" t="str">
        <f>UPPER(Master_ventas[[#This Row],[Product Name]])</f>
        <v>TABLET</v>
      </c>
      <c r="K1265" t="str">
        <f>UPPER(Master_ventas[[#This Row],[Category]])</f>
        <v>ELECTRONICS</v>
      </c>
      <c r="L1265">
        <f>YEAR(Master_ventas[[#This Row],[Order Date]])</f>
        <v>2024</v>
      </c>
      <c r="M1265" t="str">
        <f>CONCATENATE(LEFT(Master_ventas[[#This Row],[ProdUpper]],3),RIGHT(Master_ventas[[#This Row],[Ext-Year]],2),"-",MID(Master_ventas[[#This Row],[Category]],1,1))</f>
        <v>TAB24-E</v>
      </c>
      <c r="N1265" t="str">
        <f>MID(Master_ventas[[#This Row],[ProdUpper]],1,3)</f>
        <v>TAB</v>
      </c>
      <c r="O1265" t="str">
        <f>UPPER(IF(Master_ventas[[#This Row],[Profit]]&gt;500,"High","Std"))</f>
        <v>STD</v>
      </c>
      <c r="P1265">
        <v>1264</v>
      </c>
    </row>
    <row r="1266" spans="1:16" x14ac:dyDescent="0.3">
      <c r="A1266" s="1">
        <v>45416</v>
      </c>
      <c r="B1266" t="s">
        <v>13</v>
      </c>
      <c r="C1266" t="s">
        <v>14</v>
      </c>
      <c r="D1266" t="s">
        <v>16</v>
      </c>
      <c r="E1266">
        <v>3</v>
      </c>
      <c r="F1266" s="3">
        <v>2682</v>
      </c>
      <c r="G1266" s="2">
        <v>584.69000000000005</v>
      </c>
      <c r="H1266">
        <f>Master_ventas[[#This Row],[Profit]]/Master_ventas[[#This Row],[Sales]]</f>
        <v>0.21800521998508579</v>
      </c>
      <c r="I1266">
        <f ca="1">Referencia_Hoy-Master_ventas[[#This Row],[Order Date]]</f>
        <v>907</v>
      </c>
      <c r="J1266" t="str">
        <f>UPPER(Master_ventas[[#This Row],[Product Name]])</f>
        <v>TABLET</v>
      </c>
      <c r="K1266" t="str">
        <f>UPPER(Master_ventas[[#This Row],[Category]])</f>
        <v>ELECTRONICS</v>
      </c>
      <c r="L1266">
        <f>YEAR(Master_ventas[[#This Row],[Order Date]])</f>
        <v>2024</v>
      </c>
      <c r="M1266" t="str">
        <f>CONCATENATE(LEFT(Master_ventas[[#This Row],[ProdUpper]],3),RIGHT(Master_ventas[[#This Row],[Ext-Year]],2),"-",MID(Master_ventas[[#This Row],[Category]],1,1))</f>
        <v>TAB24-E</v>
      </c>
      <c r="N1266" t="str">
        <f>MID(Master_ventas[[#This Row],[ProdUpper]],1,3)</f>
        <v>TAB</v>
      </c>
      <c r="O1266" t="str">
        <f>UPPER(IF(Master_ventas[[#This Row],[Profit]]&gt;500,"High","Std"))</f>
        <v>HIGH</v>
      </c>
      <c r="P1266">
        <v>1265</v>
      </c>
    </row>
    <row r="1267" spans="1:16" x14ac:dyDescent="0.3">
      <c r="A1267" s="1">
        <v>44753</v>
      </c>
      <c r="B1267" t="s">
        <v>22</v>
      </c>
      <c r="C1267" t="s">
        <v>11</v>
      </c>
      <c r="D1267" t="s">
        <v>12</v>
      </c>
      <c r="E1267">
        <v>7</v>
      </c>
      <c r="F1267" s="3">
        <v>497</v>
      </c>
      <c r="G1267" s="2">
        <v>76.31</v>
      </c>
      <c r="H1267">
        <f>Master_ventas[[#This Row],[Profit]]/Master_ventas[[#This Row],[Sales]]</f>
        <v>0.15354124748490947</v>
      </c>
      <c r="I1267">
        <f ca="1">Referencia_Hoy-Master_ventas[[#This Row],[Order Date]]</f>
        <v>1570</v>
      </c>
      <c r="J1267" t="str">
        <f>UPPER(Master_ventas[[#This Row],[Product Name]])</f>
        <v>KEYBOARD</v>
      </c>
      <c r="K1267" t="str">
        <f>UPPER(Master_ventas[[#This Row],[Category]])</f>
        <v>ACCESSORIES</v>
      </c>
      <c r="L1267">
        <f>YEAR(Master_ventas[[#This Row],[Order Date]])</f>
        <v>2022</v>
      </c>
      <c r="M1267" t="str">
        <f>CONCATENATE(LEFT(Master_ventas[[#This Row],[ProdUpper]],3),RIGHT(Master_ventas[[#This Row],[Ext-Year]],2),"-",MID(Master_ventas[[#This Row],[Category]],1,1))</f>
        <v>KEY22-A</v>
      </c>
      <c r="N1267" t="str">
        <f>MID(Master_ventas[[#This Row],[ProdUpper]],1,3)</f>
        <v>KEY</v>
      </c>
      <c r="O1267" t="str">
        <f>UPPER(IF(Master_ventas[[#This Row],[Profit]]&gt;500,"High","Std"))</f>
        <v>STD</v>
      </c>
      <c r="P1267">
        <v>1266</v>
      </c>
    </row>
    <row r="1268" spans="1:16" x14ac:dyDescent="0.3">
      <c r="A1268" s="1">
        <v>44792</v>
      </c>
      <c r="B1268" t="s">
        <v>7</v>
      </c>
      <c r="C1268" t="s">
        <v>8</v>
      </c>
      <c r="D1268" t="s">
        <v>15</v>
      </c>
      <c r="E1268">
        <v>7</v>
      </c>
      <c r="F1268" s="3">
        <v>4823</v>
      </c>
      <c r="G1268" s="2">
        <v>420.58</v>
      </c>
      <c r="H1268">
        <f>Master_ventas[[#This Row],[Profit]]/Master_ventas[[#This Row],[Sales]]</f>
        <v>8.7202985693551727E-2</v>
      </c>
      <c r="I1268">
        <f ca="1">Referencia_Hoy-Master_ventas[[#This Row],[Order Date]]</f>
        <v>1531</v>
      </c>
      <c r="J1268" t="str">
        <f>UPPER(Master_ventas[[#This Row],[Product Name]])</f>
        <v>PRINTER</v>
      </c>
      <c r="K1268" t="str">
        <f>UPPER(Master_ventas[[#This Row],[Category]])</f>
        <v>OFFICE</v>
      </c>
      <c r="L1268">
        <f>YEAR(Master_ventas[[#This Row],[Order Date]])</f>
        <v>2022</v>
      </c>
      <c r="M1268" t="str">
        <f>CONCATENATE(LEFT(Master_ventas[[#This Row],[ProdUpper]],3),RIGHT(Master_ventas[[#This Row],[Ext-Year]],2),"-",MID(Master_ventas[[#This Row],[Category]],1,1))</f>
        <v>PRI22-O</v>
      </c>
      <c r="N1268" t="str">
        <f>MID(Master_ventas[[#This Row],[ProdUpper]],1,3)</f>
        <v>PRI</v>
      </c>
      <c r="O1268" t="str">
        <f>UPPER(IF(Master_ventas[[#This Row],[Profit]]&gt;500,"High","Std"))</f>
        <v>STD</v>
      </c>
      <c r="P1268">
        <v>1267</v>
      </c>
    </row>
    <row r="1269" spans="1:16" x14ac:dyDescent="0.3">
      <c r="A1269" s="1">
        <v>45566</v>
      </c>
      <c r="B1269" t="s">
        <v>19</v>
      </c>
      <c r="C1269" t="s">
        <v>14</v>
      </c>
      <c r="D1269" t="s">
        <v>9</v>
      </c>
      <c r="E1269">
        <v>8</v>
      </c>
      <c r="F1269" s="3">
        <v>4048</v>
      </c>
      <c r="G1269" s="2">
        <v>666.1</v>
      </c>
      <c r="H1269">
        <f>Master_ventas[[#This Row],[Profit]]/Master_ventas[[#This Row],[Sales]]</f>
        <v>0.164550395256917</v>
      </c>
      <c r="I1269">
        <f ca="1">Referencia_Hoy-Master_ventas[[#This Row],[Order Date]]</f>
        <v>757</v>
      </c>
      <c r="J1269" t="str">
        <f>UPPER(Master_ventas[[#This Row],[Product Name]])</f>
        <v>SMARTWATCH</v>
      </c>
      <c r="K1269" t="str">
        <f>UPPER(Master_ventas[[#This Row],[Category]])</f>
        <v>ELECTRONICS</v>
      </c>
      <c r="L1269">
        <f>YEAR(Master_ventas[[#This Row],[Order Date]])</f>
        <v>2024</v>
      </c>
      <c r="M1269" t="str">
        <f>CONCATENATE(LEFT(Master_ventas[[#This Row],[ProdUpper]],3),RIGHT(Master_ventas[[#This Row],[Ext-Year]],2),"-",MID(Master_ventas[[#This Row],[Category]],1,1))</f>
        <v>SMA24-E</v>
      </c>
      <c r="N1269" t="str">
        <f>MID(Master_ventas[[#This Row],[ProdUpper]],1,3)</f>
        <v>SMA</v>
      </c>
      <c r="O1269" t="str">
        <f>UPPER(IF(Master_ventas[[#This Row],[Profit]]&gt;500,"High","Std"))</f>
        <v>HIGH</v>
      </c>
      <c r="P1269">
        <v>1268</v>
      </c>
    </row>
    <row r="1270" spans="1:16" x14ac:dyDescent="0.3">
      <c r="A1270" s="1">
        <v>45218</v>
      </c>
      <c r="B1270" t="s">
        <v>7</v>
      </c>
      <c r="C1270" t="s">
        <v>8</v>
      </c>
      <c r="D1270" t="s">
        <v>15</v>
      </c>
      <c r="E1270">
        <v>7</v>
      </c>
      <c r="F1270" s="3">
        <v>2758</v>
      </c>
      <c r="G1270" s="2">
        <v>459.02</v>
      </c>
      <c r="H1270">
        <f>Master_ventas[[#This Row],[Profit]]/Master_ventas[[#This Row],[Sales]]</f>
        <v>0.16643219724437999</v>
      </c>
      <c r="I1270">
        <f ca="1">Referencia_Hoy-Master_ventas[[#This Row],[Order Date]]</f>
        <v>1105</v>
      </c>
      <c r="J1270" t="str">
        <f>UPPER(Master_ventas[[#This Row],[Product Name]])</f>
        <v>PRINTER</v>
      </c>
      <c r="K1270" t="str">
        <f>UPPER(Master_ventas[[#This Row],[Category]])</f>
        <v>OFFICE</v>
      </c>
      <c r="L1270">
        <f>YEAR(Master_ventas[[#This Row],[Order Date]])</f>
        <v>2023</v>
      </c>
      <c r="M1270" t="str">
        <f>CONCATENATE(LEFT(Master_ventas[[#This Row],[ProdUpper]],3),RIGHT(Master_ventas[[#This Row],[Ext-Year]],2),"-",MID(Master_ventas[[#This Row],[Category]],1,1))</f>
        <v>PRI23-O</v>
      </c>
      <c r="N1270" t="str">
        <f>MID(Master_ventas[[#This Row],[ProdUpper]],1,3)</f>
        <v>PRI</v>
      </c>
      <c r="O1270" t="str">
        <f>UPPER(IF(Master_ventas[[#This Row],[Profit]]&gt;500,"High","Std"))</f>
        <v>STD</v>
      </c>
      <c r="P1270">
        <v>1269</v>
      </c>
    </row>
    <row r="1271" spans="1:16" x14ac:dyDescent="0.3">
      <c r="A1271" s="1">
        <v>44918</v>
      </c>
      <c r="B1271" t="s">
        <v>21</v>
      </c>
      <c r="C1271" t="s">
        <v>14</v>
      </c>
      <c r="D1271" t="s">
        <v>9</v>
      </c>
      <c r="E1271">
        <v>8</v>
      </c>
      <c r="F1271" s="3">
        <v>4096</v>
      </c>
      <c r="G1271" s="2">
        <v>266.35000000000002</v>
      </c>
      <c r="H1271">
        <f>Master_ventas[[#This Row],[Profit]]/Master_ventas[[#This Row],[Sales]]</f>
        <v>6.5026855468750006E-2</v>
      </c>
      <c r="I1271">
        <f ca="1">Referencia_Hoy-Master_ventas[[#This Row],[Order Date]]</f>
        <v>1405</v>
      </c>
      <c r="J1271" t="str">
        <f>UPPER(Master_ventas[[#This Row],[Product Name]])</f>
        <v>SMARTPHONE</v>
      </c>
      <c r="K1271" t="str">
        <f>UPPER(Master_ventas[[#This Row],[Category]])</f>
        <v>ELECTRONICS</v>
      </c>
      <c r="L1271">
        <f>YEAR(Master_ventas[[#This Row],[Order Date]])</f>
        <v>2022</v>
      </c>
      <c r="M1271" t="str">
        <f>CONCATENATE(LEFT(Master_ventas[[#This Row],[ProdUpper]],3),RIGHT(Master_ventas[[#This Row],[Ext-Year]],2),"-",MID(Master_ventas[[#This Row],[Category]],1,1))</f>
        <v>SMA22-E</v>
      </c>
      <c r="N1271" t="str">
        <f>MID(Master_ventas[[#This Row],[ProdUpper]],1,3)</f>
        <v>SMA</v>
      </c>
      <c r="O1271" t="str">
        <f>UPPER(IF(Master_ventas[[#This Row],[Profit]]&gt;500,"High","Std"))</f>
        <v>STD</v>
      </c>
      <c r="P1271">
        <v>1270</v>
      </c>
    </row>
    <row r="1272" spans="1:16" x14ac:dyDescent="0.3">
      <c r="A1272" s="1">
        <v>45576</v>
      </c>
      <c r="B1272" t="s">
        <v>7</v>
      </c>
      <c r="C1272" t="s">
        <v>8</v>
      </c>
      <c r="D1272" t="s">
        <v>9</v>
      </c>
      <c r="E1272">
        <v>8</v>
      </c>
      <c r="F1272" s="3">
        <v>7264</v>
      </c>
      <c r="G1272" s="2">
        <v>1318</v>
      </c>
      <c r="H1272">
        <f>Master_ventas[[#This Row],[Profit]]/Master_ventas[[#This Row],[Sales]]</f>
        <v>0.18144273127753305</v>
      </c>
      <c r="I1272">
        <f ca="1">Referencia_Hoy-Master_ventas[[#This Row],[Order Date]]</f>
        <v>747</v>
      </c>
      <c r="J1272" t="str">
        <f>UPPER(Master_ventas[[#This Row],[Product Name]])</f>
        <v>PRINTER</v>
      </c>
      <c r="K1272" t="str">
        <f>UPPER(Master_ventas[[#This Row],[Category]])</f>
        <v>OFFICE</v>
      </c>
      <c r="L1272">
        <f>YEAR(Master_ventas[[#This Row],[Order Date]])</f>
        <v>2024</v>
      </c>
      <c r="M1272" t="str">
        <f>CONCATENATE(LEFT(Master_ventas[[#This Row],[ProdUpper]],3),RIGHT(Master_ventas[[#This Row],[Ext-Year]],2),"-",MID(Master_ventas[[#This Row],[Category]],1,1))</f>
        <v>PRI24-O</v>
      </c>
      <c r="N1272" t="str">
        <f>MID(Master_ventas[[#This Row],[ProdUpper]],1,3)</f>
        <v>PRI</v>
      </c>
      <c r="O1272" t="str">
        <f>UPPER(IF(Master_ventas[[#This Row],[Profit]]&gt;500,"High","Std"))</f>
        <v>HIGH</v>
      </c>
      <c r="P1272">
        <v>1271</v>
      </c>
    </row>
    <row r="1273" spans="1:16" x14ac:dyDescent="0.3">
      <c r="A1273" s="1">
        <v>44660</v>
      </c>
      <c r="B1273" t="s">
        <v>10</v>
      </c>
      <c r="C1273" t="s">
        <v>11</v>
      </c>
      <c r="D1273" t="s">
        <v>12</v>
      </c>
      <c r="E1273">
        <v>6</v>
      </c>
      <c r="F1273" s="3">
        <v>4302</v>
      </c>
      <c r="G1273" s="2">
        <v>957.38</v>
      </c>
      <c r="H1273">
        <f>Master_ventas[[#This Row],[Profit]]/Master_ventas[[#This Row],[Sales]]</f>
        <v>0.22254300325430032</v>
      </c>
      <c r="I1273">
        <f ca="1">Referencia_Hoy-Master_ventas[[#This Row],[Order Date]]</f>
        <v>1663</v>
      </c>
      <c r="J1273" t="str">
        <f>UPPER(Master_ventas[[#This Row],[Product Name]])</f>
        <v>MOUSE</v>
      </c>
      <c r="K1273" t="str">
        <f>UPPER(Master_ventas[[#This Row],[Category]])</f>
        <v>ACCESSORIES</v>
      </c>
      <c r="L1273">
        <f>YEAR(Master_ventas[[#This Row],[Order Date]])</f>
        <v>2022</v>
      </c>
      <c r="M1273" t="str">
        <f>CONCATENATE(LEFT(Master_ventas[[#This Row],[ProdUpper]],3),RIGHT(Master_ventas[[#This Row],[Ext-Year]],2),"-",MID(Master_ventas[[#This Row],[Category]],1,1))</f>
        <v>MOU22-A</v>
      </c>
      <c r="N1273" t="str">
        <f>MID(Master_ventas[[#This Row],[ProdUpper]],1,3)</f>
        <v>MOU</v>
      </c>
      <c r="O1273" t="str">
        <f>UPPER(IF(Master_ventas[[#This Row],[Profit]]&gt;500,"High","Std"))</f>
        <v>HIGH</v>
      </c>
      <c r="P1273">
        <v>1272</v>
      </c>
    </row>
    <row r="1274" spans="1:16" x14ac:dyDescent="0.3">
      <c r="A1274" s="1">
        <v>44623</v>
      </c>
      <c r="B1274" t="s">
        <v>7</v>
      </c>
      <c r="C1274" t="s">
        <v>8</v>
      </c>
      <c r="D1274" t="s">
        <v>9</v>
      </c>
      <c r="E1274">
        <v>7</v>
      </c>
      <c r="F1274" s="3">
        <v>3297</v>
      </c>
      <c r="G1274" s="2">
        <v>583.86</v>
      </c>
      <c r="H1274">
        <f>Master_ventas[[#This Row],[Profit]]/Master_ventas[[#This Row],[Sales]]</f>
        <v>0.17708826205641492</v>
      </c>
      <c r="I1274">
        <f ca="1">Referencia_Hoy-Master_ventas[[#This Row],[Order Date]]</f>
        <v>1700</v>
      </c>
      <c r="J1274" t="str">
        <f>UPPER(Master_ventas[[#This Row],[Product Name]])</f>
        <v>PRINTER</v>
      </c>
      <c r="K1274" t="str">
        <f>UPPER(Master_ventas[[#This Row],[Category]])</f>
        <v>OFFICE</v>
      </c>
      <c r="L1274">
        <f>YEAR(Master_ventas[[#This Row],[Order Date]])</f>
        <v>2022</v>
      </c>
      <c r="M1274" t="str">
        <f>CONCATENATE(LEFT(Master_ventas[[#This Row],[ProdUpper]],3),RIGHT(Master_ventas[[#This Row],[Ext-Year]],2),"-",MID(Master_ventas[[#This Row],[Category]],1,1))</f>
        <v>PRI22-O</v>
      </c>
      <c r="N1274" t="str">
        <f>MID(Master_ventas[[#This Row],[ProdUpper]],1,3)</f>
        <v>PRI</v>
      </c>
      <c r="O1274" t="str">
        <f>UPPER(IF(Master_ventas[[#This Row],[Profit]]&gt;500,"High","Std"))</f>
        <v>HIGH</v>
      </c>
      <c r="P1274">
        <v>1273</v>
      </c>
    </row>
    <row r="1275" spans="1:16" x14ac:dyDescent="0.3">
      <c r="A1275" s="1">
        <v>44953</v>
      </c>
      <c r="B1275" t="s">
        <v>7</v>
      </c>
      <c r="C1275" t="s">
        <v>8</v>
      </c>
      <c r="D1275" t="s">
        <v>9</v>
      </c>
      <c r="E1275">
        <v>5</v>
      </c>
      <c r="F1275" s="3">
        <v>5960</v>
      </c>
      <c r="G1275" s="2">
        <v>1139.78</v>
      </c>
      <c r="H1275">
        <f>Master_ventas[[#This Row],[Profit]]/Master_ventas[[#This Row],[Sales]]</f>
        <v>0.19123825503355704</v>
      </c>
      <c r="I1275">
        <f ca="1">Referencia_Hoy-Master_ventas[[#This Row],[Order Date]]</f>
        <v>1370</v>
      </c>
      <c r="J1275" t="str">
        <f>UPPER(Master_ventas[[#This Row],[Product Name]])</f>
        <v>PRINTER</v>
      </c>
      <c r="K1275" t="str">
        <f>UPPER(Master_ventas[[#This Row],[Category]])</f>
        <v>OFFICE</v>
      </c>
      <c r="L1275">
        <f>YEAR(Master_ventas[[#This Row],[Order Date]])</f>
        <v>2023</v>
      </c>
      <c r="M1275" t="str">
        <f>CONCATENATE(LEFT(Master_ventas[[#This Row],[ProdUpper]],3),RIGHT(Master_ventas[[#This Row],[Ext-Year]],2),"-",MID(Master_ventas[[#This Row],[Category]],1,1))</f>
        <v>PRI23-O</v>
      </c>
      <c r="N1275" t="str">
        <f>MID(Master_ventas[[#This Row],[ProdUpper]],1,3)</f>
        <v>PRI</v>
      </c>
      <c r="O1275" t="str">
        <f>UPPER(IF(Master_ventas[[#This Row],[Profit]]&gt;500,"High","Std"))</f>
        <v>HIGH</v>
      </c>
      <c r="P1275">
        <v>1274</v>
      </c>
    </row>
    <row r="1276" spans="1:16" x14ac:dyDescent="0.3">
      <c r="A1276" s="1">
        <v>45313</v>
      </c>
      <c r="B1276" t="s">
        <v>22</v>
      </c>
      <c r="C1276" t="s">
        <v>11</v>
      </c>
      <c r="D1276" t="s">
        <v>16</v>
      </c>
      <c r="E1276">
        <v>1</v>
      </c>
      <c r="F1276" s="3">
        <v>386</v>
      </c>
      <c r="G1276" s="2">
        <v>114.9</v>
      </c>
      <c r="H1276">
        <f>Master_ventas[[#This Row],[Profit]]/Master_ventas[[#This Row],[Sales]]</f>
        <v>0.29766839378238341</v>
      </c>
      <c r="I1276">
        <f ca="1">Referencia_Hoy-Master_ventas[[#This Row],[Order Date]]</f>
        <v>1010</v>
      </c>
      <c r="J1276" t="str">
        <f>UPPER(Master_ventas[[#This Row],[Product Name]])</f>
        <v>KEYBOARD</v>
      </c>
      <c r="K1276" t="str">
        <f>UPPER(Master_ventas[[#This Row],[Category]])</f>
        <v>ACCESSORIES</v>
      </c>
      <c r="L1276">
        <f>YEAR(Master_ventas[[#This Row],[Order Date]])</f>
        <v>2024</v>
      </c>
      <c r="M1276" t="str">
        <f>CONCATENATE(LEFT(Master_ventas[[#This Row],[ProdUpper]],3),RIGHT(Master_ventas[[#This Row],[Ext-Year]],2),"-",MID(Master_ventas[[#This Row],[Category]],1,1))</f>
        <v>KEY24-A</v>
      </c>
      <c r="N1276" t="str">
        <f>MID(Master_ventas[[#This Row],[ProdUpper]],1,3)</f>
        <v>KEY</v>
      </c>
      <c r="O1276" t="str">
        <f>UPPER(IF(Master_ventas[[#This Row],[Profit]]&gt;500,"High","Std"))</f>
        <v>STD</v>
      </c>
      <c r="P1276">
        <v>1275</v>
      </c>
    </row>
    <row r="1277" spans="1:16" x14ac:dyDescent="0.3">
      <c r="A1277" s="1">
        <v>44581</v>
      </c>
      <c r="B1277" t="s">
        <v>7</v>
      </c>
      <c r="C1277" t="s">
        <v>8</v>
      </c>
      <c r="D1277" t="s">
        <v>16</v>
      </c>
      <c r="E1277">
        <v>1</v>
      </c>
      <c r="F1277" s="3">
        <v>684</v>
      </c>
      <c r="G1277" s="2">
        <v>170.36</v>
      </c>
      <c r="H1277">
        <f>Master_ventas[[#This Row],[Profit]]/Master_ventas[[#This Row],[Sales]]</f>
        <v>0.24906432748538013</v>
      </c>
      <c r="I1277">
        <f ca="1">Referencia_Hoy-Master_ventas[[#This Row],[Order Date]]</f>
        <v>1742</v>
      </c>
      <c r="J1277" t="str">
        <f>UPPER(Master_ventas[[#This Row],[Product Name]])</f>
        <v>PRINTER</v>
      </c>
      <c r="K1277" t="str">
        <f>UPPER(Master_ventas[[#This Row],[Category]])</f>
        <v>OFFICE</v>
      </c>
      <c r="L1277">
        <f>YEAR(Master_ventas[[#This Row],[Order Date]])</f>
        <v>2022</v>
      </c>
      <c r="M1277" t="str">
        <f>CONCATENATE(LEFT(Master_ventas[[#This Row],[ProdUpper]],3),RIGHT(Master_ventas[[#This Row],[Ext-Year]],2),"-",MID(Master_ventas[[#This Row],[Category]],1,1))</f>
        <v>PRI22-O</v>
      </c>
      <c r="N1277" t="str">
        <f>MID(Master_ventas[[#This Row],[ProdUpper]],1,3)</f>
        <v>PRI</v>
      </c>
      <c r="O1277" t="str">
        <f>UPPER(IF(Master_ventas[[#This Row],[Profit]]&gt;500,"High","Std"))</f>
        <v>STD</v>
      </c>
      <c r="P1277">
        <v>1276</v>
      </c>
    </row>
    <row r="1278" spans="1:16" x14ac:dyDescent="0.3">
      <c r="A1278" s="1">
        <v>44727</v>
      </c>
      <c r="B1278" t="s">
        <v>23</v>
      </c>
      <c r="C1278" t="s">
        <v>14</v>
      </c>
      <c r="D1278" t="s">
        <v>15</v>
      </c>
      <c r="E1278">
        <v>3</v>
      </c>
      <c r="F1278" s="3">
        <v>1275</v>
      </c>
      <c r="G1278" s="2">
        <v>168.64</v>
      </c>
      <c r="H1278">
        <f>Master_ventas[[#This Row],[Profit]]/Master_ventas[[#This Row],[Sales]]</f>
        <v>0.13226666666666664</v>
      </c>
      <c r="I1278">
        <f ca="1">Referencia_Hoy-Master_ventas[[#This Row],[Order Date]]</f>
        <v>1596</v>
      </c>
      <c r="J1278" t="str">
        <f>UPPER(Master_ventas[[#This Row],[Product Name]])</f>
        <v>LAPTOP</v>
      </c>
      <c r="K1278" t="str">
        <f>UPPER(Master_ventas[[#This Row],[Category]])</f>
        <v>ELECTRONICS</v>
      </c>
      <c r="L1278">
        <f>YEAR(Master_ventas[[#This Row],[Order Date]])</f>
        <v>2022</v>
      </c>
      <c r="M1278" t="str">
        <f>CONCATENATE(LEFT(Master_ventas[[#This Row],[ProdUpper]],3),RIGHT(Master_ventas[[#This Row],[Ext-Year]],2),"-",MID(Master_ventas[[#This Row],[Category]],1,1))</f>
        <v>LAP22-E</v>
      </c>
      <c r="N1278" t="str">
        <f>MID(Master_ventas[[#This Row],[ProdUpper]],1,3)</f>
        <v>LAP</v>
      </c>
      <c r="O1278" t="str">
        <f>UPPER(IF(Master_ventas[[#This Row],[Profit]]&gt;500,"High","Std"))</f>
        <v>STD</v>
      </c>
      <c r="P1278">
        <v>1277</v>
      </c>
    </row>
    <row r="1279" spans="1:16" x14ac:dyDescent="0.3">
      <c r="A1279" s="1">
        <v>45064</v>
      </c>
      <c r="B1279" t="s">
        <v>10</v>
      </c>
      <c r="C1279" t="s">
        <v>11</v>
      </c>
      <c r="D1279" t="s">
        <v>9</v>
      </c>
      <c r="E1279">
        <v>9</v>
      </c>
      <c r="F1279" s="3">
        <v>5949</v>
      </c>
      <c r="G1279" s="2">
        <v>368.51</v>
      </c>
      <c r="H1279">
        <f>Master_ventas[[#This Row],[Profit]]/Master_ventas[[#This Row],[Sales]]</f>
        <v>6.1944864683140019E-2</v>
      </c>
      <c r="I1279">
        <f ca="1">Referencia_Hoy-Master_ventas[[#This Row],[Order Date]]</f>
        <v>1259</v>
      </c>
      <c r="J1279" t="str">
        <f>UPPER(Master_ventas[[#This Row],[Product Name]])</f>
        <v>MOUSE</v>
      </c>
      <c r="K1279" t="str">
        <f>UPPER(Master_ventas[[#This Row],[Category]])</f>
        <v>ACCESSORIES</v>
      </c>
      <c r="L1279">
        <f>YEAR(Master_ventas[[#This Row],[Order Date]])</f>
        <v>2023</v>
      </c>
      <c r="M1279" t="str">
        <f>CONCATENATE(LEFT(Master_ventas[[#This Row],[ProdUpper]],3),RIGHT(Master_ventas[[#This Row],[Ext-Year]],2),"-",MID(Master_ventas[[#This Row],[Category]],1,1))</f>
        <v>MOU23-A</v>
      </c>
      <c r="N1279" t="str">
        <f>MID(Master_ventas[[#This Row],[ProdUpper]],1,3)</f>
        <v>MOU</v>
      </c>
      <c r="O1279" t="str">
        <f>UPPER(IF(Master_ventas[[#This Row],[Profit]]&gt;500,"High","Std"))</f>
        <v>STD</v>
      </c>
      <c r="P1279">
        <v>1278</v>
      </c>
    </row>
    <row r="1280" spans="1:16" x14ac:dyDescent="0.3">
      <c r="A1280" s="1">
        <v>44963</v>
      </c>
      <c r="B1280" t="s">
        <v>17</v>
      </c>
      <c r="C1280" t="s">
        <v>14</v>
      </c>
      <c r="D1280" t="s">
        <v>12</v>
      </c>
      <c r="E1280">
        <v>7</v>
      </c>
      <c r="F1280" s="3">
        <v>5159</v>
      </c>
      <c r="G1280" s="2">
        <v>755.22</v>
      </c>
      <c r="H1280">
        <f>Master_ventas[[#This Row],[Profit]]/Master_ventas[[#This Row],[Sales]]</f>
        <v>0.14638883504555147</v>
      </c>
      <c r="I1280">
        <f ca="1">Referencia_Hoy-Master_ventas[[#This Row],[Order Date]]</f>
        <v>1360</v>
      </c>
      <c r="J1280" t="str">
        <f>UPPER(Master_ventas[[#This Row],[Product Name]])</f>
        <v>CAMERA</v>
      </c>
      <c r="K1280" t="str">
        <f>UPPER(Master_ventas[[#This Row],[Category]])</f>
        <v>ELECTRONICS</v>
      </c>
      <c r="L1280">
        <f>YEAR(Master_ventas[[#This Row],[Order Date]])</f>
        <v>2023</v>
      </c>
      <c r="M1280" t="str">
        <f>CONCATENATE(LEFT(Master_ventas[[#This Row],[ProdUpper]],3),RIGHT(Master_ventas[[#This Row],[Ext-Year]],2),"-",MID(Master_ventas[[#This Row],[Category]],1,1))</f>
        <v>CAM23-E</v>
      </c>
      <c r="N1280" t="str">
        <f>MID(Master_ventas[[#This Row],[ProdUpper]],1,3)</f>
        <v>CAM</v>
      </c>
      <c r="O1280" t="str">
        <f>UPPER(IF(Master_ventas[[#This Row],[Profit]]&gt;500,"High","Std"))</f>
        <v>HIGH</v>
      </c>
      <c r="P1280">
        <v>1279</v>
      </c>
    </row>
    <row r="1281" spans="1:16" x14ac:dyDescent="0.3">
      <c r="A1281" s="1">
        <v>44743</v>
      </c>
      <c r="B1281" t="s">
        <v>20</v>
      </c>
      <c r="C1281" t="s">
        <v>11</v>
      </c>
      <c r="D1281" t="s">
        <v>9</v>
      </c>
      <c r="E1281">
        <v>4</v>
      </c>
      <c r="F1281" s="3">
        <v>1100</v>
      </c>
      <c r="G1281" s="2">
        <v>127.13</v>
      </c>
      <c r="H1281">
        <f>Master_ventas[[#This Row],[Profit]]/Master_ventas[[#This Row],[Sales]]</f>
        <v>0.11557272727272727</v>
      </c>
      <c r="I1281">
        <f ca="1">Referencia_Hoy-Master_ventas[[#This Row],[Order Date]]</f>
        <v>1580</v>
      </c>
      <c r="J1281" t="str">
        <f>UPPER(Master_ventas[[#This Row],[Product Name]])</f>
        <v>MONITOR</v>
      </c>
      <c r="K1281" t="str">
        <f>UPPER(Master_ventas[[#This Row],[Category]])</f>
        <v>ACCESSORIES</v>
      </c>
      <c r="L1281">
        <f>YEAR(Master_ventas[[#This Row],[Order Date]])</f>
        <v>2022</v>
      </c>
      <c r="M1281" t="str">
        <f>CONCATENATE(LEFT(Master_ventas[[#This Row],[ProdUpper]],3),RIGHT(Master_ventas[[#This Row],[Ext-Year]],2),"-",MID(Master_ventas[[#This Row],[Category]],1,1))</f>
        <v>MON22-A</v>
      </c>
      <c r="N1281" t="str">
        <f>MID(Master_ventas[[#This Row],[ProdUpper]],1,3)</f>
        <v>MON</v>
      </c>
      <c r="O1281" t="str">
        <f>UPPER(IF(Master_ventas[[#This Row],[Profit]]&gt;500,"High","Std"))</f>
        <v>STD</v>
      </c>
      <c r="P1281">
        <v>1280</v>
      </c>
    </row>
    <row r="1282" spans="1:16" x14ac:dyDescent="0.3">
      <c r="A1282" s="1">
        <v>45317</v>
      </c>
      <c r="B1282" t="s">
        <v>10</v>
      </c>
      <c r="C1282" t="s">
        <v>11</v>
      </c>
      <c r="D1282" t="s">
        <v>15</v>
      </c>
      <c r="E1282">
        <v>2</v>
      </c>
      <c r="F1282" s="3">
        <v>290</v>
      </c>
      <c r="G1282" s="2">
        <v>50.23</v>
      </c>
      <c r="H1282">
        <f>Master_ventas[[#This Row],[Profit]]/Master_ventas[[#This Row],[Sales]]</f>
        <v>0.17320689655172414</v>
      </c>
      <c r="I1282">
        <f ca="1">Referencia_Hoy-Master_ventas[[#This Row],[Order Date]]</f>
        <v>1006</v>
      </c>
      <c r="J1282" t="str">
        <f>UPPER(Master_ventas[[#This Row],[Product Name]])</f>
        <v>MOUSE</v>
      </c>
      <c r="K1282" t="str">
        <f>UPPER(Master_ventas[[#This Row],[Category]])</f>
        <v>ACCESSORIES</v>
      </c>
      <c r="L1282">
        <f>YEAR(Master_ventas[[#This Row],[Order Date]])</f>
        <v>2024</v>
      </c>
      <c r="M1282" t="str">
        <f>CONCATENATE(LEFT(Master_ventas[[#This Row],[ProdUpper]],3),RIGHT(Master_ventas[[#This Row],[Ext-Year]],2),"-",MID(Master_ventas[[#This Row],[Category]],1,1))</f>
        <v>MOU24-A</v>
      </c>
      <c r="N1282" t="str">
        <f>MID(Master_ventas[[#This Row],[ProdUpper]],1,3)</f>
        <v>MOU</v>
      </c>
      <c r="O1282" t="str">
        <f>UPPER(IF(Master_ventas[[#This Row],[Profit]]&gt;500,"High","Std"))</f>
        <v>STD</v>
      </c>
      <c r="P1282">
        <v>1281</v>
      </c>
    </row>
    <row r="1283" spans="1:16" x14ac:dyDescent="0.3">
      <c r="A1283" s="1">
        <v>45143</v>
      </c>
      <c r="B1283" t="s">
        <v>19</v>
      </c>
      <c r="C1283" t="s">
        <v>14</v>
      </c>
      <c r="D1283" t="s">
        <v>12</v>
      </c>
      <c r="E1283">
        <v>8</v>
      </c>
      <c r="F1283" s="3">
        <v>7144</v>
      </c>
      <c r="G1283" s="2">
        <v>492.1</v>
      </c>
      <c r="H1283">
        <f>Master_ventas[[#This Row],[Profit]]/Master_ventas[[#This Row],[Sales]]</f>
        <v>6.8882978723404265E-2</v>
      </c>
      <c r="I1283">
        <f ca="1">Referencia_Hoy-Master_ventas[[#This Row],[Order Date]]</f>
        <v>1180</v>
      </c>
      <c r="J1283" t="str">
        <f>UPPER(Master_ventas[[#This Row],[Product Name]])</f>
        <v>SMARTWATCH</v>
      </c>
      <c r="K1283" t="str">
        <f>UPPER(Master_ventas[[#This Row],[Category]])</f>
        <v>ELECTRONICS</v>
      </c>
      <c r="L1283">
        <f>YEAR(Master_ventas[[#This Row],[Order Date]])</f>
        <v>2023</v>
      </c>
      <c r="M1283" t="str">
        <f>CONCATENATE(LEFT(Master_ventas[[#This Row],[ProdUpper]],3),RIGHT(Master_ventas[[#This Row],[Ext-Year]],2),"-",MID(Master_ventas[[#This Row],[Category]],1,1))</f>
        <v>SMA23-E</v>
      </c>
      <c r="N1283" t="str">
        <f>MID(Master_ventas[[#This Row],[ProdUpper]],1,3)</f>
        <v>SMA</v>
      </c>
      <c r="O1283" t="str">
        <f>UPPER(IF(Master_ventas[[#This Row],[Profit]]&gt;500,"High","Std"))</f>
        <v>STD</v>
      </c>
      <c r="P1283">
        <v>1282</v>
      </c>
    </row>
    <row r="1284" spans="1:16" x14ac:dyDescent="0.3">
      <c r="A1284" s="1">
        <v>44782</v>
      </c>
      <c r="B1284" t="s">
        <v>22</v>
      </c>
      <c r="C1284" t="s">
        <v>11</v>
      </c>
      <c r="D1284" t="s">
        <v>16</v>
      </c>
      <c r="E1284">
        <v>5</v>
      </c>
      <c r="F1284" s="3">
        <v>4200</v>
      </c>
      <c r="G1284" s="2">
        <v>330.48</v>
      </c>
      <c r="H1284">
        <f>Master_ventas[[#This Row],[Profit]]/Master_ventas[[#This Row],[Sales]]</f>
        <v>7.8685714285714289E-2</v>
      </c>
      <c r="I1284">
        <f ca="1">Referencia_Hoy-Master_ventas[[#This Row],[Order Date]]</f>
        <v>1541</v>
      </c>
      <c r="J1284" t="str">
        <f>UPPER(Master_ventas[[#This Row],[Product Name]])</f>
        <v>KEYBOARD</v>
      </c>
      <c r="K1284" t="str">
        <f>UPPER(Master_ventas[[#This Row],[Category]])</f>
        <v>ACCESSORIES</v>
      </c>
      <c r="L1284">
        <f>YEAR(Master_ventas[[#This Row],[Order Date]])</f>
        <v>2022</v>
      </c>
      <c r="M1284" t="str">
        <f>CONCATENATE(LEFT(Master_ventas[[#This Row],[ProdUpper]],3),RIGHT(Master_ventas[[#This Row],[Ext-Year]],2),"-",MID(Master_ventas[[#This Row],[Category]],1,1))</f>
        <v>KEY22-A</v>
      </c>
      <c r="N1284" t="str">
        <f>MID(Master_ventas[[#This Row],[ProdUpper]],1,3)</f>
        <v>KEY</v>
      </c>
      <c r="O1284" t="str">
        <f>UPPER(IF(Master_ventas[[#This Row],[Profit]]&gt;500,"High","Std"))</f>
        <v>STD</v>
      </c>
      <c r="P1284">
        <v>1283</v>
      </c>
    </row>
    <row r="1285" spans="1:16" x14ac:dyDescent="0.3">
      <c r="A1285" s="1">
        <v>44600</v>
      </c>
      <c r="B1285" t="s">
        <v>20</v>
      </c>
      <c r="C1285" t="s">
        <v>11</v>
      </c>
      <c r="D1285" t="s">
        <v>9</v>
      </c>
      <c r="E1285">
        <v>6</v>
      </c>
      <c r="F1285" s="3">
        <v>5022</v>
      </c>
      <c r="G1285" s="2">
        <v>291.89</v>
      </c>
      <c r="H1285">
        <f>Master_ventas[[#This Row],[Profit]]/Master_ventas[[#This Row],[Sales]]</f>
        <v>5.812226204699323E-2</v>
      </c>
      <c r="I1285">
        <f ca="1">Referencia_Hoy-Master_ventas[[#This Row],[Order Date]]</f>
        <v>1723</v>
      </c>
      <c r="J1285" t="str">
        <f>UPPER(Master_ventas[[#This Row],[Product Name]])</f>
        <v>MONITOR</v>
      </c>
      <c r="K1285" t="str">
        <f>UPPER(Master_ventas[[#This Row],[Category]])</f>
        <v>ACCESSORIES</v>
      </c>
      <c r="L1285">
        <f>YEAR(Master_ventas[[#This Row],[Order Date]])</f>
        <v>2022</v>
      </c>
      <c r="M1285" t="str">
        <f>CONCATENATE(LEFT(Master_ventas[[#This Row],[ProdUpper]],3),RIGHT(Master_ventas[[#This Row],[Ext-Year]],2),"-",MID(Master_ventas[[#This Row],[Category]],1,1))</f>
        <v>MON22-A</v>
      </c>
      <c r="N1285" t="str">
        <f>MID(Master_ventas[[#This Row],[ProdUpper]],1,3)</f>
        <v>MON</v>
      </c>
      <c r="O1285" t="str">
        <f>UPPER(IF(Master_ventas[[#This Row],[Profit]]&gt;500,"High","Std"))</f>
        <v>STD</v>
      </c>
      <c r="P1285">
        <v>1284</v>
      </c>
    </row>
    <row r="1286" spans="1:16" x14ac:dyDescent="0.3">
      <c r="A1286" s="1">
        <v>45639</v>
      </c>
      <c r="B1286" t="s">
        <v>21</v>
      </c>
      <c r="C1286" t="s">
        <v>14</v>
      </c>
      <c r="D1286" t="s">
        <v>16</v>
      </c>
      <c r="E1286">
        <v>2</v>
      </c>
      <c r="F1286" s="3">
        <v>2354</v>
      </c>
      <c r="G1286" s="2">
        <v>371.34</v>
      </c>
      <c r="H1286">
        <f>Master_ventas[[#This Row],[Profit]]/Master_ventas[[#This Row],[Sales]]</f>
        <v>0.1577485131690739</v>
      </c>
      <c r="I1286">
        <f ca="1">Referencia_Hoy-Master_ventas[[#This Row],[Order Date]]</f>
        <v>684</v>
      </c>
      <c r="J1286" t="str">
        <f>UPPER(Master_ventas[[#This Row],[Product Name]])</f>
        <v>SMARTPHONE</v>
      </c>
      <c r="K1286" t="str">
        <f>UPPER(Master_ventas[[#This Row],[Category]])</f>
        <v>ELECTRONICS</v>
      </c>
      <c r="L1286">
        <f>YEAR(Master_ventas[[#This Row],[Order Date]])</f>
        <v>2024</v>
      </c>
      <c r="M1286" t="str">
        <f>CONCATENATE(LEFT(Master_ventas[[#This Row],[ProdUpper]],3),RIGHT(Master_ventas[[#This Row],[Ext-Year]],2),"-",MID(Master_ventas[[#This Row],[Category]],1,1))</f>
        <v>SMA24-E</v>
      </c>
      <c r="N1286" t="str">
        <f>MID(Master_ventas[[#This Row],[ProdUpper]],1,3)</f>
        <v>SMA</v>
      </c>
      <c r="O1286" t="str">
        <f>UPPER(IF(Master_ventas[[#This Row],[Profit]]&gt;500,"High","Std"))</f>
        <v>STD</v>
      </c>
      <c r="P1286">
        <v>1285</v>
      </c>
    </row>
    <row r="1287" spans="1:16" x14ac:dyDescent="0.3">
      <c r="A1287" s="1">
        <v>45575</v>
      </c>
      <c r="B1287" t="s">
        <v>21</v>
      </c>
      <c r="C1287" t="s">
        <v>14</v>
      </c>
      <c r="D1287" t="s">
        <v>15</v>
      </c>
      <c r="E1287">
        <v>2</v>
      </c>
      <c r="F1287" s="3">
        <v>2032</v>
      </c>
      <c r="G1287" s="2">
        <v>149.69999999999999</v>
      </c>
      <c r="H1287">
        <f>Master_ventas[[#This Row],[Profit]]/Master_ventas[[#This Row],[Sales]]</f>
        <v>7.3671259842519682E-2</v>
      </c>
      <c r="I1287">
        <f ca="1">Referencia_Hoy-Master_ventas[[#This Row],[Order Date]]</f>
        <v>748</v>
      </c>
      <c r="J1287" t="str">
        <f>UPPER(Master_ventas[[#This Row],[Product Name]])</f>
        <v>SMARTPHONE</v>
      </c>
      <c r="K1287" t="str">
        <f>UPPER(Master_ventas[[#This Row],[Category]])</f>
        <v>ELECTRONICS</v>
      </c>
      <c r="L1287">
        <f>YEAR(Master_ventas[[#This Row],[Order Date]])</f>
        <v>2024</v>
      </c>
      <c r="M1287" t="str">
        <f>CONCATENATE(LEFT(Master_ventas[[#This Row],[ProdUpper]],3),RIGHT(Master_ventas[[#This Row],[Ext-Year]],2),"-",MID(Master_ventas[[#This Row],[Category]],1,1))</f>
        <v>SMA24-E</v>
      </c>
      <c r="N1287" t="str">
        <f>MID(Master_ventas[[#This Row],[ProdUpper]],1,3)</f>
        <v>SMA</v>
      </c>
      <c r="O1287" t="str">
        <f>UPPER(IF(Master_ventas[[#This Row],[Profit]]&gt;500,"High","Std"))</f>
        <v>STD</v>
      </c>
      <c r="P1287">
        <v>1286</v>
      </c>
    </row>
    <row r="1288" spans="1:16" x14ac:dyDescent="0.3">
      <c r="A1288" s="1">
        <v>45580</v>
      </c>
      <c r="B1288" t="s">
        <v>7</v>
      </c>
      <c r="C1288" t="s">
        <v>8</v>
      </c>
      <c r="D1288" t="s">
        <v>15</v>
      </c>
      <c r="E1288">
        <v>8</v>
      </c>
      <c r="F1288" s="3">
        <v>9528</v>
      </c>
      <c r="G1288" s="2">
        <v>1942.35</v>
      </c>
      <c r="H1288">
        <f>Master_ventas[[#This Row],[Profit]]/Master_ventas[[#This Row],[Sales]]</f>
        <v>0.20385705289672543</v>
      </c>
      <c r="I1288">
        <f ca="1">Referencia_Hoy-Master_ventas[[#This Row],[Order Date]]</f>
        <v>743</v>
      </c>
      <c r="J1288" t="str">
        <f>UPPER(Master_ventas[[#This Row],[Product Name]])</f>
        <v>PRINTER</v>
      </c>
      <c r="K1288" t="str">
        <f>UPPER(Master_ventas[[#This Row],[Category]])</f>
        <v>OFFICE</v>
      </c>
      <c r="L1288">
        <f>YEAR(Master_ventas[[#This Row],[Order Date]])</f>
        <v>2024</v>
      </c>
      <c r="M1288" t="str">
        <f>CONCATENATE(LEFT(Master_ventas[[#This Row],[ProdUpper]],3),RIGHT(Master_ventas[[#This Row],[Ext-Year]],2),"-",MID(Master_ventas[[#This Row],[Category]],1,1))</f>
        <v>PRI24-O</v>
      </c>
      <c r="N1288" t="str">
        <f>MID(Master_ventas[[#This Row],[ProdUpper]],1,3)</f>
        <v>PRI</v>
      </c>
      <c r="O1288" t="str">
        <f>UPPER(IF(Master_ventas[[#This Row],[Profit]]&gt;500,"High","Std"))</f>
        <v>HIGH</v>
      </c>
      <c r="P1288">
        <v>1287</v>
      </c>
    </row>
    <row r="1289" spans="1:16" x14ac:dyDescent="0.3">
      <c r="A1289" s="1">
        <v>45437</v>
      </c>
      <c r="B1289" t="s">
        <v>22</v>
      </c>
      <c r="C1289" t="s">
        <v>11</v>
      </c>
      <c r="D1289" t="s">
        <v>15</v>
      </c>
      <c r="E1289">
        <v>2</v>
      </c>
      <c r="F1289" s="3">
        <v>2372</v>
      </c>
      <c r="G1289" s="2">
        <v>275.88</v>
      </c>
      <c r="H1289">
        <f>Master_ventas[[#This Row],[Profit]]/Master_ventas[[#This Row],[Sales]]</f>
        <v>0.11630691399662732</v>
      </c>
      <c r="I1289">
        <f ca="1">Referencia_Hoy-Master_ventas[[#This Row],[Order Date]]</f>
        <v>886</v>
      </c>
      <c r="J1289" t="str">
        <f>UPPER(Master_ventas[[#This Row],[Product Name]])</f>
        <v>KEYBOARD</v>
      </c>
      <c r="K1289" t="str">
        <f>UPPER(Master_ventas[[#This Row],[Category]])</f>
        <v>ACCESSORIES</v>
      </c>
      <c r="L1289">
        <f>YEAR(Master_ventas[[#This Row],[Order Date]])</f>
        <v>2024</v>
      </c>
      <c r="M1289" t="str">
        <f>CONCATENATE(LEFT(Master_ventas[[#This Row],[ProdUpper]],3),RIGHT(Master_ventas[[#This Row],[Ext-Year]],2),"-",MID(Master_ventas[[#This Row],[Category]],1,1))</f>
        <v>KEY24-A</v>
      </c>
      <c r="N1289" t="str">
        <f>MID(Master_ventas[[#This Row],[ProdUpper]],1,3)</f>
        <v>KEY</v>
      </c>
      <c r="O1289" t="str">
        <f>UPPER(IF(Master_ventas[[#This Row],[Profit]]&gt;500,"High","Std"))</f>
        <v>STD</v>
      </c>
      <c r="P1289">
        <v>1288</v>
      </c>
    </row>
    <row r="1290" spans="1:16" x14ac:dyDescent="0.3">
      <c r="A1290" s="1">
        <v>44606</v>
      </c>
      <c r="B1290" t="s">
        <v>23</v>
      </c>
      <c r="C1290" t="s">
        <v>14</v>
      </c>
      <c r="D1290" t="s">
        <v>16</v>
      </c>
      <c r="E1290">
        <v>3</v>
      </c>
      <c r="F1290" s="3">
        <v>2703</v>
      </c>
      <c r="G1290" s="2">
        <v>609.75</v>
      </c>
      <c r="H1290">
        <f>Master_ventas[[#This Row],[Profit]]/Master_ventas[[#This Row],[Sales]]</f>
        <v>0.2255826859045505</v>
      </c>
      <c r="I1290">
        <f ca="1">Referencia_Hoy-Master_ventas[[#This Row],[Order Date]]</f>
        <v>1717</v>
      </c>
      <c r="J1290" t="str">
        <f>UPPER(Master_ventas[[#This Row],[Product Name]])</f>
        <v>LAPTOP</v>
      </c>
      <c r="K1290" t="str">
        <f>UPPER(Master_ventas[[#This Row],[Category]])</f>
        <v>ELECTRONICS</v>
      </c>
      <c r="L1290">
        <f>YEAR(Master_ventas[[#This Row],[Order Date]])</f>
        <v>2022</v>
      </c>
      <c r="M1290" t="str">
        <f>CONCATENATE(LEFT(Master_ventas[[#This Row],[ProdUpper]],3),RIGHT(Master_ventas[[#This Row],[Ext-Year]],2),"-",MID(Master_ventas[[#This Row],[Category]],1,1))</f>
        <v>LAP22-E</v>
      </c>
      <c r="N1290" t="str">
        <f>MID(Master_ventas[[#This Row],[ProdUpper]],1,3)</f>
        <v>LAP</v>
      </c>
      <c r="O1290" t="str">
        <f>UPPER(IF(Master_ventas[[#This Row],[Profit]]&gt;500,"High","Std"))</f>
        <v>HIGH</v>
      </c>
      <c r="P1290">
        <v>1289</v>
      </c>
    </row>
    <row r="1291" spans="1:16" x14ac:dyDescent="0.3">
      <c r="A1291" s="1">
        <v>45050</v>
      </c>
      <c r="B1291" t="s">
        <v>23</v>
      </c>
      <c r="C1291" t="s">
        <v>14</v>
      </c>
      <c r="D1291" t="s">
        <v>15</v>
      </c>
      <c r="E1291">
        <v>4</v>
      </c>
      <c r="F1291" s="3">
        <v>1264</v>
      </c>
      <c r="G1291" s="2">
        <v>267.82</v>
      </c>
      <c r="H1291">
        <f>Master_ventas[[#This Row],[Profit]]/Master_ventas[[#This Row],[Sales]]</f>
        <v>0.21188291139240506</v>
      </c>
      <c r="I1291">
        <f ca="1">Referencia_Hoy-Master_ventas[[#This Row],[Order Date]]</f>
        <v>1273</v>
      </c>
      <c r="J1291" t="str">
        <f>UPPER(Master_ventas[[#This Row],[Product Name]])</f>
        <v>LAPTOP</v>
      </c>
      <c r="K1291" t="str">
        <f>UPPER(Master_ventas[[#This Row],[Category]])</f>
        <v>ELECTRONICS</v>
      </c>
      <c r="L1291">
        <f>YEAR(Master_ventas[[#This Row],[Order Date]])</f>
        <v>2023</v>
      </c>
      <c r="M1291" t="str">
        <f>CONCATENATE(LEFT(Master_ventas[[#This Row],[ProdUpper]],3),RIGHT(Master_ventas[[#This Row],[Ext-Year]],2),"-",MID(Master_ventas[[#This Row],[Category]],1,1))</f>
        <v>LAP23-E</v>
      </c>
      <c r="N1291" t="str">
        <f>MID(Master_ventas[[#This Row],[ProdUpper]],1,3)</f>
        <v>LAP</v>
      </c>
      <c r="O1291" t="str">
        <f>UPPER(IF(Master_ventas[[#This Row],[Profit]]&gt;500,"High","Std"))</f>
        <v>STD</v>
      </c>
      <c r="P1291">
        <v>1290</v>
      </c>
    </row>
    <row r="1292" spans="1:16" x14ac:dyDescent="0.3">
      <c r="A1292" s="1">
        <v>45433</v>
      </c>
      <c r="B1292" t="s">
        <v>21</v>
      </c>
      <c r="C1292" t="s">
        <v>14</v>
      </c>
      <c r="D1292" t="s">
        <v>15</v>
      </c>
      <c r="E1292">
        <v>4</v>
      </c>
      <c r="F1292" s="3">
        <v>1624</v>
      </c>
      <c r="G1292" s="2">
        <v>333.74</v>
      </c>
      <c r="H1292">
        <f>Master_ventas[[#This Row],[Profit]]/Master_ventas[[#This Row],[Sales]]</f>
        <v>0.2055049261083744</v>
      </c>
      <c r="I1292">
        <f ca="1">Referencia_Hoy-Master_ventas[[#This Row],[Order Date]]</f>
        <v>890</v>
      </c>
      <c r="J1292" t="str">
        <f>UPPER(Master_ventas[[#This Row],[Product Name]])</f>
        <v>SMARTPHONE</v>
      </c>
      <c r="K1292" t="str">
        <f>UPPER(Master_ventas[[#This Row],[Category]])</f>
        <v>ELECTRONICS</v>
      </c>
      <c r="L1292">
        <f>YEAR(Master_ventas[[#This Row],[Order Date]])</f>
        <v>2024</v>
      </c>
      <c r="M1292" t="str">
        <f>CONCATENATE(LEFT(Master_ventas[[#This Row],[ProdUpper]],3),RIGHT(Master_ventas[[#This Row],[Ext-Year]],2),"-",MID(Master_ventas[[#This Row],[Category]],1,1))</f>
        <v>SMA24-E</v>
      </c>
      <c r="N1292" t="str">
        <f>MID(Master_ventas[[#This Row],[ProdUpper]],1,3)</f>
        <v>SMA</v>
      </c>
      <c r="O1292" t="str">
        <f>UPPER(IF(Master_ventas[[#This Row],[Profit]]&gt;500,"High","Std"))</f>
        <v>STD</v>
      </c>
      <c r="P1292">
        <v>1291</v>
      </c>
    </row>
    <row r="1293" spans="1:16" x14ac:dyDescent="0.3">
      <c r="A1293" s="1">
        <v>45060</v>
      </c>
      <c r="B1293" t="s">
        <v>10</v>
      </c>
      <c r="C1293" t="s">
        <v>11</v>
      </c>
      <c r="D1293" t="s">
        <v>16</v>
      </c>
      <c r="E1293">
        <v>8</v>
      </c>
      <c r="F1293" s="3">
        <v>2976</v>
      </c>
      <c r="G1293" s="2">
        <v>507.77</v>
      </c>
      <c r="H1293">
        <f>Master_ventas[[#This Row],[Profit]]/Master_ventas[[#This Row],[Sales]]</f>
        <v>0.17062163978494624</v>
      </c>
      <c r="I1293">
        <f ca="1">Referencia_Hoy-Master_ventas[[#This Row],[Order Date]]</f>
        <v>1263</v>
      </c>
      <c r="J1293" t="str">
        <f>UPPER(Master_ventas[[#This Row],[Product Name]])</f>
        <v>MOUSE</v>
      </c>
      <c r="K1293" t="str">
        <f>UPPER(Master_ventas[[#This Row],[Category]])</f>
        <v>ACCESSORIES</v>
      </c>
      <c r="L1293">
        <f>YEAR(Master_ventas[[#This Row],[Order Date]])</f>
        <v>2023</v>
      </c>
      <c r="M1293" t="str">
        <f>CONCATENATE(LEFT(Master_ventas[[#This Row],[ProdUpper]],3),RIGHT(Master_ventas[[#This Row],[Ext-Year]],2),"-",MID(Master_ventas[[#This Row],[Category]],1,1))</f>
        <v>MOU23-A</v>
      </c>
      <c r="N1293" t="str">
        <f>MID(Master_ventas[[#This Row],[ProdUpper]],1,3)</f>
        <v>MOU</v>
      </c>
      <c r="O1293" t="str">
        <f>UPPER(IF(Master_ventas[[#This Row],[Profit]]&gt;500,"High","Std"))</f>
        <v>HIGH</v>
      </c>
      <c r="P1293">
        <v>1292</v>
      </c>
    </row>
    <row r="1294" spans="1:16" x14ac:dyDescent="0.3">
      <c r="A1294" s="1">
        <v>45475</v>
      </c>
      <c r="B1294" t="s">
        <v>18</v>
      </c>
      <c r="C1294" t="s">
        <v>11</v>
      </c>
      <c r="D1294" t="s">
        <v>16</v>
      </c>
      <c r="E1294">
        <v>6</v>
      </c>
      <c r="F1294" s="3">
        <v>4998</v>
      </c>
      <c r="G1294" s="2">
        <v>863.82</v>
      </c>
      <c r="H1294">
        <f>Master_ventas[[#This Row],[Profit]]/Master_ventas[[#This Row],[Sales]]</f>
        <v>0.17283313325330132</v>
      </c>
      <c r="I1294">
        <f ca="1">Referencia_Hoy-Master_ventas[[#This Row],[Order Date]]</f>
        <v>848</v>
      </c>
      <c r="J1294" t="str">
        <f>UPPER(Master_ventas[[#This Row],[Product Name]])</f>
        <v>HEADPHONES</v>
      </c>
      <c r="K1294" t="str">
        <f>UPPER(Master_ventas[[#This Row],[Category]])</f>
        <v>ACCESSORIES</v>
      </c>
      <c r="L1294">
        <f>YEAR(Master_ventas[[#This Row],[Order Date]])</f>
        <v>2024</v>
      </c>
      <c r="M1294" t="str">
        <f>CONCATENATE(LEFT(Master_ventas[[#This Row],[ProdUpper]],3),RIGHT(Master_ventas[[#This Row],[Ext-Year]],2),"-",MID(Master_ventas[[#This Row],[Category]],1,1))</f>
        <v>HEA24-A</v>
      </c>
      <c r="N1294" t="str">
        <f>MID(Master_ventas[[#This Row],[ProdUpper]],1,3)</f>
        <v>HEA</v>
      </c>
      <c r="O1294" t="str">
        <f>UPPER(IF(Master_ventas[[#This Row],[Profit]]&gt;500,"High","Std"))</f>
        <v>HIGH</v>
      </c>
      <c r="P1294">
        <v>1293</v>
      </c>
    </row>
    <row r="1295" spans="1:16" x14ac:dyDescent="0.3">
      <c r="A1295" s="1">
        <v>45400</v>
      </c>
      <c r="B1295" t="s">
        <v>7</v>
      </c>
      <c r="C1295" t="s">
        <v>8</v>
      </c>
      <c r="D1295" t="s">
        <v>15</v>
      </c>
      <c r="E1295">
        <v>1</v>
      </c>
      <c r="F1295" s="3">
        <v>445</v>
      </c>
      <c r="G1295" s="2">
        <v>29.57</v>
      </c>
      <c r="H1295">
        <f>Master_ventas[[#This Row],[Profit]]/Master_ventas[[#This Row],[Sales]]</f>
        <v>6.6449438202247191E-2</v>
      </c>
      <c r="I1295">
        <f ca="1">Referencia_Hoy-Master_ventas[[#This Row],[Order Date]]</f>
        <v>923</v>
      </c>
      <c r="J1295" t="str">
        <f>UPPER(Master_ventas[[#This Row],[Product Name]])</f>
        <v>PRINTER</v>
      </c>
      <c r="K1295" t="str">
        <f>UPPER(Master_ventas[[#This Row],[Category]])</f>
        <v>OFFICE</v>
      </c>
      <c r="L1295">
        <f>YEAR(Master_ventas[[#This Row],[Order Date]])</f>
        <v>2024</v>
      </c>
      <c r="M1295" t="str">
        <f>CONCATENATE(LEFT(Master_ventas[[#This Row],[ProdUpper]],3),RIGHT(Master_ventas[[#This Row],[Ext-Year]],2),"-",MID(Master_ventas[[#This Row],[Category]],1,1))</f>
        <v>PRI24-O</v>
      </c>
      <c r="N1295" t="str">
        <f>MID(Master_ventas[[#This Row],[ProdUpper]],1,3)</f>
        <v>PRI</v>
      </c>
      <c r="O1295" t="str">
        <f>UPPER(IF(Master_ventas[[#This Row],[Profit]]&gt;500,"High","Std"))</f>
        <v>STD</v>
      </c>
      <c r="P1295">
        <v>1294</v>
      </c>
    </row>
    <row r="1296" spans="1:16" x14ac:dyDescent="0.3">
      <c r="A1296" s="1">
        <v>44854</v>
      </c>
      <c r="B1296" t="s">
        <v>7</v>
      </c>
      <c r="C1296" t="s">
        <v>8</v>
      </c>
      <c r="D1296" t="s">
        <v>16</v>
      </c>
      <c r="E1296">
        <v>1</v>
      </c>
      <c r="F1296" s="3">
        <v>98</v>
      </c>
      <c r="G1296" s="2">
        <v>28.57</v>
      </c>
      <c r="H1296">
        <f>Master_ventas[[#This Row],[Profit]]/Master_ventas[[#This Row],[Sales]]</f>
        <v>0.29153061224489796</v>
      </c>
      <c r="I1296">
        <f ca="1">Referencia_Hoy-Master_ventas[[#This Row],[Order Date]]</f>
        <v>1469</v>
      </c>
      <c r="J1296" t="str">
        <f>UPPER(Master_ventas[[#This Row],[Product Name]])</f>
        <v>PRINTER</v>
      </c>
      <c r="K1296" t="str">
        <f>UPPER(Master_ventas[[#This Row],[Category]])</f>
        <v>OFFICE</v>
      </c>
      <c r="L1296">
        <f>YEAR(Master_ventas[[#This Row],[Order Date]])</f>
        <v>2022</v>
      </c>
      <c r="M1296" t="str">
        <f>CONCATENATE(LEFT(Master_ventas[[#This Row],[ProdUpper]],3),RIGHT(Master_ventas[[#This Row],[Ext-Year]],2),"-",MID(Master_ventas[[#This Row],[Category]],1,1))</f>
        <v>PRI22-O</v>
      </c>
      <c r="N1296" t="str">
        <f>MID(Master_ventas[[#This Row],[ProdUpper]],1,3)</f>
        <v>PRI</v>
      </c>
      <c r="O1296" t="str">
        <f>UPPER(IF(Master_ventas[[#This Row],[Profit]]&gt;500,"High","Std"))</f>
        <v>STD</v>
      </c>
      <c r="P1296">
        <v>1295</v>
      </c>
    </row>
    <row r="1297" spans="1:16" x14ac:dyDescent="0.3">
      <c r="A1297" s="1">
        <v>44795</v>
      </c>
      <c r="B1297" t="s">
        <v>13</v>
      </c>
      <c r="C1297" t="s">
        <v>14</v>
      </c>
      <c r="D1297" t="s">
        <v>9</v>
      </c>
      <c r="E1297">
        <v>7</v>
      </c>
      <c r="F1297" s="3">
        <v>4102</v>
      </c>
      <c r="G1297" s="2">
        <v>354.03</v>
      </c>
      <c r="H1297">
        <f>Master_ventas[[#This Row],[Profit]]/Master_ventas[[#This Row],[Sales]]</f>
        <v>8.63066796684544E-2</v>
      </c>
      <c r="I1297">
        <f ca="1">Referencia_Hoy-Master_ventas[[#This Row],[Order Date]]</f>
        <v>1528</v>
      </c>
      <c r="J1297" t="str">
        <f>UPPER(Master_ventas[[#This Row],[Product Name]])</f>
        <v>TABLET</v>
      </c>
      <c r="K1297" t="str">
        <f>UPPER(Master_ventas[[#This Row],[Category]])</f>
        <v>ELECTRONICS</v>
      </c>
      <c r="L1297">
        <f>YEAR(Master_ventas[[#This Row],[Order Date]])</f>
        <v>2022</v>
      </c>
      <c r="M1297" t="str">
        <f>CONCATENATE(LEFT(Master_ventas[[#This Row],[ProdUpper]],3),RIGHT(Master_ventas[[#This Row],[Ext-Year]],2),"-",MID(Master_ventas[[#This Row],[Category]],1,1))</f>
        <v>TAB22-E</v>
      </c>
      <c r="N1297" t="str">
        <f>MID(Master_ventas[[#This Row],[ProdUpper]],1,3)</f>
        <v>TAB</v>
      </c>
      <c r="O1297" t="str">
        <f>UPPER(IF(Master_ventas[[#This Row],[Profit]]&gt;500,"High","Std"))</f>
        <v>STD</v>
      </c>
      <c r="P1297">
        <v>1296</v>
      </c>
    </row>
    <row r="1298" spans="1:16" x14ac:dyDescent="0.3">
      <c r="A1298" s="1">
        <v>44572</v>
      </c>
      <c r="B1298" t="s">
        <v>7</v>
      </c>
      <c r="C1298" t="s">
        <v>8</v>
      </c>
      <c r="D1298" t="s">
        <v>9</v>
      </c>
      <c r="E1298">
        <v>1</v>
      </c>
      <c r="F1298" s="3">
        <v>1016</v>
      </c>
      <c r="G1298" s="2">
        <v>171.31</v>
      </c>
      <c r="H1298">
        <f>Master_ventas[[#This Row],[Profit]]/Master_ventas[[#This Row],[Sales]]</f>
        <v>0.16861220472440946</v>
      </c>
      <c r="I1298">
        <f ca="1">Referencia_Hoy-Master_ventas[[#This Row],[Order Date]]</f>
        <v>1751</v>
      </c>
      <c r="J1298" t="str">
        <f>UPPER(Master_ventas[[#This Row],[Product Name]])</f>
        <v>PRINTER</v>
      </c>
      <c r="K1298" t="str">
        <f>UPPER(Master_ventas[[#This Row],[Category]])</f>
        <v>OFFICE</v>
      </c>
      <c r="L1298">
        <f>YEAR(Master_ventas[[#This Row],[Order Date]])</f>
        <v>2022</v>
      </c>
      <c r="M1298" t="str">
        <f>CONCATENATE(LEFT(Master_ventas[[#This Row],[ProdUpper]],3),RIGHT(Master_ventas[[#This Row],[Ext-Year]],2),"-",MID(Master_ventas[[#This Row],[Category]],1,1))</f>
        <v>PRI22-O</v>
      </c>
      <c r="N1298" t="str">
        <f>MID(Master_ventas[[#This Row],[ProdUpper]],1,3)</f>
        <v>PRI</v>
      </c>
      <c r="O1298" t="str">
        <f>UPPER(IF(Master_ventas[[#This Row],[Profit]]&gt;500,"High","Std"))</f>
        <v>STD</v>
      </c>
      <c r="P1298">
        <v>1297</v>
      </c>
    </row>
    <row r="1299" spans="1:16" x14ac:dyDescent="0.3">
      <c r="A1299" s="1">
        <v>45156</v>
      </c>
      <c r="B1299" t="s">
        <v>18</v>
      </c>
      <c r="C1299" t="s">
        <v>11</v>
      </c>
      <c r="D1299" t="s">
        <v>15</v>
      </c>
      <c r="E1299">
        <v>4</v>
      </c>
      <c r="F1299" s="3">
        <v>1960</v>
      </c>
      <c r="G1299" s="2">
        <v>234.88</v>
      </c>
      <c r="H1299">
        <f>Master_ventas[[#This Row],[Profit]]/Master_ventas[[#This Row],[Sales]]</f>
        <v>0.11983673469387755</v>
      </c>
      <c r="I1299">
        <f ca="1">Referencia_Hoy-Master_ventas[[#This Row],[Order Date]]</f>
        <v>1167</v>
      </c>
      <c r="J1299" t="str">
        <f>UPPER(Master_ventas[[#This Row],[Product Name]])</f>
        <v>HEADPHONES</v>
      </c>
      <c r="K1299" t="str">
        <f>UPPER(Master_ventas[[#This Row],[Category]])</f>
        <v>ACCESSORIES</v>
      </c>
      <c r="L1299">
        <f>YEAR(Master_ventas[[#This Row],[Order Date]])</f>
        <v>2023</v>
      </c>
      <c r="M1299" t="str">
        <f>CONCATENATE(LEFT(Master_ventas[[#This Row],[ProdUpper]],3),RIGHT(Master_ventas[[#This Row],[Ext-Year]],2),"-",MID(Master_ventas[[#This Row],[Category]],1,1))</f>
        <v>HEA23-A</v>
      </c>
      <c r="N1299" t="str">
        <f>MID(Master_ventas[[#This Row],[ProdUpper]],1,3)</f>
        <v>HEA</v>
      </c>
      <c r="O1299" t="str">
        <f>UPPER(IF(Master_ventas[[#This Row],[Profit]]&gt;500,"High","Std"))</f>
        <v>STD</v>
      </c>
      <c r="P1299">
        <v>1298</v>
      </c>
    </row>
    <row r="1300" spans="1:16" x14ac:dyDescent="0.3">
      <c r="A1300" s="1">
        <v>45550</v>
      </c>
      <c r="B1300" t="s">
        <v>10</v>
      </c>
      <c r="C1300" t="s">
        <v>11</v>
      </c>
      <c r="D1300" t="s">
        <v>16</v>
      </c>
      <c r="E1300">
        <v>7</v>
      </c>
      <c r="F1300" s="3">
        <v>2751</v>
      </c>
      <c r="G1300" s="2">
        <v>675.95</v>
      </c>
      <c r="H1300">
        <f>Master_ventas[[#This Row],[Profit]]/Master_ventas[[#This Row],[Sales]]</f>
        <v>0.24571065067248274</v>
      </c>
      <c r="I1300">
        <f ca="1">Referencia_Hoy-Master_ventas[[#This Row],[Order Date]]</f>
        <v>773</v>
      </c>
      <c r="J1300" t="str">
        <f>UPPER(Master_ventas[[#This Row],[Product Name]])</f>
        <v>MOUSE</v>
      </c>
      <c r="K1300" t="str">
        <f>UPPER(Master_ventas[[#This Row],[Category]])</f>
        <v>ACCESSORIES</v>
      </c>
      <c r="L1300">
        <f>YEAR(Master_ventas[[#This Row],[Order Date]])</f>
        <v>2024</v>
      </c>
      <c r="M1300" t="str">
        <f>CONCATENATE(LEFT(Master_ventas[[#This Row],[ProdUpper]],3),RIGHT(Master_ventas[[#This Row],[Ext-Year]],2),"-",MID(Master_ventas[[#This Row],[Category]],1,1))</f>
        <v>MOU24-A</v>
      </c>
      <c r="N1300" t="str">
        <f>MID(Master_ventas[[#This Row],[ProdUpper]],1,3)</f>
        <v>MOU</v>
      </c>
      <c r="O1300" t="str">
        <f>UPPER(IF(Master_ventas[[#This Row],[Profit]]&gt;500,"High","Std"))</f>
        <v>HIGH</v>
      </c>
      <c r="P1300">
        <v>1299</v>
      </c>
    </row>
    <row r="1301" spans="1:16" x14ac:dyDescent="0.3">
      <c r="A1301" s="1">
        <v>44757</v>
      </c>
      <c r="B1301" t="s">
        <v>21</v>
      </c>
      <c r="C1301" t="s">
        <v>14</v>
      </c>
      <c r="D1301" t="s">
        <v>12</v>
      </c>
      <c r="E1301">
        <v>7</v>
      </c>
      <c r="F1301" s="3">
        <v>4032</v>
      </c>
      <c r="G1301" s="2">
        <v>742.98</v>
      </c>
      <c r="H1301">
        <f>Master_ventas[[#This Row],[Profit]]/Master_ventas[[#This Row],[Sales]]</f>
        <v>0.18427083333333333</v>
      </c>
      <c r="I1301">
        <f ca="1">Referencia_Hoy-Master_ventas[[#This Row],[Order Date]]</f>
        <v>1566</v>
      </c>
      <c r="J1301" t="str">
        <f>UPPER(Master_ventas[[#This Row],[Product Name]])</f>
        <v>SMARTPHONE</v>
      </c>
      <c r="K1301" t="str">
        <f>UPPER(Master_ventas[[#This Row],[Category]])</f>
        <v>ELECTRONICS</v>
      </c>
      <c r="L1301">
        <f>YEAR(Master_ventas[[#This Row],[Order Date]])</f>
        <v>2022</v>
      </c>
      <c r="M1301" t="str">
        <f>CONCATENATE(LEFT(Master_ventas[[#This Row],[ProdUpper]],3),RIGHT(Master_ventas[[#This Row],[Ext-Year]],2),"-",MID(Master_ventas[[#This Row],[Category]],1,1))</f>
        <v>SMA22-E</v>
      </c>
      <c r="N1301" t="str">
        <f>MID(Master_ventas[[#This Row],[ProdUpper]],1,3)</f>
        <v>SMA</v>
      </c>
      <c r="O1301" t="str">
        <f>UPPER(IF(Master_ventas[[#This Row],[Profit]]&gt;500,"High","Std"))</f>
        <v>HIGH</v>
      </c>
      <c r="P1301">
        <v>1300</v>
      </c>
    </row>
    <row r="1302" spans="1:16" x14ac:dyDescent="0.3">
      <c r="A1302" s="1">
        <v>45501</v>
      </c>
      <c r="B1302" t="s">
        <v>21</v>
      </c>
      <c r="C1302" t="s">
        <v>14</v>
      </c>
      <c r="D1302" t="s">
        <v>16</v>
      </c>
      <c r="E1302">
        <v>7</v>
      </c>
      <c r="F1302" s="3">
        <v>5978</v>
      </c>
      <c r="G1302" s="2">
        <v>1791.25</v>
      </c>
      <c r="H1302">
        <f>Master_ventas[[#This Row],[Profit]]/Master_ventas[[#This Row],[Sales]]</f>
        <v>0.2996403479424557</v>
      </c>
      <c r="I1302">
        <f ca="1">Referencia_Hoy-Master_ventas[[#This Row],[Order Date]]</f>
        <v>822</v>
      </c>
      <c r="J1302" t="str">
        <f>UPPER(Master_ventas[[#This Row],[Product Name]])</f>
        <v>SMARTPHONE</v>
      </c>
      <c r="K1302" t="str">
        <f>UPPER(Master_ventas[[#This Row],[Category]])</f>
        <v>ELECTRONICS</v>
      </c>
      <c r="L1302">
        <f>YEAR(Master_ventas[[#This Row],[Order Date]])</f>
        <v>2024</v>
      </c>
      <c r="M1302" t="str">
        <f>CONCATENATE(LEFT(Master_ventas[[#This Row],[ProdUpper]],3),RIGHT(Master_ventas[[#This Row],[Ext-Year]],2),"-",MID(Master_ventas[[#This Row],[Category]],1,1))</f>
        <v>SMA24-E</v>
      </c>
      <c r="N1302" t="str">
        <f>MID(Master_ventas[[#This Row],[ProdUpper]],1,3)</f>
        <v>SMA</v>
      </c>
      <c r="O1302" t="str">
        <f>UPPER(IF(Master_ventas[[#This Row],[Profit]]&gt;500,"High","Std"))</f>
        <v>HIGH</v>
      </c>
      <c r="P1302">
        <v>1301</v>
      </c>
    </row>
    <row r="1303" spans="1:16" x14ac:dyDescent="0.3">
      <c r="A1303" s="1">
        <v>45276</v>
      </c>
      <c r="B1303" t="s">
        <v>18</v>
      </c>
      <c r="C1303" t="s">
        <v>11</v>
      </c>
      <c r="D1303" t="s">
        <v>16</v>
      </c>
      <c r="E1303">
        <v>7</v>
      </c>
      <c r="F1303" s="3">
        <v>8050</v>
      </c>
      <c r="G1303" s="2">
        <v>2129.9699999999998</v>
      </c>
      <c r="H1303">
        <f>Master_ventas[[#This Row],[Profit]]/Master_ventas[[#This Row],[Sales]]</f>
        <v>0.2645925465838509</v>
      </c>
      <c r="I1303">
        <f ca="1">Referencia_Hoy-Master_ventas[[#This Row],[Order Date]]</f>
        <v>1047</v>
      </c>
      <c r="J1303" t="str">
        <f>UPPER(Master_ventas[[#This Row],[Product Name]])</f>
        <v>HEADPHONES</v>
      </c>
      <c r="K1303" t="str">
        <f>UPPER(Master_ventas[[#This Row],[Category]])</f>
        <v>ACCESSORIES</v>
      </c>
      <c r="L1303">
        <f>YEAR(Master_ventas[[#This Row],[Order Date]])</f>
        <v>2023</v>
      </c>
      <c r="M1303" t="str">
        <f>CONCATENATE(LEFT(Master_ventas[[#This Row],[ProdUpper]],3),RIGHT(Master_ventas[[#This Row],[Ext-Year]],2),"-",MID(Master_ventas[[#This Row],[Category]],1,1))</f>
        <v>HEA23-A</v>
      </c>
      <c r="N1303" t="str">
        <f>MID(Master_ventas[[#This Row],[ProdUpper]],1,3)</f>
        <v>HEA</v>
      </c>
      <c r="O1303" t="str">
        <f>UPPER(IF(Master_ventas[[#This Row],[Profit]]&gt;500,"High","Std"))</f>
        <v>HIGH</v>
      </c>
      <c r="P1303">
        <v>1302</v>
      </c>
    </row>
    <row r="1304" spans="1:16" x14ac:dyDescent="0.3">
      <c r="A1304" s="1">
        <v>45436</v>
      </c>
      <c r="B1304" t="s">
        <v>20</v>
      </c>
      <c r="C1304" t="s">
        <v>11</v>
      </c>
      <c r="D1304" t="s">
        <v>12</v>
      </c>
      <c r="E1304">
        <v>7</v>
      </c>
      <c r="F1304" s="3">
        <v>4648</v>
      </c>
      <c r="G1304" s="2">
        <v>1240.98</v>
      </c>
      <c r="H1304">
        <f>Master_ventas[[#This Row],[Profit]]/Master_ventas[[#This Row],[Sales]]</f>
        <v>0.26699225473321858</v>
      </c>
      <c r="I1304">
        <f ca="1">Referencia_Hoy-Master_ventas[[#This Row],[Order Date]]</f>
        <v>887</v>
      </c>
      <c r="J1304" t="str">
        <f>UPPER(Master_ventas[[#This Row],[Product Name]])</f>
        <v>MONITOR</v>
      </c>
      <c r="K1304" t="str">
        <f>UPPER(Master_ventas[[#This Row],[Category]])</f>
        <v>ACCESSORIES</v>
      </c>
      <c r="L1304">
        <f>YEAR(Master_ventas[[#This Row],[Order Date]])</f>
        <v>2024</v>
      </c>
      <c r="M1304" t="str">
        <f>CONCATENATE(LEFT(Master_ventas[[#This Row],[ProdUpper]],3),RIGHT(Master_ventas[[#This Row],[Ext-Year]],2),"-",MID(Master_ventas[[#This Row],[Category]],1,1))</f>
        <v>MON24-A</v>
      </c>
      <c r="N1304" t="str">
        <f>MID(Master_ventas[[#This Row],[ProdUpper]],1,3)</f>
        <v>MON</v>
      </c>
      <c r="O1304" t="str">
        <f>UPPER(IF(Master_ventas[[#This Row],[Profit]]&gt;500,"High","Std"))</f>
        <v>HIGH</v>
      </c>
      <c r="P1304">
        <v>1303</v>
      </c>
    </row>
    <row r="1305" spans="1:16" x14ac:dyDescent="0.3">
      <c r="A1305" s="1">
        <v>44726</v>
      </c>
      <c r="B1305" t="s">
        <v>21</v>
      </c>
      <c r="C1305" t="s">
        <v>14</v>
      </c>
      <c r="D1305" t="s">
        <v>9</v>
      </c>
      <c r="E1305">
        <v>3</v>
      </c>
      <c r="F1305" s="3">
        <v>1119</v>
      </c>
      <c r="G1305" s="2">
        <v>108.68</v>
      </c>
      <c r="H1305">
        <f>Master_ventas[[#This Row],[Profit]]/Master_ventas[[#This Row],[Sales]]</f>
        <v>9.7122430741733698E-2</v>
      </c>
      <c r="I1305">
        <f ca="1">Referencia_Hoy-Master_ventas[[#This Row],[Order Date]]</f>
        <v>1597</v>
      </c>
      <c r="J1305" t="str">
        <f>UPPER(Master_ventas[[#This Row],[Product Name]])</f>
        <v>SMARTPHONE</v>
      </c>
      <c r="K1305" t="str">
        <f>UPPER(Master_ventas[[#This Row],[Category]])</f>
        <v>ELECTRONICS</v>
      </c>
      <c r="L1305">
        <f>YEAR(Master_ventas[[#This Row],[Order Date]])</f>
        <v>2022</v>
      </c>
      <c r="M1305" t="str">
        <f>CONCATENATE(LEFT(Master_ventas[[#This Row],[ProdUpper]],3),RIGHT(Master_ventas[[#This Row],[Ext-Year]],2),"-",MID(Master_ventas[[#This Row],[Category]],1,1))</f>
        <v>SMA22-E</v>
      </c>
      <c r="N1305" t="str">
        <f>MID(Master_ventas[[#This Row],[ProdUpper]],1,3)</f>
        <v>SMA</v>
      </c>
      <c r="O1305" t="str">
        <f>UPPER(IF(Master_ventas[[#This Row],[Profit]]&gt;500,"High","Std"))</f>
        <v>STD</v>
      </c>
      <c r="P1305">
        <v>1304</v>
      </c>
    </row>
    <row r="1306" spans="1:16" x14ac:dyDescent="0.3">
      <c r="A1306" s="1">
        <v>45091</v>
      </c>
      <c r="B1306" t="s">
        <v>7</v>
      </c>
      <c r="C1306" t="s">
        <v>8</v>
      </c>
      <c r="D1306" t="s">
        <v>15</v>
      </c>
      <c r="E1306">
        <v>9</v>
      </c>
      <c r="F1306" s="3">
        <v>2178</v>
      </c>
      <c r="G1306" s="2">
        <v>382.67</v>
      </c>
      <c r="H1306">
        <f>Master_ventas[[#This Row],[Profit]]/Master_ventas[[#This Row],[Sales]]</f>
        <v>0.17569788797061525</v>
      </c>
      <c r="I1306">
        <f ca="1">Referencia_Hoy-Master_ventas[[#This Row],[Order Date]]</f>
        <v>1232</v>
      </c>
      <c r="J1306" t="str">
        <f>UPPER(Master_ventas[[#This Row],[Product Name]])</f>
        <v>PRINTER</v>
      </c>
      <c r="K1306" t="str">
        <f>UPPER(Master_ventas[[#This Row],[Category]])</f>
        <v>OFFICE</v>
      </c>
      <c r="L1306">
        <f>YEAR(Master_ventas[[#This Row],[Order Date]])</f>
        <v>2023</v>
      </c>
      <c r="M1306" t="str">
        <f>CONCATENATE(LEFT(Master_ventas[[#This Row],[ProdUpper]],3),RIGHT(Master_ventas[[#This Row],[Ext-Year]],2),"-",MID(Master_ventas[[#This Row],[Category]],1,1))</f>
        <v>PRI23-O</v>
      </c>
      <c r="N1306" t="str">
        <f>MID(Master_ventas[[#This Row],[ProdUpper]],1,3)</f>
        <v>PRI</v>
      </c>
      <c r="O1306" t="str">
        <f>UPPER(IF(Master_ventas[[#This Row],[Profit]]&gt;500,"High","Std"))</f>
        <v>STD</v>
      </c>
      <c r="P1306">
        <v>1305</v>
      </c>
    </row>
    <row r="1307" spans="1:16" x14ac:dyDescent="0.3">
      <c r="A1307" s="1">
        <v>45637</v>
      </c>
      <c r="B1307" t="s">
        <v>23</v>
      </c>
      <c r="C1307" t="s">
        <v>14</v>
      </c>
      <c r="D1307" t="s">
        <v>12</v>
      </c>
      <c r="E1307">
        <v>1</v>
      </c>
      <c r="F1307" s="3">
        <v>918</v>
      </c>
      <c r="G1307" s="2">
        <v>180.31</v>
      </c>
      <c r="H1307">
        <f>Master_ventas[[#This Row],[Profit]]/Master_ventas[[#This Row],[Sales]]</f>
        <v>0.19641612200435729</v>
      </c>
      <c r="I1307">
        <f ca="1">Referencia_Hoy-Master_ventas[[#This Row],[Order Date]]</f>
        <v>686</v>
      </c>
      <c r="J1307" t="str">
        <f>UPPER(Master_ventas[[#This Row],[Product Name]])</f>
        <v>LAPTOP</v>
      </c>
      <c r="K1307" t="str">
        <f>UPPER(Master_ventas[[#This Row],[Category]])</f>
        <v>ELECTRONICS</v>
      </c>
      <c r="L1307">
        <f>YEAR(Master_ventas[[#This Row],[Order Date]])</f>
        <v>2024</v>
      </c>
      <c r="M1307" t="str">
        <f>CONCATENATE(LEFT(Master_ventas[[#This Row],[ProdUpper]],3),RIGHT(Master_ventas[[#This Row],[Ext-Year]],2),"-",MID(Master_ventas[[#This Row],[Category]],1,1))</f>
        <v>LAP24-E</v>
      </c>
      <c r="N1307" t="str">
        <f>MID(Master_ventas[[#This Row],[ProdUpper]],1,3)</f>
        <v>LAP</v>
      </c>
      <c r="O1307" t="str">
        <f>UPPER(IF(Master_ventas[[#This Row],[Profit]]&gt;500,"High","Std"))</f>
        <v>STD</v>
      </c>
      <c r="P1307">
        <v>1306</v>
      </c>
    </row>
    <row r="1308" spans="1:16" x14ac:dyDescent="0.3">
      <c r="A1308" s="1">
        <v>44962</v>
      </c>
      <c r="B1308" t="s">
        <v>21</v>
      </c>
      <c r="C1308" t="s">
        <v>14</v>
      </c>
      <c r="D1308" t="s">
        <v>12</v>
      </c>
      <c r="E1308">
        <v>9</v>
      </c>
      <c r="F1308" s="3">
        <v>6903</v>
      </c>
      <c r="G1308" s="2">
        <v>837.35</v>
      </c>
      <c r="H1308">
        <f>Master_ventas[[#This Row],[Profit]]/Master_ventas[[#This Row],[Sales]]</f>
        <v>0.12130233231928148</v>
      </c>
      <c r="I1308">
        <f ca="1">Referencia_Hoy-Master_ventas[[#This Row],[Order Date]]</f>
        <v>1361</v>
      </c>
      <c r="J1308" t="str">
        <f>UPPER(Master_ventas[[#This Row],[Product Name]])</f>
        <v>SMARTPHONE</v>
      </c>
      <c r="K1308" t="str">
        <f>UPPER(Master_ventas[[#This Row],[Category]])</f>
        <v>ELECTRONICS</v>
      </c>
      <c r="L1308">
        <f>YEAR(Master_ventas[[#This Row],[Order Date]])</f>
        <v>2023</v>
      </c>
      <c r="M1308" t="str">
        <f>CONCATENATE(LEFT(Master_ventas[[#This Row],[ProdUpper]],3),RIGHT(Master_ventas[[#This Row],[Ext-Year]],2),"-",MID(Master_ventas[[#This Row],[Category]],1,1))</f>
        <v>SMA23-E</v>
      </c>
      <c r="N1308" t="str">
        <f>MID(Master_ventas[[#This Row],[ProdUpper]],1,3)</f>
        <v>SMA</v>
      </c>
      <c r="O1308" t="str">
        <f>UPPER(IF(Master_ventas[[#This Row],[Profit]]&gt;500,"High","Std"))</f>
        <v>HIGH</v>
      </c>
      <c r="P1308">
        <v>1307</v>
      </c>
    </row>
    <row r="1309" spans="1:16" x14ac:dyDescent="0.3">
      <c r="A1309" s="1">
        <v>45159</v>
      </c>
      <c r="B1309" t="s">
        <v>22</v>
      </c>
      <c r="C1309" t="s">
        <v>11</v>
      </c>
      <c r="D1309" t="s">
        <v>9</v>
      </c>
      <c r="E1309">
        <v>5</v>
      </c>
      <c r="F1309" s="3">
        <v>4855</v>
      </c>
      <c r="G1309" s="2">
        <v>534.23</v>
      </c>
      <c r="H1309">
        <f>Master_ventas[[#This Row],[Profit]]/Master_ventas[[#This Row],[Sales]]</f>
        <v>0.11003707518022657</v>
      </c>
      <c r="I1309">
        <f ca="1">Referencia_Hoy-Master_ventas[[#This Row],[Order Date]]</f>
        <v>1164</v>
      </c>
      <c r="J1309" t="str">
        <f>UPPER(Master_ventas[[#This Row],[Product Name]])</f>
        <v>KEYBOARD</v>
      </c>
      <c r="K1309" t="str">
        <f>UPPER(Master_ventas[[#This Row],[Category]])</f>
        <v>ACCESSORIES</v>
      </c>
      <c r="L1309">
        <f>YEAR(Master_ventas[[#This Row],[Order Date]])</f>
        <v>2023</v>
      </c>
      <c r="M1309" t="str">
        <f>CONCATENATE(LEFT(Master_ventas[[#This Row],[ProdUpper]],3),RIGHT(Master_ventas[[#This Row],[Ext-Year]],2),"-",MID(Master_ventas[[#This Row],[Category]],1,1))</f>
        <v>KEY23-A</v>
      </c>
      <c r="N1309" t="str">
        <f>MID(Master_ventas[[#This Row],[ProdUpper]],1,3)</f>
        <v>KEY</v>
      </c>
      <c r="O1309" t="str">
        <f>UPPER(IF(Master_ventas[[#This Row],[Profit]]&gt;500,"High","Std"))</f>
        <v>HIGH</v>
      </c>
      <c r="P1309">
        <v>1308</v>
      </c>
    </row>
    <row r="1310" spans="1:16" x14ac:dyDescent="0.3">
      <c r="A1310" s="1">
        <v>45278</v>
      </c>
      <c r="B1310" t="s">
        <v>17</v>
      </c>
      <c r="C1310" t="s">
        <v>14</v>
      </c>
      <c r="D1310" t="s">
        <v>15</v>
      </c>
      <c r="E1310">
        <v>2</v>
      </c>
      <c r="F1310" s="3">
        <v>2158</v>
      </c>
      <c r="G1310" s="2">
        <v>483.94</v>
      </c>
      <c r="H1310">
        <f>Master_ventas[[#This Row],[Profit]]/Master_ventas[[#This Row],[Sales]]</f>
        <v>0.22425393883225209</v>
      </c>
      <c r="I1310">
        <f ca="1">Referencia_Hoy-Master_ventas[[#This Row],[Order Date]]</f>
        <v>1045</v>
      </c>
      <c r="J1310" t="str">
        <f>UPPER(Master_ventas[[#This Row],[Product Name]])</f>
        <v>CAMERA</v>
      </c>
      <c r="K1310" t="str">
        <f>UPPER(Master_ventas[[#This Row],[Category]])</f>
        <v>ELECTRONICS</v>
      </c>
      <c r="L1310">
        <f>YEAR(Master_ventas[[#This Row],[Order Date]])</f>
        <v>2023</v>
      </c>
      <c r="M1310" t="str">
        <f>CONCATENATE(LEFT(Master_ventas[[#This Row],[ProdUpper]],3),RIGHT(Master_ventas[[#This Row],[Ext-Year]],2),"-",MID(Master_ventas[[#This Row],[Category]],1,1))</f>
        <v>CAM23-E</v>
      </c>
      <c r="N1310" t="str">
        <f>MID(Master_ventas[[#This Row],[ProdUpper]],1,3)</f>
        <v>CAM</v>
      </c>
      <c r="O1310" t="str">
        <f>UPPER(IF(Master_ventas[[#This Row],[Profit]]&gt;500,"High","Std"))</f>
        <v>STD</v>
      </c>
      <c r="P1310">
        <v>1309</v>
      </c>
    </row>
    <row r="1311" spans="1:16" x14ac:dyDescent="0.3">
      <c r="A1311" s="1">
        <v>45029</v>
      </c>
      <c r="B1311" t="s">
        <v>10</v>
      </c>
      <c r="C1311" t="s">
        <v>11</v>
      </c>
      <c r="D1311" t="s">
        <v>9</v>
      </c>
      <c r="E1311">
        <v>7</v>
      </c>
      <c r="F1311" s="3">
        <v>4550</v>
      </c>
      <c r="G1311" s="2">
        <v>1077.8</v>
      </c>
      <c r="H1311">
        <f>Master_ventas[[#This Row],[Profit]]/Master_ventas[[#This Row],[Sales]]</f>
        <v>0.23687912087912086</v>
      </c>
      <c r="I1311">
        <f ca="1">Referencia_Hoy-Master_ventas[[#This Row],[Order Date]]</f>
        <v>1294</v>
      </c>
      <c r="J1311" t="str">
        <f>UPPER(Master_ventas[[#This Row],[Product Name]])</f>
        <v>MOUSE</v>
      </c>
      <c r="K1311" t="str">
        <f>UPPER(Master_ventas[[#This Row],[Category]])</f>
        <v>ACCESSORIES</v>
      </c>
      <c r="L1311">
        <f>YEAR(Master_ventas[[#This Row],[Order Date]])</f>
        <v>2023</v>
      </c>
      <c r="M1311" t="str">
        <f>CONCATENATE(LEFT(Master_ventas[[#This Row],[ProdUpper]],3),RIGHT(Master_ventas[[#This Row],[Ext-Year]],2),"-",MID(Master_ventas[[#This Row],[Category]],1,1))</f>
        <v>MOU23-A</v>
      </c>
      <c r="N1311" t="str">
        <f>MID(Master_ventas[[#This Row],[ProdUpper]],1,3)</f>
        <v>MOU</v>
      </c>
      <c r="O1311" t="str">
        <f>UPPER(IF(Master_ventas[[#This Row],[Profit]]&gt;500,"High","Std"))</f>
        <v>HIGH</v>
      </c>
      <c r="P1311">
        <v>1310</v>
      </c>
    </row>
    <row r="1312" spans="1:16" x14ac:dyDescent="0.3">
      <c r="A1312" s="1">
        <v>45193</v>
      </c>
      <c r="B1312" t="s">
        <v>13</v>
      </c>
      <c r="C1312" t="s">
        <v>14</v>
      </c>
      <c r="D1312" t="s">
        <v>16</v>
      </c>
      <c r="E1312">
        <v>4</v>
      </c>
      <c r="F1312" s="3">
        <v>3592</v>
      </c>
      <c r="G1312" s="2">
        <v>249.54</v>
      </c>
      <c r="H1312">
        <f>Master_ventas[[#This Row],[Profit]]/Master_ventas[[#This Row],[Sales]]</f>
        <v>6.9471046770601327E-2</v>
      </c>
      <c r="I1312">
        <f ca="1">Referencia_Hoy-Master_ventas[[#This Row],[Order Date]]</f>
        <v>1130</v>
      </c>
      <c r="J1312" t="str">
        <f>UPPER(Master_ventas[[#This Row],[Product Name]])</f>
        <v>TABLET</v>
      </c>
      <c r="K1312" t="str">
        <f>UPPER(Master_ventas[[#This Row],[Category]])</f>
        <v>ELECTRONICS</v>
      </c>
      <c r="L1312">
        <f>YEAR(Master_ventas[[#This Row],[Order Date]])</f>
        <v>2023</v>
      </c>
      <c r="M1312" t="str">
        <f>CONCATENATE(LEFT(Master_ventas[[#This Row],[ProdUpper]],3),RIGHT(Master_ventas[[#This Row],[Ext-Year]],2),"-",MID(Master_ventas[[#This Row],[Category]],1,1))</f>
        <v>TAB23-E</v>
      </c>
      <c r="N1312" t="str">
        <f>MID(Master_ventas[[#This Row],[ProdUpper]],1,3)</f>
        <v>TAB</v>
      </c>
      <c r="O1312" t="str">
        <f>UPPER(IF(Master_ventas[[#This Row],[Profit]]&gt;500,"High","Std"))</f>
        <v>STD</v>
      </c>
      <c r="P1312">
        <v>1311</v>
      </c>
    </row>
    <row r="1313" spans="1:16" x14ac:dyDescent="0.3">
      <c r="A1313" s="1">
        <v>44914</v>
      </c>
      <c r="B1313" t="s">
        <v>13</v>
      </c>
      <c r="C1313" t="s">
        <v>14</v>
      </c>
      <c r="D1313" t="s">
        <v>15</v>
      </c>
      <c r="E1313">
        <v>8</v>
      </c>
      <c r="F1313" s="3">
        <v>3488</v>
      </c>
      <c r="G1313" s="2">
        <v>943.25</v>
      </c>
      <c r="H1313">
        <f>Master_ventas[[#This Row],[Profit]]/Master_ventas[[#This Row],[Sales]]</f>
        <v>0.27042717889908258</v>
      </c>
      <c r="I1313">
        <f ca="1">Referencia_Hoy-Master_ventas[[#This Row],[Order Date]]</f>
        <v>1409</v>
      </c>
      <c r="J1313" t="str">
        <f>UPPER(Master_ventas[[#This Row],[Product Name]])</f>
        <v>TABLET</v>
      </c>
      <c r="K1313" t="str">
        <f>UPPER(Master_ventas[[#This Row],[Category]])</f>
        <v>ELECTRONICS</v>
      </c>
      <c r="L1313">
        <f>YEAR(Master_ventas[[#This Row],[Order Date]])</f>
        <v>2022</v>
      </c>
      <c r="M1313" t="str">
        <f>CONCATENATE(LEFT(Master_ventas[[#This Row],[ProdUpper]],3),RIGHT(Master_ventas[[#This Row],[Ext-Year]],2),"-",MID(Master_ventas[[#This Row],[Category]],1,1))</f>
        <v>TAB22-E</v>
      </c>
      <c r="N1313" t="str">
        <f>MID(Master_ventas[[#This Row],[ProdUpper]],1,3)</f>
        <v>TAB</v>
      </c>
      <c r="O1313" t="str">
        <f>UPPER(IF(Master_ventas[[#This Row],[Profit]]&gt;500,"High","Std"))</f>
        <v>HIGH</v>
      </c>
      <c r="P1313">
        <v>1312</v>
      </c>
    </row>
    <row r="1314" spans="1:16" x14ac:dyDescent="0.3">
      <c r="A1314" s="1">
        <v>44702</v>
      </c>
      <c r="B1314" t="s">
        <v>20</v>
      </c>
      <c r="C1314" t="s">
        <v>11</v>
      </c>
      <c r="D1314" t="s">
        <v>9</v>
      </c>
      <c r="E1314">
        <v>2</v>
      </c>
      <c r="F1314" s="3">
        <v>1214</v>
      </c>
      <c r="G1314" s="2">
        <v>163.80000000000001</v>
      </c>
      <c r="H1314">
        <f>Master_ventas[[#This Row],[Profit]]/Master_ventas[[#This Row],[Sales]]</f>
        <v>0.13492586490939046</v>
      </c>
      <c r="I1314">
        <f ca="1">Referencia_Hoy-Master_ventas[[#This Row],[Order Date]]</f>
        <v>1621</v>
      </c>
      <c r="J1314" t="str">
        <f>UPPER(Master_ventas[[#This Row],[Product Name]])</f>
        <v>MONITOR</v>
      </c>
      <c r="K1314" t="str">
        <f>UPPER(Master_ventas[[#This Row],[Category]])</f>
        <v>ACCESSORIES</v>
      </c>
      <c r="L1314">
        <f>YEAR(Master_ventas[[#This Row],[Order Date]])</f>
        <v>2022</v>
      </c>
      <c r="M1314" t="str">
        <f>CONCATENATE(LEFT(Master_ventas[[#This Row],[ProdUpper]],3),RIGHT(Master_ventas[[#This Row],[Ext-Year]],2),"-",MID(Master_ventas[[#This Row],[Category]],1,1))</f>
        <v>MON22-A</v>
      </c>
      <c r="N1314" t="str">
        <f>MID(Master_ventas[[#This Row],[ProdUpper]],1,3)</f>
        <v>MON</v>
      </c>
      <c r="O1314" t="str">
        <f>UPPER(IF(Master_ventas[[#This Row],[Profit]]&gt;500,"High","Std"))</f>
        <v>STD</v>
      </c>
      <c r="P1314">
        <v>1313</v>
      </c>
    </row>
    <row r="1315" spans="1:16" x14ac:dyDescent="0.3">
      <c r="A1315" s="1">
        <v>45556</v>
      </c>
      <c r="B1315" t="s">
        <v>10</v>
      </c>
      <c r="C1315" t="s">
        <v>11</v>
      </c>
      <c r="D1315" t="s">
        <v>16</v>
      </c>
      <c r="E1315">
        <v>9</v>
      </c>
      <c r="F1315" s="3">
        <v>7200</v>
      </c>
      <c r="G1315" s="2">
        <v>1469.23</v>
      </c>
      <c r="H1315">
        <f>Master_ventas[[#This Row],[Profit]]/Master_ventas[[#This Row],[Sales]]</f>
        <v>0.20405972222222221</v>
      </c>
      <c r="I1315">
        <f ca="1">Referencia_Hoy-Master_ventas[[#This Row],[Order Date]]</f>
        <v>767</v>
      </c>
      <c r="J1315" t="str">
        <f>UPPER(Master_ventas[[#This Row],[Product Name]])</f>
        <v>MOUSE</v>
      </c>
      <c r="K1315" t="str">
        <f>UPPER(Master_ventas[[#This Row],[Category]])</f>
        <v>ACCESSORIES</v>
      </c>
      <c r="L1315">
        <f>YEAR(Master_ventas[[#This Row],[Order Date]])</f>
        <v>2024</v>
      </c>
      <c r="M1315" t="str">
        <f>CONCATENATE(LEFT(Master_ventas[[#This Row],[ProdUpper]],3),RIGHT(Master_ventas[[#This Row],[Ext-Year]],2),"-",MID(Master_ventas[[#This Row],[Category]],1,1))</f>
        <v>MOU24-A</v>
      </c>
      <c r="N1315" t="str">
        <f>MID(Master_ventas[[#This Row],[ProdUpper]],1,3)</f>
        <v>MOU</v>
      </c>
      <c r="O1315" t="str">
        <f>UPPER(IF(Master_ventas[[#This Row],[Profit]]&gt;500,"High","Std"))</f>
        <v>HIGH</v>
      </c>
      <c r="P1315">
        <v>1314</v>
      </c>
    </row>
    <row r="1316" spans="1:16" x14ac:dyDescent="0.3">
      <c r="A1316" s="1">
        <v>45009</v>
      </c>
      <c r="B1316" t="s">
        <v>23</v>
      </c>
      <c r="C1316" t="s">
        <v>14</v>
      </c>
      <c r="D1316" t="s">
        <v>12</v>
      </c>
      <c r="E1316">
        <v>8</v>
      </c>
      <c r="F1316" s="3">
        <v>1808</v>
      </c>
      <c r="G1316" s="2">
        <v>339.31</v>
      </c>
      <c r="H1316">
        <f>Master_ventas[[#This Row],[Profit]]/Master_ventas[[#This Row],[Sales]]</f>
        <v>0.18767146017699116</v>
      </c>
      <c r="I1316">
        <f ca="1">Referencia_Hoy-Master_ventas[[#This Row],[Order Date]]</f>
        <v>1314</v>
      </c>
      <c r="J1316" t="str">
        <f>UPPER(Master_ventas[[#This Row],[Product Name]])</f>
        <v>LAPTOP</v>
      </c>
      <c r="K1316" t="str">
        <f>UPPER(Master_ventas[[#This Row],[Category]])</f>
        <v>ELECTRONICS</v>
      </c>
      <c r="L1316">
        <f>YEAR(Master_ventas[[#This Row],[Order Date]])</f>
        <v>2023</v>
      </c>
      <c r="M1316" t="str">
        <f>CONCATENATE(LEFT(Master_ventas[[#This Row],[ProdUpper]],3),RIGHT(Master_ventas[[#This Row],[Ext-Year]],2),"-",MID(Master_ventas[[#This Row],[Category]],1,1))</f>
        <v>LAP23-E</v>
      </c>
      <c r="N1316" t="str">
        <f>MID(Master_ventas[[#This Row],[ProdUpper]],1,3)</f>
        <v>LAP</v>
      </c>
      <c r="O1316" t="str">
        <f>UPPER(IF(Master_ventas[[#This Row],[Profit]]&gt;500,"High","Std"))</f>
        <v>STD</v>
      </c>
      <c r="P1316">
        <v>1315</v>
      </c>
    </row>
    <row r="1317" spans="1:16" x14ac:dyDescent="0.3">
      <c r="A1317" s="1">
        <v>44924</v>
      </c>
      <c r="B1317" t="s">
        <v>17</v>
      </c>
      <c r="C1317" t="s">
        <v>14</v>
      </c>
      <c r="D1317" t="s">
        <v>16</v>
      </c>
      <c r="E1317">
        <v>9</v>
      </c>
      <c r="F1317" s="3">
        <v>7083</v>
      </c>
      <c r="G1317" s="2">
        <v>560.88</v>
      </c>
      <c r="H1317">
        <f>Master_ventas[[#This Row],[Profit]]/Master_ventas[[#This Row],[Sales]]</f>
        <v>7.9186785260482839E-2</v>
      </c>
      <c r="I1317">
        <f ca="1">Referencia_Hoy-Master_ventas[[#This Row],[Order Date]]</f>
        <v>1399</v>
      </c>
      <c r="J1317" t="str">
        <f>UPPER(Master_ventas[[#This Row],[Product Name]])</f>
        <v>CAMERA</v>
      </c>
      <c r="K1317" t="str">
        <f>UPPER(Master_ventas[[#This Row],[Category]])</f>
        <v>ELECTRONICS</v>
      </c>
      <c r="L1317">
        <f>YEAR(Master_ventas[[#This Row],[Order Date]])</f>
        <v>2022</v>
      </c>
      <c r="M1317" t="str">
        <f>CONCATENATE(LEFT(Master_ventas[[#This Row],[ProdUpper]],3),RIGHT(Master_ventas[[#This Row],[Ext-Year]],2),"-",MID(Master_ventas[[#This Row],[Category]],1,1))</f>
        <v>CAM22-E</v>
      </c>
      <c r="N1317" t="str">
        <f>MID(Master_ventas[[#This Row],[ProdUpper]],1,3)</f>
        <v>CAM</v>
      </c>
      <c r="O1317" t="str">
        <f>UPPER(IF(Master_ventas[[#This Row],[Profit]]&gt;500,"High","Std"))</f>
        <v>HIGH</v>
      </c>
      <c r="P1317">
        <v>1316</v>
      </c>
    </row>
    <row r="1318" spans="1:16" x14ac:dyDescent="0.3">
      <c r="A1318" s="1">
        <v>45448</v>
      </c>
      <c r="B1318" t="s">
        <v>20</v>
      </c>
      <c r="C1318" t="s">
        <v>11</v>
      </c>
      <c r="D1318" t="s">
        <v>12</v>
      </c>
      <c r="E1318">
        <v>4</v>
      </c>
      <c r="F1318" s="3">
        <v>1060</v>
      </c>
      <c r="G1318" s="2">
        <v>260.20999999999998</v>
      </c>
      <c r="H1318">
        <f>Master_ventas[[#This Row],[Profit]]/Master_ventas[[#This Row],[Sales]]</f>
        <v>0.24548113207547168</v>
      </c>
      <c r="I1318">
        <f ca="1">Referencia_Hoy-Master_ventas[[#This Row],[Order Date]]</f>
        <v>875</v>
      </c>
      <c r="J1318" t="str">
        <f>UPPER(Master_ventas[[#This Row],[Product Name]])</f>
        <v>MONITOR</v>
      </c>
      <c r="K1318" t="str">
        <f>UPPER(Master_ventas[[#This Row],[Category]])</f>
        <v>ACCESSORIES</v>
      </c>
      <c r="L1318">
        <f>YEAR(Master_ventas[[#This Row],[Order Date]])</f>
        <v>2024</v>
      </c>
      <c r="M1318" t="str">
        <f>CONCATENATE(LEFT(Master_ventas[[#This Row],[ProdUpper]],3),RIGHT(Master_ventas[[#This Row],[Ext-Year]],2),"-",MID(Master_ventas[[#This Row],[Category]],1,1))</f>
        <v>MON24-A</v>
      </c>
      <c r="N1318" t="str">
        <f>MID(Master_ventas[[#This Row],[ProdUpper]],1,3)</f>
        <v>MON</v>
      </c>
      <c r="O1318" t="str">
        <f>UPPER(IF(Master_ventas[[#This Row],[Profit]]&gt;500,"High","Std"))</f>
        <v>STD</v>
      </c>
      <c r="P1318">
        <v>1317</v>
      </c>
    </row>
    <row r="1319" spans="1:16" x14ac:dyDescent="0.3">
      <c r="A1319" s="1">
        <v>44882</v>
      </c>
      <c r="B1319" t="s">
        <v>19</v>
      </c>
      <c r="C1319" t="s">
        <v>14</v>
      </c>
      <c r="D1319" t="s">
        <v>15</v>
      </c>
      <c r="E1319">
        <v>9</v>
      </c>
      <c r="F1319" s="3">
        <v>7182</v>
      </c>
      <c r="G1319" s="2">
        <v>461.61</v>
      </c>
      <c r="H1319">
        <f>Master_ventas[[#This Row],[Profit]]/Master_ventas[[#This Row],[Sales]]</f>
        <v>6.4273182957393482E-2</v>
      </c>
      <c r="I1319">
        <f ca="1">Referencia_Hoy-Master_ventas[[#This Row],[Order Date]]</f>
        <v>1441</v>
      </c>
      <c r="J1319" t="str">
        <f>UPPER(Master_ventas[[#This Row],[Product Name]])</f>
        <v>SMARTWATCH</v>
      </c>
      <c r="K1319" t="str">
        <f>UPPER(Master_ventas[[#This Row],[Category]])</f>
        <v>ELECTRONICS</v>
      </c>
      <c r="L1319">
        <f>YEAR(Master_ventas[[#This Row],[Order Date]])</f>
        <v>2022</v>
      </c>
      <c r="M1319" t="str">
        <f>CONCATENATE(LEFT(Master_ventas[[#This Row],[ProdUpper]],3),RIGHT(Master_ventas[[#This Row],[Ext-Year]],2),"-",MID(Master_ventas[[#This Row],[Category]],1,1))</f>
        <v>SMA22-E</v>
      </c>
      <c r="N1319" t="str">
        <f>MID(Master_ventas[[#This Row],[ProdUpper]],1,3)</f>
        <v>SMA</v>
      </c>
      <c r="O1319" t="str">
        <f>UPPER(IF(Master_ventas[[#This Row],[Profit]]&gt;500,"High","Std"))</f>
        <v>STD</v>
      </c>
      <c r="P1319">
        <v>1318</v>
      </c>
    </row>
    <row r="1320" spans="1:16" x14ac:dyDescent="0.3">
      <c r="A1320" s="1">
        <v>45419</v>
      </c>
      <c r="B1320" t="s">
        <v>21</v>
      </c>
      <c r="C1320" t="s">
        <v>14</v>
      </c>
      <c r="D1320" t="s">
        <v>16</v>
      </c>
      <c r="E1320">
        <v>6</v>
      </c>
      <c r="F1320" s="3">
        <v>5532</v>
      </c>
      <c r="G1320" s="2">
        <v>552.74</v>
      </c>
      <c r="H1320">
        <f>Master_ventas[[#This Row],[Profit]]/Master_ventas[[#This Row],[Sales]]</f>
        <v>9.9916847433116421E-2</v>
      </c>
      <c r="I1320">
        <f ca="1">Referencia_Hoy-Master_ventas[[#This Row],[Order Date]]</f>
        <v>904</v>
      </c>
      <c r="J1320" t="str">
        <f>UPPER(Master_ventas[[#This Row],[Product Name]])</f>
        <v>SMARTPHONE</v>
      </c>
      <c r="K1320" t="str">
        <f>UPPER(Master_ventas[[#This Row],[Category]])</f>
        <v>ELECTRONICS</v>
      </c>
      <c r="L1320">
        <f>YEAR(Master_ventas[[#This Row],[Order Date]])</f>
        <v>2024</v>
      </c>
      <c r="M1320" t="str">
        <f>CONCATENATE(LEFT(Master_ventas[[#This Row],[ProdUpper]],3),RIGHT(Master_ventas[[#This Row],[Ext-Year]],2),"-",MID(Master_ventas[[#This Row],[Category]],1,1))</f>
        <v>SMA24-E</v>
      </c>
      <c r="N1320" t="str">
        <f>MID(Master_ventas[[#This Row],[ProdUpper]],1,3)</f>
        <v>SMA</v>
      </c>
      <c r="O1320" t="str">
        <f>UPPER(IF(Master_ventas[[#This Row],[Profit]]&gt;500,"High","Std"))</f>
        <v>HIGH</v>
      </c>
      <c r="P1320">
        <v>1319</v>
      </c>
    </row>
    <row r="1321" spans="1:16" x14ac:dyDescent="0.3">
      <c r="A1321" s="1">
        <v>45527</v>
      </c>
      <c r="B1321" t="s">
        <v>18</v>
      </c>
      <c r="C1321" t="s">
        <v>11</v>
      </c>
      <c r="D1321" t="s">
        <v>15</v>
      </c>
      <c r="E1321">
        <v>8</v>
      </c>
      <c r="F1321" s="3">
        <v>1800</v>
      </c>
      <c r="G1321" s="2">
        <v>326.02999999999997</v>
      </c>
      <c r="H1321">
        <f>Master_ventas[[#This Row],[Profit]]/Master_ventas[[#This Row],[Sales]]</f>
        <v>0.18112777777777778</v>
      </c>
      <c r="I1321">
        <f ca="1">Referencia_Hoy-Master_ventas[[#This Row],[Order Date]]</f>
        <v>796</v>
      </c>
      <c r="J1321" t="str">
        <f>UPPER(Master_ventas[[#This Row],[Product Name]])</f>
        <v>HEADPHONES</v>
      </c>
      <c r="K1321" t="str">
        <f>UPPER(Master_ventas[[#This Row],[Category]])</f>
        <v>ACCESSORIES</v>
      </c>
      <c r="L1321">
        <f>YEAR(Master_ventas[[#This Row],[Order Date]])</f>
        <v>2024</v>
      </c>
      <c r="M1321" t="str">
        <f>CONCATENATE(LEFT(Master_ventas[[#This Row],[ProdUpper]],3),RIGHT(Master_ventas[[#This Row],[Ext-Year]],2),"-",MID(Master_ventas[[#This Row],[Category]],1,1))</f>
        <v>HEA24-A</v>
      </c>
      <c r="N1321" t="str">
        <f>MID(Master_ventas[[#This Row],[ProdUpper]],1,3)</f>
        <v>HEA</v>
      </c>
      <c r="O1321" t="str">
        <f>UPPER(IF(Master_ventas[[#This Row],[Profit]]&gt;500,"High","Std"))</f>
        <v>STD</v>
      </c>
      <c r="P1321">
        <v>1320</v>
      </c>
    </row>
    <row r="1322" spans="1:16" x14ac:dyDescent="0.3">
      <c r="A1322" s="1">
        <v>45277</v>
      </c>
      <c r="B1322" t="s">
        <v>18</v>
      </c>
      <c r="C1322" t="s">
        <v>11</v>
      </c>
      <c r="D1322" t="s">
        <v>15</v>
      </c>
      <c r="E1322">
        <v>1</v>
      </c>
      <c r="F1322" s="3">
        <v>351</v>
      </c>
      <c r="G1322" s="2">
        <v>32.61</v>
      </c>
      <c r="H1322">
        <f>Master_ventas[[#This Row],[Profit]]/Master_ventas[[#This Row],[Sales]]</f>
        <v>9.2905982905982898E-2</v>
      </c>
      <c r="I1322">
        <f ca="1">Referencia_Hoy-Master_ventas[[#This Row],[Order Date]]</f>
        <v>1046</v>
      </c>
      <c r="J1322" t="str">
        <f>UPPER(Master_ventas[[#This Row],[Product Name]])</f>
        <v>HEADPHONES</v>
      </c>
      <c r="K1322" t="str">
        <f>UPPER(Master_ventas[[#This Row],[Category]])</f>
        <v>ACCESSORIES</v>
      </c>
      <c r="L1322">
        <f>YEAR(Master_ventas[[#This Row],[Order Date]])</f>
        <v>2023</v>
      </c>
      <c r="M1322" t="str">
        <f>CONCATENATE(LEFT(Master_ventas[[#This Row],[ProdUpper]],3),RIGHT(Master_ventas[[#This Row],[Ext-Year]],2),"-",MID(Master_ventas[[#This Row],[Category]],1,1))</f>
        <v>HEA23-A</v>
      </c>
      <c r="N1322" t="str">
        <f>MID(Master_ventas[[#This Row],[ProdUpper]],1,3)</f>
        <v>HEA</v>
      </c>
      <c r="O1322" t="str">
        <f>UPPER(IF(Master_ventas[[#This Row],[Profit]]&gt;500,"High","Std"))</f>
        <v>STD</v>
      </c>
      <c r="P1322">
        <v>1321</v>
      </c>
    </row>
    <row r="1323" spans="1:16" x14ac:dyDescent="0.3">
      <c r="A1323" s="1">
        <v>44875</v>
      </c>
      <c r="B1323" t="s">
        <v>19</v>
      </c>
      <c r="C1323" t="s">
        <v>14</v>
      </c>
      <c r="D1323" t="s">
        <v>16</v>
      </c>
      <c r="E1323">
        <v>2</v>
      </c>
      <c r="F1323" s="3">
        <v>1200</v>
      </c>
      <c r="G1323" s="2">
        <v>191.43</v>
      </c>
      <c r="H1323">
        <f>Master_ventas[[#This Row],[Profit]]/Master_ventas[[#This Row],[Sales]]</f>
        <v>0.159525</v>
      </c>
      <c r="I1323">
        <f ca="1">Referencia_Hoy-Master_ventas[[#This Row],[Order Date]]</f>
        <v>1448</v>
      </c>
      <c r="J1323" t="str">
        <f>UPPER(Master_ventas[[#This Row],[Product Name]])</f>
        <v>SMARTWATCH</v>
      </c>
      <c r="K1323" t="str">
        <f>UPPER(Master_ventas[[#This Row],[Category]])</f>
        <v>ELECTRONICS</v>
      </c>
      <c r="L1323">
        <f>YEAR(Master_ventas[[#This Row],[Order Date]])</f>
        <v>2022</v>
      </c>
      <c r="M1323" t="str">
        <f>CONCATENATE(LEFT(Master_ventas[[#This Row],[ProdUpper]],3),RIGHT(Master_ventas[[#This Row],[Ext-Year]],2),"-",MID(Master_ventas[[#This Row],[Category]],1,1))</f>
        <v>SMA22-E</v>
      </c>
      <c r="N1323" t="str">
        <f>MID(Master_ventas[[#This Row],[ProdUpper]],1,3)</f>
        <v>SMA</v>
      </c>
      <c r="O1323" t="str">
        <f>UPPER(IF(Master_ventas[[#This Row],[Profit]]&gt;500,"High","Std"))</f>
        <v>STD</v>
      </c>
      <c r="P1323">
        <v>1322</v>
      </c>
    </row>
    <row r="1324" spans="1:16" x14ac:dyDescent="0.3">
      <c r="A1324" s="1">
        <v>45261</v>
      </c>
      <c r="B1324" t="s">
        <v>13</v>
      </c>
      <c r="C1324" t="s">
        <v>14</v>
      </c>
      <c r="D1324" t="s">
        <v>15</v>
      </c>
      <c r="E1324">
        <v>9</v>
      </c>
      <c r="F1324" s="3">
        <v>1593</v>
      </c>
      <c r="G1324" s="2">
        <v>322.45999999999998</v>
      </c>
      <c r="H1324">
        <f>Master_ventas[[#This Row],[Profit]]/Master_ventas[[#This Row],[Sales]]</f>
        <v>0.20242310106716885</v>
      </c>
      <c r="I1324">
        <f ca="1">Referencia_Hoy-Master_ventas[[#This Row],[Order Date]]</f>
        <v>1062</v>
      </c>
      <c r="J1324" t="str">
        <f>UPPER(Master_ventas[[#This Row],[Product Name]])</f>
        <v>TABLET</v>
      </c>
      <c r="K1324" t="str">
        <f>UPPER(Master_ventas[[#This Row],[Category]])</f>
        <v>ELECTRONICS</v>
      </c>
      <c r="L1324">
        <f>YEAR(Master_ventas[[#This Row],[Order Date]])</f>
        <v>2023</v>
      </c>
      <c r="M1324" t="str">
        <f>CONCATENATE(LEFT(Master_ventas[[#This Row],[ProdUpper]],3),RIGHT(Master_ventas[[#This Row],[Ext-Year]],2),"-",MID(Master_ventas[[#This Row],[Category]],1,1))</f>
        <v>TAB23-E</v>
      </c>
      <c r="N1324" t="str">
        <f>MID(Master_ventas[[#This Row],[ProdUpper]],1,3)</f>
        <v>TAB</v>
      </c>
      <c r="O1324" t="str">
        <f>UPPER(IF(Master_ventas[[#This Row],[Profit]]&gt;500,"High","Std"))</f>
        <v>STD</v>
      </c>
      <c r="P1324">
        <v>1323</v>
      </c>
    </row>
    <row r="1325" spans="1:16" x14ac:dyDescent="0.3">
      <c r="A1325" s="1">
        <v>45641</v>
      </c>
      <c r="B1325" t="s">
        <v>20</v>
      </c>
      <c r="C1325" t="s">
        <v>11</v>
      </c>
      <c r="D1325" t="s">
        <v>12</v>
      </c>
      <c r="E1325">
        <v>3</v>
      </c>
      <c r="F1325" s="3">
        <v>2580</v>
      </c>
      <c r="G1325" s="2">
        <v>448.02</v>
      </c>
      <c r="H1325">
        <f>Master_ventas[[#This Row],[Profit]]/Master_ventas[[#This Row],[Sales]]</f>
        <v>0.17365116279069767</v>
      </c>
      <c r="I1325">
        <f ca="1">Referencia_Hoy-Master_ventas[[#This Row],[Order Date]]</f>
        <v>682</v>
      </c>
      <c r="J1325" t="str">
        <f>UPPER(Master_ventas[[#This Row],[Product Name]])</f>
        <v>MONITOR</v>
      </c>
      <c r="K1325" t="str">
        <f>UPPER(Master_ventas[[#This Row],[Category]])</f>
        <v>ACCESSORIES</v>
      </c>
      <c r="L1325">
        <f>YEAR(Master_ventas[[#This Row],[Order Date]])</f>
        <v>2024</v>
      </c>
      <c r="M1325" t="str">
        <f>CONCATENATE(LEFT(Master_ventas[[#This Row],[ProdUpper]],3),RIGHT(Master_ventas[[#This Row],[Ext-Year]],2),"-",MID(Master_ventas[[#This Row],[Category]],1,1))</f>
        <v>MON24-A</v>
      </c>
      <c r="N1325" t="str">
        <f>MID(Master_ventas[[#This Row],[ProdUpper]],1,3)</f>
        <v>MON</v>
      </c>
      <c r="O1325" t="str">
        <f>UPPER(IF(Master_ventas[[#This Row],[Profit]]&gt;500,"High","Std"))</f>
        <v>STD</v>
      </c>
      <c r="P1325">
        <v>1324</v>
      </c>
    </row>
    <row r="1326" spans="1:16" x14ac:dyDescent="0.3">
      <c r="A1326" s="1">
        <v>44632</v>
      </c>
      <c r="B1326" t="s">
        <v>22</v>
      </c>
      <c r="C1326" t="s">
        <v>11</v>
      </c>
      <c r="D1326" t="s">
        <v>12</v>
      </c>
      <c r="E1326">
        <v>6</v>
      </c>
      <c r="F1326" s="3">
        <v>6780</v>
      </c>
      <c r="G1326" s="2">
        <v>1794.97</v>
      </c>
      <c r="H1326">
        <f>Master_ventas[[#This Row],[Profit]]/Master_ventas[[#This Row],[Sales]]</f>
        <v>0.26474483775811208</v>
      </c>
      <c r="I1326">
        <f ca="1">Referencia_Hoy-Master_ventas[[#This Row],[Order Date]]</f>
        <v>1691</v>
      </c>
      <c r="J1326" t="str">
        <f>UPPER(Master_ventas[[#This Row],[Product Name]])</f>
        <v>KEYBOARD</v>
      </c>
      <c r="K1326" t="str">
        <f>UPPER(Master_ventas[[#This Row],[Category]])</f>
        <v>ACCESSORIES</v>
      </c>
      <c r="L1326">
        <f>YEAR(Master_ventas[[#This Row],[Order Date]])</f>
        <v>2022</v>
      </c>
      <c r="M1326" t="str">
        <f>CONCATENATE(LEFT(Master_ventas[[#This Row],[ProdUpper]],3),RIGHT(Master_ventas[[#This Row],[Ext-Year]],2),"-",MID(Master_ventas[[#This Row],[Category]],1,1))</f>
        <v>KEY22-A</v>
      </c>
      <c r="N1326" t="str">
        <f>MID(Master_ventas[[#This Row],[ProdUpper]],1,3)</f>
        <v>KEY</v>
      </c>
      <c r="O1326" t="str">
        <f>UPPER(IF(Master_ventas[[#This Row],[Profit]]&gt;500,"High","Std"))</f>
        <v>HIGH</v>
      </c>
      <c r="P1326">
        <v>1325</v>
      </c>
    </row>
    <row r="1327" spans="1:16" x14ac:dyDescent="0.3">
      <c r="A1327" s="1">
        <v>44645</v>
      </c>
      <c r="B1327" t="s">
        <v>21</v>
      </c>
      <c r="C1327" t="s">
        <v>14</v>
      </c>
      <c r="D1327" t="s">
        <v>15</v>
      </c>
      <c r="E1327">
        <v>2</v>
      </c>
      <c r="F1327" s="3">
        <v>1298</v>
      </c>
      <c r="G1327" s="2">
        <v>204.08</v>
      </c>
      <c r="H1327">
        <f>Master_ventas[[#This Row],[Profit]]/Master_ventas[[#This Row],[Sales]]</f>
        <v>0.15722650231124807</v>
      </c>
      <c r="I1327">
        <f ca="1">Referencia_Hoy-Master_ventas[[#This Row],[Order Date]]</f>
        <v>1678</v>
      </c>
      <c r="J1327" t="str">
        <f>UPPER(Master_ventas[[#This Row],[Product Name]])</f>
        <v>SMARTPHONE</v>
      </c>
      <c r="K1327" t="str">
        <f>UPPER(Master_ventas[[#This Row],[Category]])</f>
        <v>ELECTRONICS</v>
      </c>
      <c r="L1327">
        <f>YEAR(Master_ventas[[#This Row],[Order Date]])</f>
        <v>2022</v>
      </c>
      <c r="M1327" t="str">
        <f>CONCATENATE(LEFT(Master_ventas[[#This Row],[ProdUpper]],3),RIGHT(Master_ventas[[#This Row],[Ext-Year]],2),"-",MID(Master_ventas[[#This Row],[Category]],1,1))</f>
        <v>SMA22-E</v>
      </c>
      <c r="N1327" t="str">
        <f>MID(Master_ventas[[#This Row],[ProdUpper]],1,3)</f>
        <v>SMA</v>
      </c>
      <c r="O1327" t="str">
        <f>UPPER(IF(Master_ventas[[#This Row],[Profit]]&gt;500,"High","Std"))</f>
        <v>STD</v>
      </c>
      <c r="P1327">
        <v>1326</v>
      </c>
    </row>
    <row r="1328" spans="1:16" x14ac:dyDescent="0.3">
      <c r="A1328" s="1">
        <v>45650</v>
      </c>
      <c r="B1328" t="s">
        <v>19</v>
      </c>
      <c r="C1328" t="s">
        <v>14</v>
      </c>
      <c r="D1328" t="s">
        <v>15</v>
      </c>
      <c r="E1328">
        <v>7</v>
      </c>
      <c r="F1328" s="3">
        <v>4585</v>
      </c>
      <c r="G1328" s="2">
        <v>383.97</v>
      </c>
      <c r="H1328">
        <f>Master_ventas[[#This Row],[Profit]]/Master_ventas[[#This Row],[Sales]]</f>
        <v>8.3744820065430756E-2</v>
      </c>
      <c r="I1328">
        <f ca="1">Referencia_Hoy-Master_ventas[[#This Row],[Order Date]]</f>
        <v>673</v>
      </c>
      <c r="J1328" t="str">
        <f>UPPER(Master_ventas[[#This Row],[Product Name]])</f>
        <v>SMARTWATCH</v>
      </c>
      <c r="K1328" t="str">
        <f>UPPER(Master_ventas[[#This Row],[Category]])</f>
        <v>ELECTRONICS</v>
      </c>
      <c r="L1328">
        <f>YEAR(Master_ventas[[#This Row],[Order Date]])</f>
        <v>2024</v>
      </c>
      <c r="M1328" t="str">
        <f>CONCATENATE(LEFT(Master_ventas[[#This Row],[ProdUpper]],3),RIGHT(Master_ventas[[#This Row],[Ext-Year]],2),"-",MID(Master_ventas[[#This Row],[Category]],1,1))</f>
        <v>SMA24-E</v>
      </c>
      <c r="N1328" t="str">
        <f>MID(Master_ventas[[#This Row],[ProdUpper]],1,3)</f>
        <v>SMA</v>
      </c>
      <c r="O1328" t="str">
        <f>UPPER(IF(Master_ventas[[#This Row],[Profit]]&gt;500,"High","Std"))</f>
        <v>STD</v>
      </c>
      <c r="P1328">
        <v>1327</v>
      </c>
    </row>
    <row r="1329" spans="1:16" x14ac:dyDescent="0.3">
      <c r="A1329" s="1">
        <v>45032</v>
      </c>
      <c r="B1329" t="s">
        <v>13</v>
      </c>
      <c r="C1329" t="s">
        <v>14</v>
      </c>
      <c r="D1329" t="s">
        <v>9</v>
      </c>
      <c r="E1329">
        <v>1</v>
      </c>
      <c r="F1329" s="3">
        <v>516</v>
      </c>
      <c r="G1329" s="2">
        <v>70.53</v>
      </c>
      <c r="H1329">
        <f>Master_ventas[[#This Row],[Profit]]/Master_ventas[[#This Row],[Sales]]</f>
        <v>0.13668604651162791</v>
      </c>
      <c r="I1329">
        <f ca="1">Referencia_Hoy-Master_ventas[[#This Row],[Order Date]]</f>
        <v>1291</v>
      </c>
      <c r="J1329" t="str">
        <f>UPPER(Master_ventas[[#This Row],[Product Name]])</f>
        <v>TABLET</v>
      </c>
      <c r="K1329" t="str">
        <f>UPPER(Master_ventas[[#This Row],[Category]])</f>
        <v>ELECTRONICS</v>
      </c>
      <c r="L1329">
        <f>YEAR(Master_ventas[[#This Row],[Order Date]])</f>
        <v>2023</v>
      </c>
      <c r="M1329" t="str">
        <f>CONCATENATE(LEFT(Master_ventas[[#This Row],[ProdUpper]],3),RIGHT(Master_ventas[[#This Row],[Ext-Year]],2),"-",MID(Master_ventas[[#This Row],[Category]],1,1))</f>
        <v>TAB23-E</v>
      </c>
      <c r="N1329" t="str">
        <f>MID(Master_ventas[[#This Row],[ProdUpper]],1,3)</f>
        <v>TAB</v>
      </c>
      <c r="O1329" t="str">
        <f>UPPER(IF(Master_ventas[[#This Row],[Profit]]&gt;500,"High","Std"))</f>
        <v>STD</v>
      </c>
      <c r="P1329">
        <v>1328</v>
      </c>
    </row>
    <row r="1330" spans="1:16" x14ac:dyDescent="0.3">
      <c r="A1330" s="1">
        <v>45426</v>
      </c>
      <c r="B1330" t="s">
        <v>13</v>
      </c>
      <c r="C1330" t="s">
        <v>14</v>
      </c>
      <c r="D1330" t="s">
        <v>16</v>
      </c>
      <c r="E1330">
        <v>4</v>
      </c>
      <c r="F1330" s="3">
        <v>1780</v>
      </c>
      <c r="G1330" s="2">
        <v>420.28</v>
      </c>
      <c r="H1330">
        <f>Master_ventas[[#This Row],[Profit]]/Master_ventas[[#This Row],[Sales]]</f>
        <v>0.23611235955056178</v>
      </c>
      <c r="I1330">
        <f ca="1">Referencia_Hoy-Master_ventas[[#This Row],[Order Date]]</f>
        <v>897</v>
      </c>
      <c r="J1330" t="str">
        <f>UPPER(Master_ventas[[#This Row],[Product Name]])</f>
        <v>TABLET</v>
      </c>
      <c r="K1330" t="str">
        <f>UPPER(Master_ventas[[#This Row],[Category]])</f>
        <v>ELECTRONICS</v>
      </c>
      <c r="L1330">
        <f>YEAR(Master_ventas[[#This Row],[Order Date]])</f>
        <v>2024</v>
      </c>
      <c r="M1330" t="str">
        <f>CONCATENATE(LEFT(Master_ventas[[#This Row],[ProdUpper]],3),RIGHT(Master_ventas[[#This Row],[Ext-Year]],2),"-",MID(Master_ventas[[#This Row],[Category]],1,1))</f>
        <v>TAB24-E</v>
      </c>
      <c r="N1330" t="str">
        <f>MID(Master_ventas[[#This Row],[ProdUpper]],1,3)</f>
        <v>TAB</v>
      </c>
      <c r="O1330" t="str">
        <f>UPPER(IF(Master_ventas[[#This Row],[Profit]]&gt;500,"High","Std"))</f>
        <v>STD</v>
      </c>
      <c r="P1330">
        <v>1329</v>
      </c>
    </row>
    <row r="1331" spans="1:16" x14ac:dyDescent="0.3">
      <c r="A1331" s="1">
        <v>44872</v>
      </c>
      <c r="B1331" t="s">
        <v>22</v>
      </c>
      <c r="C1331" t="s">
        <v>11</v>
      </c>
      <c r="D1331" t="s">
        <v>9</v>
      </c>
      <c r="E1331">
        <v>5</v>
      </c>
      <c r="F1331" s="3">
        <v>365</v>
      </c>
      <c r="G1331" s="2">
        <v>94.05</v>
      </c>
      <c r="H1331">
        <f>Master_ventas[[#This Row],[Profit]]/Master_ventas[[#This Row],[Sales]]</f>
        <v>0.25767123287671234</v>
      </c>
      <c r="I1331">
        <f ca="1">Referencia_Hoy-Master_ventas[[#This Row],[Order Date]]</f>
        <v>1451</v>
      </c>
      <c r="J1331" t="str">
        <f>UPPER(Master_ventas[[#This Row],[Product Name]])</f>
        <v>KEYBOARD</v>
      </c>
      <c r="K1331" t="str">
        <f>UPPER(Master_ventas[[#This Row],[Category]])</f>
        <v>ACCESSORIES</v>
      </c>
      <c r="L1331">
        <f>YEAR(Master_ventas[[#This Row],[Order Date]])</f>
        <v>2022</v>
      </c>
      <c r="M1331" t="str">
        <f>CONCATENATE(LEFT(Master_ventas[[#This Row],[ProdUpper]],3),RIGHT(Master_ventas[[#This Row],[Ext-Year]],2),"-",MID(Master_ventas[[#This Row],[Category]],1,1))</f>
        <v>KEY22-A</v>
      </c>
      <c r="N1331" t="str">
        <f>MID(Master_ventas[[#This Row],[ProdUpper]],1,3)</f>
        <v>KEY</v>
      </c>
      <c r="O1331" t="str">
        <f>UPPER(IF(Master_ventas[[#This Row],[Profit]]&gt;500,"High","Std"))</f>
        <v>STD</v>
      </c>
      <c r="P1331">
        <v>1330</v>
      </c>
    </row>
    <row r="1332" spans="1:16" x14ac:dyDescent="0.3">
      <c r="A1332" s="1">
        <v>44983</v>
      </c>
      <c r="B1332" t="s">
        <v>13</v>
      </c>
      <c r="C1332" t="s">
        <v>14</v>
      </c>
      <c r="D1332" t="s">
        <v>15</v>
      </c>
      <c r="E1332">
        <v>8</v>
      </c>
      <c r="F1332" s="3">
        <v>3896</v>
      </c>
      <c r="G1332" s="2">
        <v>735.66</v>
      </c>
      <c r="H1332">
        <f>Master_ventas[[#This Row],[Profit]]/Master_ventas[[#This Row],[Sales]]</f>
        <v>0.18882443531827514</v>
      </c>
      <c r="I1332">
        <f ca="1">Referencia_Hoy-Master_ventas[[#This Row],[Order Date]]</f>
        <v>1340</v>
      </c>
      <c r="J1332" t="str">
        <f>UPPER(Master_ventas[[#This Row],[Product Name]])</f>
        <v>TABLET</v>
      </c>
      <c r="K1332" t="str">
        <f>UPPER(Master_ventas[[#This Row],[Category]])</f>
        <v>ELECTRONICS</v>
      </c>
      <c r="L1332">
        <f>YEAR(Master_ventas[[#This Row],[Order Date]])</f>
        <v>2023</v>
      </c>
      <c r="M1332" t="str">
        <f>CONCATENATE(LEFT(Master_ventas[[#This Row],[ProdUpper]],3),RIGHT(Master_ventas[[#This Row],[Ext-Year]],2),"-",MID(Master_ventas[[#This Row],[Category]],1,1))</f>
        <v>TAB23-E</v>
      </c>
      <c r="N1332" t="str">
        <f>MID(Master_ventas[[#This Row],[ProdUpper]],1,3)</f>
        <v>TAB</v>
      </c>
      <c r="O1332" t="str">
        <f>UPPER(IF(Master_ventas[[#This Row],[Profit]]&gt;500,"High","Std"))</f>
        <v>HIGH</v>
      </c>
      <c r="P1332">
        <v>1331</v>
      </c>
    </row>
    <row r="1333" spans="1:16" x14ac:dyDescent="0.3">
      <c r="A1333" s="1">
        <v>45410</v>
      </c>
      <c r="B1333" t="s">
        <v>23</v>
      </c>
      <c r="C1333" t="s">
        <v>14</v>
      </c>
      <c r="D1333" t="s">
        <v>15</v>
      </c>
      <c r="E1333">
        <v>1</v>
      </c>
      <c r="F1333" s="3">
        <v>636</v>
      </c>
      <c r="G1333" s="2">
        <v>169.24</v>
      </c>
      <c r="H1333">
        <f>Master_ventas[[#This Row],[Profit]]/Master_ventas[[#This Row],[Sales]]</f>
        <v>0.26610062893081765</v>
      </c>
      <c r="I1333">
        <f ca="1">Referencia_Hoy-Master_ventas[[#This Row],[Order Date]]</f>
        <v>913</v>
      </c>
      <c r="J1333" t="str">
        <f>UPPER(Master_ventas[[#This Row],[Product Name]])</f>
        <v>LAPTOP</v>
      </c>
      <c r="K1333" t="str">
        <f>UPPER(Master_ventas[[#This Row],[Category]])</f>
        <v>ELECTRONICS</v>
      </c>
      <c r="L1333">
        <f>YEAR(Master_ventas[[#This Row],[Order Date]])</f>
        <v>2024</v>
      </c>
      <c r="M1333" t="str">
        <f>CONCATENATE(LEFT(Master_ventas[[#This Row],[ProdUpper]],3),RIGHT(Master_ventas[[#This Row],[Ext-Year]],2),"-",MID(Master_ventas[[#This Row],[Category]],1,1))</f>
        <v>LAP24-E</v>
      </c>
      <c r="N1333" t="str">
        <f>MID(Master_ventas[[#This Row],[ProdUpper]],1,3)</f>
        <v>LAP</v>
      </c>
      <c r="O1333" t="str">
        <f>UPPER(IF(Master_ventas[[#This Row],[Profit]]&gt;500,"High","Std"))</f>
        <v>STD</v>
      </c>
      <c r="P1333">
        <v>1332</v>
      </c>
    </row>
    <row r="1334" spans="1:16" x14ac:dyDescent="0.3">
      <c r="A1334" s="1">
        <v>45500</v>
      </c>
      <c r="B1334" t="s">
        <v>20</v>
      </c>
      <c r="C1334" t="s">
        <v>11</v>
      </c>
      <c r="D1334" t="s">
        <v>12</v>
      </c>
      <c r="E1334">
        <v>7</v>
      </c>
      <c r="F1334" s="3">
        <v>637</v>
      </c>
      <c r="G1334" s="2">
        <v>87.86</v>
      </c>
      <c r="H1334">
        <f>Master_ventas[[#This Row],[Profit]]/Master_ventas[[#This Row],[Sales]]</f>
        <v>0.13792778649921508</v>
      </c>
      <c r="I1334">
        <f ca="1">Referencia_Hoy-Master_ventas[[#This Row],[Order Date]]</f>
        <v>823</v>
      </c>
      <c r="J1334" t="str">
        <f>UPPER(Master_ventas[[#This Row],[Product Name]])</f>
        <v>MONITOR</v>
      </c>
      <c r="K1334" t="str">
        <f>UPPER(Master_ventas[[#This Row],[Category]])</f>
        <v>ACCESSORIES</v>
      </c>
      <c r="L1334">
        <f>YEAR(Master_ventas[[#This Row],[Order Date]])</f>
        <v>2024</v>
      </c>
      <c r="M1334" t="str">
        <f>CONCATENATE(LEFT(Master_ventas[[#This Row],[ProdUpper]],3),RIGHT(Master_ventas[[#This Row],[Ext-Year]],2),"-",MID(Master_ventas[[#This Row],[Category]],1,1))</f>
        <v>MON24-A</v>
      </c>
      <c r="N1334" t="str">
        <f>MID(Master_ventas[[#This Row],[ProdUpper]],1,3)</f>
        <v>MON</v>
      </c>
      <c r="O1334" t="str">
        <f>UPPER(IF(Master_ventas[[#This Row],[Profit]]&gt;500,"High","Std"))</f>
        <v>STD</v>
      </c>
      <c r="P1334">
        <v>1333</v>
      </c>
    </row>
    <row r="1335" spans="1:16" x14ac:dyDescent="0.3">
      <c r="A1335" s="1">
        <v>45195</v>
      </c>
      <c r="B1335" t="s">
        <v>22</v>
      </c>
      <c r="C1335" t="s">
        <v>11</v>
      </c>
      <c r="D1335" t="s">
        <v>15</v>
      </c>
      <c r="E1335">
        <v>3</v>
      </c>
      <c r="F1335" s="3">
        <v>1302</v>
      </c>
      <c r="G1335" s="2">
        <v>180.82</v>
      </c>
      <c r="H1335">
        <f>Master_ventas[[#This Row],[Profit]]/Master_ventas[[#This Row],[Sales]]</f>
        <v>0.13887864823348695</v>
      </c>
      <c r="I1335">
        <f ca="1">Referencia_Hoy-Master_ventas[[#This Row],[Order Date]]</f>
        <v>1128</v>
      </c>
      <c r="J1335" t="str">
        <f>UPPER(Master_ventas[[#This Row],[Product Name]])</f>
        <v>KEYBOARD</v>
      </c>
      <c r="K1335" t="str">
        <f>UPPER(Master_ventas[[#This Row],[Category]])</f>
        <v>ACCESSORIES</v>
      </c>
      <c r="L1335">
        <f>YEAR(Master_ventas[[#This Row],[Order Date]])</f>
        <v>2023</v>
      </c>
      <c r="M1335" t="str">
        <f>CONCATENATE(LEFT(Master_ventas[[#This Row],[ProdUpper]],3),RIGHT(Master_ventas[[#This Row],[Ext-Year]],2),"-",MID(Master_ventas[[#This Row],[Category]],1,1))</f>
        <v>KEY23-A</v>
      </c>
      <c r="N1335" t="str">
        <f>MID(Master_ventas[[#This Row],[ProdUpper]],1,3)</f>
        <v>KEY</v>
      </c>
      <c r="O1335" t="str">
        <f>UPPER(IF(Master_ventas[[#This Row],[Profit]]&gt;500,"High","Std"))</f>
        <v>STD</v>
      </c>
      <c r="P1335">
        <v>1334</v>
      </c>
    </row>
    <row r="1336" spans="1:16" x14ac:dyDescent="0.3">
      <c r="A1336" s="1">
        <v>45528</v>
      </c>
      <c r="B1336" t="s">
        <v>21</v>
      </c>
      <c r="C1336" t="s">
        <v>14</v>
      </c>
      <c r="D1336" t="s">
        <v>16</v>
      </c>
      <c r="E1336">
        <v>1</v>
      </c>
      <c r="F1336" s="3">
        <v>719</v>
      </c>
      <c r="G1336" s="2">
        <v>40.42</v>
      </c>
      <c r="H1336">
        <f>Master_ventas[[#This Row],[Profit]]/Master_ventas[[#This Row],[Sales]]</f>
        <v>5.6216968011126564E-2</v>
      </c>
      <c r="I1336">
        <f ca="1">Referencia_Hoy-Master_ventas[[#This Row],[Order Date]]</f>
        <v>795</v>
      </c>
      <c r="J1336" t="str">
        <f>UPPER(Master_ventas[[#This Row],[Product Name]])</f>
        <v>SMARTPHONE</v>
      </c>
      <c r="K1336" t="str">
        <f>UPPER(Master_ventas[[#This Row],[Category]])</f>
        <v>ELECTRONICS</v>
      </c>
      <c r="L1336">
        <f>YEAR(Master_ventas[[#This Row],[Order Date]])</f>
        <v>2024</v>
      </c>
      <c r="M1336" t="str">
        <f>CONCATENATE(LEFT(Master_ventas[[#This Row],[ProdUpper]],3),RIGHT(Master_ventas[[#This Row],[Ext-Year]],2),"-",MID(Master_ventas[[#This Row],[Category]],1,1))</f>
        <v>SMA24-E</v>
      </c>
      <c r="N1336" t="str">
        <f>MID(Master_ventas[[#This Row],[ProdUpper]],1,3)</f>
        <v>SMA</v>
      </c>
      <c r="O1336" t="str">
        <f>UPPER(IF(Master_ventas[[#This Row],[Profit]]&gt;500,"High","Std"))</f>
        <v>STD</v>
      </c>
      <c r="P1336">
        <v>1335</v>
      </c>
    </row>
    <row r="1337" spans="1:16" x14ac:dyDescent="0.3">
      <c r="A1337" s="1">
        <v>45146</v>
      </c>
      <c r="B1337" t="s">
        <v>17</v>
      </c>
      <c r="C1337" t="s">
        <v>14</v>
      </c>
      <c r="D1337" t="s">
        <v>16</v>
      </c>
      <c r="E1337">
        <v>6</v>
      </c>
      <c r="F1337" s="3">
        <v>5106</v>
      </c>
      <c r="G1337" s="2">
        <v>1341.93</v>
      </c>
      <c r="H1337">
        <f>Master_ventas[[#This Row],[Profit]]/Master_ventas[[#This Row],[Sales]]</f>
        <v>0.26281433607520566</v>
      </c>
      <c r="I1337">
        <f ca="1">Referencia_Hoy-Master_ventas[[#This Row],[Order Date]]</f>
        <v>1177</v>
      </c>
      <c r="J1337" t="str">
        <f>UPPER(Master_ventas[[#This Row],[Product Name]])</f>
        <v>CAMERA</v>
      </c>
      <c r="K1337" t="str">
        <f>UPPER(Master_ventas[[#This Row],[Category]])</f>
        <v>ELECTRONICS</v>
      </c>
      <c r="L1337">
        <f>YEAR(Master_ventas[[#This Row],[Order Date]])</f>
        <v>2023</v>
      </c>
      <c r="M1337" t="str">
        <f>CONCATENATE(LEFT(Master_ventas[[#This Row],[ProdUpper]],3),RIGHT(Master_ventas[[#This Row],[Ext-Year]],2),"-",MID(Master_ventas[[#This Row],[Category]],1,1))</f>
        <v>CAM23-E</v>
      </c>
      <c r="N1337" t="str">
        <f>MID(Master_ventas[[#This Row],[ProdUpper]],1,3)</f>
        <v>CAM</v>
      </c>
      <c r="O1337" t="str">
        <f>UPPER(IF(Master_ventas[[#This Row],[Profit]]&gt;500,"High","Std"))</f>
        <v>HIGH</v>
      </c>
      <c r="P1337">
        <v>1336</v>
      </c>
    </row>
    <row r="1338" spans="1:16" x14ac:dyDescent="0.3">
      <c r="A1338" s="1">
        <v>45118</v>
      </c>
      <c r="B1338" t="s">
        <v>10</v>
      </c>
      <c r="C1338" t="s">
        <v>11</v>
      </c>
      <c r="D1338" t="s">
        <v>16</v>
      </c>
      <c r="E1338">
        <v>3</v>
      </c>
      <c r="F1338" s="3">
        <v>1215</v>
      </c>
      <c r="G1338" s="2">
        <v>129.80000000000001</v>
      </c>
      <c r="H1338">
        <f>Master_ventas[[#This Row],[Profit]]/Master_ventas[[#This Row],[Sales]]</f>
        <v>0.10683127572016461</v>
      </c>
      <c r="I1338">
        <f ca="1">Referencia_Hoy-Master_ventas[[#This Row],[Order Date]]</f>
        <v>1205</v>
      </c>
      <c r="J1338" t="str">
        <f>UPPER(Master_ventas[[#This Row],[Product Name]])</f>
        <v>MOUSE</v>
      </c>
      <c r="K1338" t="str">
        <f>UPPER(Master_ventas[[#This Row],[Category]])</f>
        <v>ACCESSORIES</v>
      </c>
      <c r="L1338">
        <f>YEAR(Master_ventas[[#This Row],[Order Date]])</f>
        <v>2023</v>
      </c>
      <c r="M1338" t="str">
        <f>CONCATENATE(LEFT(Master_ventas[[#This Row],[ProdUpper]],3),RIGHT(Master_ventas[[#This Row],[Ext-Year]],2),"-",MID(Master_ventas[[#This Row],[Category]],1,1))</f>
        <v>MOU23-A</v>
      </c>
      <c r="N1338" t="str">
        <f>MID(Master_ventas[[#This Row],[ProdUpper]],1,3)</f>
        <v>MOU</v>
      </c>
      <c r="O1338" t="str">
        <f>UPPER(IF(Master_ventas[[#This Row],[Profit]]&gt;500,"High","Std"))</f>
        <v>STD</v>
      </c>
      <c r="P1338">
        <v>1337</v>
      </c>
    </row>
    <row r="1339" spans="1:16" x14ac:dyDescent="0.3">
      <c r="A1339" s="1">
        <v>45435</v>
      </c>
      <c r="B1339" t="s">
        <v>17</v>
      </c>
      <c r="C1339" t="s">
        <v>14</v>
      </c>
      <c r="D1339" t="s">
        <v>12</v>
      </c>
      <c r="E1339">
        <v>9</v>
      </c>
      <c r="F1339" s="3">
        <v>1791</v>
      </c>
      <c r="G1339" s="2">
        <v>187.28</v>
      </c>
      <c r="H1339">
        <f>Master_ventas[[#This Row],[Profit]]/Master_ventas[[#This Row],[Sales]]</f>
        <v>0.10456728084868788</v>
      </c>
      <c r="I1339">
        <f ca="1">Referencia_Hoy-Master_ventas[[#This Row],[Order Date]]</f>
        <v>888</v>
      </c>
      <c r="J1339" t="str">
        <f>UPPER(Master_ventas[[#This Row],[Product Name]])</f>
        <v>CAMERA</v>
      </c>
      <c r="K1339" t="str">
        <f>UPPER(Master_ventas[[#This Row],[Category]])</f>
        <v>ELECTRONICS</v>
      </c>
      <c r="L1339">
        <f>YEAR(Master_ventas[[#This Row],[Order Date]])</f>
        <v>2024</v>
      </c>
      <c r="M1339" t="str">
        <f>CONCATENATE(LEFT(Master_ventas[[#This Row],[ProdUpper]],3),RIGHT(Master_ventas[[#This Row],[Ext-Year]],2),"-",MID(Master_ventas[[#This Row],[Category]],1,1))</f>
        <v>CAM24-E</v>
      </c>
      <c r="N1339" t="str">
        <f>MID(Master_ventas[[#This Row],[ProdUpper]],1,3)</f>
        <v>CAM</v>
      </c>
      <c r="O1339" t="str">
        <f>UPPER(IF(Master_ventas[[#This Row],[Profit]]&gt;500,"High","Std"))</f>
        <v>STD</v>
      </c>
      <c r="P1339">
        <v>1338</v>
      </c>
    </row>
    <row r="1340" spans="1:16" x14ac:dyDescent="0.3">
      <c r="A1340" s="1">
        <v>45199</v>
      </c>
      <c r="B1340" t="s">
        <v>7</v>
      </c>
      <c r="C1340" t="s">
        <v>8</v>
      </c>
      <c r="D1340" t="s">
        <v>12</v>
      </c>
      <c r="E1340">
        <v>9</v>
      </c>
      <c r="F1340" s="3">
        <v>6255</v>
      </c>
      <c r="G1340" s="2">
        <v>452.46</v>
      </c>
      <c r="H1340">
        <f>Master_ventas[[#This Row],[Profit]]/Master_ventas[[#This Row],[Sales]]</f>
        <v>7.2335731414868099E-2</v>
      </c>
      <c r="I1340">
        <f ca="1">Referencia_Hoy-Master_ventas[[#This Row],[Order Date]]</f>
        <v>1124</v>
      </c>
      <c r="J1340" t="str">
        <f>UPPER(Master_ventas[[#This Row],[Product Name]])</f>
        <v>PRINTER</v>
      </c>
      <c r="K1340" t="str">
        <f>UPPER(Master_ventas[[#This Row],[Category]])</f>
        <v>OFFICE</v>
      </c>
      <c r="L1340">
        <f>YEAR(Master_ventas[[#This Row],[Order Date]])</f>
        <v>2023</v>
      </c>
      <c r="M1340" t="str">
        <f>CONCATENATE(LEFT(Master_ventas[[#This Row],[ProdUpper]],3),RIGHT(Master_ventas[[#This Row],[Ext-Year]],2),"-",MID(Master_ventas[[#This Row],[Category]],1,1))</f>
        <v>PRI23-O</v>
      </c>
      <c r="N1340" t="str">
        <f>MID(Master_ventas[[#This Row],[ProdUpper]],1,3)</f>
        <v>PRI</v>
      </c>
      <c r="O1340" t="str">
        <f>UPPER(IF(Master_ventas[[#This Row],[Profit]]&gt;500,"High","Std"))</f>
        <v>STD</v>
      </c>
      <c r="P1340">
        <v>1339</v>
      </c>
    </row>
    <row r="1341" spans="1:16" x14ac:dyDescent="0.3">
      <c r="A1341" s="1">
        <v>45048</v>
      </c>
      <c r="B1341" t="s">
        <v>7</v>
      </c>
      <c r="C1341" t="s">
        <v>8</v>
      </c>
      <c r="D1341" t="s">
        <v>12</v>
      </c>
      <c r="E1341">
        <v>5</v>
      </c>
      <c r="F1341" s="3">
        <v>4165</v>
      </c>
      <c r="G1341" s="2">
        <v>1012.37</v>
      </c>
      <c r="H1341">
        <f>Master_ventas[[#This Row],[Profit]]/Master_ventas[[#This Row],[Sales]]</f>
        <v>0.24306602641056424</v>
      </c>
      <c r="I1341">
        <f ca="1">Referencia_Hoy-Master_ventas[[#This Row],[Order Date]]</f>
        <v>1275</v>
      </c>
      <c r="J1341" t="str">
        <f>UPPER(Master_ventas[[#This Row],[Product Name]])</f>
        <v>PRINTER</v>
      </c>
      <c r="K1341" t="str">
        <f>UPPER(Master_ventas[[#This Row],[Category]])</f>
        <v>OFFICE</v>
      </c>
      <c r="L1341">
        <f>YEAR(Master_ventas[[#This Row],[Order Date]])</f>
        <v>2023</v>
      </c>
      <c r="M1341" t="str">
        <f>CONCATENATE(LEFT(Master_ventas[[#This Row],[ProdUpper]],3),RIGHT(Master_ventas[[#This Row],[Ext-Year]],2),"-",MID(Master_ventas[[#This Row],[Category]],1,1))</f>
        <v>PRI23-O</v>
      </c>
      <c r="N1341" t="str">
        <f>MID(Master_ventas[[#This Row],[ProdUpper]],1,3)</f>
        <v>PRI</v>
      </c>
      <c r="O1341" t="str">
        <f>UPPER(IF(Master_ventas[[#This Row],[Profit]]&gt;500,"High","Std"))</f>
        <v>HIGH</v>
      </c>
      <c r="P1341">
        <v>1340</v>
      </c>
    </row>
    <row r="1342" spans="1:16" x14ac:dyDescent="0.3">
      <c r="A1342" s="1">
        <v>45291</v>
      </c>
      <c r="B1342" t="s">
        <v>20</v>
      </c>
      <c r="C1342" t="s">
        <v>11</v>
      </c>
      <c r="D1342" t="s">
        <v>15</v>
      </c>
      <c r="E1342">
        <v>5</v>
      </c>
      <c r="F1342" s="3">
        <v>5990</v>
      </c>
      <c r="G1342" s="2">
        <v>1192.1099999999999</v>
      </c>
      <c r="H1342">
        <f>Master_ventas[[#This Row],[Profit]]/Master_ventas[[#This Row],[Sales]]</f>
        <v>0.19901669449081802</v>
      </c>
      <c r="I1342">
        <f ca="1">Referencia_Hoy-Master_ventas[[#This Row],[Order Date]]</f>
        <v>1032</v>
      </c>
      <c r="J1342" t="str">
        <f>UPPER(Master_ventas[[#This Row],[Product Name]])</f>
        <v>MONITOR</v>
      </c>
      <c r="K1342" t="str">
        <f>UPPER(Master_ventas[[#This Row],[Category]])</f>
        <v>ACCESSORIES</v>
      </c>
      <c r="L1342">
        <f>YEAR(Master_ventas[[#This Row],[Order Date]])</f>
        <v>2023</v>
      </c>
      <c r="M1342" t="str">
        <f>CONCATENATE(LEFT(Master_ventas[[#This Row],[ProdUpper]],3),RIGHT(Master_ventas[[#This Row],[Ext-Year]],2),"-",MID(Master_ventas[[#This Row],[Category]],1,1))</f>
        <v>MON23-A</v>
      </c>
      <c r="N1342" t="str">
        <f>MID(Master_ventas[[#This Row],[ProdUpper]],1,3)</f>
        <v>MON</v>
      </c>
      <c r="O1342" t="str">
        <f>UPPER(IF(Master_ventas[[#This Row],[Profit]]&gt;500,"High","Std"))</f>
        <v>HIGH</v>
      </c>
      <c r="P1342">
        <v>1341</v>
      </c>
    </row>
    <row r="1343" spans="1:16" x14ac:dyDescent="0.3">
      <c r="A1343" s="1">
        <v>45261</v>
      </c>
      <c r="B1343" t="s">
        <v>13</v>
      </c>
      <c r="C1343" t="s">
        <v>14</v>
      </c>
      <c r="D1343" t="s">
        <v>15</v>
      </c>
      <c r="E1343">
        <v>1</v>
      </c>
      <c r="F1343" s="3">
        <v>847</v>
      </c>
      <c r="G1343" s="2">
        <v>142.74</v>
      </c>
      <c r="H1343">
        <f>Master_ventas[[#This Row],[Profit]]/Master_ventas[[#This Row],[Sales]]</f>
        <v>0.16852420306965762</v>
      </c>
      <c r="I1343">
        <f ca="1">Referencia_Hoy-Master_ventas[[#This Row],[Order Date]]</f>
        <v>1062</v>
      </c>
      <c r="J1343" t="str">
        <f>UPPER(Master_ventas[[#This Row],[Product Name]])</f>
        <v>TABLET</v>
      </c>
      <c r="K1343" t="str">
        <f>UPPER(Master_ventas[[#This Row],[Category]])</f>
        <v>ELECTRONICS</v>
      </c>
      <c r="L1343">
        <f>YEAR(Master_ventas[[#This Row],[Order Date]])</f>
        <v>2023</v>
      </c>
      <c r="M1343" t="str">
        <f>CONCATENATE(LEFT(Master_ventas[[#This Row],[ProdUpper]],3),RIGHT(Master_ventas[[#This Row],[Ext-Year]],2),"-",MID(Master_ventas[[#This Row],[Category]],1,1))</f>
        <v>TAB23-E</v>
      </c>
      <c r="N1343" t="str">
        <f>MID(Master_ventas[[#This Row],[ProdUpper]],1,3)</f>
        <v>TAB</v>
      </c>
      <c r="O1343" t="str">
        <f>UPPER(IF(Master_ventas[[#This Row],[Profit]]&gt;500,"High","Std"))</f>
        <v>STD</v>
      </c>
      <c r="P1343">
        <v>1342</v>
      </c>
    </row>
    <row r="1344" spans="1:16" x14ac:dyDescent="0.3">
      <c r="A1344" s="1">
        <v>45326</v>
      </c>
      <c r="B1344" t="s">
        <v>17</v>
      </c>
      <c r="C1344" t="s">
        <v>14</v>
      </c>
      <c r="D1344" t="s">
        <v>12</v>
      </c>
      <c r="E1344">
        <v>8</v>
      </c>
      <c r="F1344" s="3">
        <v>688</v>
      </c>
      <c r="G1344" s="2">
        <v>131.26</v>
      </c>
      <c r="H1344">
        <f>Master_ventas[[#This Row],[Profit]]/Master_ventas[[#This Row],[Sales]]</f>
        <v>0.19078488372093022</v>
      </c>
      <c r="I1344">
        <f ca="1">Referencia_Hoy-Master_ventas[[#This Row],[Order Date]]</f>
        <v>997</v>
      </c>
      <c r="J1344" t="str">
        <f>UPPER(Master_ventas[[#This Row],[Product Name]])</f>
        <v>CAMERA</v>
      </c>
      <c r="K1344" t="str">
        <f>UPPER(Master_ventas[[#This Row],[Category]])</f>
        <v>ELECTRONICS</v>
      </c>
      <c r="L1344">
        <f>YEAR(Master_ventas[[#This Row],[Order Date]])</f>
        <v>2024</v>
      </c>
      <c r="M1344" t="str">
        <f>CONCATENATE(LEFT(Master_ventas[[#This Row],[ProdUpper]],3),RIGHT(Master_ventas[[#This Row],[Ext-Year]],2),"-",MID(Master_ventas[[#This Row],[Category]],1,1))</f>
        <v>CAM24-E</v>
      </c>
      <c r="N1344" t="str">
        <f>MID(Master_ventas[[#This Row],[ProdUpper]],1,3)</f>
        <v>CAM</v>
      </c>
      <c r="O1344" t="str">
        <f>UPPER(IF(Master_ventas[[#This Row],[Profit]]&gt;500,"High","Std"))</f>
        <v>STD</v>
      </c>
      <c r="P1344">
        <v>1343</v>
      </c>
    </row>
    <row r="1345" spans="1:16" x14ac:dyDescent="0.3">
      <c r="A1345" s="1">
        <v>45101</v>
      </c>
      <c r="B1345" t="s">
        <v>13</v>
      </c>
      <c r="C1345" t="s">
        <v>14</v>
      </c>
      <c r="D1345" t="s">
        <v>12</v>
      </c>
      <c r="E1345">
        <v>2</v>
      </c>
      <c r="F1345" s="3">
        <v>1188</v>
      </c>
      <c r="G1345" s="2">
        <v>286.38</v>
      </c>
      <c r="H1345">
        <f>Master_ventas[[#This Row],[Profit]]/Master_ventas[[#This Row],[Sales]]</f>
        <v>0.24106060606060606</v>
      </c>
      <c r="I1345">
        <f ca="1">Referencia_Hoy-Master_ventas[[#This Row],[Order Date]]</f>
        <v>1222</v>
      </c>
      <c r="J1345" t="str">
        <f>UPPER(Master_ventas[[#This Row],[Product Name]])</f>
        <v>TABLET</v>
      </c>
      <c r="K1345" t="str">
        <f>UPPER(Master_ventas[[#This Row],[Category]])</f>
        <v>ELECTRONICS</v>
      </c>
      <c r="L1345">
        <f>YEAR(Master_ventas[[#This Row],[Order Date]])</f>
        <v>2023</v>
      </c>
      <c r="M1345" t="str">
        <f>CONCATENATE(LEFT(Master_ventas[[#This Row],[ProdUpper]],3),RIGHT(Master_ventas[[#This Row],[Ext-Year]],2),"-",MID(Master_ventas[[#This Row],[Category]],1,1))</f>
        <v>TAB23-E</v>
      </c>
      <c r="N1345" t="str">
        <f>MID(Master_ventas[[#This Row],[ProdUpper]],1,3)</f>
        <v>TAB</v>
      </c>
      <c r="O1345" t="str">
        <f>UPPER(IF(Master_ventas[[#This Row],[Profit]]&gt;500,"High","Std"))</f>
        <v>STD</v>
      </c>
      <c r="P1345">
        <v>1344</v>
      </c>
    </row>
    <row r="1346" spans="1:16" x14ac:dyDescent="0.3">
      <c r="A1346" s="1">
        <v>45158</v>
      </c>
      <c r="B1346" t="s">
        <v>17</v>
      </c>
      <c r="C1346" t="s">
        <v>14</v>
      </c>
      <c r="D1346" t="s">
        <v>9</v>
      </c>
      <c r="E1346">
        <v>7</v>
      </c>
      <c r="F1346" s="3">
        <v>3101</v>
      </c>
      <c r="G1346" s="2">
        <v>926.09</v>
      </c>
      <c r="H1346">
        <f>Master_ventas[[#This Row],[Profit]]/Master_ventas[[#This Row],[Sales]]</f>
        <v>0.29864237342792649</v>
      </c>
      <c r="I1346">
        <f ca="1">Referencia_Hoy-Master_ventas[[#This Row],[Order Date]]</f>
        <v>1165</v>
      </c>
      <c r="J1346" t="str">
        <f>UPPER(Master_ventas[[#This Row],[Product Name]])</f>
        <v>CAMERA</v>
      </c>
      <c r="K1346" t="str">
        <f>UPPER(Master_ventas[[#This Row],[Category]])</f>
        <v>ELECTRONICS</v>
      </c>
      <c r="L1346">
        <f>YEAR(Master_ventas[[#This Row],[Order Date]])</f>
        <v>2023</v>
      </c>
      <c r="M1346" t="str">
        <f>CONCATENATE(LEFT(Master_ventas[[#This Row],[ProdUpper]],3),RIGHT(Master_ventas[[#This Row],[Ext-Year]],2),"-",MID(Master_ventas[[#This Row],[Category]],1,1))</f>
        <v>CAM23-E</v>
      </c>
      <c r="N1346" t="str">
        <f>MID(Master_ventas[[#This Row],[ProdUpper]],1,3)</f>
        <v>CAM</v>
      </c>
      <c r="O1346" t="str">
        <f>UPPER(IF(Master_ventas[[#This Row],[Profit]]&gt;500,"High","Std"))</f>
        <v>HIGH</v>
      </c>
      <c r="P1346">
        <v>1345</v>
      </c>
    </row>
    <row r="1347" spans="1:16" x14ac:dyDescent="0.3">
      <c r="A1347" s="1">
        <v>45656</v>
      </c>
      <c r="B1347" t="s">
        <v>18</v>
      </c>
      <c r="C1347" t="s">
        <v>11</v>
      </c>
      <c r="D1347" t="s">
        <v>16</v>
      </c>
      <c r="E1347">
        <v>9</v>
      </c>
      <c r="F1347" s="3">
        <v>8703</v>
      </c>
      <c r="G1347" s="2">
        <v>1562.88</v>
      </c>
      <c r="H1347">
        <f>Master_ventas[[#This Row],[Profit]]/Master_ventas[[#This Row],[Sales]]</f>
        <v>0.17957945536022063</v>
      </c>
      <c r="I1347">
        <f ca="1">Referencia_Hoy-Master_ventas[[#This Row],[Order Date]]</f>
        <v>667</v>
      </c>
      <c r="J1347" t="str">
        <f>UPPER(Master_ventas[[#This Row],[Product Name]])</f>
        <v>HEADPHONES</v>
      </c>
      <c r="K1347" t="str">
        <f>UPPER(Master_ventas[[#This Row],[Category]])</f>
        <v>ACCESSORIES</v>
      </c>
      <c r="L1347">
        <f>YEAR(Master_ventas[[#This Row],[Order Date]])</f>
        <v>2024</v>
      </c>
      <c r="M1347" t="str">
        <f>CONCATENATE(LEFT(Master_ventas[[#This Row],[ProdUpper]],3),RIGHT(Master_ventas[[#This Row],[Ext-Year]],2),"-",MID(Master_ventas[[#This Row],[Category]],1,1))</f>
        <v>HEA24-A</v>
      </c>
      <c r="N1347" t="str">
        <f>MID(Master_ventas[[#This Row],[ProdUpper]],1,3)</f>
        <v>HEA</v>
      </c>
      <c r="O1347" t="str">
        <f>UPPER(IF(Master_ventas[[#This Row],[Profit]]&gt;500,"High","Std"))</f>
        <v>HIGH</v>
      </c>
      <c r="P1347">
        <v>1346</v>
      </c>
    </row>
    <row r="1348" spans="1:16" x14ac:dyDescent="0.3">
      <c r="A1348" s="1">
        <v>45594</v>
      </c>
      <c r="B1348" t="s">
        <v>7</v>
      </c>
      <c r="C1348" t="s">
        <v>8</v>
      </c>
      <c r="D1348" t="s">
        <v>16</v>
      </c>
      <c r="E1348">
        <v>9</v>
      </c>
      <c r="F1348" s="3">
        <v>9324</v>
      </c>
      <c r="G1348" s="2">
        <v>2416.9299999999998</v>
      </c>
      <c r="H1348">
        <f>Master_ventas[[#This Row],[Profit]]/Master_ventas[[#This Row],[Sales]]</f>
        <v>0.25921600171600168</v>
      </c>
      <c r="I1348">
        <f ca="1">Referencia_Hoy-Master_ventas[[#This Row],[Order Date]]</f>
        <v>729</v>
      </c>
      <c r="J1348" t="str">
        <f>UPPER(Master_ventas[[#This Row],[Product Name]])</f>
        <v>PRINTER</v>
      </c>
      <c r="K1348" t="str">
        <f>UPPER(Master_ventas[[#This Row],[Category]])</f>
        <v>OFFICE</v>
      </c>
      <c r="L1348">
        <f>YEAR(Master_ventas[[#This Row],[Order Date]])</f>
        <v>2024</v>
      </c>
      <c r="M1348" t="str">
        <f>CONCATENATE(LEFT(Master_ventas[[#This Row],[ProdUpper]],3),RIGHT(Master_ventas[[#This Row],[Ext-Year]],2),"-",MID(Master_ventas[[#This Row],[Category]],1,1))</f>
        <v>PRI24-O</v>
      </c>
      <c r="N1348" t="str">
        <f>MID(Master_ventas[[#This Row],[ProdUpper]],1,3)</f>
        <v>PRI</v>
      </c>
      <c r="O1348" t="str">
        <f>UPPER(IF(Master_ventas[[#This Row],[Profit]]&gt;500,"High","Std"))</f>
        <v>HIGH</v>
      </c>
      <c r="P1348">
        <v>1347</v>
      </c>
    </row>
    <row r="1349" spans="1:16" x14ac:dyDescent="0.3">
      <c r="A1349" s="1">
        <v>45555</v>
      </c>
      <c r="B1349" t="s">
        <v>23</v>
      </c>
      <c r="C1349" t="s">
        <v>14</v>
      </c>
      <c r="D1349" t="s">
        <v>9</v>
      </c>
      <c r="E1349">
        <v>1</v>
      </c>
      <c r="F1349" s="3">
        <v>749</v>
      </c>
      <c r="G1349" s="2">
        <v>68.17</v>
      </c>
      <c r="H1349">
        <f>Master_ventas[[#This Row],[Profit]]/Master_ventas[[#This Row],[Sales]]</f>
        <v>9.1014686248331117E-2</v>
      </c>
      <c r="I1349">
        <f ca="1">Referencia_Hoy-Master_ventas[[#This Row],[Order Date]]</f>
        <v>768</v>
      </c>
      <c r="J1349" t="str">
        <f>UPPER(Master_ventas[[#This Row],[Product Name]])</f>
        <v>LAPTOP</v>
      </c>
      <c r="K1349" t="str">
        <f>UPPER(Master_ventas[[#This Row],[Category]])</f>
        <v>ELECTRONICS</v>
      </c>
      <c r="L1349">
        <f>YEAR(Master_ventas[[#This Row],[Order Date]])</f>
        <v>2024</v>
      </c>
      <c r="M1349" t="str">
        <f>CONCATENATE(LEFT(Master_ventas[[#This Row],[ProdUpper]],3),RIGHT(Master_ventas[[#This Row],[Ext-Year]],2),"-",MID(Master_ventas[[#This Row],[Category]],1,1))</f>
        <v>LAP24-E</v>
      </c>
      <c r="N1349" t="str">
        <f>MID(Master_ventas[[#This Row],[ProdUpper]],1,3)</f>
        <v>LAP</v>
      </c>
      <c r="O1349" t="str">
        <f>UPPER(IF(Master_ventas[[#This Row],[Profit]]&gt;500,"High","Std"))</f>
        <v>STD</v>
      </c>
      <c r="P1349">
        <v>1348</v>
      </c>
    </row>
    <row r="1350" spans="1:16" x14ac:dyDescent="0.3">
      <c r="A1350" s="1">
        <v>45613</v>
      </c>
      <c r="B1350" t="s">
        <v>19</v>
      </c>
      <c r="C1350" t="s">
        <v>14</v>
      </c>
      <c r="D1350" t="s">
        <v>16</v>
      </c>
      <c r="E1350">
        <v>4</v>
      </c>
      <c r="F1350" s="3">
        <v>3224</v>
      </c>
      <c r="G1350" s="2">
        <v>871.53</v>
      </c>
      <c r="H1350">
        <f>Master_ventas[[#This Row],[Profit]]/Master_ventas[[#This Row],[Sales]]</f>
        <v>0.270325682382134</v>
      </c>
      <c r="I1350">
        <f ca="1">Referencia_Hoy-Master_ventas[[#This Row],[Order Date]]</f>
        <v>710</v>
      </c>
      <c r="J1350" t="str">
        <f>UPPER(Master_ventas[[#This Row],[Product Name]])</f>
        <v>SMARTWATCH</v>
      </c>
      <c r="K1350" t="str">
        <f>UPPER(Master_ventas[[#This Row],[Category]])</f>
        <v>ELECTRONICS</v>
      </c>
      <c r="L1350">
        <f>YEAR(Master_ventas[[#This Row],[Order Date]])</f>
        <v>2024</v>
      </c>
      <c r="M1350" t="str">
        <f>CONCATENATE(LEFT(Master_ventas[[#This Row],[ProdUpper]],3),RIGHT(Master_ventas[[#This Row],[Ext-Year]],2),"-",MID(Master_ventas[[#This Row],[Category]],1,1))</f>
        <v>SMA24-E</v>
      </c>
      <c r="N1350" t="str">
        <f>MID(Master_ventas[[#This Row],[ProdUpper]],1,3)</f>
        <v>SMA</v>
      </c>
      <c r="O1350" t="str">
        <f>UPPER(IF(Master_ventas[[#This Row],[Profit]]&gt;500,"High","Std"))</f>
        <v>HIGH</v>
      </c>
      <c r="P1350">
        <v>1349</v>
      </c>
    </row>
    <row r="1351" spans="1:16" x14ac:dyDescent="0.3">
      <c r="A1351" s="1">
        <v>45200</v>
      </c>
      <c r="B1351" t="s">
        <v>20</v>
      </c>
      <c r="C1351" t="s">
        <v>11</v>
      </c>
      <c r="D1351" t="s">
        <v>15</v>
      </c>
      <c r="E1351">
        <v>3</v>
      </c>
      <c r="F1351" s="3">
        <v>459</v>
      </c>
      <c r="G1351" s="2">
        <v>40.96</v>
      </c>
      <c r="H1351">
        <f>Master_ventas[[#This Row],[Profit]]/Master_ventas[[#This Row],[Sales]]</f>
        <v>8.923747276688454E-2</v>
      </c>
      <c r="I1351">
        <f ca="1">Referencia_Hoy-Master_ventas[[#This Row],[Order Date]]</f>
        <v>1123</v>
      </c>
      <c r="J1351" t="str">
        <f>UPPER(Master_ventas[[#This Row],[Product Name]])</f>
        <v>MONITOR</v>
      </c>
      <c r="K1351" t="str">
        <f>UPPER(Master_ventas[[#This Row],[Category]])</f>
        <v>ACCESSORIES</v>
      </c>
      <c r="L1351">
        <f>YEAR(Master_ventas[[#This Row],[Order Date]])</f>
        <v>2023</v>
      </c>
      <c r="M1351" t="str">
        <f>CONCATENATE(LEFT(Master_ventas[[#This Row],[ProdUpper]],3),RIGHT(Master_ventas[[#This Row],[Ext-Year]],2),"-",MID(Master_ventas[[#This Row],[Category]],1,1))</f>
        <v>MON23-A</v>
      </c>
      <c r="N1351" t="str">
        <f>MID(Master_ventas[[#This Row],[ProdUpper]],1,3)</f>
        <v>MON</v>
      </c>
      <c r="O1351" t="str">
        <f>UPPER(IF(Master_ventas[[#This Row],[Profit]]&gt;500,"High","Std"))</f>
        <v>STD</v>
      </c>
      <c r="P1351">
        <v>1350</v>
      </c>
    </row>
    <row r="1352" spans="1:16" x14ac:dyDescent="0.3">
      <c r="A1352" s="1">
        <v>45650</v>
      </c>
      <c r="B1352" t="s">
        <v>19</v>
      </c>
      <c r="C1352" t="s">
        <v>14</v>
      </c>
      <c r="D1352" t="s">
        <v>12</v>
      </c>
      <c r="E1352">
        <v>7</v>
      </c>
      <c r="F1352" s="3">
        <v>5726</v>
      </c>
      <c r="G1352" s="2">
        <v>976.14</v>
      </c>
      <c r="H1352">
        <f>Master_ventas[[#This Row],[Profit]]/Master_ventas[[#This Row],[Sales]]</f>
        <v>0.17047502619629759</v>
      </c>
      <c r="I1352">
        <f ca="1">Referencia_Hoy-Master_ventas[[#This Row],[Order Date]]</f>
        <v>673</v>
      </c>
      <c r="J1352" t="str">
        <f>UPPER(Master_ventas[[#This Row],[Product Name]])</f>
        <v>SMARTWATCH</v>
      </c>
      <c r="K1352" t="str">
        <f>UPPER(Master_ventas[[#This Row],[Category]])</f>
        <v>ELECTRONICS</v>
      </c>
      <c r="L1352">
        <f>YEAR(Master_ventas[[#This Row],[Order Date]])</f>
        <v>2024</v>
      </c>
      <c r="M1352" t="str">
        <f>CONCATENATE(LEFT(Master_ventas[[#This Row],[ProdUpper]],3),RIGHT(Master_ventas[[#This Row],[Ext-Year]],2),"-",MID(Master_ventas[[#This Row],[Category]],1,1))</f>
        <v>SMA24-E</v>
      </c>
      <c r="N1352" t="str">
        <f>MID(Master_ventas[[#This Row],[ProdUpper]],1,3)</f>
        <v>SMA</v>
      </c>
      <c r="O1352" t="str">
        <f>UPPER(IF(Master_ventas[[#This Row],[Profit]]&gt;500,"High","Std"))</f>
        <v>HIGH</v>
      </c>
      <c r="P1352">
        <v>1351</v>
      </c>
    </row>
    <row r="1353" spans="1:16" x14ac:dyDescent="0.3">
      <c r="A1353" s="1">
        <v>44671</v>
      </c>
      <c r="B1353" t="s">
        <v>22</v>
      </c>
      <c r="C1353" t="s">
        <v>11</v>
      </c>
      <c r="D1353" t="s">
        <v>16</v>
      </c>
      <c r="E1353">
        <v>4</v>
      </c>
      <c r="F1353" s="3">
        <v>616</v>
      </c>
      <c r="G1353" s="2">
        <v>175.75</v>
      </c>
      <c r="H1353">
        <f>Master_ventas[[#This Row],[Profit]]/Master_ventas[[#This Row],[Sales]]</f>
        <v>0.28530844155844154</v>
      </c>
      <c r="I1353">
        <f ca="1">Referencia_Hoy-Master_ventas[[#This Row],[Order Date]]</f>
        <v>1652</v>
      </c>
      <c r="J1353" t="str">
        <f>UPPER(Master_ventas[[#This Row],[Product Name]])</f>
        <v>KEYBOARD</v>
      </c>
      <c r="K1353" t="str">
        <f>UPPER(Master_ventas[[#This Row],[Category]])</f>
        <v>ACCESSORIES</v>
      </c>
      <c r="L1353">
        <f>YEAR(Master_ventas[[#This Row],[Order Date]])</f>
        <v>2022</v>
      </c>
      <c r="M1353" t="str">
        <f>CONCATENATE(LEFT(Master_ventas[[#This Row],[ProdUpper]],3),RIGHT(Master_ventas[[#This Row],[Ext-Year]],2),"-",MID(Master_ventas[[#This Row],[Category]],1,1))</f>
        <v>KEY22-A</v>
      </c>
      <c r="N1353" t="str">
        <f>MID(Master_ventas[[#This Row],[ProdUpper]],1,3)</f>
        <v>KEY</v>
      </c>
      <c r="O1353" t="str">
        <f>UPPER(IF(Master_ventas[[#This Row],[Profit]]&gt;500,"High","Std"))</f>
        <v>STD</v>
      </c>
      <c r="P1353">
        <v>1352</v>
      </c>
    </row>
    <row r="1354" spans="1:16" x14ac:dyDescent="0.3">
      <c r="A1354" s="1">
        <v>45650</v>
      </c>
      <c r="B1354" t="s">
        <v>23</v>
      </c>
      <c r="C1354" t="s">
        <v>14</v>
      </c>
      <c r="D1354" t="s">
        <v>9</v>
      </c>
      <c r="E1354">
        <v>2</v>
      </c>
      <c r="F1354" s="3">
        <v>1584</v>
      </c>
      <c r="G1354" s="2">
        <v>406.25</v>
      </c>
      <c r="H1354">
        <f>Master_ventas[[#This Row],[Profit]]/Master_ventas[[#This Row],[Sales]]</f>
        <v>0.25647095959595961</v>
      </c>
      <c r="I1354">
        <f ca="1">Referencia_Hoy-Master_ventas[[#This Row],[Order Date]]</f>
        <v>673</v>
      </c>
      <c r="J1354" t="str">
        <f>UPPER(Master_ventas[[#This Row],[Product Name]])</f>
        <v>LAPTOP</v>
      </c>
      <c r="K1354" t="str">
        <f>UPPER(Master_ventas[[#This Row],[Category]])</f>
        <v>ELECTRONICS</v>
      </c>
      <c r="L1354">
        <f>YEAR(Master_ventas[[#This Row],[Order Date]])</f>
        <v>2024</v>
      </c>
      <c r="M1354" t="str">
        <f>CONCATENATE(LEFT(Master_ventas[[#This Row],[ProdUpper]],3),RIGHT(Master_ventas[[#This Row],[Ext-Year]],2),"-",MID(Master_ventas[[#This Row],[Category]],1,1))</f>
        <v>LAP24-E</v>
      </c>
      <c r="N1354" t="str">
        <f>MID(Master_ventas[[#This Row],[ProdUpper]],1,3)</f>
        <v>LAP</v>
      </c>
      <c r="O1354" t="str">
        <f>UPPER(IF(Master_ventas[[#This Row],[Profit]]&gt;500,"High","Std"))</f>
        <v>STD</v>
      </c>
      <c r="P1354">
        <v>1353</v>
      </c>
    </row>
    <row r="1355" spans="1:16" x14ac:dyDescent="0.3">
      <c r="A1355" s="1">
        <v>45101</v>
      </c>
      <c r="B1355" t="s">
        <v>23</v>
      </c>
      <c r="C1355" t="s">
        <v>14</v>
      </c>
      <c r="D1355" t="s">
        <v>12</v>
      </c>
      <c r="E1355">
        <v>5</v>
      </c>
      <c r="F1355" s="3">
        <v>3205</v>
      </c>
      <c r="G1355" s="2">
        <v>368.41</v>
      </c>
      <c r="H1355">
        <f>Master_ventas[[#This Row],[Profit]]/Master_ventas[[#This Row],[Sales]]</f>
        <v>0.11494851794071764</v>
      </c>
      <c r="I1355">
        <f ca="1">Referencia_Hoy-Master_ventas[[#This Row],[Order Date]]</f>
        <v>1222</v>
      </c>
      <c r="J1355" t="str">
        <f>UPPER(Master_ventas[[#This Row],[Product Name]])</f>
        <v>LAPTOP</v>
      </c>
      <c r="K1355" t="str">
        <f>UPPER(Master_ventas[[#This Row],[Category]])</f>
        <v>ELECTRONICS</v>
      </c>
      <c r="L1355">
        <f>YEAR(Master_ventas[[#This Row],[Order Date]])</f>
        <v>2023</v>
      </c>
      <c r="M1355" t="str">
        <f>CONCATENATE(LEFT(Master_ventas[[#This Row],[ProdUpper]],3),RIGHT(Master_ventas[[#This Row],[Ext-Year]],2),"-",MID(Master_ventas[[#This Row],[Category]],1,1))</f>
        <v>LAP23-E</v>
      </c>
      <c r="N1355" t="str">
        <f>MID(Master_ventas[[#This Row],[ProdUpper]],1,3)</f>
        <v>LAP</v>
      </c>
      <c r="O1355" t="str">
        <f>UPPER(IF(Master_ventas[[#This Row],[Profit]]&gt;500,"High","Std"))</f>
        <v>STD</v>
      </c>
      <c r="P1355">
        <v>1354</v>
      </c>
    </row>
    <row r="1356" spans="1:16" x14ac:dyDescent="0.3">
      <c r="A1356" s="1">
        <v>45553</v>
      </c>
      <c r="B1356" t="s">
        <v>7</v>
      </c>
      <c r="C1356" t="s">
        <v>8</v>
      </c>
      <c r="D1356" t="s">
        <v>12</v>
      </c>
      <c r="E1356">
        <v>1</v>
      </c>
      <c r="F1356" s="3">
        <v>958</v>
      </c>
      <c r="G1356" s="2">
        <v>186.76</v>
      </c>
      <c r="H1356">
        <f>Master_ventas[[#This Row],[Profit]]/Master_ventas[[#This Row],[Sales]]</f>
        <v>0.19494780793319413</v>
      </c>
      <c r="I1356">
        <f ca="1">Referencia_Hoy-Master_ventas[[#This Row],[Order Date]]</f>
        <v>770</v>
      </c>
      <c r="J1356" t="str">
        <f>UPPER(Master_ventas[[#This Row],[Product Name]])</f>
        <v>PRINTER</v>
      </c>
      <c r="K1356" t="str">
        <f>UPPER(Master_ventas[[#This Row],[Category]])</f>
        <v>OFFICE</v>
      </c>
      <c r="L1356">
        <f>YEAR(Master_ventas[[#This Row],[Order Date]])</f>
        <v>2024</v>
      </c>
      <c r="M1356" t="str">
        <f>CONCATENATE(LEFT(Master_ventas[[#This Row],[ProdUpper]],3),RIGHT(Master_ventas[[#This Row],[Ext-Year]],2),"-",MID(Master_ventas[[#This Row],[Category]],1,1))</f>
        <v>PRI24-O</v>
      </c>
      <c r="N1356" t="str">
        <f>MID(Master_ventas[[#This Row],[ProdUpper]],1,3)</f>
        <v>PRI</v>
      </c>
      <c r="O1356" t="str">
        <f>UPPER(IF(Master_ventas[[#This Row],[Profit]]&gt;500,"High","Std"))</f>
        <v>STD</v>
      </c>
      <c r="P1356">
        <v>1355</v>
      </c>
    </row>
    <row r="1357" spans="1:16" x14ac:dyDescent="0.3">
      <c r="A1357" s="1">
        <v>45278</v>
      </c>
      <c r="B1357" t="s">
        <v>23</v>
      </c>
      <c r="C1357" t="s">
        <v>14</v>
      </c>
      <c r="D1357" t="s">
        <v>12</v>
      </c>
      <c r="E1357">
        <v>9</v>
      </c>
      <c r="F1357" s="3">
        <v>5139</v>
      </c>
      <c r="G1357" s="2">
        <v>1315.93</v>
      </c>
      <c r="H1357">
        <f>Master_ventas[[#This Row],[Profit]]/Master_ventas[[#This Row],[Sales]]</f>
        <v>0.25606732827398326</v>
      </c>
      <c r="I1357">
        <f ca="1">Referencia_Hoy-Master_ventas[[#This Row],[Order Date]]</f>
        <v>1045</v>
      </c>
      <c r="J1357" t="str">
        <f>UPPER(Master_ventas[[#This Row],[Product Name]])</f>
        <v>LAPTOP</v>
      </c>
      <c r="K1357" t="str">
        <f>UPPER(Master_ventas[[#This Row],[Category]])</f>
        <v>ELECTRONICS</v>
      </c>
      <c r="L1357">
        <f>YEAR(Master_ventas[[#This Row],[Order Date]])</f>
        <v>2023</v>
      </c>
      <c r="M1357" t="str">
        <f>CONCATENATE(LEFT(Master_ventas[[#This Row],[ProdUpper]],3),RIGHT(Master_ventas[[#This Row],[Ext-Year]],2),"-",MID(Master_ventas[[#This Row],[Category]],1,1))</f>
        <v>LAP23-E</v>
      </c>
      <c r="N1357" t="str">
        <f>MID(Master_ventas[[#This Row],[ProdUpper]],1,3)</f>
        <v>LAP</v>
      </c>
      <c r="O1357" t="str">
        <f>UPPER(IF(Master_ventas[[#This Row],[Profit]]&gt;500,"High","Std"))</f>
        <v>HIGH</v>
      </c>
      <c r="P1357">
        <v>1356</v>
      </c>
    </row>
    <row r="1358" spans="1:16" x14ac:dyDescent="0.3">
      <c r="A1358" s="1">
        <v>45605</v>
      </c>
      <c r="B1358" t="s">
        <v>21</v>
      </c>
      <c r="C1358" t="s">
        <v>14</v>
      </c>
      <c r="D1358" t="s">
        <v>16</v>
      </c>
      <c r="E1358">
        <v>5</v>
      </c>
      <c r="F1358" s="3">
        <v>3795</v>
      </c>
      <c r="G1358" s="2">
        <v>239.15</v>
      </c>
      <c r="H1358">
        <f>Master_ventas[[#This Row],[Profit]]/Master_ventas[[#This Row],[Sales]]</f>
        <v>6.3017127799736491E-2</v>
      </c>
      <c r="I1358">
        <f ca="1">Referencia_Hoy-Master_ventas[[#This Row],[Order Date]]</f>
        <v>718</v>
      </c>
      <c r="J1358" t="str">
        <f>UPPER(Master_ventas[[#This Row],[Product Name]])</f>
        <v>SMARTPHONE</v>
      </c>
      <c r="K1358" t="str">
        <f>UPPER(Master_ventas[[#This Row],[Category]])</f>
        <v>ELECTRONICS</v>
      </c>
      <c r="L1358">
        <f>YEAR(Master_ventas[[#This Row],[Order Date]])</f>
        <v>2024</v>
      </c>
      <c r="M1358" t="str">
        <f>CONCATENATE(LEFT(Master_ventas[[#This Row],[ProdUpper]],3),RIGHT(Master_ventas[[#This Row],[Ext-Year]],2),"-",MID(Master_ventas[[#This Row],[Category]],1,1))</f>
        <v>SMA24-E</v>
      </c>
      <c r="N1358" t="str">
        <f>MID(Master_ventas[[#This Row],[ProdUpper]],1,3)</f>
        <v>SMA</v>
      </c>
      <c r="O1358" t="str">
        <f>UPPER(IF(Master_ventas[[#This Row],[Profit]]&gt;500,"High","Std"))</f>
        <v>STD</v>
      </c>
      <c r="P1358">
        <v>1357</v>
      </c>
    </row>
    <row r="1359" spans="1:16" x14ac:dyDescent="0.3">
      <c r="A1359" s="1">
        <v>45354</v>
      </c>
      <c r="B1359" t="s">
        <v>17</v>
      </c>
      <c r="C1359" t="s">
        <v>14</v>
      </c>
      <c r="D1359" t="s">
        <v>12</v>
      </c>
      <c r="E1359">
        <v>2</v>
      </c>
      <c r="F1359" s="3">
        <v>810</v>
      </c>
      <c r="G1359" s="2">
        <v>229.33</v>
      </c>
      <c r="H1359">
        <f>Master_ventas[[#This Row],[Profit]]/Master_ventas[[#This Row],[Sales]]</f>
        <v>0.28312345679012346</v>
      </c>
      <c r="I1359">
        <f ca="1">Referencia_Hoy-Master_ventas[[#This Row],[Order Date]]</f>
        <v>969</v>
      </c>
      <c r="J1359" t="str">
        <f>UPPER(Master_ventas[[#This Row],[Product Name]])</f>
        <v>CAMERA</v>
      </c>
      <c r="K1359" t="str">
        <f>UPPER(Master_ventas[[#This Row],[Category]])</f>
        <v>ELECTRONICS</v>
      </c>
      <c r="L1359">
        <f>YEAR(Master_ventas[[#This Row],[Order Date]])</f>
        <v>2024</v>
      </c>
      <c r="M1359" t="str">
        <f>CONCATENATE(LEFT(Master_ventas[[#This Row],[ProdUpper]],3),RIGHT(Master_ventas[[#This Row],[Ext-Year]],2),"-",MID(Master_ventas[[#This Row],[Category]],1,1))</f>
        <v>CAM24-E</v>
      </c>
      <c r="N1359" t="str">
        <f>MID(Master_ventas[[#This Row],[ProdUpper]],1,3)</f>
        <v>CAM</v>
      </c>
      <c r="O1359" t="str">
        <f>UPPER(IF(Master_ventas[[#This Row],[Profit]]&gt;500,"High","Std"))</f>
        <v>STD</v>
      </c>
      <c r="P1359">
        <v>1358</v>
      </c>
    </row>
    <row r="1360" spans="1:16" x14ac:dyDescent="0.3">
      <c r="A1360" s="1">
        <v>45423</v>
      </c>
      <c r="B1360" t="s">
        <v>17</v>
      </c>
      <c r="C1360" t="s">
        <v>14</v>
      </c>
      <c r="D1360" t="s">
        <v>15</v>
      </c>
      <c r="E1360">
        <v>6</v>
      </c>
      <c r="F1360" s="3">
        <v>5106</v>
      </c>
      <c r="G1360" s="2">
        <v>1500.2</v>
      </c>
      <c r="H1360">
        <f>Master_ventas[[#This Row],[Profit]]/Master_ventas[[#This Row],[Sales]]</f>
        <v>0.29381120250685466</v>
      </c>
      <c r="I1360">
        <f ca="1">Referencia_Hoy-Master_ventas[[#This Row],[Order Date]]</f>
        <v>900</v>
      </c>
      <c r="J1360" t="str">
        <f>UPPER(Master_ventas[[#This Row],[Product Name]])</f>
        <v>CAMERA</v>
      </c>
      <c r="K1360" t="str">
        <f>UPPER(Master_ventas[[#This Row],[Category]])</f>
        <v>ELECTRONICS</v>
      </c>
      <c r="L1360">
        <f>YEAR(Master_ventas[[#This Row],[Order Date]])</f>
        <v>2024</v>
      </c>
      <c r="M1360" t="str">
        <f>CONCATENATE(LEFT(Master_ventas[[#This Row],[ProdUpper]],3),RIGHT(Master_ventas[[#This Row],[Ext-Year]],2),"-",MID(Master_ventas[[#This Row],[Category]],1,1))</f>
        <v>CAM24-E</v>
      </c>
      <c r="N1360" t="str">
        <f>MID(Master_ventas[[#This Row],[ProdUpper]],1,3)</f>
        <v>CAM</v>
      </c>
      <c r="O1360" t="str">
        <f>UPPER(IF(Master_ventas[[#This Row],[Profit]]&gt;500,"High","Std"))</f>
        <v>HIGH</v>
      </c>
      <c r="P1360">
        <v>1359</v>
      </c>
    </row>
    <row r="1361" spans="1:16" x14ac:dyDescent="0.3">
      <c r="A1361" s="1">
        <v>45473</v>
      </c>
      <c r="B1361" t="s">
        <v>20</v>
      </c>
      <c r="C1361" t="s">
        <v>11</v>
      </c>
      <c r="D1361" t="s">
        <v>16</v>
      </c>
      <c r="E1361">
        <v>2</v>
      </c>
      <c r="F1361" s="3">
        <v>798</v>
      </c>
      <c r="G1361" s="2">
        <v>79.25</v>
      </c>
      <c r="H1361">
        <f>Master_ventas[[#This Row],[Profit]]/Master_ventas[[#This Row],[Sales]]</f>
        <v>9.9310776942355891E-2</v>
      </c>
      <c r="I1361">
        <f ca="1">Referencia_Hoy-Master_ventas[[#This Row],[Order Date]]</f>
        <v>850</v>
      </c>
      <c r="J1361" t="str">
        <f>UPPER(Master_ventas[[#This Row],[Product Name]])</f>
        <v>MONITOR</v>
      </c>
      <c r="K1361" t="str">
        <f>UPPER(Master_ventas[[#This Row],[Category]])</f>
        <v>ACCESSORIES</v>
      </c>
      <c r="L1361">
        <f>YEAR(Master_ventas[[#This Row],[Order Date]])</f>
        <v>2024</v>
      </c>
      <c r="M1361" t="str">
        <f>CONCATENATE(LEFT(Master_ventas[[#This Row],[ProdUpper]],3),RIGHT(Master_ventas[[#This Row],[Ext-Year]],2),"-",MID(Master_ventas[[#This Row],[Category]],1,1))</f>
        <v>MON24-A</v>
      </c>
      <c r="N1361" t="str">
        <f>MID(Master_ventas[[#This Row],[ProdUpper]],1,3)</f>
        <v>MON</v>
      </c>
      <c r="O1361" t="str">
        <f>UPPER(IF(Master_ventas[[#This Row],[Profit]]&gt;500,"High","Std"))</f>
        <v>STD</v>
      </c>
      <c r="P1361">
        <v>1360</v>
      </c>
    </row>
    <row r="1362" spans="1:16" x14ac:dyDescent="0.3">
      <c r="A1362" s="1">
        <v>44614</v>
      </c>
      <c r="B1362" t="s">
        <v>23</v>
      </c>
      <c r="C1362" t="s">
        <v>14</v>
      </c>
      <c r="D1362" t="s">
        <v>16</v>
      </c>
      <c r="E1362">
        <v>5</v>
      </c>
      <c r="F1362" s="3">
        <v>3165</v>
      </c>
      <c r="G1362" s="2">
        <v>895.33</v>
      </c>
      <c r="H1362">
        <f>Master_ventas[[#This Row],[Profit]]/Master_ventas[[#This Row],[Sales]]</f>
        <v>0.28288467614533969</v>
      </c>
      <c r="I1362">
        <f ca="1">Referencia_Hoy-Master_ventas[[#This Row],[Order Date]]</f>
        <v>1709</v>
      </c>
      <c r="J1362" t="str">
        <f>UPPER(Master_ventas[[#This Row],[Product Name]])</f>
        <v>LAPTOP</v>
      </c>
      <c r="K1362" t="str">
        <f>UPPER(Master_ventas[[#This Row],[Category]])</f>
        <v>ELECTRONICS</v>
      </c>
      <c r="L1362">
        <f>YEAR(Master_ventas[[#This Row],[Order Date]])</f>
        <v>2022</v>
      </c>
      <c r="M1362" t="str">
        <f>CONCATENATE(LEFT(Master_ventas[[#This Row],[ProdUpper]],3),RIGHT(Master_ventas[[#This Row],[Ext-Year]],2),"-",MID(Master_ventas[[#This Row],[Category]],1,1))</f>
        <v>LAP22-E</v>
      </c>
      <c r="N1362" t="str">
        <f>MID(Master_ventas[[#This Row],[ProdUpper]],1,3)</f>
        <v>LAP</v>
      </c>
      <c r="O1362" t="str">
        <f>UPPER(IF(Master_ventas[[#This Row],[Profit]]&gt;500,"High","Std"))</f>
        <v>HIGH</v>
      </c>
      <c r="P1362">
        <v>1361</v>
      </c>
    </row>
    <row r="1363" spans="1:16" x14ac:dyDescent="0.3">
      <c r="A1363" s="1">
        <v>45190</v>
      </c>
      <c r="B1363" t="s">
        <v>13</v>
      </c>
      <c r="C1363" t="s">
        <v>14</v>
      </c>
      <c r="D1363" t="s">
        <v>12</v>
      </c>
      <c r="E1363">
        <v>5</v>
      </c>
      <c r="F1363" s="3">
        <v>5935</v>
      </c>
      <c r="G1363" s="2">
        <v>875.84</v>
      </c>
      <c r="H1363">
        <f>Master_ventas[[#This Row],[Profit]]/Master_ventas[[#This Row],[Sales]]</f>
        <v>0.14757203032855939</v>
      </c>
      <c r="I1363">
        <f ca="1">Referencia_Hoy-Master_ventas[[#This Row],[Order Date]]</f>
        <v>1133</v>
      </c>
      <c r="J1363" t="str">
        <f>UPPER(Master_ventas[[#This Row],[Product Name]])</f>
        <v>TABLET</v>
      </c>
      <c r="K1363" t="str">
        <f>UPPER(Master_ventas[[#This Row],[Category]])</f>
        <v>ELECTRONICS</v>
      </c>
      <c r="L1363">
        <f>YEAR(Master_ventas[[#This Row],[Order Date]])</f>
        <v>2023</v>
      </c>
      <c r="M1363" t="str">
        <f>CONCATENATE(LEFT(Master_ventas[[#This Row],[ProdUpper]],3),RIGHT(Master_ventas[[#This Row],[Ext-Year]],2),"-",MID(Master_ventas[[#This Row],[Category]],1,1))</f>
        <v>TAB23-E</v>
      </c>
      <c r="N1363" t="str">
        <f>MID(Master_ventas[[#This Row],[ProdUpper]],1,3)</f>
        <v>TAB</v>
      </c>
      <c r="O1363" t="str">
        <f>UPPER(IF(Master_ventas[[#This Row],[Profit]]&gt;500,"High","Std"))</f>
        <v>HIGH</v>
      </c>
      <c r="P1363">
        <v>1362</v>
      </c>
    </row>
    <row r="1364" spans="1:16" x14ac:dyDescent="0.3">
      <c r="A1364" s="1">
        <v>44739</v>
      </c>
      <c r="B1364" t="s">
        <v>22</v>
      </c>
      <c r="C1364" t="s">
        <v>11</v>
      </c>
      <c r="D1364" t="s">
        <v>15</v>
      </c>
      <c r="E1364">
        <v>4</v>
      </c>
      <c r="F1364" s="3">
        <v>3352</v>
      </c>
      <c r="G1364" s="2">
        <v>663.15</v>
      </c>
      <c r="H1364">
        <f>Master_ventas[[#This Row],[Profit]]/Master_ventas[[#This Row],[Sales]]</f>
        <v>0.19783711217183769</v>
      </c>
      <c r="I1364">
        <f ca="1">Referencia_Hoy-Master_ventas[[#This Row],[Order Date]]</f>
        <v>1584</v>
      </c>
      <c r="J1364" t="str">
        <f>UPPER(Master_ventas[[#This Row],[Product Name]])</f>
        <v>KEYBOARD</v>
      </c>
      <c r="K1364" t="str">
        <f>UPPER(Master_ventas[[#This Row],[Category]])</f>
        <v>ACCESSORIES</v>
      </c>
      <c r="L1364">
        <f>YEAR(Master_ventas[[#This Row],[Order Date]])</f>
        <v>2022</v>
      </c>
      <c r="M1364" t="str">
        <f>CONCATENATE(LEFT(Master_ventas[[#This Row],[ProdUpper]],3),RIGHT(Master_ventas[[#This Row],[Ext-Year]],2),"-",MID(Master_ventas[[#This Row],[Category]],1,1))</f>
        <v>KEY22-A</v>
      </c>
      <c r="N1364" t="str">
        <f>MID(Master_ventas[[#This Row],[ProdUpper]],1,3)</f>
        <v>KEY</v>
      </c>
      <c r="O1364" t="str">
        <f>UPPER(IF(Master_ventas[[#This Row],[Profit]]&gt;500,"High","Std"))</f>
        <v>HIGH</v>
      </c>
      <c r="P1364">
        <v>1363</v>
      </c>
    </row>
    <row r="1365" spans="1:16" x14ac:dyDescent="0.3">
      <c r="A1365" s="1">
        <v>45320</v>
      </c>
      <c r="B1365" t="s">
        <v>21</v>
      </c>
      <c r="C1365" t="s">
        <v>14</v>
      </c>
      <c r="D1365" t="s">
        <v>16</v>
      </c>
      <c r="E1365">
        <v>9</v>
      </c>
      <c r="F1365" s="3">
        <v>8343</v>
      </c>
      <c r="G1365" s="2">
        <v>821</v>
      </c>
      <c r="H1365">
        <f>Master_ventas[[#This Row],[Profit]]/Master_ventas[[#This Row],[Sales]]</f>
        <v>9.8405849214910704E-2</v>
      </c>
      <c r="I1365">
        <f ca="1">Referencia_Hoy-Master_ventas[[#This Row],[Order Date]]</f>
        <v>1003</v>
      </c>
      <c r="J1365" t="str">
        <f>UPPER(Master_ventas[[#This Row],[Product Name]])</f>
        <v>SMARTPHONE</v>
      </c>
      <c r="K1365" t="str">
        <f>UPPER(Master_ventas[[#This Row],[Category]])</f>
        <v>ELECTRONICS</v>
      </c>
      <c r="L1365">
        <f>YEAR(Master_ventas[[#This Row],[Order Date]])</f>
        <v>2024</v>
      </c>
      <c r="M1365" t="str">
        <f>CONCATENATE(LEFT(Master_ventas[[#This Row],[ProdUpper]],3),RIGHT(Master_ventas[[#This Row],[Ext-Year]],2),"-",MID(Master_ventas[[#This Row],[Category]],1,1))</f>
        <v>SMA24-E</v>
      </c>
      <c r="N1365" t="str">
        <f>MID(Master_ventas[[#This Row],[ProdUpper]],1,3)</f>
        <v>SMA</v>
      </c>
      <c r="O1365" t="str">
        <f>UPPER(IF(Master_ventas[[#This Row],[Profit]]&gt;500,"High","Std"))</f>
        <v>HIGH</v>
      </c>
      <c r="P1365">
        <v>1364</v>
      </c>
    </row>
    <row r="1366" spans="1:16" x14ac:dyDescent="0.3">
      <c r="A1366" s="1">
        <v>44706</v>
      </c>
      <c r="B1366" t="s">
        <v>20</v>
      </c>
      <c r="C1366" t="s">
        <v>11</v>
      </c>
      <c r="D1366" t="s">
        <v>12</v>
      </c>
      <c r="E1366">
        <v>4</v>
      </c>
      <c r="F1366" s="3">
        <v>2604</v>
      </c>
      <c r="G1366" s="2">
        <v>411.38</v>
      </c>
      <c r="H1366">
        <f>Master_ventas[[#This Row],[Profit]]/Master_ventas[[#This Row],[Sales]]</f>
        <v>0.1579800307219662</v>
      </c>
      <c r="I1366">
        <f ca="1">Referencia_Hoy-Master_ventas[[#This Row],[Order Date]]</f>
        <v>1617</v>
      </c>
      <c r="J1366" t="str">
        <f>UPPER(Master_ventas[[#This Row],[Product Name]])</f>
        <v>MONITOR</v>
      </c>
      <c r="K1366" t="str">
        <f>UPPER(Master_ventas[[#This Row],[Category]])</f>
        <v>ACCESSORIES</v>
      </c>
      <c r="L1366">
        <f>YEAR(Master_ventas[[#This Row],[Order Date]])</f>
        <v>2022</v>
      </c>
      <c r="M1366" t="str">
        <f>CONCATENATE(LEFT(Master_ventas[[#This Row],[ProdUpper]],3),RIGHT(Master_ventas[[#This Row],[Ext-Year]],2),"-",MID(Master_ventas[[#This Row],[Category]],1,1))</f>
        <v>MON22-A</v>
      </c>
      <c r="N1366" t="str">
        <f>MID(Master_ventas[[#This Row],[ProdUpper]],1,3)</f>
        <v>MON</v>
      </c>
      <c r="O1366" t="str">
        <f>UPPER(IF(Master_ventas[[#This Row],[Profit]]&gt;500,"High","Std"))</f>
        <v>STD</v>
      </c>
      <c r="P1366">
        <v>1365</v>
      </c>
    </row>
    <row r="1367" spans="1:16" x14ac:dyDescent="0.3">
      <c r="A1367" s="1">
        <v>45227</v>
      </c>
      <c r="B1367" t="s">
        <v>18</v>
      </c>
      <c r="C1367" t="s">
        <v>11</v>
      </c>
      <c r="D1367" t="s">
        <v>16</v>
      </c>
      <c r="E1367">
        <v>1</v>
      </c>
      <c r="F1367" s="3">
        <v>526</v>
      </c>
      <c r="G1367" s="2">
        <v>108.88</v>
      </c>
      <c r="H1367">
        <f>Master_ventas[[#This Row],[Profit]]/Master_ventas[[#This Row],[Sales]]</f>
        <v>0.20699619771863118</v>
      </c>
      <c r="I1367">
        <f ca="1">Referencia_Hoy-Master_ventas[[#This Row],[Order Date]]</f>
        <v>1096</v>
      </c>
      <c r="J1367" t="str">
        <f>UPPER(Master_ventas[[#This Row],[Product Name]])</f>
        <v>HEADPHONES</v>
      </c>
      <c r="K1367" t="str">
        <f>UPPER(Master_ventas[[#This Row],[Category]])</f>
        <v>ACCESSORIES</v>
      </c>
      <c r="L1367">
        <f>YEAR(Master_ventas[[#This Row],[Order Date]])</f>
        <v>2023</v>
      </c>
      <c r="M1367" t="str">
        <f>CONCATENATE(LEFT(Master_ventas[[#This Row],[ProdUpper]],3),RIGHT(Master_ventas[[#This Row],[Ext-Year]],2),"-",MID(Master_ventas[[#This Row],[Category]],1,1))</f>
        <v>HEA23-A</v>
      </c>
      <c r="N1367" t="str">
        <f>MID(Master_ventas[[#This Row],[ProdUpper]],1,3)</f>
        <v>HEA</v>
      </c>
      <c r="O1367" t="str">
        <f>UPPER(IF(Master_ventas[[#This Row],[Profit]]&gt;500,"High","Std"))</f>
        <v>STD</v>
      </c>
      <c r="P1367">
        <v>1366</v>
      </c>
    </row>
    <row r="1368" spans="1:16" x14ac:dyDescent="0.3">
      <c r="A1368" s="1">
        <v>45242</v>
      </c>
      <c r="B1368" t="s">
        <v>20</v>
      </c>
      <c r="C1368" t="s">
        <v>11</v>
      </c>
      <c r="D1368" t="s">
        <v>16</v>
      </c>
      <c r="E1368">
        <v>9</v>
      </c>
      <c r="F1368" s="3">
        <v>5220</v>
      </c>
      <c r="G1368" s="2">
        <v>1324.01</v>
      </c>
      <c r="H1368">
        <f>Master_ventas[[#This Row],[Profit]]/Master_ventas[[#This Row],[Sales]]</f>
        <v>0.25364176245210729</v>
      </c>
      <c r="I1368">
        <f ca="1">Referencia_Hoy-Master_ventas[[#This Row],[Order Date]]</f>
        <v>1081</v>
      </c>
      <c r="J1368" t="str">
        <f>UPPER(Master_ventas[[#This Row],[Product Name]])</f>
        <v>MONITOR</v>
      </c>
      <c r="K1368" t="str">
        <f>UPPER(Master_ventas[[#This Row],[Category]])</f>
        <v>ACCESSORIES</v>
      </c>
      <c r="L1368">
        <f>YEAR(Master_ventas[[#This Row],[Order Date]])</f>
        <v>2023</v>
      </c>
      <c r="M1368" t="str">
        <f>CONCATENATE(LEFT(Master_ventas[[#This Row],[ProdUpper]],3),RIGHT(Master_ventas[[#This Row],[Ext-Year]],2),"-",MID(Master_ventas[[#This Row],[Category]],1,1))</f>
        <v>MON23-A</v>
      </c>
      <c r="N1368" t="str">
        <f>MID(Master_ventas[[#This Row],[ProdUpper]],1,3)</f>
        <v>MON</v>
      </c>
      <c r="O1368" t="str">
        <f>UPPER(IF(Master_ventas[[#This Row],[Profit]]&gt;500,"High","Std"))</f>
        <v>HIGH</v>
      </c>
      <c r="P1368">
        <v>1367</v>
      </c>
    </row>
    <row r="1369" spans="1:16" x14ac:dyDescent="0.3">
      <c r="A1369" s="1">
        <v>45242</v>
      </c>
      <c r="B1369" t="s">
        <v>7</v>
      </c>
      <c r="C1369" t="s">
        <v>8</v>
      </c>
      <c r="D1369" t="s">
        <v>9</v>
      </c>
      <c r="E1369">
        <v>9</v>
      </c>
      <c r="F1369" s="3">
        <v>1737</v>
      </c>
      <c r="G1369" s="2">
        <v>152.97999999999999</v>
      </c>
      <c r="H1369">
        <f>Master_ventas[[#This Row],[Profit]]/Master_ventas[[#This Row],[Sales]]</f>
        <v>8.8071387449625782E-2</v>
      </c>
      <c r="I1369">
        <f ca="1">Referencia_Hoy-Master_ventas[[#This Row],[Order Date]]</f>
        <v>1081</v>
      </c>
      <c r="J1369" t="str">
        <f>UPPER(Master_ventas[[#This Row],[Product Name]])</f>
        <v>PRINTER</v>
      </c>
      <c r="K1369" t="str">
        <f>UPPER(Master_ventas[[#This Row],[Category]])</f>
        <v>OFFICE</v>
      </c>
      <c r="L1369">
        <f>YEAR(Master_ventas[[#This Row],[Order Date]])</f>
        <v>2023</v>
      </c>
      <c r="M1369" t="str">
        <f>CONCATENATE(LEFT(Master_ventas[[#This Row],[ProdUpper]],3),RIGHT(Master_ventas[[#This Row],[Ext-Year]],2),"-",MID(Master_ventas[[#This Row],[Category]],1,1))</f>
        <v>PRI23-O</v>
      </c>
      <c r="N1369" t="str">
        <f>MID(Master_ventas[[#This Row],[ProdUpper]],1,3)</f>
        <v>PRI</v>
      </c>
      <c r="O1369" t="str">
        <f>UPPER(IF(Master_ventas[[#This Row],[Profit]]&gt;500,"High","Std"))</f>
        <v>STD</v>
      </c>
      <c r="P1369">
        <v>1368</v>
      </c>
    </row>
    <row r="1370" spans="1:16" x14ac:dyDescent="0.3">
      <c r="A1370" s="1">
        <v>44858</v>
      </c>
      <c r="B1370" t="s">
        <v>10</v>
      </c>
      <c r="C1370" t="s">
        <v>11</v>
      </c>
      <c r="D1370" t="s">
        <v>16</v>
      </c>
      <c r="E1370">
        <v>6</v>
      </c>
      <c r="F1370" s="3">
        <v>3186</v>
      </c>
      <c r="G1370" s="2">
        <v>841.04</v>
      </c>
      <c r="H1370">
        <f>Master_ventas[[#This Row],[Profit]]/Master_ventas[[#This Row],[Sales]]</f>
        <v>0.26397991211550531</v>
      </c>
      <c r="I1370">
        <f ca="1">Referencia_Hoy-Master_ventas[[#This Row],[Order Date]]</f>
        <v>1465</v>
      </c>
      <c r="J1370" t="str">
        <f>UPPER(Master_ventas[[#This Row],[Product Name]])</f>
        <v>MOUSE</v>
      </c>
      <c r="K1370" t="str">
        <f>UPPER(Master_ventas[[#This Row],[Category]])</f>
        <v>ACCESSORIES</v>
      </c>
      <c r="L1370">
        <f>YEAR(Master_ventas[[#This Row],[Order Date]])</f>
        <v>2022</v>
      </c>
      <c r="M1370" t="str">
        <f>CONCATENATE(LEFT(Master_ventas[[#This Row],[ProdUpper]],3),RIGHT(Master_ventas[[#This Row],[Ext-Year]],2),"-",MID(Master_ventas[[#This Row],[Category]],1,1))</f>
        <v>MOU22-A</v>
      </c>
      <c r="N1370" t="str">
        <f>MID(Master_ventas[[#This Row],[ProdUpper]],1,3)</f>
        <v>MOU</v>
      </c>
      <c r="O1370" t="str">
        <f>UPPER(IF(Master_ventas[[#This Row],[Profit]]&gt;500,"High","Std"))</f>
        <v>HIGH</v>
      </c>
      <c r="P1370">
        <v>1369</v>
      </c>
    </row>
    <row r="1371" spans="1:16" x14ac:dyDescent="0.3">
      <c r="A1371" s="1">
        <v>44939</v>
      </c>
      <c r="B1371" t="s">
        <v>21</v>
      </c>
      <c r="C1371" t="s">
        <v>14</v>
      </c>
      <c r="D1371" t="s">
        <v>16</v>
      </c>
      <c r="E1371">
        <v>6</v>
      </c>
      <c r="F1371" s="3">
        <v>7014</v>
      </c>
      <c r="G1371" s="2">
        <v>1202.25</v>
      </c>
      <c r="H1371">
        <f>Master_ventas[[#This Row],[Profit]]/Master_ventas[[#This Row],[Sales]]</f>
        <v>0.17140718562874252</v>
      </c>
      <c r="I1371">
        <f ca="1">Referencia_Hoy-Master_ventas[[#This Row],[Order Date]]</f>
        <v>1384</v>
      </c>
      <c r="J1371" t="str">
        <f>UPPER(Master_ventas[[#This Row],[Product Name]])</f>
        <v>SMARTPHONE</v>
      </c>
      <c r="K1371" t="str">
        <f>UPPER(Master_ventas[[#This Row],[Category]])</f>
        <v>ELECTRONICS</v>
      </c>
      <c r="L1371">
        <f>YEAR(Master_ventas[[#This Row],[Order Date]])</f>
        <v>2023</v>
      </c>
      <c r="M1371" t="str">
        <f>CONCATENATE(LEFT(Master_ventas[[#This Row],[ProdUpper]],3),RIGHT(Master_ventas[[#This Row],[Ext-Year]],2),"-",MID(Master_ventas[[#This Row],[Category]],1,1))</f>
        <v>SMA23-E</v>
      </c>
      <c r="N1371" t="str">
        <f>MID(Master_ventas[[#This Row],[ProdUpper]],1,3)</f>
        <v>SMA</v>
      </c>
      <c r="O1371" t="str">
        <f>UPPER(IF(Master_ventas[[#This Row],[Profit]]&gt;500,"High","Std"))</f>
        <v>HIGH</v>
      </c>
      <c r="P1371">
        <v>1370</v>
      </c>
    </row>
    <row r="1372" spans="1:16" x14ac:dyDescent="0.3">
      <c r="A1372" s="1">
        <v>44943</v>
      </c>
      <c r="B1372" t="s">
        <v>10</v>
      </c>
      <c r="C1372" t="s">
        <v>11</v>
      </c>
      <c r="D1372" t="s">
        <v>15</v>
      </c>
      <c r="E1372">
        <v>9</v>
      </c>
      <c r="F1372" s="3">
        <v>3411</v>
      </c>
      <c r="G1372" s="2">
        <v>444.87</v>
      </c>
      <c r="H1372">
        <f>Master_ventas[[#This Row],[Profit]]/Master_ventas[[#This Row],[Sales]]</f>
        <v>0.13042216358839051</v>
      </c>
      <c r="I1372">
        <f ca="1">Referencia_Hoy-Master_ventas[[#This Row],[Order Date]]</f>
        <v>1380</v>
      </c>
      <c r="J1372" t="str">
        <f>UPPER(Master_ventas[[#This Row],[Product Name]])</f>
        <v>MOUSE</v>
      </c>
      <c r="K1372" t="str">
        <f>UPPER(Master_ventas[[#This Row],[Category]])</f>
        <v>ACCESSORIES</v>
      </c>
      <c r="L1372">
        <f>YEAR(Master_ventas[[#This Row],[Order Date]])</f>
        <v>2023</v>
      </c>
      <c r="M1372" t="str">
        <f>CONCATENATE(LEFT(Master_ventas[[#This Row],[ProdUpper]],3),RIGHT(Master_ventas[[#This Row],[Ext-Year]],2),"-",MID(Master_ventas[[#This Row],[Category]],1,1))</f>
        <v>MOU23-A</v>
      </c>
      <c r="N1372" t="str">
        <f>MID(Master_ventas[[#This Row],[ProdUpper]],1,3)</f>
        <v>MOU</v>
      </c>
      <c r="O1372" t="str">
        <f>UPPER(IF(Master_ventas[[#This Row],[Profit]]&gt;500,"High","Std"))</f>
        <v>STD</v>
      </c>
      <c r="P1372">
        <v>1371</v>
      </c>
    </row>
    <row r="1373" spans="1:16" x14ac:dyDescent="0.3">
      <c r="A1373" s="1">
        <v>44581</v>
      </c>
      <c r="B1373" t="s">
        <v>20</v>
      </c>
      <c r="C1373" t="s">
        <v>11</v>
      </c>
      <c r="D1373" t="s">
        <v>12</v>
      </c>
      <c r="E1373">
        <v>1</v>
      </c>
      <c r="F1373" s="3">
        <v>513</v>
      </c>
      <c r="G1373" s="2">
        <v>87.58</v>
      </c>
      <c r="H1373">
        <f>Master_ventas[[#This Row],[Profit]]/Master_ventas[[#This Row],[Sales]]</f>
        <v>0.17072124756335283</v>
      </c>
      <c r="I1373">
        <f ca="1">Referencia_Hoy-Master_ventas[[#This Row],[Order Date]]</f>
        <v>1742</v>
      </c>
      <c r="J1373" t="str">
        <f>UPPER(Master_ventas[[#This Row],[Product Name]])</f>
        <v>MONITOR</v>
      </c>
      <c r="K1373" t="str">
        <f>UPPER(Master_ventas[[#This Row],[Category]])</f>
        <v>ACCESSORIES</v>
      </c>
      <c r="L1373">
        <f>YEAR(Master_ventas[[#This Row],[Order Date]])</f>
        <v>2022</v>
      </c>
      <c r="M1373" t="str">
        <f>CONCATENATE(LEFT(Master_ventas[[#This Row],[ProdUpper]],3),RIGHT(Master_ventas[[#This Row],[Ext-Year]],2),"-",MID(Master_ventas[[#This Row],[Category]],1,1))</f>
        <v>MON22-A</v>
      </c>
      <c r="N1373" t="str">
        <f>MID(Master_ventas[[#This Row],[ProdUpper]],1,3)</f>
        <v>MON</v>
      </c>
      <c r="O1373" t="str">
        <f>UPPER(IF(Master_ventas[[#This Row],[Profit]]&gt;500,"High","Std"))</f>
        <v>STD</v>
      </c>
      <c r="P1373">
        <v>1372</v>
      </c>
    </row>
    <row r="1374" spans="1:16" x14ac:dyDescent="0.3">
      <c r="A1374" s="1">
        <v>44747</v>
      </c>
      <c r="B1374" t="s">
        <v>21</v>
      </c>
      <c r="C1374" t="s">
        <v>14</v>
      </c>
      <c r="D1374" t="s">
        <v>16</v>
      </c>
      <c r="E1374">
        <v>1</v>
      </c>
      <c r="F1374" s="3">
        <v>1104</v>
      </c>
      <c r="G1374" s="2">
        <v>277.85000000000002</v>
      </c>
      <c r="H1374">
        <f>Master_ventas[[#This Row],[Profit]]/Master_ventas[[#This Row],[Sales]]</f>
        <v>0.25167572463768118</v>
      </c>
      <c r="I1374">
        <f ca="1">Referencia_Hoy-Master_ventas[[#This Row],[Order Date]]</f>
        <v>1576</v>
      </c>
      <c r="J1374" t="str">
        <f>UPPER(Master_ventas[[#This Row],[Product Name]])</f>
        <v>SMARTPHONE</v>
      </c>
      <c r="K1374" t="str">
        <f>UPPER(Master_ventas[[#This Row],[Category]])</f>
        <v>ELECTRONICS</v>
      </c>
      <c r="L1374">
        <f>YEAR(Master_ventas[[#This Row],[Order Date]])</f>
        <v>2022</v>
      </c>
      <c r="M1374" t="str">
        <f>CONCATENATE(LEFT(Master_ventas[[#This Row],[ProdUpper]],3),RIGHT(Master_ventas[[#This Row],[Ext-Year]],2),"-",MID(Master_ventas[[#This Row],[Category]],1,1))</f>
        <v>SMA22-E</v>
      </c>
      <c r="N1374" t="str">
        <f>MID(Master_ventas[[#This Row],[ProdUpper]],1,3)</f>
        <v>SMA</v>
      </c>
      <c r="O1374" t="str">
        <f>UPPER(IF(Master_ventas[[#This Row],[Profit]]&gt;500,"High","Std"))</f>
        <v>STD</v>
      </c>
      <c r="P1374">
        <v>1373</v>
      </c>
    </row>
    <row r="1375" spans="1:16" x14ac:dyDescent="0.3">
      <c r="A1375" s="1">
        <v>44784</v>
      </c>
      <c r="B1375" t="s">
        <v>21</v>
      </c>
      <c r="C1375" t="s">
        <v>14</v>
      </c>
      <c r="D1375" t="s">
        <v>12</v>
      </c>
      <c r="E1375">
        <v>9</v>
      </c>
      <c r="F1375" s="3">
        <v>2718</v>
      </c>
      <c r="G1375" s="2">
        <v>271.51</v>
      </c>
      <c r="H1375">
        <f>Master_ventas[[#This Row],[Profit]]/Master_ventas[[#This Row],[Sales]]</f>
        <v>9.9893303899926414E-2</v>
      </c>
      <c r="I1375">
        <f ca="1">Referencia_Hoy-Master_ventas[[#This Row],[Order Date]]</f>
        <v>1539</v>
      </c>
      <c r="J1375" t="str">
        <f>UPPER(Master_ventas[[#This Row],[Product Name]])</f>
        <v>SMARTPHONE</v>
      </c>
      <c r="K1375" t="str">
        <f>UPPER(Master_ventas[[#This Row],[Category]])</f>
        <v>ELECTRONICS</v>
      </c>
      <c r="L1375">
        <f>YEAR(Master_ventas[[#This Row],[Order Date]])</f>
        <v>2022</v>
      </c>
      <c r="M1375" t="str">
        <f>CONCATENATE(LEFT(Master_ventas[[#This Row],[ProdUpper]],3),RIGHT(Master_ventas[[#This Row],[Ext-Year]],2),"-",MID(Master_ventas[[#This Row],[Category]],1,1))</f>
        <v>SMA22-E</v>
      </c>
      <c r="N1375" t="str">
        <f>MID(Master_ventas[[#This Row],[ProdUpper]],1,3)</f>
        <v>SMA</v>
      </c>
      <c r="O1375" t="str">
        <f>UPPER(IF(Master_ventas[[#This Row],[Profit]]&gt;500,"High","Std"))</f>
        <v>STD</v>
      </c>
      <c r="P1375">
        <v>1374</v>
      </c>
    </row>
    <row r="1376" spans="1:16" x14ac:dyDescent="0.3">
      <c r="A1376" s="1">
        <v>45060</v>
      </c>
      <c r="B1376" t="s">
        <v>18</v>
      </c>
      <c r="C1376" t="s">
        <v>11</v>
      </c>
      <c r="D1376" t="s">
        <v>9</v>
      </c>
      <c r="E1376">
        <v>6</v>
      </c>
      <c r="F1376" s="3">
        <v>1662</v>
      </c>
      <c r="G1376" s="2">
        <v>416.3</v>
      </c>
      <c r="H1376">
        <f>Master_ventas[[#This Row],[Profit]]/Master_ventas[[#This Row],[Sales]]</f>
        <v>0.25048134777376657</v>
      </c>
      <c r="I1376">
        <f ca="1">Referencia_Hoy-Master_ventas[[#This Row],[Order Date]]</f>
        <v>1263</v>
      </c>
      <c r="J1376" t="str">
        <f>UPPER(Master_ventas[[#This Row],[Product Name]])</f>
        <v>HEADPHONES</v>
      </c>
      <c r="K1376" t="str">
        <f>UPPER(Master_ventas[[#This Row],[Category]])</f>
        <v>ACCESSORIES</v>
      </c>
      <c r="L1376">
        <f>YEAR(Master_ventas[[#This Row],[Order Date]])</f>
        <v>2023</v>
      </c>
      <c r="M1376" t="str">
        <f>CONCATENATE(LEFT(Master_ventas[[#This Row],[ProdUpper]],3),RIGHT(Master_ventas[[#This Row],[Ext-Year]],2),"-",MID(Master_ventas[[#This Row],[Category]],1,1))</f>
        <v>HEA23-A</v>
      </c>
      <c r="N1376" t="str">
        <f>MID(Master_ventas[[#This Row],[ProdUpper]],1,3)</f>
        <v>HEA</v>
      </c>
      <c r="O1376" t="str">
        <f>UPPER(IF(Master_ventas[[#This Row],[Profit]]&gt;500,"High","Std"))</f>
        <v>STD</v>
      </c>
      <c r="P1376">
        <v>1375</v>
      </c>
    </row>
    <row r="1377" spans="1:16" x14ac:dyDescent="0.3">
      <c r="A1377" s="1">
        <v>45276</v>
      </c>
      <c r="B1377" t="s">
        <v>10</v>
      </c>
      <c r="C1377" t="s">
        <v>11</v>
      </c>
      <c r="D1377" t="s">
        <v>16</v>
      </c>
      <c r="E1377">
        <v>5</v>
      </c>
      <c r="F1377" s="3">
        <v>1700</v>
      </c>
      <c r="G1377" s="2">
        <v>360.59</v>
      </c>
      <c r="H1377">
        <f>Master_ventas[[#This Row],[Profit]]/Master_ventas[[#This Row],[Sales]]</f>
        <v>0.21211176470588233</v>
      </c>
      <c r="I1377">
        <f ca="1">Referencia_Hoy-Master_ventas[[#This Row],[Order Date]]</f>
        <v>1047</v>
      </c>
      <c r="J1377" t="str">
        <f>UPPER(Master_ventas[[#This Row],[Product Name]])</f>
        <v>MOUSE</v>
      </c>
      <c r="K1377" t="str">
        <f>UPPER(Master_ventas[[#This Row],[Category]])</f>
        <v>ACCESSORIES</v>
      </c>
      <c r="L1377">
        <f>YEAR(Master_ventas[[#This Row],[Order Date]])</f>
        <v>2023</v>
      </c>
      <c r="M1377" t="str">
        <f>CONCATENATE(LEFT(Master_ventas[[#This Row],[ProdUpper]],3),RIGHT(Master_ventas[[#This Row],[Ext-Year]],2),"-",MID(Master_ventas[[#This Row],[Category]],1,1))</f>
        <v>MOU23-A</v>
      </c>
      <c r="N1377" t="str">
        <f>MID(Master_ventas[[#This Row],[ProdUpper]],1,3)</f>
        <v>MOU</v>
      </c>
      <c r="O1377" t="str">
        <f>UPPER(IF(Master_ventas[[#This Row],[Profit]]&gt;500,"High","Std"))</f>
        <v>STD</v>
      </c>
      <c r="P1377">
        <v>1376</v>
      </c>
    </row>
    <row r="1378" spans="1:16" x14ac:dyDescent="0.3">
      <c r="A1378" s="1">
        <v>45632</v>
      </c>
      <c r="B1378" t="s">
        <v>13</v>
      </c>
      <c r="C1378" t="s">
        <v>14</v>
      </c>
      <c r="D1378" t="s">
        <v>15</v>
      </c>
      <c r="E1378">
        <v>4</v>
      </c>
      <c r="F1378" s="3">
        <v>2932</v>
      </c>
      <c r="G1378" s="2">
        <v>597.65</v>
      </c>
      <c r="H1378">
        <f>Master_ventas[[#This Row],[Profit]]/Master_ventas[[#This Row],[Sales]]</f>
        <v>0.2038369713506139</v>
      </c>
      <c r="I1378">
        <f ca="1">Referencia_Hoy-Master_ventas[[#This Row],[Order Date]]</f>
        <v>691</v>
      </c>
      <c r="J1378" t="str">
        <f>UPPER(Master_ventas[[#This Row],[Product Name]])</f>
        <v>TABLET</v>
      </c>
      <c r="K1378" t="str">
        <f>UPPER(Master_ventas[[#This Row],[Category]])</f>
        <v>ELECTRONICS</v>
      </c>
      <c r="L1378">
        <f>YEAR(Master_ventas[[#This Row],[Order Date]])</f>
        <v>2024</v>
      </c>
      <c r="M1378" t="str">
        <f>CONCATENATE(LEFT(Master_ventas[[#This Row],[ProdUpper]],3),RIGHT(Master_ventas[[#This Row],[Ext-Year]],2),"-",MID(Master_ventas[[#This Row],[Category]],1,1))</f>
        <v>TAB24-E</v>
      </c>
      <c r="N1378" t="str">
        <f>MID(Master_ventas[[#This Row],[ProdUpper]],1,3)</f>
        <v>TAB</v>
      </c>
      <c r="O1378" t="str">
        <f>UPPER(IF(Master_ventas[[#This Row],[Profit]]&gt;500,"High","Std"))</f>
        <v>HIGH</v>
      </c>
      <c r="P1378">
        <v>1377</v>
      </c>
    </row>
    <row r="1379" spans="1:16" x14ac:dyDescent="0.3">
      <c r="A1379" s="1">
        <v>45212</v>
      </c>
      <c r="B1379" t="s">
        <v>10</v>
      </c>
      <c r="C1379" t="s">
        <v>11</v>
      </c>
      <c r="D1379" t="s">
        <v>9</v>
      </c>
      <c r="E1379">
        <v>4</v>
      </c>
      <c r="F1379" s="3">
        <v>3604</v>
      </c>
      <c r="G1379" s="2">
        <v>971.14</v>
      </c>
      <c r="H1379">
        <f>Master_ventas[[#This Row],[Profit]]/Master_ventas[[#This Row],[Sales]]</f>
        <v>0.2694617092119867</v>
      </c>
      <c r="I1379">
        <f ca="1">Referencia_Hoy-Master_ventas[[#This Row],[Order Date]]</f>
        <v>1111</v>
      </c>
      <c r="J1379" t="str">
        <f>UPPER(Master_ventas[[#This Row],[Product Name]])</f>
        <v>MOUSE</v>
      </c>
      <c r="K1379" t="str">
        <f>UPPER(Master_ventas[[#This Row],[Category]])</f>
        <v>ACCESSORIES</v>
      </c>
      <c r="L1379">
        <f>YEAR(Master_ventas[[#This Row],[Order Date]])</f>
        <v>2023</v>
      </c>
      <c r="M1379" t="str">
        <f>CONCATENATE(LEFT(Master_ventas[[#This Row],[ProdUpper]],3),RIGHT(Master_ventas[[#This Row],[Ext-Year]],2),"-",MID(Master_ventas[[#This Row],[Category]],1,1))</f>
        <v>MOU23-A</v>
      </c>
      <c r="N1379" t="str">
        <f>MID(Master_ventas[[#This Row],[ProdUpper]],1,3)</f>
        <v>MOU</v>
      </c>
      <c r="O1379" t="str">
        <f>UPPER(IF(Master_ventas[[#This Row],[Profit]]&gt;500,"High","Std"))</f>
        <v>HIGH</v>
      </c>
      <c r="P1379">
        <v>1378</v>
      </c>
    </row>
    <row r="1380" spans="1:16" x14ac:dyDescent="0.3">
      <c r="A1380" s="1">
        <v>45377</v>
      </c>
      <c r="B1380" t="s">
        <v>17</v>
      </c>
      <c r="C1380" t="s">
        <v>14</v>
      </c>
      <c r="D1380" t="s">
        <v>16</v>
      </c>
      <c r="E1380">
        <v>4</v>
      </c>
      <c r="F1380" s="3">
        <v>4596</v>
      </c>
      <c r="G1380" s="2">
        <v>553.58000000000004</v>
      </c>
      <c r="H1380">
        <f>Master_ventas[[#This Row],[Profit]]/Master_ventas[[#This Row],[Sales]]</f>
        <v>0.12044821583986076</v>
      </c>
      <c r="I1380">
        <f ca="1">Referencia_Hoy-Master_ventas[[#This Row],[Order Date]]</f>
        <v>946</v>
      </c>
      <c r="J1380" t="str">
        <f>UPPER(Master_ventas[[#This Row],[Product Name]])</f>
        <v>CAMERA</v>
      </c>
      <c r="K1380" t="str">
        <f>UPPER(Master_ventas[[#This Row],[Category]])</f>
        <v>ELECTRONICS</v>
      </c>
      <c r="L1380">
        <f>YEAR(Master_ventas[[#This Row],[Order Date]])</f>
        <v>2024</v>
      </c>
      <c r="M1380" t="str">
        <f>CONCATENATE(LEFT(Master_ventas[[#This Row],[ProdUpper]],3),RIGHT(Master_ventas[[#This Row],[Ext-Year]],2),"-",MID(Master_ventas[[#This Row],[Category]],1,1))</f>
        <v>CAM24-E</v>
      </c>
      <c r="N1380" t="str">
        <f>MID(Master_ventas[[#This Row],[ProdUpper]],1,3)</f>
        <v>CAM</v>
      </c>
      <c r="O1380" t="str">
        <f>UPPER(IF(Master_ventas[[#This Row],[Profit]]&gt;500,"High","Std"))</f>
        <v>HIGH</v>
      </c>
      <c r="P1380">
        <v>1379</v>
      </c>
    </row>
    <row r="1381" spans="1:16" x14ac:dyDescent="0.3">
      <c r="A1381" s="1">
        <v>45387</v>
      </c>
      <c r="B1381" t="s">
        <v>19</v>
      </c>
      <c r="C1381" t="s">
        <v>14</v>
      </c>
      <c r="D1381" t="s">
        <v>12</v>
      </c>
      <c r="E1381">
        <v>6</v>
      </c>
      <c r="F1381" s="3">
        <v>930</v>
      </c>
      <c r="G1381" s="2">
        <v>68.239999999999995</v>
      </c>
      <c r="H1381">
        <f>Master_ventas[[#This Row],[Profit]]/Master_ventas[[#This Row],[Sales]]</f>
        <v>7.3376344086021505E-2</v>
      </c>
      <c r="I1381">
        <f ca="1">Referencia_Hoy-Master_ventas[[#This Row],[Order Date]]</f>
        <v>936</v>
      </c>
      <c r="J1381" t="str">
        <f>UPPER(Master_ventas[[#This Row],[Product Name]])</f>
        <v>SMARTWATCH</v>
      </c>
      <c r="K1381" t="str">
        <f>UPPER(Master_ventas[[#This Row],[Category]])</f>
        <v>ELECTRONICS</v>
      </c>
      <c r="L1381">
        <f>YEAR(Master_ventas[[#This Row],[Order Date]])</f>
        <v>2024</v>
      </c>
      <c r="M1381" t="str">
        <f>CONCATENATE(LEFT(Master_ventas[[#This Row],[ProdUpper]],3),RIGHT(Master_ventas[[#This Row],[Ext-Year]],2),"-",MID(Master_ventas[[#This Row],[Category]],1,1))</f>
        <v>SMA24-E</v>
      </c>
      <c r="N1381" t="str">
        <f>MID(Master_ventas[[#This Row],[ProdUpper]],1,3)</f>
        <v>SMA</v>
      </c>
      <c r="O1381" t="str">
        <f>UPPER(IF(Master_ventas[[#This Row],[Profit]]&gt;500,"High","Std"))</f>
        <v>STD</v>
      </c>
      <c r="P1381">
        <v>1380</v>
      </c>
    </row>
    <row r="1382" spans="1:16" x14ac:dyDescent="0.3">
      <c r="A1382" s="1">
        <v>45101</v>
      </c>
      <c r="B1382" t="s">
        <v>13</v>
      </c>
      <c r="C1382" t="s">
        <v>14</v>
      </c>
      <c r="D1382" t="s">
        <v>9</v>
      </c>
      <c r="E1382">
        <v>3</v>
      </c>
      <c r="F1382" s="3">
        <v>2790</v>
      </c>
      <c r="G1382" s="2">
        <v>470.93</v>
      </c>
      <c r="H1382">
        <f>Master_ventas[[#This Row],[Profit]]/Master_ventas[[#This Row],[Sales]]</f>
        <v>0.1687921146953405</v>
      </c>
      <c r="I1382">
        <f ca="1">Referencia_Hoy-Master_ventas[[#This Row],[Order Date]]</f>
        <v>1222</v>
      </c>
      <c r="J1382" t="str">
        <f>UPPER(Master_ventas[[#This Row],[Product Name]])</f>
        <v>TABLET</v>
      </c>
      <c r="K1382" t="str">
        <f>UPPER(Master_ventas[[#This Row],[Category]])</f>
        <v>ELECTRONICS</v>
      </c>
      <c r="L1382">
        <f>YEAR(Master_ventas[[#This Row],[Order Date]])</f>
        <v>2023</v>
      </c>
      <c r="M1382" t="str">
        <f>CONCATENATE(LEFT(Master_ventas[[#This Row],[ProdUpper]],3),RIGHT(Master_ventas[[#This Row],[Ext-Year]],2),"-",MID(Master_ventas[[#This Row],[Category]],1,1))</f>
        <v>TAB23-E</v>
      </c>
      <c r="N1382" t="str">
        <f>MID(Master_ventas[[#This Row],[ProdUpper]],1,3)</f>
        <v>TAB</v>
      </c>
      <c r="O1382" t="str">
        <f>UPPER(IF(Master_ventas[[#This Row],[Profit]]&gt;500,"High","Std"))</f>
        <v>STD</v>
      </c>
      <c r="P1382">
        <v>1381</v>
      </c>
    </row>
    <row r="1383" spans="1:16" x14ac:dyDescent="0.3">
      <c r="A1383" s="1">
        <v>44703</v>
      </c>
      <c r="B1383" t="s">
        <v>21</v>
      </c>
      <c r="C1383" t="s">
        <v>14</v>
      </c>
      <c r="D1383" t="s">
        <v>9</v>
      </c>
      <c r="E1383">
        <v>6</v>
      </c>
      <c r="F1383" s="3">
        <v>4596</v>
      </c>
      <c r="G1383" s="2">
        <v>1162.75</v>
      </c>
      <c r="H1383">
        <f>Master_ventas[[#This Row],[Profit]]/Master_ventas[[#This Row],[Sales]]</f>
        <v>0.25299173194081809</v>
      </c>
      <c r="I1383">
        <f ca="1">Referencia_Hoy-Master_ventas[[#This Row],[Order Date]]</f>
        <v>1620</v>
      </c>
      <c r="J1383" t="str">
        <f>UPPER(Master_ventas[[#This Row],[Product Name]])</f>
        <v>SMARTPHONE</v>
      </c>
      <c r="K1383" t="str">
        <f>UPPER(Master_ventas[[#This Row],[Category]])</f>
        <v>ELECTRONICS</v>
      </c>
      <c r="L1383">
        <f>YEAR(Master_ventas[[#This Row],[Order Date]])</f>
        <v>2022</v>
      </c>
      <c r="M1383" t="str">
        <f>CONCATENATE(LEFT(Master_ventas[[#This Row],[ProdUpper]],3),RIGHT(Master_ventas[[#This Row],[Ext-Year]],2),"-",MID(Master_ventas[[#This Row],[Category]],1,1))</f>
        <v>SMA22-E</v>
      </c>
      <c r="N1383" t="str">
        <f>MID(Master_ventas[[#This Row],[ProdUpper]],1,3)</f>
        <v>SMA</v>
      </c>
      <c r="O1383" t="str">
        <f>UPPER(IF(Master_ventas[[#This Row],[Profit]]&gt;500,"High","Std"))</f>
        <v>HIGH</v>
      </c>
      <c r="P1383">
        <v>1382</v>
      </c>
    </row>
    <row r="1384" spans="1:16" x14ac:dyDescent="0.3">
      <c r="A1384" s="1">
        <v>45214</v>
      </c>
      <c r="B1384" t="s">
        <v>22</v>
      </c>
      <c r="C1384" t="s">
        <v>11</v>
      </c>
      <c r="D1384" t="s">
        <v>15</v>
      </c>
      <c r="E1384">
        <v>1</v>
      </c>
      <c r="F1384" s="3">
        <v>962</v>
      </c>
      <c r="G1384" s="2">
        <v>260.27999999999997</v>
      </c>
      <c r="H1384">
        <f>Master_ventas[[#This Row],[Profit]]/Master_ventas[[#This Row],[Sales]]</f>
        <v>0.27056133056133053</v>
      </c>
      <c r="I1384">
        <f ca="1">Referencia_Hoy-Master_ventas[[#This Row],[Order Date]]</f>
        <v>1109</v>
      </c>
      <c r="J1384" t="str">
        <f>UPPER(Master_ventas[[#This Row],[Product Name]])</f>
        <v>KEYBOARD</v>
      </c>
      <c r="K1384" t="str">
        <f>UPPER(Master_ventas[[#This Row],[Category]])</f>
        <v>ACCESSORIES</v>
      </c>
      <c r="L1384">
        <f>YEAR(Master_ventas[[#This Row],[Order Date]])</f>
        <v>2023</v>
      </c>
      <c r="M1384" t="str">
        <f>CONCATENATE(LEFT(Master_ventas[[#This Row],[ProdUpper]],3),RIGHT(Master_ventas[[#This Row],[Ext-Year]],2),"-",MID(Master_ventas[[#This Row],[Category]],1,1))</f>
        <v>KEY23-A</v>
      </c>
      <c r="N1384" t="str">
        <f>MID(Master_ventas[[#This Row],[ProdUpper]],1,3)</f>
        <v>KEY</v>
      </c>
      <c r="O1384" t="str">
        <f>UPPER(IF(Master_ventas[[#This Row],[Profit]]&gt;500,"High","Std"))</f>
        <v>STD</v>
      </c>
      <c r="P1384">
        <v>1383</v>
      </c>
    </row>
    <row r="1385" spans="1:16" x14ac:dyDescent="0.3">
      <c r="A1385" s="1">
        <v>45588</v>
      </c>
      <c r="B1385" t="s">
        <v>21</v>
      </c>
      <c r="C1385" t="s">
        <v>14</v>
      </c>
      <c r="D1385" t="s">
        <v>9</v>
      </c>
      <c r="E1385">
        <v>1</v>
      </c>
      <c r="F1385" s="3">
        <v>92</v>
      </c>
      <c r="G1385" s="2">
        <v>14.88</v>
      </c>
      <c r="H1385">
        <f>Master_ventas[[#This Row],[Profit]]/Master_ventas[[#This Row],[Sales]]</f>
        <v>0.16173913043478261</v>
      </c>
      <c r="I1385">
        <f ca="1">Referencia_Hoy-Master_ventas[[#This Row],[Order Date]]</f>
        <v>735</v>
      </c>
      <c r="J1385" t="str">
        <f>UPPER(Master_ventas[[#This Row],[Product Name]])</f>
        <v>SMARTPHONE</v>
      </c>
      <c r="K1385" t="str">
        <f>UPPER(Master_ventas[[#This Row],[Category]])</f>
        <v>ELECTRONICS</v>
      </c>
      <c r="L1385">
        <f>YEAR(Master_ventas[[#This Row],[Order Date]])</f>
        <v>2024</v>
      </c>
      <c r="M1385" t="str">
        <f>CONCATENATE(LEFT(Master_ventas[[#This Row],[ProdUpper]],3),RIGHT(Master_ventas[[#This Row],[Ext-Year]],2),"-",MID(Master_ventas[[#This Row],[Category]],1,1))</f>
        <v>SMA24-E</v>
      </c>
      <c r="N1385" t="str">
        <f>MID(Master_ventas[[#This Row],[ProdUpper]],1,3)</f>
        <v>SMA</v>
      </c>
      <c r="O1385" t="str">
        <f>UPPER(IF(Master_ventas[[#This Row],[Profit]]&gt;500,"High","Std"))</f>
        <v>STD</v>
      </c>
      <c r="P1385">
        <v>1384</v>
      </c>
    </row>
    <row r="1386" spans="1:16" x14ac:dyDescent="0.3">
      <c r="A1386" s="1">
        <v>45564</v>
      </c>
      <c r="B1386" t="s">
        <v>22</v>
      </c>
      <c r="C1386" t="s">
        <v>11</v>
      </c>
      <c r="D1386" t="s">
        <v>9</v>
      </c>
      <c r="E1386">
        <v>5</v>
      </c>
      <c r="F1386" s="3">
        <v>1130</v>
      </c>
      <c r="G1386" s="2">
        <v>254.99</v>
      </c>
      <c r="H1386">
        <f>Master_ventas[[#This Row],[Profit]]/Master_ventas[[#This Row],[Sales]]</f>
        <v>0.22565486725663716</v>
      </c>
      <c r="I1386">
        <f ca="1">Referencia_Hoy-Master_ventas[[#This Row],[Order Date]]</f>
        <v>759</v>
      </c>
      <c r="J1386" t="str">
        <f>UPPER(Master_ventas[[#This Row],[Product Name]])</f>
        <v>KEYBOARD</v>
      </c>
      <c r="K1386" t="str">
        <f>UPPER(Master_ventas[[#This Row],[Category]])</f>
        <v>ACCESSORIES</v>
      </c>
      <c r="L1386">
        <f>YEAR(Master_ventas[[#This Row],[Order Date]])</f>
        <v>2024</v>
      </c>
      <c r="M1386" t="str">
        <f>CONCATENATE(LEFT(Master_ventas[[#This Row],[ProdUpper]],3),RIGHT(Master_ventas[[#This Row],[Ext-Year]],2),"-",MID(Master_ventas[[#This Row],[Category]],1,1))</f>
        <v>KEY24-A</v>
      </c>
      <c r="N1386" t="str">
        <f>MID(Master_ventas[[#This Row],[ProdUpper]],1,3)</f>
        <v>KEY</v>
      </c>
      <c r="O1386" t="str">
        <f>UPPER(IF(Master_ventas[[#This Row],[Profit]]&gt;500,"High","Std"))</f>
        <v>STD</v>
      </c>
      <c r="P1386">
        <v>1385</v>
      </c>
    </row>
    <row r="1387" spans="1:16" x14ac:dyDescent="0.3">
      <c r="A1387" s="1">
        <v>45411</v>
      </c>
      <c r="B1387" t="s">
        <v>18</v>
      </c>
      <c r="C1387" t="s">
        <v>11</v>
      </c>
      <c r="D1387" t="s">
        <v>12</v>
      </c>
      <c r="E1387">
        <v>6</v>
      </c>
      <c r="F1387" s="3">
        <v>6024</v>
      </c>
      <c r="G1387" s="2">
        <v>1706.41</v>
      </c>
      <c r="H1387">
        <f>Master_ventas[[#This Row],[Profit]]/Master_ventas[[#This Row],[Sales]]</f>
        <v>0.28326859229747675</v>
      </c>
      <c r="I1387">
        <f ca="1">Referencia_Hoy-Master_ventas[[#This Row],[Order Date]]</f>
        <v>912</v>
      </c>
      <c r="J1387" t="str">
        <f>UPPER(Master_ventas[[#This Row],[Product Name]])</f>
        <v>HEADPHONES</v>
      </c>
      <c r="K1387" t="str">
        <f>UPPER(Master_ventas[[#This Row],[Category]])</f>
        <v>ACCESSORIES</v>
      </c>
      <c r="L1387">
        <f>YEAR(Master_ventas[[#This Row],[Order Date]])</f>
        <v>2024</v>
      </c>
      <c r="M1387" t="str">
        <f>CONCATENATE(LEFT(Master_ventas[[#This Row],[ProdUpper]],3),RIGHT(Master_ventas[[#This Row],[Ext-Year]],2),"-",MID(Master_ventas[[#This Row],[Category]],1,1))</f>
        <v>HEA24-A</v>
      </c>
      <c r="N1387" t="str">
        <f>MID(Master_ventas[[#This Row],[ProdUpper]],1,3)</f>
        <v>HEA</v>
      </c>
      <c r="O1387" t="str">
        <f>UPPER(IF(Master_ventas[[#This Row],[Profit]]&gt;500,"High","Std"))</f>
        <v>HIGH</v>
      </c>
      <c r="P1387">
        <v>1386</v>
      </c>
    </row>
    <row r="1388" spans="1:16" x14ac:dyDescent="0.3">
      <c r="A1388" s="1">
        <v>45307</v>
      </c>
      <c r="B1388" t="s">
        <v>7</v>
      </c>
      <c r="C1388" t="s">
        <v>8</v>
      </c>
      <c r="D1388" t="s">
        <v>15</v>
      </c>
      <c r="E1388">
        <v>1</v>
      </c>
      <c r="F1388" s="3">
        <v>879</v>
      </c>
      <c r="G1388" s="2">
        <v>135</v>
      </c>
      <c r="H1388">
        <f>Master_ventas[[#This Row],[Profit]]/Master_ventas[[#This Row],[Sales]]</f>
        <v>0.15358361774744028</v>
      </c>
      <c r="I1388">
        <f ca="1">Referencia_Hoy-Master_ventas[[#This Row],[Order Date]]</f>
        <v>1016</v>
      </c>
      <c r="J1388" t="str">
        <f>UPPER(Master_ventas[[#This Row],[Product Name]])</f>
        <v>PRINTER</v>
      </c>
      <c r="K1388" t="str">
        <f>UPPER(Master_ventas[[#This Row],[Category]])</f>
        <v>OFFICE</v>
      </c>
      <c r="L1388">
        <f>YEAR(Master_ventas[[#This Row],[Order Date]])</f>
        <v>2024</v>
      </c>
      <c r="M1388" t="str">
        <f>CONCATENATE(LEFT(Master_ventas[[#This Row],[ProdUpper]],3),RIGHT(Master_ventas[[#This Row],[Ext-Year]],2),"-",MID(Master_ventas[[#This Row],[Category]],1,1))</f>
        <v>PRI24-O</v>
      </c>
      <c r="N1388" t="str">
        <f>MID(Master_ventas[[#This Row],[ProdUpper]],1,3)</f>
        <v>PRI</v>
      </c>
      <c r="O1388" t="str">
        <f>UPPER(IF(Master_ventas[[#This Row],[Profit]]&gt;500,"High","Std"))</f>
        <v>STD</v>
      </c>
      <c r="P1388">
        <v>1387</v>
      </c>
    </row>
    <row r="1389" spans="1:16" x14ac:dyDescent="0.3">
      <c r="A1389" s="1">
        <v>44718</v>
      </c>
      <c r="B1389" t="s">
        <v>20</v>
      </c>
      <c r="C1389" t="s">
        <v>11</v>
      </c>
      <c r="D1389" t="s">
        <v>12</v>
      </c>
      <c r="E1389">
        <v>8</v>
      </c>
      <c r="F1389" s="3">
        <v>2384</v>
      </c>
      <c r="G1389" s="2">
        <v>444.98</v>
      </c>
      <c r="H1389">
        <f>Master_ventas[[#This Row],[Profit]]/Master_ventas[[#This Row],[Sales]]</f>
        <v>0.18665268456375839</v>
      </c>
      <c r="I1389">
        <f ca="1">Referencia_Hoy-Master_ventas[[#This Row],[Order Date]]</f>
        <v>1605</v>
      </c>
      <c r="J1389" t="str">
        <f>UPPER(Master_ventas[[#This Row],[Product Name]])</f>
        <v>MONITOR</v>
      </c>
      <c r="K1389" t="str">
        <f>UPPER(Master_ventas[[#This Row],[Category]])</f>
        <v>ACCESSORIES</v>
      </c>
      <c r="L1389">
        <f>YEAR(Master_ventas[[#This Row],[Order Date]])</f>
        <v>2022</v>
      </c>
      <c r="M1389" t="str">
        <f>CONCATENATE(LEFT(Master_ventas[[#This Row],[ProdUpper]],3),RIGHT(Master_ventas[[#This Row],[Ext-Year]],2),"-",MID(Master_ventas[[#This Row],[Category]],1,1))</f>
        <v>MON22-A</v>
      </c>
      <c r="N1389" t="str">
        <f>MID(Master_ventas[[#This Row],[ProdUpper]],1,3)</f>
        <v>MON</v>
      </c>
      <c r="O1389" t="str">
        <f>UPPER(IF(Master_ventas[[#This Row],[Profit]]&gt;500,"High","Std"))</f>
        <v>STD</v>
      </c>
      <c r="P1389">
        <v>1388</v>
      </c>
    </row>
    <row r="1390" spans="1:16" x14ac:dyDescent="0.3">
      <c r="A1390" s="1">
        <v>45651</v>
      </c>
      <c r="B1390" t="s">
        <v>17</v>
      </c>
      <c r="C1390" t="s">
        <v>14</v>
      </c>
      <c r="D1390" t="s">
        <v>15</v>
      </c>
      <c r="E1390">
        <v>4</v>
      </c>
      <c r="F1390" s="3">
        <v>4644</v>
      </c>
      <c r="G1390" s="2">
        <v>277.26</v>
      </c>
      <c r="H1390">
        <f>Master_ventas[[#This Row],[Profit]]/Master_ventas[[#This Row],[Sales]]</f>
        <v>5.9702842377260978E-2</v>
      </c>
      <c r="I1390">
        <f ca="1">Referencia_Hoy-Master_ventas[[#This Row],[Order Date]]</f>
        <v>672</v>
      </c>
      <c r="J1390" t="str">
        <f>UPPER(Master_ventas[[#This Row],[Product Name]])</f>
        <v>CAMERA</v>
      </c>
      <c r="K1390" t="str">
        <f>UPPER(Master_ventas[[#This Row],[Category]])</f>
        <v>ELECTRONICS</v>
      </c>
      <c r="L1390">
        <f>YEAR(Master_ventas[[#This Row],[Order Date]])</f>
        <v>2024</v>
      </c>
      <c r="M1390" t="str">
        <f>CONCATENATE(LEFT(Master_ventas[[#This Row],[ProdUpper]],3),RIGHT(Master_ventas[[#This Row],[Ext-Year]],2),"-",MID(Master_ventas[[#This Row],[Category]],1,1))</f>
        <v>CAM24-E</v>
      </c>
      <c r="N1390" t="str">
        <f>MID(Master_ventas[[#This Row],[ProdUpper]],1,3)</f>
        <v>CAM</v>
      </c>
      <c r="O1390" t="str">
        <f>UPPER(IF(Master_ventas[[#This Row],[Profit]]&gt;500,"High","Std"))</f>
        <v>STD</v>
      </c>
      <c r="P1390">
        <v>1389</v>
      </c>
    </row>
    <row r="1391" spans="1:16" x14ac:dyDescent="0.3">
      <c r="A1391" s="1">
        <v>45386</v>
      </c>
      <c r="B1391" t="s">
        <v>22</v>
      </c>
      <c r="C1391" t="s">
        <v>11</v>
      </c>
      <c r="D1391" t="s">
        <v>12</v>
      </c>
      <c r="E1391">
        <v>1</v>
      </c>
      <c r="F1391" s="3">
        <v>607</v>
      </c>
      <c r="G1391" s="2">
        <v>79.78</v>
      </c>
      <c r="H1391">
        <f>Master_ventas[[#This Row],[Profit]]/Master_ventas[[#This Row],[Sales]]</f>
        <v>0.1314332784184514</v>
      </c>
      <c r="I1391">
        <f ca="1">Referencia_Hoy-Master_ventas[[#This Row],[Order Date]]</f>
        <v>937</v>
      </c>
      <c r="J1391" t="str">
        <f>UPPER(Master_ventas[[#This Row],[Product Name]])</f>
        <v>KEYBOARD</v>
      </c>
      <c r="K1391" t="str">
        <f>UPPER(Master_ventas[[#This Row],[Category]])</f>
        <v>ACCESSORIES</v>
      </c>
      <c r="L1391">
        <f>YEAR(Master_ventas[[#This Row],[Order Date]])</f>
        <v>2024</v>
      </c>
      <c r="M1391" t="str">
        <f>CONCATENATE(LEFT(Master_ventas[[#This Row],[ProdUpper]],3),RIGHT(Master_ventas[[#This Row],[Ext-Year]],2),"-",MID(Master_ventas[[#This Row],[Category]],1,1))</f>
        <v>KEY24-A</v>
      </c>
      <c r="N1391" t="str">
        <f>MID(Master_ventas[[#This Row],[ProdUpper]],1,3)</f>
        <v>KEY</v>
      </c>
      <c r="O1391" t="str">
        <f>UPPER(IF(Master_ventas[[#This Row],[Profit]]&gt;500,"High","Std"))</f>
        <v>STD</v>
      </c>
      <c r="P1391">
        <v>1390</v>
      </c>
    </row>
    <row r="1392" spans="1:16" x14ac:dyDescent="0.3">
      <c r="A1392" s="1">
        <v>44833</v>
      </c>
      <c r="B1392" t="s">
        <v>10</v>
      </c>
      <c r="C1392" t="s">
        <v>11</v>
      </c>
      <c r="D1392" t="s">
        <v>15</v>
      </c>
      <c r="E1392">
        <v>7</v>
      </c>
      <c r="F1392" s="3">
        <v>770</v>
      </c>
      <c r="G1392" s="2">
        <v>129.11000000000001</v>
      </c>
      <c r="H1392">
        <f>Master_ventas[[#This Row],[Profit]]/Master_ventas[[#This Row],[Sales]]</f>
        <v>0.1676753246753247</v>
      </c>
      <c r="I1392">
        <f ca="1">Referencia_Hoy-Master_ventas[[#This Row],[Order Date]]</f>
        <v>1490</v>
      </c>
      <c r="J1392" t="str">
        <f>UPPER(Master_ventas[[#This Row],[Product Name]])</f>
        <v>MOUSE</v>
      </c>
      <c r="K1392" t="str">
        <f>UPPER(Master_ventas[[#This Row],[Category]])</f>
        <v>ACCESSORIES</v>
      </c>
      <c r="L1392">
        <f>YEAR(Master_ventas[[#This Row],[Order Date]])</f>
        <v>2022</v>
      </c>
      <c r="M1392" t="str">
        <f>CONCATENATE(LEFT(Master_ventas[[#This Row],[ProdUpper]],3),RIGHT(Master_ventas[[#This Row],[Ext-Year]],2),"-",MID(Master_ventas[[#This Row],[Category]],1,1))</f>
        <v>MOU22-A</v>
      </c>
      <c r="N1392" t="str">
        <f>MID(Master_ventas[[#This Row],[ProdUpper]],1,3)</f>
        <v>MOU</v>
      </c>
      <c r="O1392" t="str">
        <f>UPPER(IF(Master_ventas[[#This Row],[Profit]]&gt;500,"High","Std"))</f>
        <v>STD</v>
      </c>
      <c r="P1392">
        <v>1391</v>
      </c>
    </row>
    <row r="1393" spans="1:16" x14ac:dyDescent="0.3">
      <c r="A1393" s="1">
        <v>44871</v>
      </c>
      <c r="B1393" t="s">
        <v>22</v>
      </c>
      <c r="C1393" t="s">
        <v>11</v>
      </c>
      <c r="D1393" t="s">
        <v>15</v>
      </c>
      <c r="E1393">
        <v>1</v>
      </c>
      <c r="F1393" s="3">
        <v>711</v>
      </c>
      <c r="G1393" s="2">
        <v>158.88999999999999</v>
      </c>
      <c r="H1393">
        <f>Master_ventas[[#This Row],[Profit]]/Master_ventas[[#This Row],[Sales]]</f>
        <v>0.22347398030942334</v>
      </c>
      <c r="I1393">
        <f ca="1">Referencia_Hoy-Master_ventas[[#This Row],[Order Date]]</f>
        <v>1452</v>
      </c>
      <c r="J1393" t="str">
        <f>UPPER(Master_ventas[[#This Row],[Product Name]])</f>
        <v>KEYBOARD</v>
      </c>
      <c r="K1393" t="str">
        <f>UPPER(Master_ventas[[#This Row],[Category]])</f>
        <v>ACCESSORIES</v>
      </c>
      <c r="L1393">
        <f>YEAR(Master_ventas[[#This Row],[Order Date]])</f>
        <v>2022</v>
      </c>
      <c r="M1393" t="str">
        <f>CONCATENATE(LEFT(Master_ventas[[#This Row],[ProdUpper]],3),RIGHT(Master_ventas[[#This Row],[Ext-Year]],2),"-",MID(Master_ventas[[#This Row],[Category]],1,1))</f>
        <v>KEY22-A</v>
      </c>
      <c r="N1393" t="str">
        <f>MID(Master_ventas[[#This Row],[ProdUpper]],1,3)</f>
        <v>KEY</v>
      </c>
      <c r="O1393" t="str">
        <f>UPPER(IF(Master_ventas[[#This Row],[Profit]]&gt;500,"High","Std"))</f>
        <v>STD</v>
      </c>
      <c r="P1393">
        <v>1392</v>
      </c>
    </row>
    <row r="1394" spans="1:16" x14ac:dyDescent="0.3">
      <c r="A1394" s="1">
        <v>45140</v>
      </c>
      <c r="B1394" t="s">
        <v>22</v>
      </c>
      <c r="C1394" t="s">
        <v>11</v>
      </c>
      <c r="D1394" t="s">
        <v>15</v>
      </c>
      <c r="E1394">
        <v>2</v>
      </c>
      <c r="F1394" s="3">
        <v>1088</v>
      </c>
      <c r="G1394" s="2">
        <v>235.83</v>
      </c>
      <c r="H1394">
        <f>Master_ventas[[#This Row],[Profit]]/Master_ventas[[#This Row],[Sales]]</f>
        <v>0.21675551470588236</v>
      </c>
      <c r="I1394">
        <f ca="1">Referencia_Hoy-Master_ventas[[#This Row],[Order Date]]</f>
        <v>1183</v>
      </c>
      <c r="J1394" t="str">
        <f>UPPER(Master_ventas[[#This Row],[Product Name]])</f>
        <v>KEYBOARD</v>
      </c>
      <c r="K1394" t="str">
        <f>UPPER(Master_ventas[[#This Row],[Category]])</f>
        <v>ACCESSORIES</v>
      </c>
      <c r="L1394">
        <f>YEAR(Master_ventas[[#This Row],[Order Date]])</f>
        <v>2023</v>
      </c>
      <c r="M1394" t="str">
        <f>CONCATENATE(LEFT(Master_ventas[[#This Row],[ProdUpper]],3),RIGHT(Master_ventas[[#This Row],[Ext-Year]],2),"-",MID(Master_ventas[[#This Row],[Category]],1,1))</f>
        <v>KEY23-A</v>
      </c>
      <c r="N1394" t="str">
        <f>MID(Master_ventas[[#This Row],[ProdUpper]],1,3)</f>
        <v>KEY</v>
      </c>
      <c r="O1394" t="str">
        <f>UPPER(IF(Master_ventas[[#This Row],[Profit]]&gt;500,"High","Std"))</f>
        <v>STD</v>
      </c>
      <c r="P1394">
        <v>1393</v>
      </c>
    </row>
    <row r="1395" spans="1:16" x14ac:dyDescent="0.3">
      <c r="A1395" s="1">
        <v>45356</v>
      </c>
      <c r="B1395" t="s">
        <v>23</v>
      </c>
      <c r="C1395" t="s">
        <v>14</v>
      </c>
      <c r="D1395" t="s">
        <v>12</v>
      </c>
      <c r="E1395">
        <v>7</v>
      </c>
      <c r="F1395" s="3">
        <v>4704</v>
      </c>
      <c r="G1395" s="2">
        <v>513.14</v>
      </c>
      <c r="H1395">
        <f>Master_ventas[[#This Row],[Profit]]/Master_ventas[[#This Row],[Sales]]</f>
        <v>0.10908588435374149</v>
      </c>
      <c r="I1395">
        <f ca="1">Referencia_Hoy-Master_ventas[[#This Row],[Order Date]]</f>
        <v>967</v>
      </c>
      <c r="J1395" t="str">
        <f>UPPER(Master_ventas[[#This Row],[Product Name]])</f>
        <v>LAPTOP</v>
      </c>
      <c r="K1395" t="str">
        <f>UPPER(Master_ventas[[#This Row],[Category]])</f>
        <v>ELECTRONICS</v>
      </c>
      <c r="L1395">
        <f>YEAR(Master_ventas[[#This Row],[Order Date]])</f>
        <v>2024</v>
      </c>
      <c r="M1395" t="str">
        <f>CONCATENATE(LEFT(Master_ventas[[#This Row],[ProdUpper]],3),RIGHT(Master_ventas[[#This Row],[Ext-Year]],2),"-",MID(Master_ventas[[#This Row],[Category]],1,1))</f>
        <v>LAP24-E</v>
      </c>
      <c r="N1395" t="str">
        <f>MID(Master_ventas[[#This Row],[ProdUpper]],1,3)</f>
        <v>LAP</v>
      </c>
      <c r="O1395" t="str">
        <f>UPPER(IF(Master_ventas[[#This Row],[Profit]]&gt;500,"High","Std"))</f>
        <v>HIGH</v>
      </c>
      <c r="P1395">
        <v>1394</v>
      </c>
    </row>
    <row r="1396" spans="1:16" x14ac:dyDescent="0.3">
      <c r="A1396" s="1">
        <v>44910</v>
      </c>
      <c r="B1396" t="s">
        <v>23</v>
      </c>
      <c r="C1396" t="s">
        <v>14</v>
      </c>
      <c r="D1396" t="s">
        <v>12</v>
      </c>
      <c r="E1396">
        <v>5</v>
      </c>
      <c r="F1396" s="3">
        <v>660</v>
      </c>
      <c r="G1396" s="2">
        <v>90.86</v>
      </c>
      <c r="H1396">
        <f>Master_ventas[[#This Row],[Profit]]/Master_ventas[[#This Row],[Sales]]</f>
        <v>0.13766666666666666</v>
      </c>
      <c r="I1396">
        <f ca="1">Referencia_Hoy-Master_ventas[[#This Row],[Order Date]]</f>
        <v>1413</v>
      </c>
      <c r="J1396" t="str">
        <f>UPPER(Master_ventas[[#This Row],[Product Name]])</f>
        <v>LAPTOP</v>
      </c>
      <c r="K1396" t="str">
        <f>UPPER(Master_ventas[[#This Row],[Category]])</f>
        <v>ELECTRONICS</v>
      </c>
      <c r="L1396">
        <f>YEAR(Master_ventas[[#This Row],[Order Date]])</f>
        <v>2022</v>
      </c>
      <c r="M1396" t="str">
        <f>CONCATENATE(LEFT(Master_ventas[[#This Row],[ProdUpper]],3),RIGHT(Master_ventas[[#This Row],[Ext-Year]],2),"-",MID(Master_ventas[[#This Row],[Category]],1,1))</f>
        <v>LAP22-E</v>
      </c>
      <c r="N1396" t="str">
        <f>MID(Master_ventas[[#This Row],[ProdUpper]],1,3)</f>
        <v>LAP</v>
      </c>
      <c r="O1396" t="str">
        <f>UPPER(IF(Master_ventas[[#This Row],[Profit]]&gt;500,"High","Std"))</f>
        <v>STD</v>
      </c>
      <c r="P1396">
        <v>1395</v>
      </c>
    </row>
    <row r="1397" spans="1:16" x14ac:dyDescent="0.3">
      <c r="A1397" s="1">
        <v>44890</v>
      </c>
      <c r="B1397" t="s">
        <v>18</v>
      </c>
      <c r="C1397" t="s">
        <v>11</v>
      </c>
      <c r="D1397" t="s">
        <v>15</v>
      </c>
      <c r="E1397">
        <v>5</v>
      </c>
      <c r="F1397" s="3">
        <v>4680</v>
      </c>
      <c r="G1397" s="2">
        <v>516.26</v>
      </c>
      <c r="H1397">
        <f>Master_ventas[[#This Row],[Profit]]/Master_ventas[[#This Row],[Sales]]</f>
        <v>0.11031196581196581</v>
      </c>
      <c r="I1397">
        <f ca="1">Referencia_Hoy-Master_ventas[[#This Row],[Order Date]]</f>
        <v>1433</v>
      </c>
      <c r="J1397" t="str">
        <f>UPPER(Master_ventas[[#This Row],[Product Name]])</f>
        <v>HEADPHONES</v>
      </c>
      <c r="K1397" t="str">
        <f>UPPER(Master_ventas[[#This Row],[Category]])</f>
        <v>ACCESSORIES</v>
      </c>
      <c r="L1397">
        <f>YEAR(Master_ventas[[#This Row],[Order Date]])</f>
        <v>2022</v>
      </c>
      <c r="M1397" t="str">
        <f>CONCATENATE(LEFT(Master_ventas[[#This Row],[ProdUpper]],3),RIGHT(Master_ventas[[#This Row],[Ext-Year]],2),"-",MID(Master_ventas[[#This Row],[Category]],1,1))</f>
        <v>HEA22-A</v>
      </c>
      <c r="N1397" t="str">
        <f>MID(Master_ventas[[#This Row],[ProdUpper]],1,3)</f>
        <v>HEA</v>
      </c>
      <c r="O1397" t="str">
        <f>UPPER(IF(Master_ventas[[#This Row],[Profit]]&gt;500,"High","Std"))</f>
        <v>HIGH</v>
      </c>
      <c r="P1397">
        <v>1396</v>
      </c>
    </row>
    <row r="1398" spans="1:16" x14ac:dyDescent="0.3">
      <c r="A1398" s="1">
        <v>44840</v>
      </c>
      <c r="B1398" t="s">
        <v>17</v>
      </c>
      <c r="C1398" t="s">
        <v>14</v>
      </c>
      <c r="D1398" t="s">
        <v>12</v>
      </c>
      <c r="E1398">
        <v>7</v>
      </c>
      <c r="F1398" s="3">
        <v>6797</v>
      </c>
      <c r="G1398" s="2">
        <v>665.29</v>
      </c>
      <c r="H1398">
        <f>Master_ventas[[#This Row],[Profit]]/Master_ventas[[#This Row],[Sales]]</f>
        <v>9.7879947035456813E-2</v>
      </c>
      <c r="I1398">
        <f ca="1">Referencia_Hoy-Master_ventas[[#This Row],[Order Date]]</f>
        <v>1483</v>
      </c>
      <c r="J1398" t="str">
        <f>UPPER(Master_ventas[[#This Row],[Product Name]])</f>
        <v>CAMERA</v>
      </c>
      <c r="K1398" t="str">
        <f>UPPER(Master_ventas[[#This Row],[Category]])</f>
        <v>ELECTRONICS</v>
      </c>
      <c r="L1398">
        <f>YEAR(Master_ventas[[#This Row],[Order Date]])</f>
        <v>2022</v>
      </c>
      <c r="M1398" t="str">
        <f>CONCATENATE(LEFT(Master_ventas[[#This Row],[ProdUpper]],3),RIGHT(Master_ventas[[#This Row],[Ext-Year]],2),"-",MID(Master_ventas[[#This Row],[Category]],1,1))</f>
        <v>CAM22-E</v>
      </c>
      <c r="N1398" t="str">
        <f>MID(Master_ventas[[#This Row],[ProdUpper]],1,3)</f>
        <v>CAM</v>
      </c>
      <c r="O1398" t="str">
        <f>UPPER(IF(Master_ventas[[#This Row],[Profit]]&gt;500,"High","Std"))</f>
        <v>HIGH</v>
      </c>
      <c r="P1398">
        <v>1397</v>
      </c>
    </row>
    <row r="1399" spans="1:16" x14ac:dyDescent="0.3">
      <c r="A1399" s="1">
        <v>45637</v>
      </c>
      <c r="B1399" t="s">
        <v>10</v>
      </c>
      <c r="C1399" t="s">
        <v>11</v>
      </c>
      <c r="D1399" t="s">
        <v>9</v>
      </c>
      <c r="E1399">
        <v>9</v>
      </c>
      <c r="F1399" s="3">
        <v>558</v>
      </c>
      <c r="G1399" s="2">
        <v>38.86</v>
      </c>
      <c r="H1399">
        <f>Master_ventas[[#This Row],[Profit]]/Master_ventas[[#This Row],[Sales]]</f>
        <v>6.9641577060931895E-2</v>
      </c>
      <c r="I1399">
        <f ca="1">Referencia_Hoy-Master_ventas[[#This Row],[Order Date]]</f>
        <v>686</v>
      </c>
      <c r="J1399" t="str">
        <f>UPPER(Master_ventas[[#This Row],[Product Name]])</f>
        <v>MOUSE</v>
      </c>
      <c r="K1399" t="str">
        <f>UPPER(Master_ventas[[#This Row],[Category]])</f>
        <v>ACCESSORIES</v>
      </c>
      <c r="L1399">
        <f>YEAR(Master_ventas[[#This Row],[Order Date]])</f>
        <v>2024</v>
      </c>
      <c r="M1399" t="str">
        <f>CONCATENATE(LEFT(Master_ventas[[#This Row],[ProdUpper]],3),RIGHT(Master_ventas[[#This Row],[Ext-Year]],2),"-",MID(Master_ventas[[#This Row],[Category]],1,1))</f>
        <v>MOU24-A</v>
      </c>
      <c r="N1399" t="str">
        <f>MID(Master_ventas[[#This Row],[ProdUpper]],1,3)</f>
        <v>MOU</v>
      </c>
      <c r="O1399" t="str">
        <f>UPPER(IF(Master_ventas[[#This Row],[Profit]]&gt;500,"High","Std"))</f>
        <v>STD</v>
      </c>
      <c r="P1399">
        <v>1398</v>
      </c>
    </row>
    <row r="1400" spans="1:16" x14ac:dyDescent="0.3">
      <c r="A1400" s="1">
        <v>45182</v>
      </c>
      <c r="B1400" t="s">
        <v>20</v>
      </c>
      <c r="C1400" t="s">
        <v>11</v>
      </c>
      <c r="D1400" t="s">
        <v>12</v>
      </c>
      <c r="E1400">
        <v>4</v>
      </c>
      <c r="F1400" s="3">
        <v>4496</v>
      </c>
      <c r="G1400" s="2">
        <v>1115.75</v>
      </c>
      <c r="H1400">
        <f>Master_ventas[[#This Row],[Profit]]/Master_ventas[[#This Row],[Sales]]</f>
        <v>0.24816503558718861</v>
      </c>
      <c r="I1400">
        <f ca="1">Referencia_Hoy-Master_ventas[[#This Row],[Order Date]]</f>
        <v>1141</v>
      </c>
      <c r="J1400" t="str">
        <f>UPPER(Master_ventas[[#This Row],[Product Name]])</f>
        <v>MONITOR</v>
      </c>
      <c r="K1400" t="str">
        <f>UPPER(Master_ventas[[#This Row],[Category]])</f>
        <v>ACCESSORIES</v>
      </c>
      <c r="L1400">
        <f>YEAR(Master_ventas[[#This Row],[Order Date]])</f>
        <v>2023</v>
      </c>
      <c r="M1400" t="str">
        <f>CONCATENATE(LEFT(Master_ventas[[#This Row],[ProdUpper]],3),RIGHT(Master_ventas[[#This Row],[Ext-Year]],2),"-",MID(Master_ventas[[#This Row],[Category]],1,1))</f>
        <v>MON23-A</v>
      </c>
      <c r="N1400" t="str">
        <f>MID(Master_ventas[[#This Row],[ProdUpper]],1,3)</f>
        <v>MON</v>
      </c>
      <c r="O1400" t="str">
        <f>UPPER(IF(Master_ventas[[#This Row],[Profit]]&gt;500,"High","Std"))</f>
        <v>HIGH</v>
      </c>
      <c r="P1400">
        <v>1399</v>
      </c>
    </row>
    <row r="1401" spans="1:16" x14ac:dyDescent="0.3">
      <c r="A1401" s="1">
        <v>44709</v>
      </c>
      <c r="B1401" t="s">
        <v>22</v>
      </c>
      <c r="C1401" t="s">
        <v>11</v>
      </c>
      <c r="D1401" t="s">
        <v>15</v>
      </c>
      <c r="E1401">
        <v>1</v>
      </c>
      <c r="F1401" s="3">
        <v>713</v>
      </c>
      <c r="G1401" s="2">
        <v>62.78</v>
      </c>
      <c r="H1401">
        <f>Master_ventas[[#This Row],[Profit]]/Master_ventas[[#This Row],[Sales]]</f>
        <v>8.805049088359046E-2</v>
      </c>
      <c r="I1401">
        <f ca="1">Referencia_Hoy-Master_ventas[[#This Row],[Order Date]]</f>
        <v>1614</v>
      </c>
      <c r="J1401" t="str">
        <f>UPPER(Master_ventas[[#This Row],[Product Name]])</f>
        <v>KEYBOARD</v>
      </c>
      <c r="K1401" t="str">
        <f>UPPER(Master_ventas[[#This Row],[Category]])</f>
        <v>ACCESSORIES</v>
      </c>
      <c r="L1401">
        <f>YEAR(Master_ventas[[#This Row],[Order Date]])</f>
        <v>2022</v>
      </c>
      <c r="M1401" t="str">
        <f>CONCATENATE(LEFT(Master_ventas[[#This Row],[ProdUpper]],3),RIGHT(Master_ventas[[#This Row],[Ext-Year]],2),"-",MID(Master_ventas[[#This Row],[Category]],1,1))</f>
        <v>KEY22-A</v>
      </c>
      <c r="N1401" t="str">
        <f>MID(Master_ventas[[#This Row],[ProdUpper]],1,3)</f>
        <v>KEY</v>
      </c>
      <c r="O1401" t="str">
        <f>UPPER(IF(Master_ventas[[#This Row],[Profit]]&gt;500,"High","Std"))</f>
        <v>STD</v>
      </c>
      <c r="P1401">
        <v>1400</v>
      </c>
    </row>
    <row r="1402" spans="1:16" x14ac:dyDescent="0.3">
      <c r="A1402" s="1">
        <v>44790</v>
      </c>
      <c r="B1402" t="s">
        <v>17</v>
      </c>
      <c r="C1402" t="s">
        <v>14</v>
      </c>
      <c r="D1402" t="s">
        <v>12</v>
      </c>
      <c r="E1402">
        <v>2</v>
      </c>
      <c r="F1402" s="3">
        <v>1310</v>
      </c>
      <c r="G1402" s="2">
        <v>212.43</v>
      </c>
      <c r="H1402">
        <f>Master_ventas[[#This Row],[Profit]]/Master_ventas[[#This Row],[Sales]]</f>
        <v>0.16216030534351145</v>
      </c>
      <c r="I1402">
        <f ca="1">Referencia_Hoy-Master_ventas[[#This Row],[Order Date]]</f>
        <v>1533</v>
      </c>
      <c r="J1402" t="str">
        <f>UPPER(Master_ventas[[#This Row],[Product Name]])</f>
        <v>CAMERA</v>
      </c>
      <c r="K1402" t="str">
        <f>UPPER(Master_ventas[[#This Row],[Category]])</f>
        <v>ELECTRONICS</v>
      </c>
      <c r="L1402">
        <f>YEAR(Master_ventas[[#This Row],[Order Date]])</f>
        <v>2022</v>
      </c>
      <c r="M1402" t="str">
        <f>CONCATENATE(LEFT(Master_ventas[[#This Row],[ProdUpper]],3),RIGHT(Master_ventas[[#This Row],[Ext-Year]],2),"-",MID(Master_ventas[[#This Row],[Category]],1,1))</f>
        <v>CAM22-E</v>
      </c>
      <c r="N1402" t="str">
        <f>MID(Master_ventas[[#This Row],[ProdUpper]],1,3)</f>
        <v>CAM</v>
      </c>
      <c r="O1402" t="str">
        <f>UPPER(IF(Master_ventas[[#This Row],[Profit]]&gt;500,"High","Std"))</f>
        <v>STD</v>
      </c>
      <c r="P1402">
        <v>1401</v>
      </c>
    </row>
    <row r="1403" spans="1:16" x14ac:dyDescent="0.3">
      <c r="A1403" s="1">
        <v>45596</v>
      </c>
      <c r="B1403" t="s">
        <v>22</v>
      </c>
      <c r="C1403" t="s">
        <v>11</v>
      </c>
      <c r="D1403" t="s">
        <v>16</v>
      </c>
      <c r="E1403">
        <v>9</v>
      </c>
      <c r="F1403" s="3">
        <v>2853</v>
      </c>
      <c r="G1403" s="2">
        <v>564.04999999999995</v>
      </c>
      <c r="H1403">
        <f>Master_ventas[[#This Row],[Profit]]/Master_ventas[[#This Row],[Sales]]</f>
        <v>0.1977041710480196</v>
      </c>
      <c r="I1403">
        <f ca="1">Referencia_Hoy-Master_ventas[[#This Row],[Order Date]]</f>
        <v>727</v>
      </c>
      <c r="J1403" t="str">
        <f>UPPER(Master_ventas[[#This Row],[Product Name]])</f>
        <v>KEYBOARD</v>
      </c>
      <c r="K1403" t="str">
        <f>UPPER(Master_ventas[[#This Row],[Category]])</f>
        <v>ACCESSORIES</v>
      </c>
      <c r="L1403">
        <f>YEAR(Master_ventas[[#This Row],[Order Date]])</f>
        <v>2024</v>
      </c>
      <c r="M1403" t="str">
        <f>CONCATENATE(LEFT(Master_ventas[[#This Row],[ProdUpper]],3),RIGHT(Master_ventas[[#This Row],[Ext-Year]],2),"-",MID(Master_ventas[[#This Row],[Category]],1,1))</f>
        <v>KEY24-A</v>
      </c>
      <c r="N1403" t="str">
        <f>MID(Master_ventas[[#This Row],[ProdUpper]],1,3)</f>
        <v>KEY</v>
      </c>
      <c r="O1403" t="str">
        <f>UPPER(IF(Master_ventas[[#This Row],[Profit]]&gt;500,"High","Std"))</f>
        <v>HIGH</v>
      </c>
      <c r="P1403">
        <v>1402</v>
      </c>
    </row>
    <row r="1404" spans="1:16" x14ac:dyDescent="0.3">
      <c r="A1404" s="1">
        <v>45250</v>
      </c>
      <c r="B1404" t="s">
        <v>17</v>
      </c>
      <c r="C1404" t="s">
        <v>14</v>
      </c>
      <c r="D1404" t="s">
        <v>15</v>
      </c>
      <c r="E1404">
        <v>2</v>
      </c>
      <c r="F1404" s="3">
        <v>2324</v>
      </c>
      <c r="G1404" s="2">
        <v>516.05999999999995</v>
      </c>
      <c r="H1404">
        <f>Master_ventas[[#This Row],[Profit]]/Master_ventas[[#This Row],[Sales]]</f>
        <v>0.22205679862306366</v>
      </c>
      <c r="I1404">
        <f ca="1">Referencia_Hoy-Master_ventas[[#This Row],[Order Date]]</f>
        <v>1073</v>
      </c>
      <c r="J1404" t="str">
        <f>UPPER(Master_ventas[[#This Row],[Product Name]])</f>
        <v>CAMERA</v>
      </c>
      <c r="K1404" t="str">
        <f>UPPER(Master_ventas[[#This Row],[Category]])</f>
        <v>ELECTRONICS</v>
      </c>
      <c r="L1404">
        <f>YEAR(Master_ventas[[#This Row],[Order Date]])</f>
        <v>2023</v>
      </c>
      <c r="M1404" t="str">
        <f>CONCATENATE(LEFT(Master_ventas[[#This Row],[ProdUpper]],3),RIGHT(Master_ventas[[#This Row],[Ext-Year]],2),"-",MID(Master_ventas[[#This Row],[Category]],1,1))</f>
        <v>CAM23-E</v>
      </c>
      <c r="N1404" t="str">
        <f>MID(Master_ventas[[#This Row],[ProdUpper]],1,3)</f>
        <v>CAM</v>
      </c>
      <c r="O1404" t="str">
        <f>UPPER(IF(Master_ventas[[#This Row],[Profit]]&gt;500,"High","Std"))</f>
        <v>HIGH</v>
      </c>
      <c r="P1404">
        <v>1403</v>
      </c>
    </row>
    <row r="1405" spans="1:16" x14ac:dyDescent="0.3">
      <c r="A1405" s="1">
        <v>45398</v>
      </c>
      <c r="B1405" t="s">
        <v>23</v>
      </c>
      <c r="C1405" t="s">
        <v>14</v>
      </c>
      <c r="D1405" t="s">
        <v>9</v>
      </c>
      <c r="E1405">
        <v>1</v>
      </c>
      <c r="F1405" s="3">
        <v>330</v>
      </c>
      <c r="G1405" s="2">
        <v>53.42</v>
      </c>
      <c r="H1405">
        <f>Master_ventas[[#This Row],[Profit]]/Master_ventas[[#This Row],[Sales]]</f>
        <v>0.16187878787878787</v>
      </c>
      <c r="I1405">
        <f ca="1">Referencia_Hoy-Master_ventas[[#This Row],[Order Date]]</f>
        <v>925</v>
      </c>
      <c r="J1405" t="str">
        <f>UPPER(Master_ventas[[#This Row],[Product Name]])</f>
        <v>LAPTOP</v>
      </c>
      <c r="K1405" t="str">
        <f>UPPER(Master_ventas[[#This Row],[Category]])</f>
        <v>ELECTRONICS</v>
      </c>
      <c r="L1405">
        <f>YEAR(Master_ventas[[#This Row],[Order Date]])</f>
        <v>2024</v>
      </c>
      <c r="M1405" t="str">
        <f>CONCATENATE(LEFT(Master_ventas[[#This Row],[ProdUpper]],3),RIGHT(Master_ventas[[#This Row],[Ext-Year]],2),"-",MID(Master_ventas[[#This Row],[Category]],1,1))</f>
        <v>LAP24-E</v>
      </c>
      <c r="N1405" t="str">
        <f>MID(Master_ventas[[#This Row],[ProdUpper]],1,3)</f>
        <v>LAP</v>
      </c>
      <c r="O1405" t="str">
        <f>UPPER(IF(Master_ventas[[#This Row],[Profit]]&gt;500,"High","Std"))</f>
        <v>STD</v>
      </c>
      <c r="P1405">
        <v>1404</v>
      </c>
    </row>
    <row r="1406" spans="1:16" x14ac:dyDescent="0.3">
      <c r="A1406" s="1">
        <v>45191</v>
      </c>
      <c r="B1406" t="s">
        <v>17</v>
      </c>
      <c r="C1406" t="s">
        <v>14</v>
      </c>
      <c r="D1406" t="s">
        <v>15</v>
      </c>
      <c r="E1406">
        <v>3</v>
      </c>
      <c r="F1406" s="3">
        <v>588</v>
      </c>
      <c r="G1406" s="2">
        <v>100.52</v>
      </c>
      <c r="H1406">
        <f>Master_ventas[[#This Row],[Profit]]/Master_ventas[[#This Row],[Sales]]</f>
        <v>0.17095238095238094</v>
      </c>
      <c r="I1406">
        <f ca="1">Referencia_Hoy-Master_ventas[[#This Row],[Order Date]]</f>
        <v>1132</v>
      </c>
      <c r="J1406" t="str">
        <f>UPPER(Master_ventas[[#This Row],[Product Name]])</f>
        <v>CAMERA</v>
      </c>
      <c r="K1406" t="str">
        <f>UPPER(Master_ventas[[#This Row],[Category]])</f>
        <v>ELECTRONICS</v>
      </c>
      <c r="L1406">
        <f>YEAR(Master_ventas[[#This Row],[Order Date]])</f>
        <v>2023</v>
      </c>
      <c r="M1406" t="str">
        <f>CONCATENATE(LEFT(Master_ventas[[#This Row],[ProdUpper]],3),RIGHT(Master_ventas[[#This Row],[Ext-Year]],2),"-",MID(Master_ventas[[#This Row],[Category]],1,1))</f>
        <v>CAM23-E</v>
      </c>
      <c r="N1406" t="str">
        <f>MID(Master_ventas[[#This Row],[ProdUpper]],1,3)</f>
        <v>CAM</v>
      </c>
      <c r="O1406" t="str">
        <f>UPPER(IF(Master_ventas[[#This Row],[Profit]]&gt;500,"High","Std"))</f>
        <v>STD</v>
      </c>
      <c r="P1406">
        <v>1405</v>
      </c>
    </row>
    <row r="1407" spans="1:16" x14ac:dyDescent="0.3">
      <c r="A1407" s="1">
        <v>45419</v>
      </c>
      <c r="B1407" t="s">
        <v>21</v>
      </c>
      <c r="C1407" t="s">
        <v>14</v>
      </c>
      <c r="D1407" t="s">
        <v>12</v>
      </c>
      <c r="E1407">
        <v>1</v>
      </c>
      <c r="F1407" s="3">
        <v>63</v>
      </c>
      <c r="G1407" s="2">
        <v>11.91</v>
      </c>
      <c r="H1407">
        <f>Master_ventas[[#This Row],[Profit]]/Master_ventas[[#This Row],[Sales]]</f>
        <v>0.18904761904761905</v>
      </c>
      <c r="I1407">
        <f ca="1">Referencia_Hoy-Master_ventas[[#This Row],[Order Date]]</f>
        <v>904</v>
      </c>
      <c r="J1407" t="str">
        <f>UPPER(Master_ventas[[#This Row],[Product Name]])</f>
        <v>SMARTPHONE</v>
      </c>
      <c r="K1407" t="str">
        <f>UPPER(Master_ventas[[#This Row],[Category]])</f>
        <v>ELECTRONICS</v>
      </c>
      <c r="L1407">
        <f>YEAR(Master_ventas[[#This Row],[Order Date]])</f>
        <v>2024</v>
      </c>
      <c r="M1407" t="str">
        <f>CONCATENATE(LEFT(Master_ventas[[#This Row],[ProdUpper]],3),RIGHT(Master_ventas[[#This Row],[Ext-Year]],2),"-",MID(Master_ventas[[#This Row],[Category]],1,1))</f>
        <v>SMA24-E</v>
      </c>
      <c r="N1407" t="str">
        <f>MID(Master_ventas[[#This Row],[ProdUpper]],1,3)</f>
        <v>SMA</v>
      </c>
      <c r="O1407" t="str">
        <f>UPPER(IF(Master_ventas[[#This Row],[Profit]]&gt;500,"High","Std"))</f>
        <v>STD</v>
      </c>
      <c r="P1407">
        <v>1406</v>
      </c>
    </row>
    <row r="1408" spans="1:16" x14ac:dyDescent="0.3">
      <c r="A1408" s="1">
        <v>44635</v>
      </c>
      <c r="B1408" t="s">
        <v>13</v>
      </c>
      <c r="C1408" t="s">
        <v>14</v>
      </c>
      <c r="D1408" t="s">
        <v>12</v>
      </c>
      <c r="E1408">
        <v>7</v>
      </c>
      <c r="F1408" s="3">
        <v>847</v>
      </c>
      <c r="G1408" s="2">
        <v>147.71</v>
      </c>
      <c r="H1408">
        <f>Master_ventas[[#This Row],[Profit]]/Master_ventas[[#This Row],[Sales]]</f>
        <v>0.17439197166469894</v>
      </c>
      <c r="I1408">
        <f ca="1">Referencia_Hoy-Master_ventas[[#This Row],[Order Date]]</f>
        <v>1688</v>
      </c>
      <c r="J1408" t="str">
        <f>UPPER(Master_ventas[[#This Row],[Product Name]])</f>
        <v>TABLET</v>
      </c>
      <c r="K1408" t="str">
        <f>UPPER(Master_ventas[[#This Row],[Category]])</f>
        <v>ELECTRONICS</v>
      </c>
      <c r="L1408">
        <f>YEAR(Master_ventas[[#This Row],[Order Date]])</f>
        <v>2022</v>
      </c>
      <c r="M1408" t="str">
        <f>CONCATENATE(LEFT(Master_ventas[[#This Row],[ProdUpper]],3),RIGHT(Master_ventas[[#This Row],[Ext-Year]],2),"-",MID(Master_ventas[[#This Row],[Category]],1,1))</f>
        <v>TAB22-E</v>
      </c>
      <c r="N1408" t="str">
        <f>MID(Master_ventas[[#This Row],[ProdUpper]],1,3)</f>
        <v>TAB</v>
      </c>
      <c r="O1408" t="str">
        <f>UPPER(IF(Master_ventas[[#This Row],[Profit]]&gt;500,"High","Std"))</f>
        <v>STD</v>
      </c>
      <c r="P1408">
        <v>1407</v>
      </c>
    </row>
    <row r="1409" spans="1:16" x14ac:dyDescent="0.3">
      <c r="A1409" s="1">
        <v>45471</v>
      </c>
      <c r="B1409" t="s">
        <v>7</v>
      </c>
      <c r="C1409" t="s">
        <v>8</v>
      </c>
      <c r="D1409" t="s">
        <v>12</v>
      </c>
      <c r="E1409">
        <v>1</v>
      </c>
      <c r="F1409" s="3">
        <v>1037</v>
      </c>
      <c r="G1409" s="2">
        <v>56.89</v>
      </c>
      <c r="H1409">
        <f>Master_ventas[[#This Row],[Profit]]/Master_ventas[[#This Row],[Sales]]</f>
        <v>5.486017357762777E-2</v>
      </c>
      <c r="I1409">
        <f ca="1">Referencia_Hoy-Master_ventas[[#This Row],[Order Date]]</f>
        <v>852</v>
      </c>
      <c r="J1409" t="str">
        <f>UPPER(Master_ventas[[#This Row],[Product Name]])</f>
        <v>PRINTER</v>
      </c>
      <c r="K1409" t="str">
        <f>UPPER(Master_ventas[[#This Row],[Category]])</f>
        <v>OFFICE</v>
      </c>
      <c r="L1409">
        <f>YEAR(Master_ventas[[#This Row],[Order Date]])</f>
        <v>2024</v>
      </c>
      <c r="M1409" t="str">
        <f>CONCATENATE(LEFT(Master_ventas[[#This Row],[ProdUpper]],3),RIGHT(Master_ventas[[#This Row],[Ext-Year]],2),"-",MID(Master_ventas[[#This Row],[Category]],1,1))</f>
        <v>PRI24-O</v>
      </c>
      <c r="N1409" t="str">
        <f>MID(Master_ventas[[#This Row],[ProdUpper]],1,3)</f>
        <v>PRI</v>
      </c>
      <c r="O1409" t="str">
        <f>UPPER(IF(Master_ventas[[#This Row],[Profit]]&gt;500,"High","Std"))</f>
        <v>STD</v>
      </c>
      <c r="P1409">
        <v>1408</v>
      </c>
    </row>
    <row r="1410" spans="1:16" x14ac:dyDescent="0.3">
      <c r="A1410" s="1">
        <v>45297</v>
      </c>
      <c r="B1410" t="s">
        <v>10</v>
      </c>
      <c r="C1410" t="s">
        <v>11</v>
      </c>
      <c r="D1410" t="s">
        <v>9</v>
      </c>
      <c r="E1410">
        <v>1</v>
      </c>
      <c r="F1410" s="3">
        <v>373</v>
      </c>
      <c r="G1410" s="2">
        <v>72.17</v>
      </c>
      <c r="H1410">
        <f>Master_ventas[[#This Row],[Profit]]/Master_ventas[[#This Row],[Sales]]</f>
        <v>0.19348525469168901</v>
      </c>
      <c r="I1410">
        <f ca="1">Referencia_Hoy-Master_ventas[[#This Row],[Order Date]]</f>
        <v>1026</v>
      </c>
      <c r="J1410" t="str">
        <f>UPPER(Master_ventas[[#This Row],[Product Name]])</f>
        <v>MOUSE</v>
      </c>
      <c r="K1410" t="str">
        <f>UPPER(Master_ventas[[#This Row],[Category]])</f>
        <v>ACCESSORIES</v>
      </c>
      <c r="L1410">
        <f>YEAR(Master_ventas[[#This Row],[Order Date]])</f>
        <v>2024</v>
      </c>
      <c r="M1410" t="str">
        <f>CONCATENATE(LEFT(Master_ventas[[#This Row],[ProdUpper]],3),RIGHT(Master_ventas[[#This Row],[Ext-Year]],2),"-",MID(Master_ventas[[#This Row],[Category]],1,1))</f>
        <v>MOU24-A</v>
      </c>
      <c r="N1410" t="str">
        <f>MID(Master_ventas[[#This Row],[ProdUpper]],1,3)</f>
        <v>MOU</v>
      </c>
      <c r="O1410" t="str">
        <f>UPPER(IF(Master_ventas[[#This Row],[Profit]]&gt;500,"High","Std"))</f>
        <v>STD</v>
      </c>
      <c r="P1410">
        <v>1409</v>
      </c>
    </row>
    <row r="1411" spans="1:16" x14ac:dyDescent="0.3">
      <c r="A1411" s="1">
        <v>45280</v>
      </c>
      <c r="B1411" t="s">
        <v>23</v>
      </c>
      <c r="C1411" t="s">
        <v>14</v>
      </c>
      <c r="D1411" t="s">
        <v>9</v>
      </c>
      <c r="E1411">
        <v>1</v>
      </c>
      <c r="F1411" s="3">
        <v>1176</v>
      </c>
      <c r="G1411" s="2">
        <v>157.47</v>
      </c>
      <c r="H1411">
        <f>Master_ventas[[#This Row],[Profit]]/Master_ventas[[#This Row],[Sales]]</f>
        <v>0.13390306122448981</v>
      </c>
      <c r="I1411">
        <f ca="1">Referencia_Hoy-Master_ventas[[#This Row],[Order Date]]</f>
        <v>1043</v>
      </c>
      <c r="J1411" t="str">
        <f>UPPER(Master_ventas[[#This Row],[Product Name]])</f>
        <v>LAPTOP</v>
      </c>
      <c r="K1411" t="str">
        <f>UPPER(Master_ventas[[#This Row],[Category]])</f>
        <v>ELECTRONICS</v>
      </c>
      <c r="L1411">
        <f>YEAR(Master_ventas[[#This Row],[Order Date]])</f>
        <v>2023</v>
      </c>
      <c r="M1411" t="str">
        <f>CONCATENATE(LEFT(Master_ventas[[#This Row],[ProdUpper]],3),RIGHT(Master_ventas[[#This Row],[Ext-Year]],2),"-",MID(Master_ventas[[#This Row],[Category]],1,1))</f>
        <v>LAP23-E</v>
      </c>
      <c r="N1411" t="str">
        <f>MID(Master_ventas[[#This Row],[ProdUpper]],1,3)</f>
        <v>LAP</v>
      </c>
      <c r="O1411" t="str">
        <f>UPPER(IF(Master_ventas[[#This Row],[Profit]]&gt;500,"High","Std"))</f>
        <v>STD</v>
      </c>
      <c r="P1411">
        <v>1410</v>
      </c>
    </row>
    <row r="1412" spans="1:16" x14ac:dyDescent="0.3">
      <c r="A1412" s="1">
        <v>44572</v>
      </c>
      <c r="B1412" t="s">
        <v>21</v>
      </c>
      <c r="C1412" t="s">
        <v>14</v>
      </c>
      <c r="D1412" t="s">
        <v>12</v>
      </c>
      <c r="E1412">
        <v>3</v>
      </c>
      <c r="F1412" s="3">
        <v>2139</v>
      </c>
      <c r="G1412" s="2">
        <v>422.52</v>
      </c>
      <c r="H1412">
        <f>Master_ventas[[#This Row],[Profit]]/Master_ventas[[#This Row],[Sales]]</f>
        <v>0.19753155680224402</v>
      </c>
      <c r="I1412">
        <f ca="1">Referencia_Hoy-Master_ventas[[#This Row],[Order Date]]</f>
        <v>1751</v>
      </c>
      <c r="J1412" t="str">
        <f>UPPER(Master_ventas[[#This Row],[Product Name]])</f>
        <v>SMARTPHONE</v>
      </c>
      <c r="K1412" t="str">
        <f>UPPER(Master_ventas[[#This Row],[Category]])</f>
        <v>ELECTRONICS</v>
      </c>
      <c r="L1412">
        <f>YEAR(Master_ventas[[#This Row],[Order Date]])</f>
        <v>2022</v>
      </c>
      <c r="M1412" t="str">
        <f>CONCATENATE(LEFT(Master_ventas[[#This Row],[ProdUpper]],3),RIGHT(Master_ventas[[#This Row],[Ext-Year]],2),"-",MID(Master_ventas[[#This Row],[Category]],1,1))</f>
        <v>SMA22-E</v>
      </c>
      <c r="N1412" t="str">
        <f>MID(Master_ventas[[#This Row],[ProdUpper]],1,3)</f>
        <v>SMA</v>
      </c>
      <c r="O1412" t="str">
        <f>UPPER(IF(Master_ventas[[#This Row],[Profit]]&gt;500,"High","Std"))</f>
        <v>STD</v>
      </c>
      <c r="P1412">
        <v>1411</v>
      </c>
    </row>
    <row r="1413" spans="1:16" x14ac:dyDescent="0.3">
      <c r="A1413" s="1">
        <v>45637</v>
      </c>
      <c r="B1413" t="s">
        <v>20</v>
      </c>
      <c r="C1413" t="s">
        <v>11</v>
      </c>
      <c r="D1413" t="s">
        <v>16</v>
      </c>
      <c r="E1413">
        <v>9</v>
      </c>
      <c r="F1413" s="3">
        <v>4140</v>
      </c>
      <c r="G1413" s="2">
        <v>301.12</v>
      </c>
      <c r="H1413">
        <f>Master_ventas[[#This Row],[Profit]]/Master_ventas[[#This Row],[Sales]]</f>
        <v>7.2734299516908213E-2</v>
      </c>
      <c r="I1413">
        <f ca="1">Referencia_Hoy-Master_ventas[[#This Row],[Order Date]]</f>
        <v>686</v>
      </c>
      <c r="J1413" t="str">
        <f>UPPER(Master_ventas[[#This Row],[Product Name]])</f>
        <v>MONITOR</v>
      </c>
      <c r="K1413" t="str">
        <f>UPPER(Master_ventas[[#This Row],[Category]])</f>
        <v>ACCESSORIES</v>
      </c>
      <c r="L1413">
        <f>YEAR(Master_ventas[[#This Row],[Order Date]])</f>
        <v>2024</v>
      </c>
      <c r="M1413" t="str">
        <f>CONCATENATE(LEFT(Master_ventas[[#This Row],[ProdUpper]],3),RIGHT(Master_ventas[[#This Row],[Ext-Year]],2),"-",MID(Master_ventas[[#This Row],[Category]],1,1))</f>
        <v>MON24-A</v>
      </c>
      <c r="N1413" t="str">
        <f>MID(Master_ventas[[#This Row],[ProdUpper]],1,3)</f>
        <v>MON</v>
      </c>
      <c r="O1413" t="str">
        <f>UPPER(IF(Master_ventas[[#This Row],[Profit]]&gt;500,"High","Std"))</f>
        <v>STD</v>
      </c>
      <c r="P1413">
        <v>1412</v>
      </c>
    </row>
    <row r="1414" spans="1:16" x14ac:dyDescent="0.3">
      <c r="A1414" s="1">
        <v>45304</v>
      </c>
      <c r="B1414" t="s">
        <v>23</v>
      </c>
      <c r="C1414" t="s">
        <v>14</v>
      </c>
      <c r="D1414" t="s">
        <v>9</v>
      </c>
      <c r="E1414">
        <v>1</v>
      </c>
      <c r="F1414" s="3">
        <v>1038</v>
      </c>
      <c r="G1414" s="2">
        <v>63.23</v>
      </c>
      <c r="H1414">
        <f>Master_ventas[[#This Row],[Profit]]/Master_ventas[[#This Row],[Sales]]</f>
        <v>6.0915221579961459E-2</v>
      </c>
      <c r="I1414">
        <f ca="1">Referencia_Hoy-Master_ventas[[#This Row],[Order Date]]</f>
        <v>1019</v>
      </c>
      <c r="J1414" t="str">
        <f>UPPER(Master_ventas[[#This Row],[Product Name]])</f>
        <v>LAPTOP</v>
      </c>
      <c r="K1414" t="str">
        <f>UPPER(Master_ventas[[#This Row],[Category]])</f>
        <v>ELECTRONICS</v>
      </c>
      <c r="L1414">
        <f>YEAR(Master_ventas[[#This Row],[Order Date]])</f>
        <v>2024</v>
      </c>
      <c r="M1414" t="str">
        <f>CONCATENATE(LEFT(Master_ventas[[#This Row],[ProdUpper]],3),RIGHT(Master_ventas[[#This Row],[Ext-Year]],2),"-",MID(Master_ventas[[#This Row],[Category]],1,1))</f>
        <v>LAP24-E</v>
      </c>
      <c r="N1414" t="str">
        <f>MID(Master_ventas[[#This Row],[ProdUpper]],1,3)</f>
        <v>LAP</v>
      </c>
      <c r="O1414" t="str">
        <f>UPPER(IF(Master_ventas[[#This Row],[Profit]]&gt;500,"High","Std"))</f>
        <v>STD</v>
      </c>
      <c r="P1414">
        <v>1413</v>
      </c>
    </row>
    <row r="1415" spans="1:16" x14ac:dyDescent="0.3">
      <c r="A1415" s="1">
        <v>45501</v>
      </c>
      <c r="B1415" t="s">
        <v>20</v>
      </c>
      <c r="C1415" t="s">
        <v>11</v>
      </c>
      <c r="D1415" t="s">
        <v>12</v>
      </c>
      <c r="E1415">
        <v>8</v>
      </c>
      <c r="F1415" s="3">
        <v>2024</v>
      </c>
      <c r="G1415" s="2">
        <v>203.11</v>
      </c>
      <c r="H1415">
        <f>Master_ventas[[#This Row],[Profit]]/Master_ventas[[#This Row],[Sales]]</f>
        <v>0.100350790513834</v>
      </c>
      <c r="I1415">
        <f ca="1">Referencia_Hoy-Master_ventas[[#This Row],[Order Date]]</f>
        <v>822</v>
      </c>
      <c r="J1415" t="str">
        <f>UPPER(Master_ventas[[#This Row],[Product Name]])</f>
        <v>MONITOR</v>
      </c>
      <c r="K1415" t="str">
        <f>UPPER(Master_ventas[[#This Row],[Category]])</f>
        <v>ACCESSORIES</v>
      </c>
      <c r="L1415">
        <f>YEAR(Master_ventas[[#This Row],[Order Date]])</f>
        <v>2024</v>
      </c>
      <c r="M1415" t="str">
        <f>CONCATENATE(LEFT(Master_ventas[[#This Row],[ProdUpper]],3),RIGHT(Master_ventas[[#This Row],[Ext-Year]],2),"-",MID(Master_ventas[[#This Row],[Category]],1,1))</f>
        <v>MON24-A</v>
      </c>
      <c r="N1415" t="str">
        <f>MID(Master_ventas[[#This Row],[ProdUpper]],1,3)</f>
        <v>MON</v>
      </c>
      <c r="O1415" t="str">
        <f>UPPER(IF(Master_ventas[[#This Row],[Profit]]&gt;500,"High","Std"))</f>
        <v>STD</v>
      </c>
      <c r="P1415">
        <v>1414</v>
      </c>
    </row>
    <row r="1416" spans="1:16" x14ac:dyDescent="0.3">
      <c r="A1416" s="1">
        <v>44666</v>
      </c>
      <c r="B1416" t="s">
        <v>19</v>
      </c>
      <c r="C1416" t="s">
        <v>14</v>
      </c>
      <c r="D1416" t="s">
        <v>15</v>
      </c>
      <c r="E1416">
        <v>6</v>
      </c>
      <c r="F1416" s="3">
        <v>6624</v>
      </c>
      <c r="G1416" s="2">
        <v>1136.0899999999999</v>
      </c>
      <c r="H1416">
        <f>Master_ventas[[#This Row],[Profit]]/Master_ventas[[#This Row],[Sales]]</f>
        <v>0.17151117149758452</v>
      </c>
      <c r="I1416">
        <f ca="1">Referencia_Hoy-Master_ventas[[#This Row],[Order Date]]</f>
        <v>1657</v>
      </c>
      <c r="J1416" t="str">
        <f>UPPER(Master_ventas[[#This Row],[Product Name]])</f>
        <v>SMARTWATCH</v>
      </c>
      <c r="K1416" t="str">
        <f>UPPER(Master_ventas[[#This Row],[Category]])</f>
        <v>ELECTRONICS</v>
      </c>
      <c r="L1416">
        <f>YEAR(Master_ventas[[#This Row],[Order Date]])</f>
        <v>2022</v>
      </c>
      <c r="M1416" t="str">
        <f>CONCATENATE(LEFT(Master_ventas[[#This Row],[ProdUpper]],3),RIGHT(Master_ventas[[#This Row],[Ext-Year]],2),"-",MID(Master_ventas[[#This Row],[Category]],1,1))</f>
        <v>SMA22-E</v>
      </c>
      <c r="N1416" t="str">
        <f>MID(Master_ventas[[#This Row],[ProdUpper]],1,3)</f>
        <v>SMA</v>
      </c>
      <c r="O1416" t="str">
        <f>UPPER(IF(Master_ventas[[#This Row],[Profit]]&gt;500,"High","Std"))</f>
        <v>HIGH</v>
      </c>
      <c r="P1416">
        <v>1415</v>
      </c>
    </row>
    <row r="1417" spans="1:16" x14ac:dyDescent="0.3">
      <c r="A1417" s="1">
        <v>45192</v>
      </c>
      <c r="B1417" t="s">
        <v>19</v>
      </c>
      <c r="C1417" t="s">
        <v>14</v>
      </c>
      <c r="D1417" t="s">
        <v>12</v>
      </c>
      <c r="E1417">
        <v>7</v>
      </c>
      <c r="F1417" s="3">
        <v>5019</v>
      </c>
      <c r="G1417" s="2">
        <v>1154.79</v>
      </c>
      <c r="H1417">
        <f>Master_ventas[[#This Row],[Profit]]/Master_ventas[[#This Row],[Sales]]</f>
        <v>0.23008368200836821</v>
      </c>
      <c r="I1417">
        <f ca="1">Referencia_Hoy-Master_ventas[[#This Row],[Order Date]]</f>
        <v>1131</v>
      </c>
      <c r="J1417" t="str">
        <f>UPPER(Master_ventas[[#This Row],[Product Name]])</f>
        <v>SMARTWATCH</v>
      </c>
      <c r="K1417" t="str">
        <f>UPPER(Master_ventas[[#This Row],[Category]])</f>
        <v>ELECTRONICS</v>
      </c>
      <c r="L1417">
        <f>YEAR(Master_ventas[[#This Row],[Order Date]])</f>
        <v>2023</v>
      </c>
      <c r="M1417" t="str">
        <f>CONCATENATE(LEFT(Master_ventas[[#This Row],[ProdUpper]],3),RIGHT(Master_ventas[[#This Row],[Ext-Year]],2),"-",MID(Master_ventas[[#This Row],[Category]],1,1))</f>
        <v>SMA23-E</v>
      </c>
      <c r="N1417" t="str">
        <f>MID(Master_ventas[[#This Row],[ProdUpper]],1,3)</f>
        <v>SMA</v>
      </c>
      <c r="O1417" t="str">
        <f>UPPER(IF(Master_ventas[[#This Row],[Profit]]&gt;500,"High","Std"))</f>
        <v>HIGH</v>
      </c>
      <c r="P1417">
        <v>1416</v>
      </c>
    </row>
    <row r="1418" spans="1:16" x14ac:dyDescent="0.3">
      <c r="A1418" s="1">
        <v>45397</v>
      </c>
      <c r="B1418" t="s">
        <v>21</v>
      </c>
      <c r="C1418" t="s">
        <v>14</v>
      </c>
      <c r="D1418" t="s">
        <v>12</v>
      </c>
      <c r="E1418">
        <v>5</v>
      </c>
      <c r="F1418" s="3">
        <v>750</v>
      </c>
      <c r="G1418" s="2">
        <v>207.77</v>
      </c>
      <c r="H1418">
        <f>Master_ventas[[#This Row],[Profit]]/Master_ventas[[#This Row],[Sales]]</f>
        <v>0.2770266666666667</v>
      </c>
      <c r="I1418">
        <f ca="1">Referencia_Hoy-Master_ventas[[#This Row],[Order Date]]</f>
        <v>926</v>
      </c>
      <c r="J1418" t="str">
        <f>UPPER(Master_ventas[[#This Row],[Product Name]])</f>
        <v>SMARTPHONE</v>
      </c>
      <c r="K1418" t="str">
        <f>UPPER(Master_ventas[[#This Row],[Category]])</f>
        <v>ELECTRONICS</v>
      </c>
      <c r="L1418">
        <f>YEAR(Master_ventas[[#This Row],[Order Date]])</f>
        <v>2024</v>
      </c>
      <c r="M1418" t="str">
        <f>CONCATENATE(LEFT(Master_ventas[[#This Row],[ProdUpper]],3),RIGHT(Master_ventas[[#This Row],[Ext-Year]],2),"-",MID(Master_ventas[[#This Row],[Category]],1,1))</f>
        <v>SMA24-E</v>
      </c>
      <c r="N1418" t="str">
        <f>MID(Master_ventas[[#This Row],[ProdUpper]],1,3)</f>
        <v>SMA</v>
      </c>
      <c r="O1418" t="str">
        <f>UPPER(IF(Master_ventas[[#This Row],[Profit]]&gt;500,"High","Std"))</f>
        <v>STD</v>
      </c>
      <c r="P1418">
        <v>1417</v>
      </c>
    </row>
    <row r="1419" spans="1:16" x14ac:dyDescent="0.3">
      <c r="A1419" s="1">
        <v>45008</v>
      </c>
      <c r="B1419" t="s">
        <v>17</v>
      </c>
      <c r="C1419" t="s">
        <v>14</v>
      </c>
      <c r="D1419" t="s">
        <v>9</v>
      </c>
      <c r="E1419">
        <v>7</v>
      </c>
      <c r="F1419" s="3">
        <v>6461</v>
      </c>
      <c r="G1419" s="2">
        <v>1455.36</v>
      </c>
      <c r="H1419">
        <f>Master_ventas[[#This Row],[Profit]]/Master_ventas[[#This Row],[Sales]]</f>
        <v>0.22525305680235255</v>
      </c>
      <c r="I1419">
        <f ca="1">Referencia_Hoy-Master_ventas[[#This Row],[Order Date]]</f>
        <v>1315</v>
      </c>
      <c r="J1419" t="str">
        <f>UPPER(Master_ventas[[#This Row],[Product Name]])</f>
        <v>CAMERA</v>
      </c>
      <c r="K1419" t="str">
        <f>UPPER(Master_ventas[[#This Row],[Category]])</f>
        <v>ELECTRONICS</v>
      </c>
      <c r="L1419">
        <f>YEAR(Master_ventas[[#This Row],[Order Date]])</f>
        <v>2023</v>
      </c>
      <c r="M1419" t="str">
        <f>CONCATENATE(LEFT(Master_ventas[[#This Row],[ProdUpper]],3),RIGHT(Master_ventas[[#This Row],[Ext-Year]],2),"-",MID(Master_ventas[[#This Row],[Category]],1,1))</f>
        <v>CAM23-E</v>
      </c>
      <c r="N1419" t="str">
        <f>MID(Master_ventas[[#This Row],[ProdUpper]],1,3)</f>
        <v>CAM</v>
      </c>
      <c r="O1419" t="str">
        <f>UPPER(IF(Master_ventas[[#This Row],[Profit]]&gt;500,"High","Std"))</f>
        <v>HIGH</v>
      </c>
      <c r="P1419">
        <v>1418</v>
      </c>
    </row>
    <row r="1420" spans="1:16" x14ac:dyDescent="0.3">
      <c r="A1420" s="1">
        <v>45234</v>
      </c>
      <c r="B1420" t="s">
        <v>13</v>
      </c>
      <c r="C1420" t="s">
        <v>14</v>
      </c>
      <c r="D1420" t="s">
        <v>16</v>
      </c>
      <c r="E1420">
        <v>6</v>
      </c>
      <c r="F1420" s="3">
        <v>2946</v>
      </c>
      <c r="G1420" s="2">
        <v>208.01</v>
      </c>
      <c r="H1420">
        <f>Master_ventas[[#This Row],[Profit]]/Master_ventas[[#This Row],[Sales]]</f>
        <v>7.060760353021045E-2</v>
      </c>
      <c r="I1420">
        <f ca="1">Referencia_Hoy-Master_ventas[[#This Row],[Order Date]]</f>
        <v>1089</v>
      </c>
      <c r="J1420" t="str">
        <f>UPPER(Master_ventas[[#This Row],[Product Name]])</f>
        <v>TABLET</v>
      </c>
      <c r="K1420" t="str">
        <f>UPPER(Master_ventas[[#This Row],[Category]])</f>
        <v>ELECTRONICS</v>
      </c>
      <c r="L1420">
        <f>YEAR(Master_ventas[[#This Row],[Order Date]])</f>
        <v>2023</v>
      </c>
      <c r="M1420" t="str">
        <f>CONCATENATE(LEFT(Master_ventas[[#This Row],[ProdUpper]],3),RIGHT(Master_ventas[[#This Row],[Ext-Year]],2),"-",MID(Master_ventas[[#This Row],[Category]],1,1))</f>
        <v>TAB23-E</v>
      </c>
      <c r="N1420" t="str">
        <f>MID(Master_ventas[[#This Row],[ProdUpper]],1,3)</f>
        <v>TAB</v>
      </c>
      <c r="O1420" t="str">
        <f>UPPER(IF(Master_ventas[[#This Row],[Profit]]&gt;500,"High","Std"))</f>
        <v>STD</v>
      </c>
      <c r="P1420">
        <v>1419</v>
      </c>
    </row>
    <row r="1421" spans="1:16" x14ac:dyDescent="0.3">
      <c r="A1421" s="1">
        <v>45436</v>
      </c>
      <c r="B1421" t="s">
        <v>20</v>
      </c>
      <c r="C1421" t="s">
        <v>11</v>
      </c>
      <c r="D1421" t="s">
        <v>15</v>
      </c>
      <c r="E1421">
        <v>1</v>
      </c>
      <c r="F1421" s="3">
        <v>618</v>
      </c>
      <c r="G1421" s="2">
        <v>81.040000000000006</v>
      </c>
      <c r="H1421">
        <f>Master_ventas[[#This Row],[Profit]]/Master_ventas[[#This Row],[Sales]]</f>
        <v>0.13113268608414241</v>
      </c>
      <c r="I1421">
        <f ca="1">Referencia_Hoy-Master_ventas[[#This Row],[Order Date]]</f>
        <v>887</v>
      </c>
      <c r="J1421" t="str">
        <f>UPPER(Master_ventas[[#This Row],[Product Name]])</f>
        <v>MONITOR</v>
      </c>
      <c r="K1421" t="str">
        <f>UPPER(Master_ventas[[#This Row],[Category]])</f>
        <v>ACCESSORIES</v>
      </c>
      <c r="L1421">
        <f>YEAR(Master_ventas[[#This Row],[Order Date]])</f>
        <v>2024</v>
      </c>
      <c r="M1421" t="str">
        <f>CONCATENATE(LEFT(Master_ventas[[#This Row],[ProdUpper]],3),RIGHT(Master_ventas[[#This Row],[Ext-Year]],2),"-",MID(Master_ventas[[#This Row],[Category]],1,1))</f>
        <v>MON24-A</v>
      </c>
      <c r="N1421" t="str">
        <f>MID(Master_ventas[[#This Row],[ProdUpper]],1,3)</f>
        <v>MON</v>
      </c>
      <c r="O1421" t="str">
        <f>UPPER(IF(Master_ventas[[#This Row],[Profit]]&gt;500,"High","Std"))</f>
        <v>STD</v>
      </c>
      <c r="P1421">
        <v>1420</v>
      </c>
    </row>
    <row r="1422" spans="1:16" x14ac:dyDescent="0.3">
      <c r="A1422" s="1">
        <v>44647</v>
      </c>
      <c r="B1422" t="s">
        <v>7</v>
      </c>
      <c r="C1422" t="s">
        <v>8</v>
      </c>
      <c r="D1422" t="s">
        <v>15</v>
      </c>
      <c r="E1422">
        <v>2</v>
      </c>
      <c r="F1422" s="3">
        <v>1774</v>
      </c>
      <c r="G1422" s="2">
        <v>322.49</v>
      </c>
      <c r="H1422">
        <f>Master_ventas[[#This Row],[Profit]]/Master_ventas[[#This Row],[Sales]]</f>
        <v>0.18178692220969561</v>
      </c>
      <c r="I1422">
        <f ca="1">Referencia_Hoy-Master_ventas[[#This Row],[Order Date]]</f>
        <v>1676</v>
      </c>
      <c r="J1422" t="str">
        <f>UPPER(Master_ventas[[#This Row],[Product Name]])</f>
        <v>PRINTER</v>
      </c>
      <c r="K1422" t="str">
        <f>UPPER(Master_ventas[[#This Row],[Category]])</f>
        <v>OFFICE</v>
      </c>
      <c r="L1422">
        <f>YEAR(Master_ventas[[#This Row],[Order Date]])</f>
        <v>2022</v>
      </c>
      <c r="M1422" t="str">
        <f>CONCATENATE(LEFT(Master_ventas[[#This Row],[ProdUpper]],3),RIGHT(Master_ventas[[#This Row],[Ext-Year]],2),"-",MID(Master_ventas[[#This Row],[Category]],1,1))</f>
        <v>PRI22-O</v>
      </c>
      <c r="N1422" t="str">
        <f>MID(Master_ventas[[#This Row],[ProdUpper]],1,3)</f>
        <v>PRI</v>
      </c>
      <c r="O1422" t="str">
        <f>UPPER(IF(Master_ventas[[#This Row],[Profit]]&gt;500,"High","Std"))</f>
        <v>STD</v>
      </c>
      <c r="P1422">
        <v>1421</v>
      </c>
    </row>
    <row r="1423" spans="1:16" x14ac:dyDescent="0.3">
      <c r="A1423" s="1">
        <v>44692</v>
      </c>
      <c r="B1423" t="s">
        <v>17</v>
      </c>
      <c r="C1423" t="s">
        <v>14</v>
      </c>
      <c r="D1423" t="s">
        <v>12</v>
      </c>
      <c r="E1423">
        <v>9</v>
      </c>
      <c r="F1423" s="3">
        <v>8586</v>
      </c>
      <c r="G1423" s="2">
        <v>700.37</v>
      </c>
      <c r="H1423">
        <f>Master_ventas[[#This Row],[Profit]]/Master_ventas[[#This Row],[Sales]]</f>
        <v>8.157116235732588E-2</v>
      </c>
      <c r="I1423">
        <f ca="1">Referencia_Hoy-Master_ventas[[#This Row],[Order Date]]</f>
        <v>1631</v>
      </c>
      <c r="J1423" t="str">
        <f>UPPER(Master_ventas[[#This Row],[Product Name]])</f>
        <v>CAMERA</v>
      </c>
      <c r="K1423" t="str">
        <f>UPPER(Master_ventas[[#This Row],[Category]])</f>
        <v>ELECTRONICS</v>
      </c>
      <c r="L1423">
        <f>YEAR(Master_ventas[[#This Row],[Order Date]])</f>
        <v>2022</v>
      </c>
      <c r="M1423" t="str">
        <f>CONCATENATE(LEFT(Master_ventas[[#This Row],[ProdUpper]],3),RIGHT(Master_ventas[[#This Row],[Ext-Year]],2),"-",MID(Master_ventas[[#This Row],[Category]],1,1))</f>
        <v>CAM22-E</v>
      </c>
      <c r="N1423" t="str">
        <f>MID(Master_ventas[[#This Row],[ProdUpper]],1,3)</f>
        <v>CAM</v>
      </c>
      <c r="O1423" t="str">
        <f>UPPER(IF(Master_ventas[[#This Row],[Profit]]&gt;500,"High","Std"))</f>
        <v>HIGH</v>
      </c>
      <c r="P1423">
        <v>1422</v>
      </c>
    </row>
    <row r="1424" spans="1:16" x14ac:dyDescent="0.3">
      <c r="A1424" s="1">
        <v>45335</v>
      </c>
      <c r="B1424" t="s">
        <v>23</v>
      </c>
      <c r="C1424" t="s">
        <v>14</v>
      </c>
      <c r="D1424" t="s">
        <v>15</v>
      </c>
      <c r="E1424">
        <v>5</v>
      </c>
      <c r="F1424" s="3">
        <v>2000</v>
      </c>
      <c r="G1424" s="2">
        <v>232.41</v>
      </c>
      <c r="H1424">
        <f>Master_ventas[[#This Row],[Profit]]/Master_ventas[[#This Row],[Sales]]</f>
        <v>0.116205</v>
      </c>
      <c r="I1424">
        <f ca="1">Referencia_Hoy-Master_ventas[[#This Row],[Order Date]]</f>
        <v>988</v>
      </c>
      <c r="J1424" t="str">
        <f>UPPER(Master_ventas[[#This Row],[Product Name]])</f>
        <v>LAPTOP</v>
      </c>
      <c r="K1424" t="str">
        <f>UPPER(Master_ventas[[#This Row],[Category]])</f>
        <v>ELECTRONICS</v>
      </c>
      <c r="L1424">
        <f>YEAR(Master_ventas[[#This Row],[Order Date]])</f>
        <v>2024</v>
      </c>
      <c r="M1424" t="str">
        <f>CONCATENATE(LEFT(Master_ventas[[#This Row],[ProdUpper]],3),RIGHT(Master_ventas[[#This Row],[Ext-Year]],2),"-",MID(Master_ventas[[#This Row],[Category]],1,1))</f>
        <v>LAP24-E</v>
      </c>
      <c r="N1424" t="str">
        <f>MID(Master_ventas[[#This Row],[ProdUpper]],1,3)</f>
        <v>LAP</v>
      </c>
      <c r="O1424" t="str">
        <f>UPPER(IF(Master_ventas[[#This Row],[Profit]]&gt;500,"High","Std"))</f>
        <v>STD</v>
      </c>
      <c r="P1424">
        <v>1423</v>
      </c>
    </row>
    <row r="1425" spans="1:16" x14ac:dyDescent="0.3">
      <c r="A1425" s="1">
        <v>44973</v>
      </c>
      <c r="B1425" t="s">
        <v>10</v>
      </c>
      <c r="C1425" t="s">
        <v>11</v>
      </c>
      <c r="D1425" t="s">
        <v>12</v>
      </c>
      <c r="E1425">
        <v>1</v>
      </c>
      <c r="F1425" s="3">
        <v>849</v>
      </c>
      <c r="G1425" s="2">
        <v>205.88</v>
      </c>
      <c r="H1425">
        <f>Master_ventas[[#This Row],[Profit]]/Master_ventas[[#This Row],[Sales]]</f>
        <v>0.24249705535924618</v>
      </c>
      <c r="I1425">
        <f ca="1">Referencia_Hoy-Master_ventas[[#This Row],[Order Date]]</f>
        <v>1350</v>
      </c>
      <c r="J1425" t="str">
        <f>UPPER(Master_ventas[[#This Row],[Product Name]])</f>
        <v>MOUSE</v>
      </c>
      <c r="K1425" t="str">
        <f>UPPER(Master_ventas[[#This Row],[Category]])</f>
        <v>ACCESSORIES</v>
      </c>
      <c r="L1425">
        <f>YEAR(Master_ventas[[#This Row],[Order Date]])</f>
        <v>2023</v>
      </c>
      <c r="M1425" t="str">
        <f>CONCATENATE(LEFT(Master_ventas[[#This Row],[ProdUpper]],3),RIGHT(Master_ventas[[#This Row],[Ext-Year]],2),"-",MID(Master_ventas[[#This Row],[Category]],1,1))</f>
        <v>MOU23-A</v>
      </c>
      <c r="N1425" t="str">
        <f>MID(Master_ventas[[#This Row],[ProdUpper]],1,3)</f>
        <v>MOU</v>
      </c>
      <c r="O1425" t="str">
        <f>UPPER(IF(Master_ventas[[#This Row],[Profit]]&gt;500,"High","Std"))</f>
        <v>STD</v>
      </c>
      <c r="P1425">
        <v>1424</v>
      </c>
    </row>
    <row r="1426" spans="1:16" x14ac:dyDescent="0.3">
      <c r="A1426" s="1">
        <v>45151</v>
      </c>
      <c r="B1426" t="s">
        <v>10</v>
      </c>
      <c r="C1426" t="s">
        <v>11</v>
      </c>
      <c r="D1426" t="s">
        <v>12</v>
      </c>
      <c r="E1426">
        <v>6</v>
      </c>
      <c r="F1426" s="3">
        <v>3186</v>
      </c>
      <c r="G1426" s="2">
        <v>374.63</v>
      </c>
      <c r="H1426">
        <f>Master_ventas[[#This Row],[Profit]]/Master_ventas[[#This Row],[Sales]]</f>
        <v>0.11758631512868802</v>
      </c>
      <c r="I1426">
        <f ca="1">Referencia_Hoy-Master_ventas[[#This Row],[Order Date]]</f>
        <v>1172</v>
      </c>
      <c r="J1426" t="str">
        <f>UPPER(Master_ventas[[#This Row],[Product Name]])</f>
        <v>MOUSE</v>
      </c>
      <c r="K1426" t="str">
        <f>UPPER(Master_ventas[[#This Row],[Category]])</f>
        <v>ACCESSORIES</v>
      </c>
      <c r="L1426">
        <f>YEAR(Master_ventas[[#This Row],[Order Date]])</f>
        <v>2023</v>
      </c>
      <c r="M1426" t="str">
        <f>CONCATENATE(LEFT(Master_ventas[[#This Row],[ProdUpper]],3),RIGHT(Master_ventas[[#This Row],[Ext-Year]],2),"-",MID(Master_ventas[[#This Row],[Category]],1,1))</f>
        <v>MOU23-A</v>
      </c>
      <c r="N1426" t="str">
        <f>MID(Master_ventas[[#This Row],[ProdUpper]],1,3)</f>
        <v>MOU</v>
      </c>
      <c r="O1426" t="str">
        <f>UPPER(IF(Master_ventas[[#This Row],[Profit]]&gt;500,"High","Std"))</f>
        <v>STD</v>
      </c>
      <c r="P1426">
        <v>1425</v>
      </c>
    </row>
    <row r="1427" spans="1:16" x14ac:dyDescent="0.3">
      <c r="A1427" s="1">
        <v>45427</v>
      </c>
      <c r="B1427" t="s">
        <v>20</v>
      </c>
      <c r="C1427" t="s">
        <v>11</v>
      </c>
      <c r="D1427" t="s">
        <v>15</v>
      </c>
      <c r="E1427">
        <v>4</v>
      </c>
      <c r="F1427" s="3">
        <v>2536</v>
      </c>
      <c r="G1427" s="2">
        <v>495.13</v>
      </c>
      <c r="H1427">
        <f>Master_ventas[[#This Row],[Profit]]/Master_ventas[[#This Row],[Sales]]</f>
        <v>0.19524053627760252</v>
      </c>
      <c r="I1427">
        <f ca="1">Referencia_Hoy-Master_ventas[[#This Row],[Order Date]]</f>
        <v>896</v>
      </c>
      <c r="J1427" t="str">
        <f>UPPER(Master_ventas[[#This Row],[Product Name]])</f>
        <v>MONITOR</v>
      </c>
      <c r="K1427" t="str">
        <f>UPPER(Master_ventas[[#This Row],[Category]])</f>
        <v>ACCESSORIES</v>
      </c>
      <c r="L1427">
        <f>YEAR(Master_ventas[[#This Row],[Order Date]])</f>
        <v>2024</v>
      </c>
      <c r="M1427" t="str">
        <f>CONCATENATE(LEFT(Master_ventas[[#This Row],[ProdUpper]],3),RIGHT(Master_ventas[[#This Row],[Ext-Year]],2),"-",MID(Master_ventas[[#This Row],[Category]],1,1))</f>
        <v>MON24-A</v>
      </c>
      <c r="N1427" t="str">
        <f>MID(Master_ventas[[#This Row],[ProdUpper]],1,3)</f>
        <v>MON</v>
      </c>
      <c r="O1427" t="str">
        <f>UPPER(IF(Master_ventas[[#This Row],[Profit]]&gt;500,"High","Std"))</f>
        <v>STD</v>
      </c>
      <c r="P1427">
        <v>1426</v>
      </c>
    </row>
    <row r="1428" spans="1:16" x14ac:dyDescent="0.3">
      <c r="A1428" s="1">
        <v>45421</v>
      </c>
      <c r="B1428" t="s">
        <v>19</v>
      </c>
      <c r="C1428" t="s">
        <v>14</v>
      </c>
      <c r="D1428" t="s">
        <v>15</v>
      </c>
      <c r="E1428">
        <v>2</v>
      </c>
      <c r="F1428" s="3">
        <v>1306</v>
      </c>
      <c r="G1428" s="2">
        <v>228.41</v>
      </c>
      <c r="H1428">
        <f>Master_ventas[[#This Row],[Profit]]/Master_ventas[[#This Row],[Sales]]</f>
        <v>0.1748928024502297</v>
      </c>
      <c r="I1428">
        <f ca="1">Referencia_Hoy-Master_ventas[[#This Row],[Order Date]]</f>
        <v>902</v>
      </c>
      <c r="J1428" t="str">
        <f>UPPER(Master_ventas[[#This Row],[Product Name]])</f>
        <v>SMARTWATCH</v>
      </c>
      <c r="K1428" t="str">
        <f>UPPER(Master_ventas[[#This Row],[Category]])</f>
        <v>ELECTRONICS</v>
      </c>
      <c r="L1428">
        <f>YEAR(Master_ventas[[#This Row],[Order Date]])</f>
        <v>2024</v>
      </c>
      <c r="M1428" t="str">
        <f>CONCATENATE(LEFT(Master_ventas[[#This Row],[ProdUpper]],3),RIGHT(Master_ventas[[#This Row],[Ext-Year]],2),"-",MID(Master_ventas[[#This Row],[Category]],1,1))</f>
        <v>SMA24-E</v>
      </c>
      <c r="N1428" t="str">
        <f>MID(Master_ventas[[#This Row],[ProdUpper]],1,3)</f>
        <v>SMA</v>
      </c>
      <c r="O1428" t="str">
        <f>UPPER(IF(Master_ventas[[#This Row],[Profit]]&gt;500,"High","Std"))</f>
        <v>STD</v>
      </c>
      <c r="P1428">
        <v>1427</v>
      </c>
    </row>
    <row r="1429" spans="1:16" x14ac:dyDescent="0.3">
      <c r="A1429" s="1">
        <v>44683</v>
      </c>
      <c r="B1429" t="s">
        <v>13</v>
      </c>
      <c r="C1429" t="s">
        <v>14</v>
      </c>
      <c r="D1429" t="s">
        <v>12</v>
      </c>
      <c r="E1429">
        <v>3</v>
      </c>
      <c r="F1429" s="3">
        <v>2508</v>
      </c>
      <c r="G1429" s="2">
        <v>631.85</v>
      </c>
      <c r="H1429">
        <f>Master_ventas[[#This Row],[Profit]]/Master_ventas[[#This Row],[Sales]]</f>
        <v>0.25193381180223284</v>
      </c>
      <c r="I1429">
        <f ca="1">Referencia_Hoy-Master_ventas[[#This Row],[Order Date]]</f>
        <v>1640</v>
      </c>
      <c r="J1429" t="str">
        <f>UPPER(Master_ventas[[#This Row],[Product Name]])</f>
        <v>TABLET</v>
      </c>
      <c r="K1429" t="str">
        <f>UPPER(Master_ventas[[#This Row],[Category]])</f>
        <v>ELECTRONICS</v>
      </c>
      <c r="L1429">
        <f>YEAR(Master_ventas[[#This Row],[Order Date]])</f>
        <v>2022</v>
      </c>
      <c r="M1429" t="str">
        <f>CONCATENATE(LEFT(Master_ventas[[#This Row],[ProdUpper]],3),RIGHT(Master_ventas[[#This Row],[Ext-Year]],2),"-",MID(Master_ventas[[#This Row],[Category]],1,1))</f>
        <v>TAB22-E</v>
      </c>
      <c r="N1429" t="str">
        <f>MID(Master_ventas[[#This Row],[ProdUpper]],1,3)</f>
        <v>TAB</v>
      </c>
      <c r="O1429" t="str">
        <f>UPPER(IF(Master_ventas[[#This Row],[Profit]]&gt;500,"High","Std"))</f>
        <v>HIGH</v>
      </c>
      <c r="P1429">
        <v>1428</v>
      </c>
    </row>
    <row r="1430" spans="1:16" x14ac:dyDescent="0.3">
      <c r="A1430" s="1">
        <v>45486</v>
      </c>
      <c r="B1430" t="s">
        <v>13</v>
      </c>
      <c r="C1430" t="s">
        <v>14</v>
      </c>
      <c r="D1430" t="s">
        <v>9</v>
      </c>
      <c r="E1430">
        <v>8</v>
      </c>
      <c r="F1430" s="3">
        <v>1048</v>
      </c>
      <c r="G1430" s="2">
        <v>107.56</v>
      </c>
      <c r="H1430">
        <f>Master_ventas[[#This Row],[Profit]]/Master_ventas[[#This Row],[Sales]]</f>
        <v>0.10263358778625954</v>
      </c>
      <c r="I1430">
        <f ca="1">Referencia_Hoy-Master_ventas[[#This Row],[Order Date]]</f>
        <v>837</v>
      </c>
      <c r="J1430" t="str">
        <f>UPPER(Master_ventas[[#This Row],[Product Name]])</f>
        <v>TABLET</v>
      </c>
      <c r="K1430" t="str">
        <f>UPPER(Master_ventas[[#This Row],[Category]])</f>
        <v>ELECTRONICS</v>
      </c>
      <c r="L1430">
        <f>YEAR(Master_ventas[[#This Row],[Order Date]])</f>
        <v>2024</v>
      </c>
      <c r="M1430" t="str">
        <f>CONCATENATE(LEFT(Master_ventas[[#This Row],[ProdUpper]],3),RIGHT(Master_ventas[[#This Row],[Ext-Year]],2),"-",MID(Master_ventas[[#This Row],[Category]],1,1))</f>
        <v>TAB24-E</v>
      </c>
      <c r="N1430" t="str">
        <f>MID(Master_ventas[[#This Row],[ProdUpper]],1,3)</f>
        <v>TAB</v>
      </c>
      <c r="O1430" t="str">
        <f>UPPER(IF(Master_ventas[[#This Row],[Profit]]&gt;500,"High","Std"))</f>
        <v>STD</v>
      </c>
      <c r="P1430">
        <v>1429</v>
      </c>
    </row>
    <row r="1431" spans="1:16" x14ac:dyDescent="0.3">
      <c r="A1431" s="1">
        <v>44884</v>
      </c>
      <c r="B1431" t="s">
        <v>22</v>
      </c>
      <c r="C1431" t="s">
        <v>11</v>
      </c>
      <c r="D1431" t="s">
        <v>12</v>
      </c>
      <c r="E1431">
        <v>4</v>
      </c>
      <c r="F1431" s="3">
        <v>1516</v>
      </c>
      <c r="G1431" s="2">
        <v>256.95999999999998</v>
      </c>
      <c r="H1431">
        <f>Master_ventas[[#This Row],[Profit]]/Master_ventas[[#This Row],[Sales]]</f>
        <v>0.16949868073878627</v>
      </c>
      <c r="I1431">
        <f ca="1">Referencia_Hoy-Master_ventas[[#This Row],[Order Date]]</f>
        <v>1439</v>
      </c>
      <c r="J1431" t="str">
        <f>UPPER(Master_ventas[[#This Row],[Product Name]])</f>
        <v>KEYBOARD</v>
      </c>
      <c r="K1431" t="str">
        <f>UPPER(Master_ventas[[#This Row],[Category]])</f>
        <v>ACCESSORIES</v>
      </c>
      <c r="L1431">
        <f>YEAR(Master_ventas[[#This Row],[Order Date]])</f>
        <v>2022</v>
      </c>
      <c r="M1431" t="str">
        <f>CONCATENATE(LEFT(Master_ventas[[#This Row],[ProdUpper]],3),RIGHT(Master_ventas[[#This Row],[Ext-Year]],2),"-",MID(Master_ventas[[#This Row],[Category]],1,1))</f>
        <v>KEY22-A</v>
      </c>
      <c r="N1431" t="str">
        <f>MID(Master_ventas[[#This Row],[ProdUpper]],1,3)</f>
        <v>KEY</v>
      </c>
      <c r="O1431" t="str">
        <f>UPPER(IF(Master_ventas[[#This Row],[Profit]]&gt;500,"High","Std"))</f>
        <v>STD</v>
      </c>
      <c r="P1431">
        <v>1430</v>
      </c>
    </row>
    <row r="1432" spans="1:16" x14ac:dyDescent="0.3">
      <c r="A1432" s="1">
        <v>45355</v>
      </c>
      <c r="B1432" t="s">
        <v>21</v>
      </c>
      <c r="C1432" t="s">
        <v>14</v>
      </c>
      <c r="D1432" t="s">
        <v>16</v>
      </c>
      <c r="E1432">
        <v>9</v>
      </c>
      <c r="F1432" s="3">
        <v>10458</v>
      </c>
      <c r="G1432" s="2">
        <v>1835.21</v>
      </c>
      <c r="H1432">
        <f>Master_ventas[[#This Row],[Profit]]/Master_ventas[[#This Row],[Sales]]</f>
        <v>0.17548384012239435</v>
      </c>
      <c r="I1432">
        <f ca="1">Referencia_Hoy-Master_ventas[[#This Row],[Order Date]]</f>
        <v>968</v>
      </c>
      <c r="J1432" t="str">
        <f>UPPER(Master_ventas[[#This Row],[Product Name]])</f>
        <v>SMARTPHONE</v>
      </c>
      <c r="K1432" t="str">
        <f>UPPER(Master_ventas[[#This Row],[Category]])</f>
        <v>ELECTRONICS</v>
      </c>
      <c r="L1432">
        <f>YEAR(Master_ventas[[#This Row],[Order Date]])</f>
        <v>2024</v>
      </c>
      <c r="M1432" t="str">
        <f>CONCATENATE(LEFT(Master_ventas[[#This Row],[ProdUpper]],3),RIGHT(Master_ventas[[#This Row],[Ext-Year]],2),"-",MID(Master_ventas[[#This Row],[Category]],1,1))</f>
        <v>SMA24-E</v>
      </c>
      <c r="N1432" t="str">
        <f>MID(Master_ventas[[#This Row],[ProdUpper]],1,3)</f>
        <v>SMA</v>
      </c>
      <c r="O1432" t="str">
        <f>UPPER(IF(Master_ventas[[#This Row],[Profit]]&gt;500,"High","Std"))</f>
        <v>HIGH</v>
      </c>
      <c r="P1432">
        <v>1431</v>
      </c>
    </row>
    <row r="1433" spans="1:16" x14ac:dyDescent="0.3">
      <c r="A1433" s="1">
        <v>45432</v>
      </c>
      <c r="B1433" t="s">
        <v>18</v>
      </c>
      <c r="C1433" t="s">
        <v>11</v>
      </c>
      <c r="D1433" t="s">
        <v>12</v>
      </c>
      <c r="E1433">
        <v>9</v>
      </c>
      <c r="F1433" s="3">
        <v>2754</v>
      </c>
      <c r="G1433" s="2">
        <v>259.16000000000003</v>
      </c>
      <c r="H1433">
        <f>Master_ventas[[#This Row],[Profit]]/Master_ventas[[#This Row],[Sales]]</f>
        <v>9.4103122730573724E-2</v>
      </c>
      <c r="I1433">
        <f ca="1">Referencia_Hoy-Master_ventas[[#This Row],[Order Date]]</f>
        <v>891</v>
      </c>
      <c r="J1433" t="str">
        <f>UPPER(Master_ventas[[#This Row],[Product Name]])</f>
        <v>HEADPHONES</v>
      </c>
      <c r="K1433" t="str">
        <f>UPPER(Master_ventas[[#This Row],[Category]])</f>
        <v>ACCESSORIES</v>
      </c>
      <c r="L1433">
        <f>YEAR(Master_ventas[[#This Row],[Order Date]])</f>
        <v>2024</v>
      </c>
      <c r="M1433" t="str">
        <f>CONCATENATE(LEFT(Master_ventas[[#This Row],[ProdUpper]],3),RIGHT(Master_ventas[[#This Row],[Ext-Year]],2),"-",MID(Master_ventas[[#This Row],[Category]],1,1))</f>
        <v>HEA24-A</v>
      </c>
      <c r="N1433" t="str">
        <f>MID(Master_ventas[[#This Row],[ProdUpper]],1,3)</f>
        <v>HEA</v>
      </c>
      <c r="O1433" t="str">
        <f>UPPER(IF(Master_ventas[[#This Row],[Profit]]&gt;500,"High","Std"))</f>
        <v>STD</v>
      </c>
      <c r="P1433">
        <v>1432</v>
      </c>
    </row>
    <row r="1434" spans="1:16" x14ac:dyDescent="0.3">
      <c r="A1434" s="1">
        <v>44832</v>
      </c>
      <c r="B1434" t="s">
        <v>7</v>
      </c>
      <c r="C1434" t="s">
        <v>8</v>
      </c>
      <c r="D1434" t="s">
        <v>16</v>
      </c>
      <c r="E1434">
        <v>4</v>
      </c>
      <c r="F1434" s="3">
        <v>3432</v>
      </c>
      <c r="G1434" s="2">
        <v>364.27</v>
      </c>
      <c r="H1434">
        <f>Master_ventas[[#This Row],[Profit]]/Master_ventas[[#This Row],[Sales]]</f>
        <v>0.10613927738927738</v>
      </c>
      <c r="I1434">
        <f ca="1">Referencia_Hoy-Master_ventas[[#This Row],[Order Date]]</f>
        <v>1491</v>
      </c>
      <c r="J1434" t="str">
        <f>UPPER(Master_ventas[[#This Row],[Product Name]])</f>
        <v>PRINTER</v>
      </c>
      <c r="K1434" t="str">
        <f>UPPER(Master_ventas[[#This Row],[Category]])</f>
        <v>OFFICE</v>
      </c>
      <c r="L1434">
        <f>YEAR(Master_ventas[[#This Row],[Order Date]])</f>
        <v>2022</v>
      </c>
      <c r="M1434" t="str">
        <f>CONCATENATE(LEFT(Master_ventas[[#This Row],[ProdUpper]],3),RIGHT(Master_ventas[[#This Row],[Ext-Year]],2),"-",MID(Master_ventas[[#This Row],[Category]],1,1))</f>
        <v>PRI22-O</v>
      </c>
      <c r="N1434" t="str">
        <f>MID(Master_ventas[[#This Row],[ProdUpper]],1,3)</f>
        <v>PRI</v>
      </c>
      <c r="O1434" t="str">
        <f>UPPER(IF(Master_ventas[[#This Row],[Profit]]&gt;500,"High","Std"))</f>
        <v>STD</v>
      </c>
      <c r="P1434">
        <v>1433</v>
      </c>
    </row>
    <row r="1435" spans="1:16" x14ac:dyDescent="0.3">
      <c r="A1435" s="1">
        <v>44920</v>
      </c>
      <c r="B1435" t="s">
        <v>20</v>
      </c>
      <c r="C1435" t="s">
        <v>11</v>
      </c>
      <c r="D1435" t="s">
        <v>15</v>
      </c>
      <c r="E1435">
        <v>2</v>
      </c>
      <c r="F1435" s="3">
        <v>1234</v>
      </c>
      <c r="G1435" s="2">
        <v>257.89</v>
      </c>
      <c r="H1435">
        <f>Master_ventas[[#This Row],[Profit]]/Master_ventas[[#This Row],[Sales]]</f>
        <v>0.20898703403565638</v>
      </c>
      <c r="I1435">
        <f ca="1">Referencia_Hoy-Master_ventas[[#This Row],[Order Date]]</f>
        <v>1403</v>
      </c>
      <c r="J1435" t="str">
        <f>UPPER(Master_ventas[[#This Row],[Product Name]])</f>
        <v>MONITOR</v>
      </c>
      <c r="K1435" t="str">
        <f>UPPER(Master_ventas[[#This Row],[Category]])</f>
        <v>ACCESSORIES</v>
      </c>
      <c r="L1435">
        <f>YEAR(Master_ventas[[#This Row],[Order Date]])</f>
        <v>2022</v>
      </c>
      <c r="M1435" t="str">
        <f>CONCATENATE(LEFT(Master_ventas[[#This Row],[ProdUpper]],3),RIGHT(Master_ventas[[#This Row],[Ext-Year]],2),"-",MID(Master_ventas[[#This Row],[Category]],1,1))</f>
        <v>MON22-A</v>
      </c>
      <c r="N1435" t="str">
        <f>MID(Master_ventas[[#This Row],[ProdUpper]],1,3)</f>
        <v>MON</v>
      </c>
      <c r="O1435" t="str">
        <f>UPPER(IF(Master_ventas[[#This Row],[Profit]]&gt;500,"High","Std"))</f>
        <v>STD</v>
      </c>
      <c r="P1435">
        <v>1434</v>
      </c>
    </row>
    <row r="1436" spans="1:16" x14ac:dyDescent="0.3">
      <c r="A1436" s="1">
        <v>44772</v>
      </c>
      <c r="B1436" t="s">
        <v>20</v>
      </c>
      <c r="C1436" t="s">
        <v>11</v>
      </c>
      <c r="D1436" t="s">
        <v>12</v>
      </c>
      <c r="E1436">
        <v>1</v>
      </c>
      <c r="F1436" s="3">
        <v>847</v>
      </c>
      <c r="G1436" s="2">
        <v>146.25</v>
      </c>
      <c r="H1436">
        <f>Master_ventas[[#This Row],[Profit]]/Master_ventas[[#This Row],[Sales]]</f>
        <v>0.17266824085005902</v>
      </c>
      <c r="I1436">
        <f ca="1">Referencia_Hoy-Master_ventas[[#This Row],[Order Date]]</f>
        <v>1551</v>
      </c>
      <c r="J1436" t="str">
        <f>UPPER(Master_ventas[[#This Row],[Product Name]])</f>
        <v>MONITOR</v>
      </c>
      <c r="K1436" t="str">
        <f>UPPER(Master_ventas[[#This Row],[Category]])</f>
        <v>ACCESSORIES</v>
      </c>
      <c r="L1436">
        <f>YEAR(Master_ventas[[#This Row],[Order Date]])</f>
        <v>2022</v>
      </c>
      <c r="M1436" t="str">
        <f>CONCATENATE(LEFT(Master_ventas[[#This Row],[ProdUpper]],3),RIGHT(Master_ventas[[#This Row],[Ext-Year]],2),"-",MID(Master_ventas[[#This Row],[Category]],1,1))</f>
        <v>MON22-A</v>
      </c>
      <c r="N1436" t="str">
        <f>MID(Master_ventas[[#This Row],[ProdUpper]],1,3)</f>
        <v>MON</v>
      </c>
      <c r="O1436" t="str">
        <f>UPPER(IF(Master_ventas[[#This Row],[Profit]]&gt;500,"High","Std"))</f>
        <v>STD</v>
      </c>
      <c r="P1436">
        <v>1435</v>
      </c>
    </row>
    <row r="1437" spans="1:16" x14ac:dyDescent="0.3">
      <c r="A1437" s="1">
        <v>44857</v>
      </c>
      <c r="B1437" t="s">
        <v>22</v>
      </c>
      <c r="C1437" t="s">
        <v>11</v>
      </c>
      <c r="D1437" t="s">
        <v>15</v>
      </c>
      <c r="E1437">
        <v>7</v>
      </c>
      <c r="F1437" s="3">
        <v>7672</v>
      </c>
      <c r="G1437" s="2">
        <v>896.11</v>
      </c>
      <c r="H1437">
        <f>Master_ventas[[#This Row],[Profit]]/Master_ventas[[#This Row],[Sales]]</f>
        <v>0.11680265901981231</v>
      </c>
      <c r="I1437">
        <f ca="1">Referencia_Hoy-Master_ventas[[#This Row],[Order Date]]</f>
        <v>1466</v>
      </c>
      <c r="J1437" t="str">
        <f>UPPER(Master_ventas[[#This Row],[Product Name]])</f>
        <v>KEYBOARD</v>
      </c>
      <c r="K1437" t="str">
        <f>UPPER(Master_ventas[[#This Row],[Category]])</f>
        <v>ACCESSORIES</v>
      </c>
      <c r="L1437">
        <f>YEAR(Master_ventas[[#This Row],[Order Date]])</f>
        <v>2022</v>
      </c>
      <c r="M1437" t="str">
        <f>CONCATENATE(LEFT(Master_ventas[[#This Row],[ProdUpper]],3),RIGHT(Master_ventas[[#This Row],[Ext-Year]],2),"-",MID(Master_ventas[[#This Row],[Category]],1,1))</f>
        <v>KEY22-A</v>
      </c>
      <c r="N1437" t="str">
        <f>MID(Master_ventas[[#This Row],[ProdUpper]],1,3)</f>
        <v>KEY</v>
      </c>
      <c r="O1437" t="str">
        <f>UPPER(IF(Master_ventas[[#This Row],[Profit]]&gt;500,"High","Std"))</f>
        <v>HIGH</v>
      </c>
      <c r="P1437">
        <v>1436</v>
      </c>
    </row>
    <row r="1438" spans="1:16" x14ac:dyDescent="0.3">
      <c r="A1438" s="1">
        <v>45386</v>
      </c>
      <c r="B1438" t="s">
        <v>20</v>
      </c>
      <c r="C1438" t="s">
        <v>11</v>
      </c>
      <c r="D1438" t="s">
        <v>9</v>
      </c>
      <c r="E1438">
        <v>9</v>
      </c>
      <c r="F1438" s="3">
        <v>7596</v>
      </c>
      <c r="G1438" s="2">
        <v>1454.15</v>
      </c>
      <c r="H1438">
        <f>Master_ventas[[#This Row],[Profit]]/Master_ventas[[#This Row],[Sales]]</f>
        <v>0.19143628225381781</v>
      </c>
      <c r="I1438">
        <f ca="1">Referencia_Hoy-Master_ventas[[#This Row],[Order Date]]</f>
        <v>937</v>
      </c>
      <c r="J1438" t="str">
        <f>UPPER(Master_ventas[[#This Row],[Product Name]])</f>
        <v>MONITOR</v>
      </c>
      <c r="K1438" t="str">
        <f>UPPER(Master_ventas[[#This Row],[Category]])</f>
        <v>ACCESSORIES</v>
      </c>
      <c r="L1438">
        <f>YEAR(Master_ventas[[#This Row],[Order Date]])</f>
        <v>2024</v>
      </c>
      <c r="M1438" t="str">
        <f>CONCATENATE(LEFT(Master_ventas[[#This Row],[ProdUpper]],3),RIGHT(Master_ventas[[#This Row],[Ext-Year]],2),"-",MID(Master_ventas[[#This Row],[Category]],1,1))</f>
        <v>MON24-A</v>
      </c>
      <c r="N1438" t="str">
        <f>MID(Master_ventas[[#This Row],[ProdUpper]],1,3)</f>
        <v>MON</v>
      </c>
      <c r="O1438" t="str">
        <f>UPPER(IF(Master_ventas[[#This Row],[Profit]]&gt;500,"High","Std"))</f>
        <v>HIGH</v>
      </c>
      <c r="P1438">
        <v>1437</v>
      </c>
    </row>
    <row r="1439" spans="1:16" x14ac:dyDescent="0.3">
      <c r="A1439" s="1">
        <v>45598</v>
      </c>
      <c r="B1439" t="s">
        <v>22</v>
      </c>
      <c r="C1439" t="s">
        <v>11</v>
      </c>
      <c r="D1439" t="s">
        <v>12</v>
      </c>
      <c r="E1439">
        <v>7</v>
      </c>
      <c r="F1439" s="3">
        <v>7252</v>
      </c>
      <c r="G1439" s="2">
        <v>1357.27</v>
      </c>
      <c r="H1439">
        <f>Master_ventas[[#This Row],[Profit]]/Master_ventas[[#This Row],[Sales]]</f>
        <v>0.18715802537231108</v>
      </c>
      <c r="I1439">
        <f ca="1">Referencia_Hoy-Master_ventas[[#This Row],[Order Date]]</f>
        <v>725</v>
      </c>
      <c r="J1439" t="str">
        <f>UPPER(Master_ventas[[#This Row],[Product Name]])</f>
        <v>KEYBOARD</v>
      </c>
      <c r="K1439" t="str">
        <f>UPPER(Master_ventas[[#This Row],[Category]])</f>
        <v>ACCESSORIES</v>
      </c>
      <c r="L1439">
        <f>YEAR(Master_ventas[[#This Row],[Order Date]])</f>
        <v>2024</v>
      </c>
      <c r="M1439" t="str">
        <f>CONCATENATE(LEFT(Master_ventas[[#This Row],[ProdUpper]],3),RIGHT(Master_ventas[[#This Row],[Ext-Year]],2),"-",MID(Master_ventas[[#This Row],[Category]],1,1))</f>
        <v>KEY24-A</v>
      </c>
      <c r="N1439" t="str">
        <f>MID(Master_ventas[[#This Row],[ProdUpper]],1,3)</f>
        <v>KEY</v>
      </c>
      <c r="O1439" t="str">
        <f>UPPER(IF(Master_ventas[[#This Row],[Profit]]&gt;500,"High","Std"))</f>
        <v>HIGH</v>
      </c>
      <c r="P1439">
        <v>1438</v>
      </c>
    </row>
    <row r="1440" spans="1:16" x14ac:dyDescent="0.3">
      <c r="A1440" s="1">
        <v>45631</v>
      </c>
      <c r="B1440" t="s">
        <v>19</v>
      </c>
      <c r="C1440" t="s">
        <v>14</v>
      </c>
      <c r="D1440" t="s">
        <v>16</v>
      </c>
      <c r="E1440">
        <v>6</v>
      </c>
      <c r="F1440" s="3">
        <v>732</v>
      </c>
      <c r="G1440" s="2">
        <v>136.59</v>
      </c>
      <c r="H1440">
        <f>Master_ventas[[#This Row],[Profit]]/Master_ventas[[#This Row],[Sales]]</f>
        <v>0.18659836065573771</v>
      </c>
      <c r="I1440">
        <f ca="1">Referencia_Hoy-Master_ventas[[#This Row],[Order Date]]</f>
        <v>692</v>
      </c>
      <c r="J1440" t="str">
        <f>UPPER(Master_ventas[[#This Row],[Product Name]])</f>
        <v>SMARTWATCH</v>
      </c>
      <c r="K1440" t="str">
        <f>UPPER(Master_ventas[[#This Row],[Category]])</f>
        <v>ELECTRONICS</v>
      </c>
      <c r="L1440">
        <f>YEAR(Master_ventas[[#This Row],[Order Date]])</f>
        <v>2024</v>
      </c>
      <c r="M1440" t="str">
        <f>CONCATENATE(LEFT(Master_ventas[[#This Row],[ProdUpper]],3),RIGHT(Master_ventas[[#This Row],[Ext-Year]],2),"-",MID(Master_ventas[[#This Row],[Category]],1,1))</f>
        <v>SMA24-E</v>
      </c>
      <c r="N1440" t="str">
        <f>MID(Master_ventas[[#This Row],[ProdUpper]],1,3)</f>
        <v>SMA</v>
      </c>
      <c r="O1440" t="str">
        <f>UPPER(IF(Master_ventas[[#This Row],[Profit]]&gt;500,"High","Std"))</f>
        <v>STD</v>
      </c>
      <c r="P1440">
        <v>1439</v>
      </c>
    </row>
    <row r="1441" spans="1:16" x14ac:dyDescent="0.3">
      <c r="A1441" s="1">
        <v>45104</v>
      </c>
      <c r="B1441" t="s">
        <v>21</v>
      </c>
      <c r="C1441" t="s">
        <v>14</v>
      </c>
      <c r="D1441" t="s">
        <v>16</v>
      </c>
      <c r="E1441">
        <v>1</v>
      </c>
      <c r="F1441" s="3">
        <v>173</v>
      </c>
      <c r="G1441" s="2">
        <v>20.96</v>
      </c>
      <c r="H1441">
        <f>Master_ventas[[#This Row],[Profit]]/Master_ventas[[#This Row],[Sales]]</f>
        <v>0.12115606936416186</v>
      </c>
      <c r="I1441">
        <f ca="1">Referencia_Hoy-Master_ventas[[#This Row],[Order Date]]</f>
        <v>1219</v>
      </c>
      <c r="J1441" t="str">
        <f>UPPER(Master_ventas[[#This Row],[Product Name]])</f>
        <v>SMARTPHONE</v>
      </c>
      <c r="K1441" t="str">
        <f>UPPER(Master_ventas[[#This Row],[Category]])</f>
        <v>ELECTRONICS</v>
      </c>
      <c r="L1441">
        <f>YEAR(Master_ventas[[#This Row],[Order Date]])</f>
        <v>2023</v>
      </c>
      <c r="M1441" t="str">
        <f>CONCATENATE(LEFT(Master_ventas[[#This Row],[ProdUpper]],3),RIGHT(Master_ventas[[#This Row],[Ext-Year]],2),"-",MID(Master_ventas[[#This Row],[Category]],1,1))</f>
        <v>SMA23-E</v>
      </c>
      <c r="N1441" t="str">
        <f>MID(Master_ventas[[#This Row],[ProdUpper]],1,3)</f>
        <v>SMA</v>
      </c>
      <c r="O1441" t="str">
        <f>UPPER(IF(Master_ventas[[#This Row],[Profit]]&gt;500,"High","Std"))</f>
        <v>STD</v>
      </c>
      <c r="P1441">
        <v>1440</v>
      </c>
    </row>
    <row r="1442" spans="1:16" x14ac:dyDescent="0.3">
      <c r="A1442" s="1">
        <v>45003</v>
      </c>
      <c r="B1442" t="s">
        <v>17</v>
      </c>
      <c r="C1442" t="s">
        <v>14</v>
      </c>
      <c r="D1442" t="s">
        <v>9</v>
      </c>
      <c r="E1442">
        <v>3</v>
      </c>
      <c r="F1442" s="3">
        <v>2805</v>
      </c>
      <c r="G1442" s="2">
        <v>749.5</v>
      </c>
      <c r="H1442">
        <f>Master_ventas[[#This Row],[Profit]]/Master_ventas[[#This Row],[Sales]]</f>
        <v>0.26720142602495545</v>
      </c>
      <c r="I1442">
        <f ca="1">Referencia_Hoy-Master_ventas[[#This Row],[Order Date]]</f>
        <v>1320</v>
      </c>
      <c r="J1442" t="str">
        <f>UPPER(Master_ventas[[#This Row],[Product Name]])</f>
        <v>CAMERA</v>
      </c>
      <c r="K1442" t="str">
        <f>UPPER(Master_ventas[[#This Row],[Category]])</f>
        <v>ELECTRONICS</v>
      </c>
      <c r="L1442">
        <f>YEAR(Master_ventas[[#This Row],[Order Date]])</f>
        <v>2023</v>
      </c>
      <c r="M1442" t="str">
        <f>CONCATENATE(LEFT(Master_ventas[[#This Row],[ProdUpper]],3),RIGHT(Master_ventas[[#This Row],[Ext-Year]],2),"-",MID(Master_ventas[[#This Row],[Category]],1,1))</f>
        <v>CAM23-E</v>
      </c>
      <c r="N1442" t="str">
        <f>MID(Master_ventas[[#This Row],[ProdUpper]],1,3)</f>
        <v>CAM</v>
      </c>
      <c r="O1442" t="str">
        <f>UPPER(IF(Master_ventas[[#This Row],[Profit]]&gt;500,"High","Std"))</f>
        <v>HIGH</v>
      </c>
      <c r="P1442">
        <v>1441</v>
      </c>
    </row>
    <row r="1443" spans="1:16" x14ac:dyDescent="0.3">
      <c r="A1443" s="1">
        <v>45187</v>
      </c>
      <c r="B1443" t="s">
        <v>21</v>
      </c>
      <c r="C1443" t="s">
        <v>14</v>
      </c>
      <c r="D1443" t="s">
        <v>16</v>
      </c>
      <c r="E1443">
        <v>8</v>
      </c>
      <c r="F1443" s="3">
        <v>7048</v>
      </c>
      <c r="G1443" s="2">
        <v>391.96</v>
      </c>
      <c r="H1443">
        <f>Master_ventas[[#This Row],[Profit]]/Master_ventas[[#This Row],[Sales]]</f>
        <v>5.561293984108967E-2</v>
      </c>
      <c r="I1443">
        <f ca="1">Referencia_Hoy-Master_ventas[[#This Row],[Order Date]]</f>
        <v>1136</v>
      </c>
      <c r="J1443" t="str">
        <f>UPPER(Master_ventas[[#This Row],[Product Name]])</f>
        <v>SMARTPHONE</v>
      </c>
      <c r="K1443" t="str">
        <f>UPPER(Master_ventas[[#This Row],[Category]])</f>
        <v>ELECTRONICS</v>
      </c>
      <c r="L1443">
        <f>YEAR(Master_ventas[[#This Row],[Order Date]])</f>
        <v>2023</v>
      </c>
      <c r="M1443" t="str">
        <f>CONCATENATE(LEFT(Master_ventas[[#This Row],[ProdUpper]],3),RIGHT(Master_ventas[[#This Row],[Ext-Year]],2),"-",MID(Master_ventas[[#This Row],[Category]],1,1))</f>
        <v>SMA23-E</v>
      </c>
      <c r="N1443" t="str">
        <f>MID(Master_ventas[[#This Row],[ProdUpper]],1,3)</f>
        <v>SMA</v>
      </c>
      <c r="O1443" t="str">
        <f>UPPER(IF(Master_ventas[[#This Row],[Profit]]&gt;500,"High","Std"))</f>
        <v>STD</v>
      </c>
      <c r="P1443">
        <v>1442</v>
      </c>
    </row>
    <row r="1444" spans="1:16" x14ac:dyDescent="0.3">
      <c r="A1444" s="1">
        <v>45520</v>
      </c>
      <c r="B1444" t="s">
        <v>10</v>
      </c>
      <c r="C1444" t="s">
        <v>11</v>
      </c>
      <c r="D1444" t="s">
        <v>12</v>
      </c>
      <c r="E1444">
        <v>6</v>
      </c>
      <c r="F1444" s="3">
        <v>4698</v>
      </c>
      <c r="G1444" s="2">
        <v>1020.11</v>
      </c>
      <c r="H1444">
        <f>Master_ventas[[#This Row],[Profit]]/Master_ventas[[#This Row],[Sales]]</f>
        <v>0.21713707960834397</v>
      </c>
      <c r="I1444">
        <f ca="1">Referencia_Hoy-Master_ventas[[#This Row],[Order Date]]</f>
        <v>803</v>
      </c>
      <c r="J1444" t="str">
        <f>UPPER(Master_ventas[[#This Row],[Product Name]])</f>
        <v>MOUSE</v>
      </c>
      <c r="K1444" t="str">
        <f>UPPER(Master_ventas[[#This Row],[Category]])</f>
        <v>ACCESSORIES</v>
      </c>
      <c r="L1444">
        <f>YEAR(Master_ventas[[#This Row],[Order Date]])</f>
        <v>2024</v>
      </c>
      <c r="M1444" t="str">
        <f>CONCATENATE(LEFT(Master_ventas[[#This Row],[ProdUpper]],3),RIGHT(Master_ventas[[#This Row],[Ext-Year]],2),"-",MID(Master_ventas[[#This Row],[Category]],1,1))</f>
        <v>MOU24-A</v>
      </c>
      <c r="N1444" t="str">
        <f>MID(Master_ventas[[#This Row],[ProdUpper]],1,3)</f>
        <v>MOU</v>
      </c>
      <c r="O1444" t="str">
        <f>UPPER(IF(Master_ventas[[#This Row],[Profit]]&gt;500,"High","Std"))</f>
        <v>HIGH</v>
      </c>
      <c r="P1444">
        <v>1443</v>
      </c>
    </row>
    <row r="1445" spans="1:16" x14ac:dyDescent="0.3">
      <c r="A1445" s="1">
        <v>45308</v>
      </c>
      <c r="B1445" t="s">
        <v>19</v>
      </c>
      <c r="C1445" t="s">
        <v>14</v>
      </c>
      <c r="D1445" t="s">
        <v>15</v>
      </c>
      <c r="E1445">
        <v>1</v>
      </c>
      <c r="F1445" s="3">
        <v>565</v>
      </c>
      <c r="G1445" s="2">
        <v>148.79</v>
      </c>
      <c r="H1445">
        <f>Master_ventas[[#This Row],[Profit]]/Master_ventas[[#This Row],[Sales]]</f>
        <v>0.2633451327433628</v>
      </c>
      <c r="I1445">
        <f ca="1">Referencia_Hoy-Master_ventas[[#This Row],[Order Date]]</f>
        <v>1015</v>
      </c>
      <c r="J1445" t="str">
        <f>UPPER(Master_ventas[[#This Row],[Product Name]])</f>
        <v>SMARTWATCH</v>
      </c>
      <c r="K1445" t="str">
        <f>UPPER(Master_ventas[[#This Row],[Category]])</f>
        <v>ELECTRONICS</v>
      </c>
      <c r="L1445">
        <f>YEAR(Master_ventas[[#This Row],[Order Date]])</f>
        <v>2024</v>
      </c>
      <c r="M1445" t="str">
        <f>CONCATENATE(LEFT(Master_ventas[[#This Row],[ProdUpper]],3),RIGHT(Master_ventas[[#This Row],[Ext-Year]],2),"-",MID(Master_ventas[[#This Row],[Category]],1,1))</f>
        <v>SMA24-E</v>
      </c>
      <c r="N1445" t="str">
        <f>MID(Master_ventas[[#This Row],[ProdUpper]],1,3)</f>
        <v>SMA</v>
      </c>
      <c r="O1445" t="str">
        <f>UPPER(IF(Master_ventas[[#This Row],[Profit]]&gt;500,"High","Std"))</f>
        <v>STD</v>
      </c>
      <c r="P1445">
        <v>1444</v>
      </c>
    </row>
    <row r="1446" spans="1:16" x14ac:dyDescent="0.3">
      <c r="A1446" s="1">
        <v>45094</v>
      </c>
      <c r="B1446" t="s">
        <v>20</v>
      </c>
      <c r="C1446" t="s">
        <v>11</v>
      </c>
      <c r="D1446" t="s">
        <v>9</v>
      </c>
      <c r="E1446">
        <v>1</v>
      </c>
      <c r="F1446" s="3">
        <v>672</v>
      </c>
      <c r="G1446" s="2">
        <v>198.75</v>
      </c>
      <c r="H1446">
        <f>Master_ventas[[#This Row],[Profit]]/Master_ventas[[#This Row],[Sales]]</f>
        <v>0.29575892857142855</v>
      </c>
      <c r="I1446">
        <f ca="1">Referencia_Hoy-Master_ventas[[#This Row],[Order Date]]</f>
        <v>1229</v>
      </c>
      <c r="J1446" t="str">
        <f>UPPER(Master_ventas[[#This Row],[Product Name]])</f>
        <v>MONITOR</v>
      </c>
      <c r="K1446" t="str">
        <f>UPPER(Master_ventas[[#This Row],[Category]])</f>
        <v>ACCESSORIES</v>
      </c>
      <c r="L1446">
        <f>YEAR(Master_ventas[[#This Row],[Order Date]])</f>
        <v>2023</v>
      </c>
      <c r="M1446" t="str">
        <f>CONCATENATE(LEFT(Master_ventas[[#This Row],[ProdUpper]],3),RIGHT(Master_ventas[[#This Row],[Ext-Year]],2),"-",MID(Master_ventas[[#This Row],[Category]],1,1))</f>
        <v>MON23-A</v>
      </c>
      <c r="N1446" t="str">
        <f>MID(Master_ventas[[#This Row],[ProdUpper]],1,3)</f>
        <v>MON</v>
      </c>
      <c r="O1446" t="str">
        <f>UPPER(IF(Master_ventas[[#This Row],[Profit]]&gt;500,"High","Std"))</f>
        <v>STD</v>
      </c>
      <c r="P1446">
        <v>1445</v>
      </c>
    </row>
    <row r="1447" spans="1:16" x14ac:dyDescent="0.3">
      <c r="A1447" s="1">
        <v>44766</v>
      </c>
      <c r="B1447" t="s">
        <v>17</v>
      </c>
      <c r="C1447" t="s">
        <v>14</v>
      </c>
      <c r="D1447" t="s">
        <v>15</v>
      </c>
      <c r="E1447">
        <v>6</v>
      </c>
      <c r="F1447" s="3">
        <v>2604</v>
      </c>
      <c r="G1447" s="2">
        <v>566.34</v>
      </c>
      <c r="H1447">
        <f>Master_ventas[[#This Row],[Profit]]/Master_ventas[[#This Row],[Sales]]</f>
        <v>0.21748847926267281</v>
      </c>
      <c r="I1447">
        <f ca="1">Referencia_Hoy-Master_ventas[[#This Row],[Order Date]]</f>
        <v>1557</v>
      </c>
      <c r="J1447" t="str">
        <f>UPPER(Master_ventas[[#This Row],[Product Name]])</f>
        <v>CAMERA</v>
      </c>
      <c r="K1447" t="str">
        <f>UPPER(Master_ventas[[#This Row],[Category]])</f>
        <v>ELECTRONICS</v>
      </c>
      <c r="L1447">
        <f>YEAR(Master_ventas[[#This Row],[Order Date]])</f>
        <v>2022</v>
      </c>
      <c r="M1447" t="str">
        <f>CONCATENATE(LEFT(Master_ventas[[#This Row],[ProdUpper]],3),RIGHT(Master_ventas[[#This Row],[Ext-Year]],2),"-",MID(Master_ventas[[#This Row],[Category]],1,1))</f>
        <v>CAM22-E</v>
      </c>
      <c r="N1447" t="str">
        <f>MID(Master_ventas[[#This Row],[ProdUpper]],1,3)</f>
        <v>CAM</v>
      </c>
      <c r="O1447" t="str">
        <f>UPPER(IF(Master_ventas[[#This Row],[Profit]]&gt;500,"High","Std"))</f>
        <v>HIGH</v>
      </c>
      <c r="P1447">
        <v>1446</v>
      </c>
    </row>
    <row r="1448" spans="1:16" x14ac:dyDescent="0.3">
      <c r="A1448" s="1">
        <v>45443</v>
      </c>
      <c r="B1448" t="s">
        <v>13</v>
      </c>
      <c r="C1448" t="s">
        <v>14</v>
      </c>
      <c r="D1448" t="s">
        <v>16</v>
      </c>
      <c r="E1448">
        <v>6</v>
      </c>
      <c r="F1448" s="3">
        <v>5124</v>
      </c>
      <c r="G1448" s="2">
        <v>501.5</v>
      </c>
      <c r="H1448">
        <f>Master_ventas[[#This Row],[Profit]]/Master_ventas[[#This Row],[Sales]]</f>
        <v>9.7872755659640903E-2</v>
      </c>
      <c r="I1448">
        <f ca="1">Referencia_Hoy-Master_ventas[[#This Row],[Order Date]]</f>
        <v>880</v>
      </c>
      <c r="J1448" t="str">
        <f>UPPER(Master_ventas[[#This Row],[Product Name]])</f>
        <v>TABLET</v>
      </c>
      <c r="K1448" t="str">
        <f>UPPER(Master_ventas[[#This Row],[Category]])</f>
        <v>ELECTRONICS</v>
      </c>
      <c r="L1448">
        <f>YEAR(Master_ventas[[#This Row],[Order Date]])</f>
        <v>2024</v>
      </c>
      <c r="M1448" t="str">
        <f>CONCATENATE(LEFT(Master_ventas[[#This Row],[ProdUpper]],3),RIGHT(Master_ventas[[#This Row],[Ext-Year]],2),"-",MID(Master_ventas[[#This Row],[Category]],1,1))</f>
        <v>TAB24-E</v>
      </c>
      <c r="N1448" t="str">
        <f>MID(Master_ventas[[#This Row],[ProdUpper]],1,3)</f>
        <v>TAB</v>
      </c>
      <c r="O1448" t="str">
        <f>UPPER(IF(Master_ventas[[#This Row],[Profit]]&gt;500,"High","Std"))</f>
        <v>HIGH</v>
      </c>
      <c r="P1448">
        <v>1447</v>
      </c>
    </row>
    <row r="1449" spans="1:16" x14ac:dyDescent="0.3">
      <c r="A1449" s="1">
        <v>44787</v>
      </c>
      <c r="B1449" t="s">
        <v>19</v>
      </c>
      <c r="C1449" t="s">
        <v>14</v>
      </c>
      <c r="D1449" t="s">
        <v>16</v>
      </c>
      <c r="E1449">
        <v>5</v>
      </c>
      <c r="F1449" s="3">
        <v>2455</v>
      </c>
      <c r="G1449" s="2">
        <v>714.35</v>
      </c>
      <c r="H1449">
        <f>Master_ventas[[#This Row],[Profit]]/Master_ventas[[#This Row],[Sales]]</f>
        <v>0.29097759674134421</v>
      </c>
      <c r="I1449">
        <f ca="1">Referencia_Hoy-Master_ventas[[#This Row],[Order Date]]</f>
        <v>1536</v>
      </c>
      <c r="J1449" t="str">
        <f>UPPER(Master_ventas[[#This Row],[Product Name]])</f>
        <v>SMARTWATCH</v>
      </c>
      <c r="K1449" t="str">
        <f>UPPER(Master_ventas[[#This Row],[Category]])</f>
        <v>ELECTRONICS</v>
      </c>
      <c r="L1449">
        <f>YEAR(Master_ventas[[#This Row],[Order Date]])</f>
        <v>2022</v>
      </c>
      <c r="M1449" t="str">
        <f>CONCATENATE(LEFT(Master_ventas[[#This Row],[ProdUpper]],3),RIGHT(Master_ventas[[#This Row],[Ext-Year]],2),"-",MID(Master_ventas[[#This Row],[Category]],1,1))</f>
        <v>SMA22-E</v>
      </c>
      <c r="N1449" t="str">
        <f>MID(Master_ventas[[#This Row],[ProdUpper]],1,3)</f>
        <v>SMA</v>
      </c>
      <c r="O1449" t="str">
        <f>UPPER(IF(Master_ventas[[#This Row],[Profit]]&gt;500,"High","Std"))</f>
        <v>HIGH</v>
      </c>
      <c r="P1449">
        <v>1448</v>
      </c>
    </row>
    <row r="1450" spans="1:16" x14ac:dyDescent="0.3">
      <c r="A1450" s="1">
        <v>44621</v>
      </c>
      <c r="B1450" t="s">
        <v>7</v>
      </c>
      <c r="C1450" t="s">
        <v>8</v>
      </c>
      <c r="D1450" t="s">
        <v>9</v>
      </c>
      <c r="E1450">
        <v>2</v>
      </c>
      <c r="F1450" s="3">
        <v>1796</v>
      </c>
      <c r="G1450" s="2">
        <v>225.15</v>
      </c>
      <c r="H1450">
        <f>Master_ventas[[#This Row],[Profit]]/Master_ventas[[#This Row],[Sales]]</f>
        <v>0.12536191536748331</v>
      </c>
      <c r="I1450">
        <f ca="1">Referencia_Hoy-Master_ventas[[#This Row],[Order Date]]</f>
        <v>1702</v>
      </c>
      <c r="J1450" t="str">
        <f>UPPER(Master_ventas[[#This Row],[Product Name]])</f>
        <v>PRINTER</v>
      </c>
      <c r="K1450" t="str">
        <f>UPPER(Master_ventas[[#This Row],[Category]])</f>
        <v>OFFICE</v>
      </c>
      <c r="L1450">
        <f>YEAR(Master_ventas[[#This Row],[Order Date]])</f>
        <v>2022</v>
      </c>
      <c r="M1450" t="str">
        <f>CONCATENATE(LEFT(Master_ventas[[#This Row],[ProdUpper]],3),RIGHT(Master_ventas[[#This Row],[Ext-Year]],2),"-",MID(Master_ventas[[#This Row],[Category]],1,1))</f>
        <v>PRI22-O</v>
      </c>
      <c r="N1450" t="str">
        <f>MID(Master_ventas[[#This Row],[ProdUpper]],1,3)</f>
        <v>PRI</v>
      </c>
      <c r="O1450" t="str">
        <f>UPPER(IF(Master_ventas[[#This Row],[Profit]]&gt;500,"High","Std"))</f>
        <v>STD</v>
      </c>
      <c r="P1450">
        <v>1449</v>
      </c>
    </row>
    <row r="1451" spans="1:16" x14ac:dyDescent="0.3">
      <c r="A1451" s="1">
        <v>44586</v>
      </c>
      <c r="B1451" t="s">
        <v>23</v>
      </c>
      <c r="C1451" t="s">
        <v>14</v>
      </c>
      <c r="D1451" t="s">
        <v>15</v>
      </c>
      <c r="E1451">
        <v>1</v>
      </c>
      <c r="F1451" s="3">
        <v>288</v>
      </c>
      <c r="G1451" s="2">
        <v>61.85</v>
      </c>
      <c r="H1451">
        <f>Master_ventas[[#This Row],[Profit]]/Master_ventas[[#This Row],[Sales]]</f>
        <v>0.21475694444444446</v>
      </c>
      <c r="I1451">
        <f ca="1">Referencia_Hoy-Master_ventas[[#This Row],[Order Date]]</f>
        <v>1737</v>
      </c>
      <c r="J1451" t="str">
        <f>UPPER(Master_ventas[[#This Row],[Product Name]])</f>
        <v>LAPTOP</v>
      </c>
      <c r="K1451" t="str">
        <f>UPPER(Master_ventas[[#This Row],[Category]])</f>
        <v>ELECTRONICS</v>
      </c>
      <c r="L1451">
        <f>YEAR(Master_ventas[[#This Row],[Order Date]])</f>
        <v>2022</v>
      </c>
      <c r="M1451" t="str">
        <f>CONCATENATE(LEFT(Master_ventas[[#This Row],[ProdUpper]],3),RIGHT(Master_ventas[[#This Row],[Ext-Year]],2),"-",MID(Master_ventas[[#This Row],[Category]],1,1))</f>
        <v>LAP22-E</v>
      </c>
      <c r="N1451" t="str">
        <f>MID(Master_ventas[[#This Row],[ProdUpper]],1,3)</f>
        <v>LAP</v>
      </c>
      <c r="O1451" t="str">
        <f>UPPER(IF(Master_ventas[[#This Row],[Profit]]&gt;500,"High","Std"))</f>
        <v>STD</v>
      </c>
      <c r="P1451">
        <v>1450</v>
      </c>
    </row>
    <row r="1452" spans="1:16" x14ac:dyDescent="0.3">
      <c r="A1452" s="1">
        <v>45130</v>
      </c>
      <c r="B1452" t="s">
        <v>23</v>
      </c>
      <c r="C1452" t="s">
        <v>14</v>
      </c>
      <c r="D1452" t="s">
        <v>9</v>
      </c>
      <c r="E1452">
        <v>5</v>
      </c>
      <c r="F1452" s="3">
        <v>2160</v>
      </c>
      <c r="G1452" s="2">
        <v>553.41</v>
      </c>
      <c r="H1452">
        <f>Master_ventas[[#This Row],[Profit]]/Master_ventas[[#This Row],[Sales]]</f>
        <v>0.25620833333333332</v>
      </c>
      <c r="I1452">
        <f ca="1">Referencia_Hoy-Master_ventas[[#This Row],[Order Date]]</f>
        <v>1193</v>
      </c>
      <c r="J1452" t="str">
        <f>UPPER(Master_ventas[[#This Row],[Product Name]])</f>
        <v>LAPTOP</v>
      </c>
      <c r="K1452" t="str">
        <f>UPPER(Master_ventas[[#This Row],[Category]])</f>
        <v>ELECTRONICS</v>
      </c>
      <c r="L1452">
        <f>YEAR(Master_ventas[[#This Row],[Order Date]])</f>
        <v>2023</v>
      </c>
      <c r="M1452" t="str">
        <f>CONCATENATE(LEFT(Master_ventas[[#This Row],[ProdUpper]],3),RIGHT(Master_ventas[[#This Row],[Ext-Year]],2),"-",MID(Master_ventas[[#This Row],[Category]],1,1))</f>
        <v>LAP23-E</v>
      </c>
      <c r="N1452" t="str">
        <f>MID(Master_ventas[[#This Row],[ProdUpper]],1,3)</f>
        <v>LAP</v>
      </c>
      <c r="O1452" t="str">
        <f>UPPER(IF(Master_ventas[[#This Row],[Profit]]&gt;500,"High","Std"))</f>
        <v>HIGH</v>
      </c>
      <c r="P1452">
        <v>1451</v>
      </c>
    </row>
    <row r="1453" spans="1:16" x14ac:dyDescent="0.3">
      <c r="A1453" s="1">
        <v>44630</v>
      </c>
      <c r="B1453" t="s">
        <v>13</v>
      </c>
      <c r="C1453" t="s">
        <v>14</v>
      </c>
      <c r="D1453" t="s">
        <v>16</v>
      </c>
      <c r="E1453">
        <v>1</v>
      </c>
      <c r="F1453" s="3">
        <v>105</v>
      </c>
      <c r="G1453" s="2">
        <v>27.36</v>
      </c>
      <c r="H1453">
        <f>Master_ventas[[#This Row],[Profit]]/Master_ventas[[#This Row],[Sales]]</f>
        <v>0.26057142857142856</v>
      </c>
      <c r="I1453">
        <f ca="1">Referencia_Hoy-Master_ventas[[#This Row],[Order Date]]</f>
        <v>1693</v>
      </c>
      <c r="J1453" t="str">
        <f>UPPER(Master_ventas[[#This Row],[Product Name]])</f>
        <v>TABLET</v>
      </c>
      <c r="K1453" t="str">
        <f>UPPER(Master_ventas[[#This Row],[Category]])</f>
        <v>ELECTRONICS</v>
      </c>
      <c r="L1453">
        <f>YEAR(Master_ventas[[#This Row],[Order Date]])</f>
        <v>2022</v>
      </c>
      <c r="M1453" t="str">
        <f>CONCATENATE(LEFT(Master_ventas[[#This Row],[ProdUpper]],3),RIGHT(Master_ventas[[#This Row],[Ext-Year]],2),"-",MID(Master_ventas[[#This Row],[Category]],1,1))</f>
        <v>TAB22-E</v>
      </c>
      <c r="N1453" t="str">
        <f>MID(Master_ventas[[#This Row],[ProdUpper]],1,3)</f>
        <v>TAB</v>
      </c>
      <c r="O1453" t="str">
        <f>UPPER(IF(Master_ventas[[#This Row],[Profit]]&gt;500,"High","Std"))</f>
        <v>STD</v>
      </c>
      <c r="P1453">
        <v>1452</v>
      </c>
    </row>
    <row r="1454" spans="1:16" x14ac:dyDescent="0.3">
      <c r="A1454" s="1">
        <v>45051</v>
      </c>
      <c r="B1454" t="s">
        <v>20</v>
      </c>
      <c r="C1454" t="s">
        <v>11</v>
      </c>
      <c r="D1454" t="s">
        <v>15</v>
      </c>
      <c r="E1454">
        <v>9</v>
      </c>
      <c r="F1454" s="3">
        <v>7578</v>
      </c>
      <c r="G1454" s="2">
        <v>1596.64</v>
      </c>
      <c r="H1454">
        <f>Master_ventas[[#This Row],[Profit]]/Master_ventas[[#This Row],[Sales]]</f>
        <v>0.21069411454209555</v>
      </c>
      <c r="I1454">
        <f ca="1">Referencia_Hoy-Master_ventas[[#This Row],[Order Date]]</f>
        <v>1272</v>
      </c>
      <c r="J1454" t="str">
        <f>UPPER(Master_ventas[[#This Row],[Product Name]])</f>
        <v>MONITOR</v>
      </c>
      <c r="K1454" t="str">
        <f>UPPER(Master_ventas[[#This Row],[Category]])</f>
        <v>ACCESSORIES</v>
      </c>
      <c r="L1454">
        <f>YEAR(Master_ventas[[#This Row],[Order Date]])</f>
        <v>2023</v>
      </c>
      <c r="M1454" t="str">
        <f>CONCATENATE(LEFT(Master_ventas[[#This Row],[ProdUpper]],3),RIGHT(Master_ventas[[#This Row],[Ext-Year]],2),"-",MID(Master_ventas[[#This Row],[Category]],1,1))</f>
        <v>MON23-A</v>
      </c>
      <c r="N1454" t="str">
        <f>MID(Master_ventas[[#This Row],[ProdUpper]],1,3)</f>
        <v>MON</v>
      </c>
      <c r="O1454" t="str">
        <f>UPPER(IF(Master_ventas[[#This Row],[Profit]]&gt;500,"High","Std"))</f>
        <v>HIGH</v>
      </c>
      <c r="P1454">
        <v>1453</v>
      </c>
    </row>
    <row r="1455" spans="1:16" x14ac:dyDescent="0.3">
      <c r="A1455" s="1">
        <v>44995</v>
      </c>
      <c r="B1455" t="s">
        <v>18</v>
      </c>
      <c r="C1455" t="s">
        <v>11</v>
      </c>
      <c r="D1455" t="s">
        <v>15</v>
      </c>
      <c r="E1455">
        <v>1</v>
      </c>
      <c r="F1455" s="3">
        <v>365</v>
      </c>
      <c r="G1455" s="2">
        <v>50.1</v>
      </c>
      <c r="H1455">
        <f>Master_ventas[[#This Row],[Profit]]/Master_ventas[[#This Row],[Sales]]</f>
        <v>0.13726027397260274</v>
      </c>
      <c r="I1455">
        <f ca="1">Referencia_Hoy-Master_ventas[[#This Row],[Order Date]]</f>
        <v>1328</v>
      </c>
      <c r="J1455" t="str">
        <f>UPPER(Master_ventas[[#This Row],[Product Name]])</f>
        <v>HEADPHONES</v>
      </c>
      <c r="K1455" t="str">
        <f>UPPER(Master_ventas[[#This Row],[Category]])</f>
        <v>ACCESSORIES</v>
      </c>
      <c r="L1455">
        <f>YEAR(Master_ventas[[#This Row],[Order Date]])</f>
        <v>2023</v>
      </c>
      <c r="M1455" t="str">
        <f>CONCATENATE(LEFT(Master_ventas[[#This Row],[ProdUpper]],3),RIGHT(Master_ventas[[#This Row],[Ext-Year]],2),"-",MID(Master_ventas[[#This Row],[Category]],1,1))</f>
        <v>HEA23-A</v>
      </c>
      <c r="N1455" t="str">
        <f>MID(Master_ventas[[#This Row],[ProdUpper]],1,3)</f>
        <v>HEA</v>
      </c>
      <c r="O1455" t="str">
        <f>UPPER(IF(Master_ventas[[#This Row],[Profit]]&gt;500,"High","Std"))</f>
        <v>STD</v>
      </c>
      <c r="P1455">
        <v>1454</v>
      </c>
    </row>
    <row r="1456" spans="1:16" x14ac:dyDescent="0.3">
      <c r="A1456" s="1">
        <v>45405</v>
      </c>
      <c r="B1456" t="s">
        <v>17</v>
      </c>
      <c r="C1456" t="s">
        <v>14</v>
      </c>
      <c r="D1456" t="s">
        <v>16</v>
      </c>
      <c r="E1456">
        <v>8</v>
      </c>
      <c r="F1456" s="3">
        <v>3752</v>
      </c>
      <c r="G1456" s="2">
        <v>537.98</v>
      </c>
      <c r="H1456">
        <f>Master_ventas[[#This Row],[Profit]]/Master_ventas[[#This Row],[Sales]]</f>
        <v>0.14338486140724946</v>
      </c>
      <c r="I1456">
        <f ca="1">Referencia_Hoy-Master_ventas[[#This Row],[Order Date]]</f>
        <v>918</v>
      </c>
      <c r="J1456" t="str">
        <f>UPPER(Master_ventas[[#This Row],[Product Name]])</f>
        <v>CAMERA</v>
      </c>
      <c r="K1456" t="str">
        <f>UPPER(Master_ventas[[#This Row],[Category]])</f>
        <v>ELECTRONICS</v>
      </c>
      <c r="L1456">
        <f>YEAR(Master_ventas[[#This Row],[Order Date]])</f>
        <v>2024</v>
      </c>
      <c r="M1456" t="str">
        <f>CONCATENATE(LEFT(Master_ventas[[#This Row],[ProdUpper]],3),RIGHT(Master_ventas[[#This Row],[Ext-Year]],2),"-",MID(Master_ventas[[#This Row],[Category]],1,1))</f>
        <v>CAM24-E</v>
      </c>
      <c r="N1456" t="str">
        <f>MID(Master_ventas[[#This Row],[ProdUpper]],1,3)</f>
        <v>CAM</v>
      </c>
      <c r="O1456" t="str">
        <f>UPPER(IF(Master_ventas[[#This Row],[Profit]]&gt;500,"High","Std"))</f>
        <v>HIGH</v>
      </c>
      <c r="P1456">
        <v>1455</v>
      </c>
    </row>
    <row r="1457" spans="1:16" x14ac:dyDescent="0.3">
      <c r="A1457" s="1">
        <v>45525</v>
      </c>
      <c r="B1457" t="s">
        <v>22</v>
      </c>
      <c r="C1457" t="s">
        <v>11</v>
      </c>
      <c r="D1457" t="s">
        <v>9</v>
      </c>
      <c r="E1457">
        <v>2</v>
      </c>
      <c r="F1457" s="3">
        <v>1384</v>
      </c>
      <c r="G1457" s="2">
        <v>316.20999999999998</v>
      </c>
      <c r="H1457">
        <f>Master_ventas[[#This Row],[Profit]]/Master_ventas[[#This Row],[Sales]]</f>
        <v>0.22847543352601155</v>
      </c>
      <c r="I1457">
        <f ca="1">Referencia_Hoy-Master_ventas[[#This Row],[Order Date]]</f>
        <v>798</v>
      </c>
      <c r="J1457" t="str">
        <f>UPPER(Master_ventas[[#This Row],[Product Name]])</f>
        <v>KEYBOARD</v>
      </c>
      <c r="K1457" t="str">
        <f>UPPER(Master_ventas[[#This Row],[Category]])</f>
        <v>ACCESSORIES</v>
      </c>
      <c r="L1457">
        <f>YEAR(Master_ventas[[#This Row],[Order Date]])</f>
        <v>2024</v>
      </c>
      <c r="M1457" t="str">
        <f>CONCATENATE(LEFT(Master_ventas[[#This Row],[ProdUpper]],3),RIGHT(Master_ventas[[#This Row],[Ext-Year]],2),"-",MID(Master_ventas[[#This Row],[Category]],1,1))</f>
        <v>KEY24-A</v>
      </c>
      <c r="N1457" t="str">
        <f>MID(Master_ventas[[#This Row],[ProdUpper]],1,3)</f>
        <v>KEY</v>
      </c>
      <c r="O1457" t="str">
        <f>UPPER(IF(Master_ventas[[#This Row],[Profit]]&gt;500,"High","Std"))</f>
        <v>STD</v>
      </c>
      <c r="P1457">
        <v>1456</v>
      </c>
    </row>
    <row r="1458" spans="1:16" x14ac:dyDescent="0.3">
      <c r="A1458" s="1">
        <v>44978</v>
      </c>
      <c r="B1458" t="s">
        <v>21</v>
      </c>
      <c r="C1458" t="s">
        <v>14</v>
      </c>
      <c r="D1458" t="s">
        <v>16</v>
      </c>
      <c r="E1458">
        <v>5</v>
      </c>
      <c r="F1458" s="3">
        <v>475</v>
      </c>
      <c r="G1458" s="2">
        <v>76.22</v>
      </c>
      <c r="H1458">
        <f>Master_ventas[[#This Row],[Profit]]/Master_ventas[[#This Row],[Sales]]</f>
        <v>0.16046315789473684</v>
      </c>
      <c r="I1458">
        <f ca="1">Referencia_Hoy-Master_ventas[[#This Row],[Order Date]]</f>
        <v>1345</v>
      </c>
      <c r="J1458" t="str">
        <f>UPPER(Master_ventas[[#This Row],[Product Name]])</f>
        <v>SMARTPHONE</v>
      </c>
      <c r="K1458" t="str">
        <f>UPPER(Master_ventas[[#This Row],[Category]])</f>
        <v>ELECTRONICS</v>
      </c>
      <c r="L1458">
        <f>YEAR(Master_ventas[[#This Row],[Order Date]])</f>
        <v>2023</v>
      </c>
      <c r="M1458" t="str">
        <f>CONCATENATE(LEFT(Master_ventas[[#This Row],[ProdUpper]],3),RIGHT(Master_ventas[[#This Row],[Ext-Year]],2),"-",MID(Master_ventas[[#This Row],[Category]],1,1))</f>
        <v>SMA23-E</v>
      </c>
      <c r="N1458" t="str">
        <f>MID(Master_ventas[[#This Row],[ProdUpper]],1,3)</f>
        <v>SMA</v>
      </c>
      <c r="O1458" t="str">
        <f>UPPER(IF(Master_ventas[[#This Row],[Profit]]&gt;500,"High","Std"))</f>
        <v>STD</v>
      </c>
      <c r="P1458">
        <v>1457</v>
      </c>
    </row>
    <row r="1459" spans="1:16" x14ac:dyDescent="0.3">
      <c r="A1459" s="1">
        <v>44935</v>
      </c>
      <c r="B1459" t="s">
        <v>7</v>
      </c>
      <c r="C1459" t="s">
        <v>8</v>
      </c>
      <c r="D1459" t="s">
        <v>16</v>
      </c>
      <c r="E1459">
        <v>4</v>
      </c>
      <c r="F1459" s="3">
        <v>1116</v>
      </c>
      <c r="G1459" s="2">
        <v>242.31</v>
      </c>
      <c r="H1459">
        <f>Master_ventas[[#This Row],[Profit]]/Master_ventas[[#This Row],[Sales]]</f>
        <v>0.2171236559139785</v>
      </c>
      <c r="I1459">
        <f ca="1">Referencia_Hoy-Master_ventas[[#This Row],[Order Date]]</f>
        <v>1388</v>
      </c>
      <c r="J1459" t="str">
        <f>UPPER(Master_ventas[[#This Row],[Product Name]])</f>
        <v>PRINTER</v>
      </c>
      <c r="K1459" t="str">
        <f>UPPER(Master_ventas[[#This Row],[Category]])</f>
        <v>OFFICE</v>
      </c>
      <c r="L1459">
        <f>YEAR(Master_ventas[[#This Row],[Order Date]])</f>
        <v>2023</v>
      </c>
      <c r="M1459" t="str">
        <f>CONCATENATE(LEFT(Master_ventas[[#This Row],[ProdUpper]],3),RIGHT(Master_ventas[[#This Row],[Ext-Year]],2),"-",MID(Master_ventas[[#This Row],[Category]],1,1))</f>
        <v>PRI23-O</v>
      </c>
      <c r="N1459" t="str">
        <f>MID(Master_ventas[[#This Row],[ProdUpper]],1,3)</f>
        <v>PRI</v>
      </c>
      <c r="O1459" t="str">
        <f>UPPER(IF(Master_ventas[[#This Row],[Profit]]&gt;500,"High","Std"))</f>
        <v>STD</v>
      </c>
      <c r="P1459">
        <v>1458</v>
      </c>
    </row>
    <row r="1460" spans="1:16" x14ac:dyDescent="0.3">
      <c r="A1460" s="1">
        <v>45162</v>
      </c>
      <c r="B1460" t="s">
        <v>21</v>
      </c>
      <c r="C1460" t="s">
        <v>14</v>
      </c>
      <c r="D1460" t="s">
        <v>16</v>
      </c>
      <c r="E1460">
        <v>1</v>
      </c>
      <c r="F1460" s="3">
        <v>137</v>
      </c>
      <c r="G1460" s="2">
        <v>39.35</v>
      </c>
      <c r="H1460">
        <f>Master_ventas[[#This Row],[Profit]]/Master_ventas[[#This Row],[Sales]]</f>
        <v>0.28722627737226281</v>
      </c>
      <c r="I1460">
        <f ca="1">Referencia_Hoy-Master_ventas[[#This Row],[Order Date]]</f>
        <v>1161</v>
      </c>
      <c r="J1460" t="str">
        <f>UPPER(Master_ventas[[#This Row],[Product Name]])</f>
        <v>SMARTPHONE</v>
      </c>
      <c r="K1460" t="str">
        <f>UPPER(Master_ventas[[#This Row],[Category]])</f>
        <v>ELECTRONICS</v>
      </c>
      <c r="L1460">
        <f>YEAR(Master_ventas[[#This Row],[Order Date]])</f>
        <v>2023</v>
      </c>
      <c r="M1460" t="str">
        <f>CONCATENATE(LEFT(Master_ventas[[#This Row],[ProdUpper]],3),RIGHT(Master_ventas[[#This Row],[Ext-Year]],2),"-",MID(Master_ventas[[#This Row],[Category]],1,1))</f>
        <v>SMA23-E</v>
      </c>
      <c r="N1460" t="str">
        <f>MID(Master_ventas[[#This Row],[ProdUpper]],1,3)</f>
        <v>SMA</v>
      </c>
      <c r="O1460" t="str">
        <f>UPPER(IF(Master_ventas[[#This Row],[Profit]]&gt;500,"High","Std"))</f>
        <v>STD</v>
      </c>
      <c r="P1460">
        <v>1459</v>
      </c>
    </row>
    <row r="1461" spans="1:16" x14ac:dyDescent="0.3">
      <c r="A1461" s="1">
        <v>44573</v>
      </c>
      <c r="B1461" t="s">
        <v>18</v>
      </c>
      <c r="C1461" t="s">
        <v>11</v>
      </c>
      <c r="D1461" t="s">
        <v>15</v>
      </c>
      <c r="E1461">
        <v>6</v>
      </c>
      <c r="F1461" s="3">
        <v>738</v>
      </c>
      <c r="G1461" s="2">
        <v>158.96</v>
      </c>
      <c r="H1461">
        <f>Master_ventas[[#This Row],[Profit]]/Master_ventas[[#This Row],[Sales]]</f>
        <v>0.2153929539295393</v>
      </c>
      <c r="I1461">
        <f ca="1">Referencia_Hoy-Master_ventas[[#This Row],[Order Date]]</f>
        <v>1750</v>
      </c>
      <c r="J1461" t="str">
        <f>UPPER(Master_ventas[[#This Row],[Product Name]])</f>
        <v>HEADPHONES</v>
      </c>
      <c r="K1461" t="str">
        <f>UPPER(Master_ventas[[#This Row],[Category]])</f>
        <v>ACCESSORIES</v>
      </c>
      <c r="L1461">
        <f>YEAR(Master_ventas[[#This Row],[Order Date]])</f>
        <v>2022</v>
      </c>
      <c r="M1461" t="str">
        <f>CONCATENATE(LEFT(Master_ventas[[#This Row],[ProdUpper]],3),RIGHT(Master_ventas[[#This Row],[Ext-Year]],2),"-",MID(Master_ventas[[#This Row],[Category]],1,1))</f>
        <v>HEA22-A</v>
      </c>
      <c r="N1461" t="str">
        <f>MID(Master_ventas[[#This Row],[ProdUpper]],1,3)</f>
        <v>HEA</v>
      </c>
      <c r="O1461" t="str">
        <f>UPPER(IF(Master_ventas[[#This Row],[Profit]]&gt;500,"High","Std"))</f>
        <v>STD</v>
      </c>
      <c r="P1461">
        <v>1460</v>
      </c>
    </row>
    <row r="1462" spans="1:16" x14ac:dyDescent="0.3">
      <c r="A1462" s="1">
        <v>45208</v>
      </c>
      <c r="B1462" t="s">
        <v>17</v>
      </c>
      <c r="C1462" t="s">
        <v>14</v>
      </c>
      <c r="D1462" t="s">
        <v>16</v>
      </c>
      <c r="E1462">
        <v>3</v>
      </c>
      <c r="F1462" s="3">
        <v>1821</v>
      </c>
      <c r="G1462" s="2">
        <v>543.01</v>
      </c>
      <c r="H1462">
        <f>Master_ventas[[#This Row],[Profit]]/Master_ventas[[#This Row],[Sales]]</f>
        <v>0.29819330038440417</v>
      </c>
      <c r="I1462">
        <f ca="1">Referencia_Hoy-Master_ventas[[#This Row],[Order Date]]</f>
        <v>1115</v>
      </c>
      <c r="J1462" t="str">
        <f>UPPER(Master_ventas[[#This Row],[Product Name]])</f>
        <v>CAMERA</v>
      </c>
      <c r="K1462" t="str">
        <f>UPPER(Master_ventas[[#This Row],[Category]])</f>
        <v>ELECTRONICS</v>
      </c>
      <c r="L1462">
        <f>YEAR(Master_ventas[[#This Row],[Order Date]])</f>
        <v>2023</v>
      </c>
      <c r="M1462" t="str">
        <f>CONCATENATE(LEFT(Master_ventas[[#This Row],[ProdUpper]],3),RIGHT(Master_ventas[[#This Row],[Ext-Year]],2),"-",MID(Master_ventas[[#This Row],[Category]],1,1))</f>
        <v>CAM23-E</v>
      </c>
      <c r="N1462" t="str">
        <f>MID(Master_ventas[[#This Row],[ProdUpper]],1,3)</f>
        <v>CAM</v>
      </c>
      <c r="O1462" t="str">
        <f>UPPER(IF(Master_ventas[[#This Row],[Profit]]&gt;500,"High","Std"))</f>
        <v>HIGH</v>
      </c>
      <c r="P1462">
        <v>1461</v>
      </c>
    </row>
    <row r="1463" spans="1:16" x14ac:dyDescent="0.3">
      <c r="A1463" s="1">
        <v>44673</v>
      </c>
      <c r="B1463" t="s">
        <v>22</v>
      </c>
      <c r="C1463" t="s">
        <v>11</v>
      </c>
      <c r="D1463" t="s">
        <v>16</v>
      </c>
      <c r="E1463">
        <v>7</v>
      </c>
      <c r="F1463" s="3">
        <v>3654</v>
      </c>
      <c r="G1463" s="2">
        <v>670.16</v>
      </c>
      <c r="H1463">
        <f>Master_ventas[[#This Row],[Profit]]/Master_ventas[[#This Row],[Sales]]</f>
        <v>0.18340448823207442</v>
      </c>
      <c r="I1463">
        <f ca="1">Referencia_Hoy-Master_ventas[[#This Row],[Order Date]]</f>
        <v>1650</v>
      </c>
      <c r="J1463" t="str">
        <f>UPPER(Master_ventas[[#This Row],[Product Name]])</f>
        <v>KEYBOARD</v>
      </c>
      <c r="K1463" t="str">
        <f>UPPER(Master_ventas[[#This Row],[Category]])</f>
        <v>ACCESSORIES</v>
      </c>
      <c r="L1463">
        <f>YEAR(Master_ventas[[#This Row],[Order Date]])</f>
        <v>2022</v>
      </c>
      <c r="M1463" t="str">
        <f>CONCATENATE(LEFT(Master_ventas[[#This Row],[ProdUpper]],3),RIGHT(Master_ventas[[#This Row],[Ext-Year]],2),"-",MID(Master_ventas[[#This Row],[Category]],1,1))</f>
        <v>KEY22-A</v>
      </c>
      <c r="N1463" t="str">
        <f>MID(Master_ventas[[#This Row],[ProdUpper]],1,3)</f>
        <v>KEY</v>
      </c>
      <c r="O1463" t="str">
        <f>UPPER(IF(Master_ventas[[#This Row],[Profit]]&gt;500,"High","Std"))</f>
        <v>HIGH</v>
      </c>
      <c r="P1463">
        <v>1462</v>
      </c>
    </row>
    <row r="1464" spans="1:16" x14ac:dyDescent="0.3">
      <c r="A1464" s="1">
        <v>45487</v>
      </c>
      <c r="B1464" t="s">
        <v>22</v>
      </c>
      <c r="C1464" t="s">
        <v>11</v>
      </c>
      <c r="D1464" t="s">
        <v>12</v>
      </c>
      <c r="E1464">
        <v>6</v>
      </c>
      <c r="F1464" s="3">
        <v>2592</v>
      </c>
      <c r="G1464" s="2">
        <v>404.89</v>
      </c>
      <c r="H1464">
        <f>Master_ventas[[#This Row],[Profit]]/Master_ventas[[#This Row],[Sales]]</f>
        <v>0.15620756172839506</v>
      </c>
      <c r="I1464">
        <f ca="1">Referencia_Hoy-Master_ventas[[#This Row],[Order Date]]</f>
        <v>836</v>
      </c>
      <c r="J1464" t="str">
        <f>UPPER(Master_ventas[[#This Row],[Product Name]])</f>
        <v>KEYBOARD</v>
      </c>
      <c r="K1464" t="str">
        <f>UPPER(Master_ventas[[#This Row],[Category]])</f>
        <v>ACCESSORIES</v>
      </c>
      <c r="L1464">
        <f>YEAR(Master_ventas[[#This Row],[Order Date]])</f>
        <v>2024</v>
      </c>
      <c r="M1464" t="str">
        <f>CONCATENATE(LEFT(Master_ventas[[#This Row],[ProdUpper]],3),RIGHT(Master_ventas[[#This Row],[Ext-Year]],2),"-",MID(Master_ventas[[#This Row],[Category]],1,1))</f>
        <v>KEY24-A</v>
      </c>
      <c r="N1464" t="str">
        <f>MID(Master_ventas[[#This Row],[ProdUpper]],1,3)</f>
        <v>KEY</v>
      </c>
      <c r="O1464" t="str">
        <f>UPPER(IF(Master_ventas[[#This Row],[Profit]]&gt;500,"High","Std"))</f>
        <v>STD</v>
      </c>
      <c r="P1464">
        <v>1463</v>
      </c>
    </row>
    <row r="1465" spans="1:16" x14ac:dyDescent="0.3">
      <c r="A1465" s="1">
        <v>44676</v>
      </c>
      <c r="B1465" t="s">
        <v>17</v>
      </c>
      <c r="C1465" t="s">
        <v>14</v>
      </c>
      <c r="D1465" t="s">
        <v>12</v>
      </c>
      <c r="E1465">
        <v>6</v>
      </c>
      <c r="F1465" s="3">
        <v>996</v>
      </c>
      <c r="G1465" s="2">
        <v>225.75</v>
      </c>
      <c r="H1465">
        <f>Master_ventas[[#This Row],[Profit]]/Master_ventas[[#This Row],[Sales]]</f>
        <v>0.22665662650602408</v>
      </c>
      <c r="I1465">
        <f ca="1">Referencia_Hoy-Master_ventas[[#This Row],[Order Date]]</f>
        <v>1647</v>
      </c>
      <c r="J1465" t="str">
        <f>UPPER(Master_ventas[[#This Row],[Product Name]])</f>
        <v>CAMERA</v>
      </c>
      <c r="K1465" t="str">
        <f>UPPER(Master_ventas[[#This Row],[Category]])</f>
        <v>ELECTRONICS</v>
      </c>
      <c r="L1465">
        <f>YEAR(Master_ventas[[#This Row],[Order Date]])</f>
        <v>2022</v>
      </c>
      <c r="M1465" t="str">
        <f>CONCATENATE(LEFT(Master_ventas[[#This Row],[ProdUpper]],3),RIGHT(Master_ventas[[#This Row],[Ext-Year]],2),"-",MID(Master_ventas[[#This Row],[Category]],1,1))</f>
        <v>CAM22-E</v>
      </c>
      <c r="N1465" t="str">
        <f>MID(Master_ventas[[#This Row],[ProdUpper]],1,3)</f>
        <v>CAM</v>
      </c>
      <c r="O1465" t="str">
        <f>UPPER(IF(Master_ventas[[#This Row],[Profit]]&gt;500,"High","Std"))</f>
        <v>STD</v>
      </c>
      <c r="P1465">
        <v>1464</v>
      </c>
    </row>
    <row r="1466" spans="1:16" x14ac:dyDescent="0.3">
      <c r="A1466" s="1">
        <v>45483</v>
      </c>
      <c r="B1466" t="s">
        <v>10</v>
      </c>
      <c r="C1466" t="s">
        <v>11</v>
      </c>
      <c r="D1466" t="s">
        <v>9</v>
      </c>
      <c r="E1466">
        <v>1</v>
      </c>
      <c r="F1466" s="3">
        <v>693</v>
      </c>
      <c r="G1466" s="2">
        <v>62.75</v>
      </c>
      <c r="H1466">
        <f>Master_ventas[[#This Row],[Profit]]/Master_ventas[[#This Row],[Sales]]</f>
        <v>9.0548340548340545E-2</v>
      </c>
      <c r="I1466">
        <f ca="1">Referencia_Hoy-Master_ventas[[#This Row],[Order Date]]</f>
        <v>840</v>
      </c>
      <c r="J1466" t="str">
        <f>UPPER(Master_ventas[[#This Row],[Product Name]])</f>
        <v>MOUSE</v>
      </c>
      <c r="K1466" t="str">
        <f>UPPER(Master_ventas[[#This Row],[Category]])</f>
        <v>ACCESSORIES</v>
      </c>
      <c r="L1466">
        <f>YEAR(Master_ventas[[#This Row],[Order Date]])</f>
        <v>2024</v>
      </c>
      <c r="M1466" t="str">
        <f>CONCATENATE(LEFT(Master_ventas[[#This Row],[ProdUpper]],3),RIGHT(Master_ventas[[#This Row],[Ext-Year]],2),"-",MID(Master_ventas[[#This Row],[Category]],1,1))</f>
        <v>MOU24-A</v>
      </c>
      <c r="N1466" t="str">
        <f>MID(Master_ventas[[#This Row],[ProdUpper]],1,3)</f>
        <v>MOU</v>
      </c>
      <c r="O1466" t="str">
        <f>UPPER(IF(Master_ventas[[#This Row],[Profit]]&gt;500,"High","Std"))</f>
        <v>STD</v>
      </c>
      <c r="P1466">
        <v>1465</v>
      </c>
    </row>
    <row r="1467" spans="1:16" x14ac:dyDescent="0.3">
      <c r="A1467" s="1">
        <v>45223</v>
      </c>
      <c r="B1467" t="s">
        <v>22</v>
      </c>
      <c r="C1467" t="s">
        <v>11</v>
      </c>
      <c r="D1467" t="s">
        <v>12</v>
      </c>
      <c r="E1467">
        <v>3</v>
      </c>
      <c r="F1467" s="3">
        <v>513</v>
      </c>
      <c r="G1467" s="2">
        <v>48.23</v>
      </c>
      <c r="H1467">
        <f>Master_ventas[[#This Row],[Profit]]/Master_ventas[[#This Row],[Sales]]</f>
        <v>9.401559454191033E-2</v>
      </c>
      <c r="I1467">
        <f ca="1">Referencia_Hoy-Master_ventas[[#This Row],[Order Date]]</f>
        <v>1100</v>
      </c>
      <c r="J1467" t="str">
        <f>UPPER(Master_ventas[[#This Row],[Product Name]])</f>
        <v>KEYBOARD</v>
      </c>
      <c r="K1467" t="str">
        <f>UPPER(Master_ventas[[#This Row],[Category]])</f>
        <v>ACCESSORIES</v>
      </c>
      <c r="L1467">
        <f>YEAR(Master_ventas[[#This Row],[Order Date]])</f>
        <v>2023</v>
      </c>
      <c r="M1467" t="str">
        <f>CONCATENATE(LEFT(Master_ventas[[#This Row],[ProdUpper]],3),RIGHT(Master_ventas[[#This Row],[Ext-Year]],2),"-",MID(Master_ventas[[#This Row],[Category]],1,1))</f>
        <v>KEY23-A</v>
      </c>
      <c r="N1467" t="str">
        <f>MID(Master_ventas[[#This Row],[ProdUpper]],1,3)</f>
        <v>KEY</v>
      </c>
      <c r="O1467" t="str">
        <f>UPPER(IF(Master_ventas[[#This Row],[Profit]]&gt;500,"High","Std"))</f>
        <v>STD</v>
      </c>
      <c r="P1467">
        <v>1466</v>
      </c>
    </row>
    <row r="1468" spans="1:16" x14ac:dyDescent="0.3">
      <c r="A1468" s="1">
        <v>45429</v>
      </c>
      <c r="B1468" t="s">
        <v>19</v>
      </c>
      <c r="C1468" t="s">
        <v>14</v>
      </c>
      <c r="D1468" t="s">
        <v>12</v>
      </c>
      <c r="E1468">
        <v>8</v>
      </c>
      <c r="F1468" s="3">
        <v>5736</v>
      </c>
      <c r="G1468" s="2">
        <v>937.62</v>
      </c>
      <c r="H1468">
        <f>Master_ventas[[#This Row],[Profit]]/Master_ventas[[#This Row],[Sales]]</f>
        <v>0.16346234309623431</v>
      </c>
      <c r="I1468">
        <f ca="1">Referencia_Hoy-Master_ventas[[#This Row],[Order Date]]</f>
        <v>894</v>
      </c>
      <c r="J1468" t="str">
        <f>UPPER(Master_ventas[[#This Row],[Product Name]])</f>
        <v>SMARTWATCH</v>
      </c>
      <c r="K1468" t="str">
        <f>UPPER(Master_ventas[[#This Row],[Category]])</f>
        <v>ELECTRONICS</v>
      </c>
      <c r="L1468">
        <f>YEAR(Master_ventas[[#This Row],[Order Date]])</f>
        <v>2024</v>
      </c>
      <c r="M1468" t="str">
        <f>CONCATENATE(LEFT(Master_ventas[[#This Row],[ProdUpper]],3),RIGHT(Master_ventas[[#This Row],[Ext-Year]],2),"-",MID(Master_ventas[[#This Row],[Category]],1,1))</f>
        <v>SMA24-E</v>
      </c>
      <c r="N1468" t="str">
        <f>MID(Master_ventas[[#This Row],[ProdUpper]],1,3)</f>
        <v>SMA</v>
      </c>
      <c r="O1468" t="str">
        <f>UPPER(IF(Master_ventas[[#This Row],[Profit]]&gt;500,"High","Std"))</f>
        <v>HIGH</v>
      </c>
      <c r="P1468">
        <v>1467</v>
      </c>
    </row>
    <row r="1469" spans="1:16" x14ac:dyDescent="0.3">
      <c r="A1469" s="1">
        <v>45022</v>
      </c>
      <c r="B1469" t="s">
        <v>10</v>
      </c>
      <c r="C1469" t="s">
        <v>11</v>
      </c>
      <c r="D1469" t="s">
        <v>12</v>
      </c>
      <c r="E1469">
        <v>2</v>
      </c>
      <c r="F1469" s="3">
        <v>1458</v>
      </c>
      <c r="G1469" s="2">
        <v>208.93</v>
      </c>
      <c r="H1469">
        <f>Master_ventas[[#This Row],[Profit]]/Master_ventas[[#This Row],[Sales]]</f>
        <v>0.14329903978052128</v>
      </c>
      <c r="I1469">
        <f ca="1">Referencia_Hoy-Master_ventas[[#This Row],[Order Date]]</f>
        <v>1301</v>
      </c>
      <c r="J1469" t="str">
        <f>UPPER(Master_ventas[[#This Row],[Product Name]])</f>
        <v>MOUSE</v>
      </c>
      <c r="K1469" t="str">
        <f>UPPER(Master_ventas[[#This Row],[Category]])</f>
        <v>ACCESSORIES</v>
      </c>
      <c r="L1469">
        <f>YEAR(Master_ventas[[#This Row],[Order Date]])</f>
        <v>2023</v>
      </c>
      <c r="M1469" t="str">
        <f>CONCATENATE(LEFT(Master_ventas[[#This Row],[ProdUpper]],3),RIGHT(Master_ventas[[#This Row],[Ext-Year]],2),"-",MID(Master_ventas[[#This Row],[Category]],1,1))</f>
        <v>MOU23-A</v>
      </c>
      <c r="N1469" t="str">
        <f>MID(Master_ventas[[#This Row],[ProdUpper]],1,3)</f>
        <v>MOU</v>
      </c>
      <c r="O1469" t="str">
        <f>UPPER(IF(Master_ventas[[#This Row],[Profit]]&gt;500,"High","Std"))</f>
        <v>STD</v>
      </c>
      <c r="P1469">
        <v>1468</v>
      </c>
    </row>
    <row r="1470" spans="1:16" x14ac:dyDescent="0.3">
      <c r="A1470" s="1">
        <v>44898</v>
      </c>
      <c r="B1470" t="s">
        <v>21</v>
      </c>
      <c r="C1470" t="s">
        <v>14</v>
      </c>
      <c r="D1470" t="s">
        <v>12</v>
      </c>
      <c r="E1470">
        <v>8</v>
      </c>
      <c r="F1470" s="3">
        <v>5496</v>
      </c>
      <c r="G1470" s="2">
        <v>1104.93</v>
      </c>
      <c r="H1470">
        <f>Master_ventas[[#This Row],[Profit]]/Master_ventas[[#This Row],[Sales]]</f>
        <v>0.201042576419214</v>
      </c>
      <c r="I1470">
        <f ca="1">Referencia_Hoy-Master_ventas[[#This Row],[Order Date]]</f>
        <v>1425</v>
      </c>
      <c r="J1470" t="str">
        <f>UPPER(Master_ventas[[#This Row],[Product Name]])</f>
        <v>SMARTPHONE</v>
      </c>
      <c r="K1470" t="str">
        <f>UPPER(Master_ventas[[#This Row],[Category]])</f>
        <v>ELECTRONICS</v>
      </c>
      <c r="L1470">
        <f>YEAR(Master_ventas[[#This Row],[Order Date]])</f>
        <v>2022</v>
      </c>
      <c r="M1470" t="str">
        <f>CONCATENATE(LEFT(Master_ventas[[#This Row],[ProdUpper]],3),RIGHT(Master_ventas[[#This Row],[Ext-Year]],2),"-",MID(Master_ventas[[#This Row],[Category]],1,1))</f>
        <v>SMA22-E</v>
      </c>
      <c r="N1470" t="str">
        <f>MID(Master_ventas[[#This Row],[ProdUpper]],1,3)</f>
        <v>SMA</v>
      </c>
      <c r="O1470" t="str">
        <f>UPPER(IF(Master_ventas[[#This Row],[Profit]]&gt;500,"High","Std"))</f>
        <v>HIGH</v>
      </c>
      <c r="P1470">
        <v>1469</v>
      </c>
    </row>
    <row r="1471" spans="1:16" x14ac:dyDescent="0.3">
      <c r="A1471" s="1">
        <v>44568</v>
      </c>
      <c r="B1471" t="s">
        <v>13</v>
      </c>
      <c r="C1471" t="s">
        <v>14</v>
      </c>
      <c r="D1471" t="s">
        <v>9</v>
      </c>
      <c r="E1471">
        <v>3</v>
      </c>
      <c r="F1471" s="3">
        <v>3183</v>
      </c>
      <c r="G1471" s="2">
        <v>358.87</v>
      </c>
      <c r="H1471">
        <f>Master_ventas[[#This Row],[Profit]]/Master_ventas[[#This Row],[Sales]]</f>
        <v>0.11274583726044612</v>
      </c>
      <c r="I1471">
        <f ca="1">Referencia_Hoy-Master_ventas[[#This Row],[Order Date]]</f>
        <v>1755</v>
      </c>
      <c r="J1471" t="str">
        <f>UPPER(Master_ventas[[#This Row],[Product Name]])</f>
        <v>TABLET</v>
      </c>
      <c r="K1471" t="str">
        <f>UPPER(Master_ventas[[#This Row],[Category]])</f>
        <v>ELECTRONICS</v>
      </c>
      <c r="L1471">
        <f>YEAR(Master_ventas[[#This Row],[Order Date]])</f>
        <v>2022</v>
      </c>
      <c r="M1471" t="str">
        <f>CONCATENATE(LEFT(Master_ventas[[#This Row],[ProdUpper]],3),RIGHT(Master_ventas[[#This Row],[Ext-Year]],2),"-",MID(Master_ventas[[#This Row],[Category]],1,1))</f>
        <v>TAB22-E</v>
      </c>
      <c r="N1471" t="str">
        <f>MID(Master_ventas[[#This Row],[ProdUpper]],1,3)</f>
        <v>TAB</v>
      </c>
      <c r="O1471" t="str">
        <f>UPPER(IF(Master_ventas[[#This Row],[Profit]]&gt;500,"High","Std"))</f>
        <v>STD</v>
      </c>
      <c r="P1471">
        <v>1470</v>
      </c>
    </row>
    <row r="1472" spans="1:16" x14ac:dyDescent="0.3">
      <c r="A1472" s="1">
        <v>45134</v>
      </c>
      <c r="B1472" t="s">
        <v>18</v>
      </c>
      <c r="C1472" t="s">
        <v>11</v>
      </c>
      <c r="D1472" t="s">
        <v>12</v>
      </c>
      <c r="E1472">
        <v>6</v>
      </c>
      <c r="F1472" s="3">
        <v>3990</v>
      </c>
      <c r="G1472" s="2">
        <v>975.5</v>
      </c>
      <c r="H1472">
        <f>Master_ventas[[#This Row],[Profit]]/Master_ventas[[#This Row],[Sales]]</f>
        <v>0.24448621553884711</v>
      </c>
      <c r="I1472">
        <f ca="1">Referencia_Hoy-Master_ventas[[#This Row],[Order Date]]</f>
        <v>1189</v>
      </c>
      <c r="J1472" t="str">
        <f>UPPER(Master_ventas[[#This Row],[Product Name]])</f>
        <v>HEADPHONES</v>
      </c>
      <c r="K1472" t="str">
        <f>UPPER(Master_ventas[[#This Row],[Category]])</f>
        <v>ACCESSORIES</v>
      </c>
      <c r="L1472">
        <f>YEAR(Master_ventas[[#This Row],[Order Date]])</f>
        <v>2023</v>
      </c>
      <c r="M1472" t="str">
        <f>CONCATENATE(LEFT(Master_ventas[[#This Row],[ProdUpper]],3),RIGHT(Master_ventas[[#This Row],[Ext-Year]],2),"-",MID(Master_ventas[[#This Row],[Category]],1,1))</f>
        <v>HEA23-A</v>
      </c>
      <c r="N1472" t="str">
        <f>MID(Master_ventas[[#This Row],[ProdUpper]],1,3)</f>
        <v>HEA</v>
      </c>
      <c r="O1472" t="str">
        <f>UPPER(IF(Master_ventas[[#This Row],[Profit]]&gt;500,"High","Std"))</f>
        <v>HIGH</v>
      </c>
      <c r="P1472">
        <v>1471</v>
      </c>
    </row>
    <row r="1473" spans="1:16" x14ac:dyDescent="0.3">
      <c r="A1473" s="1">
        <v>45327</v>
      </c>
      <c r="B1473" t="s">
        <v>21</v>
      </c>
      <c r="C1473" t="s">
        <v>14</v>
      </c>
      <c r="D1473" t="s">
        <v>16</v>
      </c>
      <c r="E1473">
        <v>2</v>
      </c>
      <c r="F1473" s="3">
        <v>582</v>
      </c>
      <c r="G1473" s="2">
        <v>76.45</v>
      </c>
      <c r="H1473">
        <f>Master_ventas[[#This Row],[Profit]]/Master_ventas[[#This Row],[Sales]]</f>
        <v>0.13135738831615121</v>
      </c>
      <c r="I1473">
        <f ca="1">Referencia_Hoy-Master_ventas[[#This Row],[Order Date]]</f>
        <v>996</v>
      </c>
      <c r="J1473" t="str">
        <f>UPPER(Master_ventas[[#This Row],[Product Name]])</f>
        <v>SMARTPHONE</v>
      </c>
      <c r="K1473" t="str">
        <f>UPPER(Master_ventas[[#This Row],[Category]])</f>
        <v>ELECTRONICS</v>
      </c>
      <c r="L1473">
        <f>YEAR(Master_ventas[[#This Row],[Order Date]])</f>
        <v>2024</v>
      </c>
      <c r="M1473" t="str">
        <f>CONCATENATE(LEFT(Master_ventas[[#This Row],[ProdUpper]],3),RIGHT(Master_ventas[[#This Row],[Ext-Year]],2),"-",MID(Master_ventas[[#This Row],[Category]],1,1))</f>
        <v>SMA24-E</v>
      </c>
      <c r="N1473" t="str">
        <f>MID(Master_ventas[[#This Row],[ProdUpper]],1,3)</f>
        <v>SMA</v>
      </c>
      <c r="O1473" t="str">
        <f>UPPER(IF(Master_ventas[[#This Row],[Profit]]&gt;500,"High","Std"))</f>
        <v>STD</v>
      </c>
      <c r="P1473">
        <v>1472</v>
      </c>
    </row>
    <row r="1474" spans="1:16" x14ac:dyDescent="0.3">
      <c r="A1474" s="1">
        <v>44684</v>
      </c>
      <c r="B1474" t="s">
        <v>7</v>
      </c>
      <c r="C1474" t="s">
        <v>8</v>
      </c>
      <c r="D1474" t="s">
        <v>15</v>
      </c>
      <c r="E1474">
        <v>5</v>
      </c>
      <c r="F1474" s="3">
        <v>3340</v>
      </c>
      <c r="G1474" s="2">
        <v>845.53</v>
      </c>
      <c r="H1474">
        <f>Master_ventas[[#This Row],[Profit]]/Master_ventas[[#This Row],[Sales]]</f>
        <v>0.25315269461077844</v>
      </c>
      <c r="I1474">
        <f ca="1">Referencia_Hoy-Master_ventas[[#This Row],[Order Date]]</f>
        <v>1639</v>
      </c>
      <c r="J1474" t="str">
        <f>UPPER(Master_ventas[[#This Row],[Product Name]])</f>
        <v>PRINTER</v>
      </c>
      <c r="K1474" t="str">
        <f>UPPER(Master_ventas[[#This Row],[Category]])</f>
        <v>OFFICE</v>
      </c>
      <c r="L1474">
        <f>YEAR(Master_ventas[[#This Row],[Order Date]])</f>
        <v>2022</v>
      </c>
      <c r="M1474" t="str">
        <f>CONCATENATE(LEFT(Master_ventas[[#This Row],[ProdUpper]],3),RIGHT(Master_ventas[[#This Row],[Ext-Year]],2),"-",MID(Master_ventas[[#This Row],[Category]],1,1))</f>
        <v>PRI22-O</v>
      </c>
      <c r="N1474" t="str">
        <f>MID(Master_ventas[[#This Row],[ProdUpper]],1,3)</f>
        <v>PRI</v>
      </c>
      <c r="O1474" t="str">
        <f>UPPER(IF(Master_ventas[[#This Row],[Profit]]&gt;500,"High","Std"))</f>
        <v>HIGH</v>
      </c>
      <c r="P1474">
        <v>1473</v>
      </c>
    </row>
    <row r="1475" spans="1:16" x14ac:dyDescent="0.3">
      <c r="A1475" s="1">
        <v>45168</v>
      </c>
      <c r="B1475" t="s">
        <v>20</v>
      </c>
      <c r="C1475" t="s">
        <v>11</v>
      </c>
      <c r="D1475" t="s">
        <v>16</v>
      </c>
      <c r="E1475">
        <v>1</v>
      </c>
      <c r="F1475" s="3">
        <v>890</v>
      </c>
      <c r="G1475" s="2">
        <v>59.1</v>
      </c>
      <c r="H1475">
        <f>Master_ventas[[#This Row],[Profit]]/Master_ventas[[#This Row],[Sales]]</f>
        <v>6.6404494382022478E-2</v>
      </c>
      <c r="I1475">
        <f ca="1">Referencia_Hoy-Master_ventas[[#This Row],[Order Date]]</f>
        <v>1155</v>
      </c>
      <c r="J1475" t="str">
        <f>UPPER(Master_ventas[[#This Row],[Product Name]])</f>
        <v>MONITOR</v>
      </c>
      <c r="K1475" t="str">
        <f>UPPER(Master_ventas[[#This Row],[Category]])</f>
        <v>ACCESSORIES</v>
      </c>
      <c r="L1475">
        <f>YEAR(Master_ventas[[#This Row],[Order Date]])</f>
        <v>2023</v>
      </c>
      <c r="M1475" t="str">
        <f>CONCATENATE(LEFT(Master_ventas[[#This Row],[ProdUpper]],3),RIGHT(Master_ventas[[#This Row],[Ext-Year]],2),"-",MID(Master_ventas[[#This Row],[Category]],1,1))</f>
        <v>MON23-A</v>
      </c>
      <c r="N1475" t="str">
        <f>MID(Master_ventas[[#This Row],[ProdUpper]],1,3)</f>
        <v>MON</v>
      </c>
      <c r="O1475" t="str">
        <f>UPPER(IF(Master_ventas[[#This Row],[Profit]]&gt;500,"High","Std"))</f>
        <v>STD</v>
      </c>
      <c r="P1475">
        <v>1474</v>
      </c>
    </row>
    <row r="1476" spans="1:16" x14ac:dyDescent="0.3">
      <c r="A1476" s="1">
        <v>45557</v>
      </c>
      <c r="B1476" t="s">
        <v>7</v>
      </c>
      <c r="C1476" t="s">
        <v>8</v>
      </c>
      <c r="D1476" t="s">
        <v>12</v>
      </c>
      <c r="E1476">
        <v>6</v>
      </c>
      <c r="F1476" s="3">
        <v>4890</v>
      </c>
      <c r="G1476" s="2">
        <v>689.01</v>
      </c>
      <c r="H1476">
        <f>Master_ventas[[#This Row],[Profit]]/Master_ventas[[#This Row],[Sales]]</f>
        <v>0.14090184049079754</v>
      </c>
      <c r="I1476">
        <f ca="1">Referencia_Hoy-Master_ventas[[#This Row],[Order Date]]</f>
        <v>766</v>
      </c>
      <c r="J1476" t="str">
        <f>UPPER(Master_ventas[[#This Row],[Product Name]])</f>
        <v>PRINTER</v>
      </c>
      <c r="K1476" t="str">
        <f>UPPER(Master_ventas[[#This Row],[Category]])</f>
        <v>OFFICE</v>
      </c>
      <c r="L1476">
        <f>YEAR(Master_ventas[[#This Row],[Order Date]])</f>
        <v>2024</v>
      </c>
      <c r="M1476" t="str">
        <f>CONCATENATE(LEFT(Master_ventas[[#This Row],[ProdUpper]],3),RIGHT(Master_ventas[[#This Row],[Ext-Year]],2),"-",MID(Master_ventas[[#This Row],[Category]],1,1))</f>
        <v>PRI24-O</v>
      </c>
      <c r="N1476" t="str">
        <f>MID(Master_ventas[[#This Row],[ProdUpper]],1,3)</f>
        <v>PRI</v>
      </c>
      <c r="O1476" t="str">
        <f>UPPER(IF(Master_ventas[[#This Row],[Profit]]&gt;500,"High","Std"))</f>
        <v>HIGH</v>
      </c>
      <c r="P1476">
        <v>1475</v>
      </c>
    </row>
    <row r="1477" spans="1:16" x14ac:dyDescent="0.3">
      <c r="A1477" s="1">
        <v>45218</v>
      </c>
      <c r="B1477" t="s">
        <v>22</v>
      </c>
      <c r="C1477" t="s">
        <v>11</v>
      </c>
      <c r="D1477" t="s">
        <v>12</v>
      </c>
      <c r="E1477">
        <v>3</v>
      </c>
      <c r="F1477" s="3">
        <v>2625</v>
      </c>
      <c r="G1477" s="2">
        <v>349.61</v>
      </c>
      <c r="H1477">
        <f>Master_ventas[[#This Row],[Profit]]/Master_ventas[[#This Row],[Sales]]</f>
        <v>0.13318476190476192</v>
      </c>
      <c r="I1477">
        <f ca="1">Referencia_Hoy-Master_ventas[[#This Row],[Order Date]]</f>
        <v>1105</v>
      </c>
      <c r="J1477" t="str">
        <f>UPPER(Master_ventas[[#This Row],[Product Name]])</f>
        <v>KEYBOARD</v>
      </c>
      <c r="K1477" t="str">
        <f>UPPER(Master_ventas[[#This Row],[Category]])</f>
        <v>ACCESSORIES</v>
      </c>
      <c r="L1477">
        <f>YEAR(Master_ventas[[#This Row],[Order Date]])</f>
        <v>2023</v>
      </c>
      <c r="M1477" t="str">
        <f>CONCATENATE(LEFT(Master_ventas[[#This Row],[ProdUpper]],3),RIGHT(Master_ventas[[#This Row],[Ext-Year]],2),"-",MID(Master_ventas[[#This Row],[Category]],1,1))</f>
        <v>KEY23-A</v>
      </c>
      <c r="N1477" t="str">
        <f>MID(Master_ventas[[#This Row],[ProdUpper]],1,3)</f>
        <v>KEY</v>
      </c>
      <c r="O1477" t="str">
        <f>UPPER(IF(Master_ventas[[#This Row],[Profit]]&gt;500,"High","Std"))</f>
        <v>STD</v>
      </c>
      <c r="P1477">
        <v>1476</v>
      </c>
    </row>
    <row r="1478" spans="1:16" x14ac:dyDescent="0.3">
      <c r="A1478" s="1">
        <v>44818</v>
      </c>
      <c r="B1478" t="s">
        <v>19</v>
      </c>
      <c r="C1478" t="s">
        <v>14</v>
      </c>
      <c r="D1478" t="s">
        <v>9</v>
      </c>
      <c r="E1478">
        <v>4</v>
      </c>
      <c r="F1478" s="3">
        <v>1440</v>
      </c>
      <c r="G1478" s="2">
        <v>200.09</v>
      </c>
      <c r="H1478">
        <f>Master_ventas[[#This Row],[Profit]]/Master_ventas[[#This Row],[Sales]]</f>
        <v>0.13895138888888889</v>
      </c>
      <c r="I1478">
        <f ca="1">Referencia_Hoy-Master_ventas[[#This Row],[Order Date]]</f>
        <v>1505</v>
      </c>
      <c r="J1478" t="str">
        <f>UPPER(Master_ventas[[#This Row],[Product Name]])</f>
        <v>SMARTWATCH</v>
      </c>
      <c r="K1478" t="str">
        <f>UPPER(Master_ventas[[#This Row],[Category]])</f>
        <v>ELECTRONICS</v>
      </c>
      <c r="L1478">
        <f>YEAR(Master_ventas[[#This Row],[Order Date]])</f>
        <v>2022</v>
      </c>
      <c r="M1478" t="str">
        <f>CONCATENATE(LEFT(Master_ventas[[#This Row],[ProdUpper]],3),RIGHT(Master_ventas[[#This Row],[Ext-Year]],2),"-",MID(Master_ventas[[#This Row],[Category]],1,1))</f>
        <v>SMA22-E</v>
      </c>
      <c r="N1478" t="str">
        <f>MID(Master_ventas[[#This Row],[ProdUpper]],1,3)</f>
        <v>SMA</v>
      </c>
      <c r="O1478" t="str">
        <f>UPPER(IF(Master_ventas[[#This Row],[Profit]]&gt;500,"High","Std"))</f>
        <v>STD</v>
      </c>
      <c r="P1478">
        <v>1477</v>
      </c>
    </row>
    <row r="1479" spans="1:16" x14ac:dyDescent="0.3">
      <c r="A1479" s="1">
        <v>45652</v>
      </c>
      <c r="B1479" t="s">
        <v>18</v>
      </c>
      <c r="C1479" t="s">
        <v>11</v>
      </c>
      <c r="D1479" t="s">
        <v>9</v>
      </c>
      <c r="E1479">
        <v>5</v>
      </c>
      <c r="F1479" s="3">
        <v>505</v>
      </c>
      <c r="G1479" s="2">
        <v>93.85</v>
      </c>
      <c r="H1479">
        <f>Master_ventas[[#This Row],[Profit]]/Master_ventas[[#This Row],[Sales]]</f>
        <v>0.18584158415841584</v>
      </c>
      <c r="I1479">
        <f ca="1">Referencia_Hoy-Master_ventas[[#This Row],[Order Date]]</f>
        <v>671</v>
      </c>
      <c r="J1479" t="str">
        <f>UPPER(Master_ventas[[#This Row],[Product Name]])</f>
        <v>HEADPHONES</v>
      </c>
      <c r="K1479" t="str">
        <f>UPPER(Master_ventas[[#This Row],[Category]])</f>
        <v>ACCESSORIES</v>
      </c>
      <c r="L1479">
        <f>YEAR(Master_ventas[[#This Row],[Order Date]])</f>
        <v>2024</v>
      </c>
      <c r="M1479" t="str">
        <f>CONCATENATE(LEFT(Master_ventas[[#This Row],[ProdUpper]],3),RIGHT(Master_ventas[[#This Row],[Ext-Year]],2),"-",MID(Master_ventas[[#This Row],[Category]],1,1))</f>
        <v>HEA24-A</v>
      </c>
      <c r="N1479" t="str">
        <f>MID(Master_ventas[[#This Row],[ProdUpper]],1,3)</f>
        <v>HEA</v>
      </c>
      <c r="O1479" t="str">
        <f>UPPER(IF(Master_ventas[[#This Row],[Profit]]&gt;500,"High","Std"))</f>
        <v>STD</v>
      </c>
      <c r="P1479">
        <v>1478</v>
      </c>
    </row>
    <row r="1480" spans="1:16" x14ac:dyDescent="0.3">
      <c r="A1480" s="1">
        <v>44589</v>
      </c>
      <c r="B1480" t="s">
        <v>23</v>
      </c>
      <c r="C1480" t="s">
        <v>14</v>
      </c>
      <c r="D1480" t="s">
        <v>9</v>
      </c>
      <c r="E1480">
        <v>8</v>
      </c>
      <c r="F1480" s="3">
        <v>8192</v>
      </c>
      <c r="G1480" s="2">
        <v>1822.87</v>
      </c>
      <c r="H1480">
        <f>Master_ventas[[#This Row],[Profit]]/Master_ventas[[#This Row],[Sales]]</f>
        <v>0.22251831054687499</v>
      </c>
      <c r="I1480">
        <f ca="1">Referencia_Hoy-Master_ventas[[#This Row],[Order Date]]</f>
        <v>1734</v>
      </c>
      <c r="J1480" t="str">
        <f>UPPER(Master_ventas[[#This Row],[Product Name]])</f>
        <v>LAPTOP</v>
      </c>
      <c r="K1480" t="str">
        <f>UPPER(Master_ventas[[#This Row],[Category]])</f>
        <v>ELECTRONICS</v>
      </c>
      <c r="L1480">
        <f>YEAR(Master_ventas[[#This Row],[Order Date]])</f>
        <v>2022</v>
      </c>
      <c r="M1480" t="str">
        <f>CONCATENATE(LEFT(Master_ventas[[#This Row],[ProdUpper]],3),RIGHT(Master_ventas[[#This Row],[Ext-Year]],2),"-",MID(Master_ventas[[#This Row],[Category]],1,1))</f>
        <v>LAP22-E</v>
      </c>
      <c r="N1480" t="str">
        <f>MID(Master_ventas[[#This Row],[ProdUpper]],1,3)</f>
        <v>LAP</v>
      </c>
      <c r="O1480" t="str">
        <f>UPPER(IF(Master_ventas[[#This Row],[Profit]]&gt;500,"High","Std"))</f>
        <v>HIGH</v>
      </c>
      <c r="P1480">
        <v>1479</v>
      </c>
    </row>
    <row r="1481" spans="1:16" x14ac:dyDescent="0.3">
      <c r="A1481" s="1">
        <v>45147</v>
      </c>
      <c r="B1481" t="s">
        <v>22</v>
      </c>
      <c r="C1481" t="s">
        <v>11</v>
      </c>
      <c r="D1481" t="s">
        <v>12</v>
      </c>
      <c r="E1481">
        <v>3</v>
      </c>
      <c r="F1481" s="3">
        <v>1920</v>
      </c>
      <c r="G1481" s="2">
        <v>144.30000000000001</v>
      </c>
      <c r="H1481">
        <f>Master_ventas[[#This Row],[Profit]]/Master_ventas[[#This Row],[Sales]]</f>
        <v>7.5156250000000008E-2</v>
      </c>
      <c r="I1481">
        <f ca="1">Referencia_Hoy-Master_ventas[[#This Row],[Order Date]]</f>
        <v>1176</v>
      </c>
      <c r="J1481" t="str">
        <f>UPPER(Master_ventas[[#This Row],[Product Name]])</f>
        <v>KEYBOARD</v>
      </c>
      <c r="K1481" t="str">
        <f>UPPER(Master_ventas[[#This Row],[Category]])</f>
        <v>ACCESSORIES</v>
      </c>
      <c r="L1481">
        <f>YEAR(Master_ventas[[#This Row],[Order Date]])</f>
        <v>2023</v>
      </c>
      <c r="M1481" t="str">
        <f>CONCATENATE(LEFT(Master_ventas[[#This Row],[ProdUpper]],3),RIGHT(Master_ventas[[#This Row],[Ext-Year]],2),"-",MID(Master_ventas[[#This Row],[Category]],1,1))</f>
        <v>KEY23-A</v>
      </c>
      <c r="N1481" t="str">
        <f>MID(Master_ventas[[#This Row],[ProdUpper]],1,3)</f>
        <v>KEY</v>
      </c>
      <c r="O1481" t="str">
        <f>UPPER(IF(Master_ventas[[#This Row],[Profit]]&gt;500,"High","Std"))</f>
        <v>STD</v>
      </c>
      <c r="P1481">
        <v>1480</v>
      </c>
    </row>
    <row r="1482" spans="1:16" x14ac:dyDescent="0.3">
      <c r="A1482" s="1">
        <v>44852</v>
      </c>
      <c r="B1482" t="s">
        <v>19</v>
      </c>
      <c r="C1482" t="s">
        <v>14</v>
      </c>
      <c r="D1482" t="s">
        <v>16</v>
      </c>
      <c r="E1482">
        <v>8</v>
      </c>
      <c r="F1482" s="3">
        <v>8768</v>
      </c>
      <c r="G1482" s="2">
        <v>1065.8</v>
      </c>
      <c r="H1482">
        <f>Master_ventas[[#This Row],[Profit]]/Master_ventas[[#This Row],[Sales]]</f>
        <v>0.12155565693430656</v>
      </c>
      <c r="I1482">
        <f ca="1">Referencia_Hoy-Master_ventas[[#This Row],[Order Date]]</f>
        <v>1471</v>
      </c>
      <c r="J1482" t="str">
        <f>UPPER(Master_ventas[[#This Row],[Product Name]])</f>
        <v>SMARTWATCH</v>
      </c>
      <c r="K1482" t="str">
        <f>UPPER(Master_ventas[[#This Row],[Category]])</f>
        <v>ELECTRONICS</v>
      </c>
      <c r="L1482">
        <f>YEAR(Master_ventas[[#This Row],[Order Date]])</f>
        <v>2022</v>
      </c>
      <c r="M1482" t="str">
        <f>CONCATENATE(LEFT(Master_ventas[[#This Row],[ProdUpper]],3),RIGHT(Master_ventas[[#This Row],[Ext-Year]],2),"-",MID(Master_ventas[[#This Row],[Category]],1,1))</f>
        <v>SMA22-E</v>
      </c>
      <c r="N1482" t="str">
        <f>MID(Master_ventas[[#This Row],[ProdUpper]],1,3)</f>
        <v>SMA</v>
      </c>
      <c r="O1482" t="str">
        <f>UPPER(IF(Master_ventas[[#This Row],[Profit]]&gt;500,"High","Std"))</f>
        <v>HIGH</v>
      </c>
      <c r="P1482">
        <v>1481</v>
      </c>
    </row>
    <row r="1483" spans="1:16" x14ac:dyDescent="0.3">
      <c r="A1483" s="1">
        <v>44846</v>
      </c>
      <c r="B1483" t="s">
        <v>10</v>
      </c>
      <c r="C1483" t="s">
        <v>11</v>
      </c>
      <c r="D1483" t="s">
        <v>9</v>
      </c>
      <c r="E1483">
        <v>1</v>
      </c>
      <c r="F1483" s="3">
        <v>1140</v>
      </c>
      <c r="G1483" s="2">
        <v>117.05</v>
      </c>
      <c r="H1483">
        <f>Master_ventas[[#This Row],[Profit]]/Master_ventas[[#This Row],[Sales]]</f>
        <v>0.10267543859649123</v>
      </c>
      <c r="I1483">
        <f ca="1">Referencia_Hoy-Master_ventas[[#This Row],[Order Date]]</f>
        <v>1477</v>
      </c>
      <c r="J1483" t="str">
        <f>UPPER(Master_ventas[[#This Row],[Product Name]])</f>
        <v>MOUSE</v>
      </c>
      <c r="K1483" t="str">
        <f>UPPER(Master_ventas[[#This Row],[Category]])</f>
        <v>ACCESSORIES</v>
      </c>
      <c r="L1483">
        <f>YEAR(Master_ventas[[#This Row],[Order Date]])</f>
        <v>2022</v>
      </c>
      <c r="M1483" t="str">
        <f>CONCATENATE(LEFT(Master_ventas[[#This Row],[ProdUpper]],3),RIGHT(Master_ventas[[#This Row],[Ext-Year]],2),"-",MID(Master_ventas[[#This Row],[Category]],1,1))</f>
        <v>MOU22-A</v>
      </c>
      <c r="N1483" t="str">
        <f>MID(Master_ventas[[#This Row],[ProdUpper]],1,3)</f>
        <v>MOU</v>
      </c>
      <c r="O1483" t="str">
        <f>UPPER(IF(Master_ventas[[#This Row],[Profit]]&gt;500,"High","Std"))</f>
        <v>STD</v>
      </c>
      <c r="P1483">
        <v>1482</v>
      </c>
    </row>
    <row r="1484" spans="1:16" x14ac:dyDescent="0.3">
      <c r="A1484" s="1">
        <v>44949</v>
      </c>
      <c r="B1484" t="s">
        <v>23</v>
      </c>
      <c r="C1484" t="s">
        <v>14</v>
      </c>
      <c r="D1484" t="s">
        <v>9</v>
      </c>
      <c r="E1484">
        <v>4</v>
      </c>
      <c r="F1484" s="3">
        <v>952</v>
      </c>
      <c r="G1484" s="2">
        <v>264.61</v>
      </c>
      <c r="H1484">
        <f>Master_ventas[[#This Row],[Profit]]/Master_ventas[[#This Row],[Sales]]</f>
        <v>0.27795168067226894</v>
      </c>
      <c r="I1484">
        <f ca="1">Referencia_Hoy-Master_ventas[[#This Row],[Order Date]]</f>
        <v>1374</v>
      </c>
      <c r="J1484" t="str">
        <f>UPPER(Master_ventas[[#This Row],[Product Name]])</f>
        <v>LAPTOP</v>
      </c>
      <c r="K1484" t="str">
        <f>UPPER(Master_ventas[[#This Row],[Category]])</f>
        <v>ELECTRONICS</v>
      </c>
      <c r="L1484">
        <f>YEAR(Master_ventas[[#This Row],[Order Date]])</f>
        <v>2023</v>
      </c>
      <c r="M1484" t="str">
        <f>CONCATENATE(LEFT(Master_ventas[[#This Row],[ProdUpper]],3),RIGHT(Master_ventas[[#This Row],[Ext-Year]],2),"-",MID(Master_ventas[[#This Row],[Category]],1,1))</f>
        <v>LAP23-E</v>
      </c>
      <c r="N1484" t="str">
        <f>MID(Master_ventas[[#This Row],[ProdUpper]],1,3)</f>
        <v>LAP</v>
      </c>
      <c r="O1484" t="str">
        <f>UPPER(IF(Master_ventas[[#This Row],[Profit]]&gt;500,"High","Std"))</f>
        <v>STD</v>
      </c>
      <c r="P1484">
        <v>1483</v>
      </c>
    </row>
    <row r="1485" spans="1:16" x14ac:dyDescent="0.3">
      <c r="A1485" s="1">
        <v>45414</v>
      </c>
      <c r="B1485" t="s">
        <v>21</v>
      </c>
      <c r="C1485" t="s">
        <v>14</v>
      </c>
      <c r="D1485" t="s">
        <v>9</v>
      </c>
      <c r="E1485">
        <v>1</v>
      </c>
      <c r="F1485" s="3">
        <v>225</v>
      </c>
      <c r="G1485" s="2">
        <v>51.07</v>
      </c>
      <c r="H1485">
        <f>Master_ventas[[#This Row],[Profit]]/Master_ventas[[#This Row],[Sales]]</f>
        <v>0.22697777777777778</v>
      </c>
      <c r="I1485">
        <f ca="1">Referencia_Hoy-Master_ventas[[#This Row],[Order Date]]</f>
        <v>909</v>
      </c>
      <c r="J1485" t="str">
        <f>UPPER(Master_ventas[[#This Row],[Product Name]])</f>
        <v>SMARTPHONE</v>
      </c>
      <c r="K1485" t="str">
        <f>UPPER(Master_ventas[[#This Row],[Category]])</f>
        <v>ELECTRONICS</v>
      </c>
      <c r="L1485">
        <f>YEAR(Master_ventas[[#This Row],[Order Date]])</f>
        <v>2024</v>
      </c>
      <c r="M1485" t="str">
        <f>CONCATENATE(LEFT(Master_ventas[[#This Row],[ProdUpper]],3),RIGHT(Master_ventas[[#This Row],[Ext-Year]],2),"-",MID(Master_ventas[[#This Row],[Category]],1,1))</f>
        <v>SMA24-E</v>
      </c>
      <c r="N1485" t="str">
        <f>MID(Master_ventas[[#This Row],[ProdUpper]],1,3)</f>
        <v>SMA</v>
      </c>
      <c r="O1485" t="str">
        <f>UPPER(IF(Master_ventas[[#This Row],[Profit]]&gt;500,"High","Std"))</f>
        <v>STD</v>
      </c>
      <c r="P1485">
        <v>1484</v>
      </c>
    </row>
    <row r="1486" spans="1:16" x14ac:dyDescent="0.3">
      <c r="A1486" s="1">
        <v>44774</v>
      </c>
      <c r="B1486" t="s">
        <v>7</v>
      </c>
      <c r="C1486" t="s">
        <v>8</v>
      </c>
      <c r="D1486" t="s">
        <v>15</v>
      </c>
      <c r="E1486">
        <v>4</v>
      </c>
      <c r="F1486" s="3">
        <v>1304</v>
      </c>
      <c r="G1486" s="2">
        <v>336.95</v>
      </c>
      <c r="H1486">
        <f>Master_ventas[[#This Row],[Profit]]/Master_ventas[[#This Row],[Sales]]</f>
        <v>0.25839723926380365</v>
      </c>
      <c r="I1486">
        <f ca="1">Referencia_Hoy-Master_ventas[[#This Row],[Order Date]]</f>
        <v>1549</v>
      </c>
      <c r="J1486" t="str">
        <f>UPPER(Master_ventas[[#This Row],[Product Name]])</f>
        <v>PRINTER</v>
      </c>
      <c r="K1486" t="str">
        <f>UPPER(Master_ventas[[#This Row],[Category]])</f>
        <v>OFFICE</v>
      </c>
      <c r="L1486">
        <f>YEAR(Master_ventas[[#This Row],[Order Date]])</f>
        <v>2022</v>
      </c>
      <c r="M1486" t="str">
        <f>CONCATENATE(LEFT(Master_ventas[[#This Row],[ProdUpper]],3),RIGHT(Master_ventas[[#This Row],[Ext-Year]],2),"-",MID(Master_ventas[[#This Row],[Category]],1,1))</f>
        <v>PRI22-O</v>
      </c>
      <c r="N1486" t="str">
        <f>MID(Master_ventas[[#This Row],[ProdUpper]],1,3)</f>
        <v>PRI</v>
      </c>
      <c r="O1486" t="str">
        <f>UPPER(IF(Master_ventas[[#This Row],[Profit]]&gt;500,"High","Std"))</f>
        <v>STD</v>
      </c>
      <c r="P1486">
        <v>1485</v>
      </c>
    </row>
    <row r="1487" spans="1:16" x14ac:dyDescent="0.3">
      <c r="A1487" s="1">
        <v>45102</v>
      </c>
      <c r="B1487" t="s">
        <v>17</v>
      </c>
      <c r="C1487" t="s">
        <v>14</v>
      </c>
      <c r="D1487" t="s">
        <v>12</v>
      </c>
      <c r="E1487">
        <v>3</v>
      </c>
      <c r="F1487" s="3">
        <v>1029</v>
      </c>
      <c r="G1487" s="2">
        <v>206.83</v>
      </c>
      <c r="H1487">
        <f>Master_ventas[[#This Row],[Profit]]/Master_ventas[[#This Row],[Sales]]</f>
        <v>0.20100097181729837</v>
      </c>
      <c r="I1487">
        <f ca="1">Referencia_Hoy-Master_ventas[[#This Row],[Order Date]]</f>
        <v>1221</v>
      </c>
      <c r="J1487" t="str">
        <f>UPPER(Master_ventas[[#This Row],[Product Name]])</f>
        <v>CAMERA</v>
      </c>
      <c r="K1487" t="str">
        <f>UPPER(Master_ventas[[#This Row],[Category]])</f>
        <v>ELECTRONICS</v>
      </c>
      <c r="L1487">
        <f>YEAR(Master_ventas[[#This Row],[Order Date]])</f>
        <v>2023</v>
      </c>
      <c r="M1487" t="str">
        <f>CONCATENATE(LEFT(Master_ventas[[#This Row],[ProdUpper]],3),RIGHT(Master_ventas[[#This Row],[Ext-Year]],2),"-",MID(Master_ventas[[#This Row],[Category]],1,1))</f>
        <v>CAM23-E</v>
      </c>
      <c r="N1487" t="str">
        <f>MID(Master_ventas[[#This Row],[ProdUpper]],1,3)</f>
        <v>CAM</v>
      </c>
      <c r="O1487" t="str">
        <f>UPPER(IF(Master_ventas[[#This Row],[Profit]]&gt;500,"High","Std"))</f>
        <v>STD</v>
      </c>
      <c r="P1487">
        <v>1486</v>
      </c>
    </row>
    <row r="1488" spans="1:16" x14ac:dyDescent="0.3">
      <c r="A1488" s="1">
        <v>45351</v>
      </c>
      <c r="B1488" t="s">
        <v>7</v>
      </c>
      <c r="C1488" t="s">
        <v>8</v>
      </c>
      <c r="D1488" t="s">
        <v>15</v>
      </c>
      <c r="E1488">
        <v>3</v>
      </c>
      <c r="F1488" s="3">
        <v>3402</v>
      </c>
      <c r="G1488" s="2">
        <v>442.67</v>
      </c>
      <c r="H1488">
        <f>Master_ventas[[#This Row],[Profit]]/Master_ventas[[#This Row],[Sales]]</f>
        <v>0.13012051734273958</v>
      </c>
      <c r="I1488">
        <f ca="1">Referencia_Hoy-Master_ventas[[#This Row],[Order Date]]</f>
        <v>972</v>
      </c>
      <c r="J1488" t="str">
        <f>UPPER(Master_ventas[[#This Row],[Product Name]])</f>
        <v>PRINTER</v>
      </c>
      <c r="K1488" t="str">
        <f>UPPER(Master_ventas[[#This Row],[Category]])</f>
        <v>OFFICE</v>
      </c>
      <c r="L1488">
        <f>YEAR(Master_ventas[[#This Row],[Order Date]])</f>
        <v>2024</v>
      </c>
      <c r="M1488" t="str">
        <f>CONCATENATE(LEFT(Master_ventas[[#This Row],[ProdUpper]],3),RIGHT(Master_ventas[[#This Row],[Ext-Year]],2),"-",MID(Master_ventas[[#This Row],[Category]],1,1))</f>
        <v>PRI24-O</v>
      </c>
      <c r="N1488" t="str">
        <f>MID(Master_ventas[[#This Row],[ProdUpper]],1,3)</f>
        <v>PRI</v>
      </c>
      <c r="O1488" t="str">
        <f>UPPER(IF(Master_ventas[[#This Row],[Profit]]&gt;500,"High","Std"))</f>
        <v>STD</v>
      </c>
      <c r="P1488">
        <v>1487</v>
      </c>
    </row>
    <row r="1489" spans="1:16" x14ac:dyDescent="0.3">
      <c r="A1489" s="1">
        <v>44705</v>
      </c>
      <c r="B1489" t="s">
        <v>23</v>
      </c>
      <c r="C1489" t="s">
        <v>14</v>
      </c>
      <c r="D1489" t="s">
        <v>9</v>
      </c>
      <c r="E1489">
        <v>9</v>
      </c>
      <c r="F1489" s="3">
        <v>8460</v>
      </c>
      <c r="G1489" s="2">
        <v>1201.94</v>
      </c>
      <c r="H1489">
        <f>Master_ventas[[#This Row],[Profit]]/Master_ventas[[#This Row],[Sales]]</f>
        <v>0.14207328605200947</v>
      </c>
      <c r="I1489">
        <f ca="1">Referencia_Hoy-Master_ventas[[#This Row],[Order Date]]</f>
        <v>1618</v>
      </c>
      <c r="J1489" t="str">
        <f>UPPER(Master_ventas[[#This Row],[Product Name]])</f>
        <v>LAPTOP</v>
      </c>
      <c r="K1489" t="str">
        <f>UPPER(Master_ventas[[#This Row],[Category]])</f>
        <v>ELECTRONICS</v>
      </c>
      <c r="L1489">
        <f>YEAR(Master_ventas[[#This Row],[Order Date]])</f>
        <v>2022</v>
      </c>
      <c r="M1489" t="str">
        <f>CONCATENATE(LEFT(Master_ventas[[#This Row],[ProdUpper]],3),RIGHT(Master_ventas[[#This Row],[Ext-Year]],2),"-",MID(Master_ventas[[#This Row],[Category]],1,1))</f>
        <v>LAP22-E</v>
      </c>
      <c r="N1489" t="str">
        <f>MID(Master_ventas[[#This Row],[ProdUpper]],1,3)</f>
        <v>LAP</v>
      </c>
      <c r="O1489" t="str">
        <f>UPPER(IF(Master_ventas[[#This Row],[Profit]]&gt;500,"High","Std"))</f>
        <v>HIGH</v>
      </c>
      <c r="P1489">
        <v>1488</v>
      </c>
    </row>
    <row r="1490" spans="1:16" x14ac:dyDescent="0.3">
      <c r="A1490" s="1">
        <v>45358</v>
      </c>
      <c r="B1490" t="s">
        <v>20</v>
      </c>
      <c r="C1490" t="s">
        <v>11</v>
      </c>
      <c r="D1490" t="s">
        <v>9</v>
      </c>
      <c r="E1490">
        <v>1</v>
      </c>
      <c r="F1490" s="3">
        <v>104</v>
      </c>
      <c r="G1490" s="2">
        <v>26.86</v>
      </c>
      <c r="H1490">
        <f>Master_ventas[[#This Row],[Profit]]/Master_ventas[[#This Row],[Sales]]</f>
        <v>0.25826923076923075</v>
      </c>
      <c r="I1490">
        <f ca="1">Referencia_Hoy-Master_ventas[[#This Row],[Order Date]]</f>
        <v>965</v>
      </c>
      <c r="J1490" t="str">
        <f>UPPER(Master_ventas[[#This Row],[Product Name]])</f>
        <v>MONITOR</v>
      </c>
      <c r="K1490" t="str">
        <f>UPPER(Master_ventas[[#This Row],[Category]])</f>
        <v>ACCESSORIES</v>
      </c>
      <c r="L1490">
        <f>YEAR(Master_ventas[[#This Row],[Order Date]])</f>
        <v>2024</v>
      </c>
      <c r="M1490" t="str">
        <f>CONCATENATE(LEFT(Master_ventas[[#This Row],[ProdUpper]],3),RIGHT(Master_ventas[[#This Row],[Ext-Year]],2),"-",MID(Master_ventas[[#This Row],[Category]],1,1))</f>
        <v>MON24-A</v>
      </c>
      <c r="N1490" t="str">
        <f>MID(Master_ventas[[#This Row],[ProdUpper]],1,3)</f>
        <v>MON</v>
      </c>
      <c r="O1490" t="str">
        <f>UPPER(IF(Master_ventas[[#This Row],[Profit]]&gt;500,"High","Std"))</f>
        <v>STD</v>
      </c>
      <c r="P1490">
        <v>1489</v>
      </c>
    </row>
    <row r="1491" spans="1:16" x14ac:dyDescent="0.3">
      <c r="A1491" s="1">
        <v>45278</v>
      </c>
      <c r="B1491" t="s">
        <v>20</v>
      </c>
      <c r="C1491" t="s">
        <v>11</v>
      </c>
      <c r="D1491" t="s">
        <v>16</v>
      </c>
      <c r="E1491">
        <v>9</v>
      </c>
      <c r="F1491" s="3">
        <v>10665</v>
      </c>
      <c r="G1491" s="2">
        <v>1595.08</v>
      </c>
      <c r="H1491">
        <f>Master_ventas[[#This Row],[Profit]]/Master_ventas[[#This Row],[Sales]]</f>
        <v>0.14956211908110642</v>
      </c>
      <c r="I1491">
        <f ca="1">Referencia_Hoy-Master_ventas[[#This Row],[Order Date]]</f>
        <v>1045</v>
      </c>
      <c r="J1491" t="str">
        <f>UPPER(Master_ventas[[#This Row],[Product Name]])</f>
        <v>MONITOR</v>
      </c>
      <c r="K1491" t="str">
        <f>UPPER(Master_ventas[[#This Row],[Category]])</f>
        <v>ACCESSORIES</v>
      </c>
      <c r="L1491">
        <f>YEAR(Master_ventas[[#This Row],[Order Date]])</f>
        <v>2023</v>
      </c>
      <c r="M1491" t="str">
        <f>CONCATENATE(LEFT(Master_ventas[[#This Row],[ProdUpper]],3),RIGHT(Master_ventas[[#This Row],[Ext-Year]],2),"-",MID(Master_ventas[[#This Row],[Category]],1,1))</f>
        <v>MON23-A</v>
      </c>
      <c r="N1491" t="str">
        <f>MID(Master_ventas[[#This Row],[ProdUpper]],1,3)</f>
        <v>MON</v>
      </c>
      <c r="O1491" t="str">
        <f>UPPER(IF(Master_ventas[[#This Row],[Profit]]&gt;500,"High","Std"))</f>
        <v>HIGH</v>
      </c>
      <c r="P1491">
        <v>1490</v>
      </c>
    </row>
    <row r="1492" spans="1:16" x14ac:dyDescent="0.3">
      <c r="A1492" s="1">
        <v>45150</v>
      </c>
      <c r="B1492" t="s">
        <v>19</v>
      </c>
      <c r="C1492" t="s">
        <v>14</v>
      </c>
      <c r="D1492" t="s">
        <v>12</v>
      </c>
      <c r="E1492">
        <v>8</v>
      </c>
      <c r="F1492" s="3">
        <v>984</v>
      </c>
      <c r="G1492" s="2">
        <v>183.07</v>
      </c>
      <c r="H1492">
        <f>Master_ventas[[#This Row],[Profit]]/Master_ventas[[#This Row],[Sales]]</f>
        <v>0.18604674796747966</v>
      </c>
      <c r="I1492">
        <f ca="1">Referencia_Hoy-Master_ventas[[#This Row],[Order Date]]</f>
        <v>1173</v>
      </c>
      <c r="J1492" t="str">
        <f>UPPER(Master_ventas[[#This Row],[Product Name]])</f>
        <v>SMARTWATCH</v>
      </c>
      <c r="K1492" t="str">
        <f>UPPER(Master_ventas[[#This Row],[Category]])</f>
        <v>ELECTRONICS</v>
      </c>
      <c r="L1492">
        <f>YEAR(Master_ventas[[#This Row],[Order Date]])</f>
        <v>2023</v>
      </c>
      <c r="M1492" t="str">
        <f>CONCATENATE(LEFT(Master_ventas[[#This Row],[ProdUpper]],3),RIGHT(Master_ventas[[#This Row],[Ext-Year]],2),"-",MID(Master_ventas[[#This Row],[Category]],1,1))</f>
        <v>SMA23-E</v>
      </c>
      <c r="N1492" t="str">
        <f>MID(Master_ventas[[#This Row],[ProdUpper]],1,3)</f>
        <v>SMA</v>
      </c>
      <c r="O1492" t="str">
        <f>UPPER(IF(Master_ventas[[#This Row],[Profit]]&gt;500,"High","Std"))</f>
        <v>STD</v>
      </c>
      <c r="P1492">
        <v>1491</v>
      </c>
    </row>
    <row r="1493" spans="1:16" x14ac:dyDescent="0.3">
      <c r="A1493" s="1">
        <v>45553</v>
      </c>
      <c r="B1493" t="s">
        <v>21</v>
      </c>
      <c r="C1493" t="s">
        <v>14</v>
      </c>
      <c r="D1493" t="s">
        <v>9</v>
      </c>
      <c r="E1493">
        <v>4</v>
      </c>
      <c r="F1493" s="3">
        <v>2064</v>
      </c>
      <c r="G1493" s="2">
        <v>359.3</v>
      </c>
      <c r="H1493">
        <f>Master_ventas[[#This Row],[Profit]]/Master_ventas[[#This Row],[Sales]]</f>
        <v>0.17407945736434108</v>
      </c>
      <c r="I1493">
        <f ca="1">Referencia_Hoy-Master_ventas[[#This Row],[Order Date]]</f>
        <v>770</v>
      </c>
      <c r="J1493" t="str">
        <f>UPPER(Master_ventas[[#This Row],[Product Name]])</f>
        <v>SMARTPHONE</v>
      </c>
      <c r="K1493" t="str">
        <f>UPPER(Master_ventas[[#This Row],[Category]])</f>
        <v>ELECTRONICS</v>
      </c>
      <c r="L1493">
        <f>YEAR(Master_ventas[[#This Row],[Order Date]])</f>
        <v>2024</v>
      </c>
      <c r="M1493" t="str">
        <f>CONCATENATE(LEFT(Master_ventas[[#This Row],[ProdUpper]],3),RIGHT(Master_ventas[[#This Row],[Ext-Year]],2),"-",MID(Master_ventas[[#This Row],[Category]],1,1))</f>
        <v>SMA24-E</v>
      </c>
      <c r="N1493" t="str">
        <f>MID(Master_ventas[[#This Row],[ProdUpper]],1,3)</f>
        <v>SMA</v>
      </c>
      <c r="O1493" t="str">
        <f>UPPER(IF(Master_ventas[[#This Row],[Profit]]&gt;500,"High","Std"))</f>
        <v>STD</v>
      </c>
      <c r="P1493">
        <v>1492</v>
      </c>
    </row>
    <row r="1494" spans="1:16" x14ac:dyDescent="0.3">
      <c r="A1494" s="1">
        <v>44628</v>
      </c>
      <c r="B1494" t="s">
        <v>23</v>
      </c>
      <c r="C1494" t="s">
        <v>14</v>
      </c>
      <c r="D1494" t="s">
        <v>9</v>
      </c>
      <c r="E1494">
        <v>2</v>
      </c>
      <c r="F1494" s="3">
        <v>594</v>
      </c>
      <c r="G1494" s="2">
        <v>172.47</v>
      </c>
      <c r="H1494">
        <f>Master_ventas[[#This Row],[Profit]]/Master_ventas[[#This Row],[Sales]]</f>
        <v>0.29035353535353536</v>
      </c>
      <c r="I1494">
        <f ca="1">Referencia_Hoy-Master_ventas[[#This Row],[Order Date]]</f>
        <v>1695</v>
      </c>
      <c r="J1494" t="str">
        <f>UPPER(Master_ventas[[#This Row],[Product Name]])</f>
        <v>LAPTOP</v>
      </c>
      <c r="K1494" t="str">
        <f>UPPER(Master_ventas[[#This Row],[Category]])</f>
        <v>ELECTRONICS</v>
      </c>
      <c r="L1494">
        <f>YEAR(Master_ventas[[#This Row],[Order Date]])</f>
        <v>2022</v>
      </c>
      <c r="M1494" t="str">
        <f>CONCATENATE(LEFT(Master_ventas[[#This Row],[ProdUpper]],3),RIGHT(Master_ventas[[#This Row],[Ext-Year]],2),"-",MID(Master_ventas[[#This Row],[Category]],1,1))</f>
        <v>LAP22-E</v>
      </c>
      <c r="N1494" t="str">
        <f>MID(Master_ventas[[#This Row],[ProdUpper]],1,3)</f>
        <v>LAP</v>
      </c>
      <c r="O1494" t="str">
        <f>UPPER(IF(Master_ventas[[#This Row],[Profit]]&gt;500,"High","Std"))</f>
        <v>STD</v>
      </c>
      <c r="P1494">
        <v>1493</v>
      </c>
    </row>
    <row r="1495" spans="1:16" x14ac:dyDescent="0.3">
      <c r="A1495" s="1">
        <v>45224</v>
      </c>
      <c r="B1495" t="s">
        <v>7</v>
      </c>
      <c r="C1495" t="s">
        <v>8</v>
      </c>
      <c r="D1495" t="s">
        <v>15</v>
      </c>
      <c r="E1495">
        <v>8</v>
      </c>
      <c r="F1495" s="3">
        <v>6016</v>
      </c>
      <c r="G1495" s="2">
        <v>898.33</v>
      </c>
      <c r="H1495">
        <f>Master_ventas[[#This Row],[Profit]]/Master_ventas[[#This Row],[Sales]]</f>
        <v>0.14932347074468086</v>
      </c>
      <c r="I1495">
        <f ca="1">Referencia_Hoy-Master_ventas[[#This Row],[Order Date]]</f>
        <v>1099</v>
      </c>
      <c r="J1495" t="str">
        <f>UPPER(Master_ventas[[#This Row],[Product Name]])</f>
        <v>PRINTER</v>
      </c>
      <c r="K1495" t="str">
        <f>UPPER(Master_ventas[[#This Row],[Category]])</f>
        <v>OFFICE</v>
      </c>
      <c r="L1495">
        <f>YEAR(Master_ventas[[#This Row],[Order Date]])</f>
        <v>2023</v>
      </c>
      <c r="M1495" t="str">
        <f>CONCATENATE(LEFT(Master_ventas[[#This Row],[ProdUpper]],3),RIGHT(Master_ventas[[#This Row],[Ext-Year]],2),"-",MID(Master_ventas[[#This Row],[Category]],1,1))</f>
        <v>PRI23-O</v>
      </c>
      <c r="N1495" t="str">
        <f>MID(Master_ventas[[#This Row],[ProdUpper]],1,3)</f>
        <v>PRI</v>
      </c>
      <c r="O1495" t="str">
        <f>UPPER(IF(Master_ventas[[#This Row],[Profit]]&gt;500,"High","Std"))</f>
        <v>HIGH</v>
      </c>
      <c r="P1495">
        <v>1494</v>
      </c>
    </row>
    <row r="1496" spans="1:16" x14ac:dyDescent="0.3">
      <c r="A1496" s="1">
        <v>45526</v>
      </c>
      <c r="B1496" t="s">
        <v>21</v>
      </c>
      <c r="C1496" t="s">
        <v>14</v>
      </c>
      <c r="D1496" t="s">
        <v>9</v>
      </c>
      <c r="E1496">
        <v>8</v>
      </c>
      <c r="F1496" s="3">
        <v>2864</v>
      </c>
      <c r="G1496" s="2">
        <v>195.16</v>
      </c>
      <c r="H1496">
        <f>Master_ventas[[#This Row],[Profit]]/Master_ventas[[#This Row],[Sales]]</f>
        <v>6.8142458100558662E-2</v>
      </c>
      <c r="I1496">
        <f ca="1">Referencia_Hoy-Master_ventas[[#This Row],[Order Date]]</f>
        <v>797</v>
      </c>
      <c r="J1496" t="str">
        <f>UPPER(Master_ventas[[#This Row],[Product Name]])</f>
        <v>SMARTPHONE</v>
      </c>
      <c r="K1496" t="str">
        <f>UPPER(Master_ventas[[#This Row],[Category]])</f>
        <v>ELECTRONICS</v>
      </c>
      <c r="L1496">
        <f>YEAR(Master_ventas[[#This Row],[Order Date]])</f>
        <v>2024</v>
      </c>
      <c r="M1496" t="str">
        <f>CONCATENATE(LEFT(Master_ventas[[#This Row],[ProdUpper]],3),RIGHT(Master_ventas[[#This Row],[Ext-Year]],2),"-",MID(Master_ventas[[#This Row],[Category]],1,1))</f>
        <v>SMA24-E</v>
      </c>
      <c r="N1496" t="str">
        <f>MID(Master_ventas[[#This Row],[ProdUpper]],1,3)</f>
        <v>SMA</v>
      </c>
      <c r="O1496" t="str">
        <f>UPPER(IF(Master_ventas[[#This Row],[Profit]]&gt;500,"High","Std"))</f>
        <v>STD</v>
      </c>
      <c r="P1496">
        <v>1495</v>
      </c>
    </row>
    <row r="1497" spans="1:16" x14ac:dyDescent="0.3">
      <c r="A1497" s="1">
        <v>45490</v>
      </c>
      <c r="B1497" t="s">
        <v>13</v>
      </c>
      <c r="C1497" t="s">
        <v>14</v>
      </c>
      <c r="D1497" t="s">
        <v>9</v>
      </c>
      <c r="E1497">
        <v>4</v>
      </c>
      <c r="F1497" s="3">
        <v>724</v>
      </c>
      <c r="G1497" s="2">
        <v>186.95</v>
      </c>
      <c r="H1497">
        <f>Master_ventas[[#This Row],[Profit]]/Master_ventas[[#This Row],[Sales]]</f>
        <v>0.25821823204419886</v>
      </c>
      <c r="I1497">
        <f ca="1">Referencia_Hoy-Master_ventas[[#This Row],[Order Date]]</f>
        <v>833</v>
      </c>
      <c r="J1497" t="str">
        <f>UPPER(Master_ventas[[#This Row],[Product Name]])</f>
        <v>TABLET</v>
      </c>
      <c r="K1497" t="str">
        <f>UPPER(Master_ventas[[#This Row],[Category]])</f>
        <v>ELECTRONICS</v>
      </c>
      <c r="L1497">
        <f>YEAR(Master_ventas[[#This Row],[Order Date]])</f>
        <v>2024</v>
      </c>
      <c r="M1497" t="str">
        <f>CONCATENATE(LEFT(Master_ventas[[#This Row],[ProdUpper]],3),RIGHT(Master_ventas[[#This Row],[Ext-Year]],2),"-",MID(Master_ventas[[#This Row],[Category]],1,1))</f>
        <v>TAB24-E</v>
      </c>
      <c r="N1497" t="str">
        <f>MID(Master_ventas[[#This Row],[ProdUpper]],1,3)</f>
        <v>TAB</v>
      </c>
      <c r="O1497" t="str">
        <f>UPPER(IF(Master_ventas[[#This Row],[Profit]]&gt;500,"High","Std"))</f>
        <v>STD</v>
      </c>
      <c r="P1497">
        <v>1496</v>
      </c>
    </row>
    <row r="1498" spans="1:16" x14ac:dyDescent="0.3">
      <c r="A1498" s="1">
        <v>45333</v>
      </c>
      <c r="B1498" t="s">
        <v>10</v>
      </c>
      <c r="C1498" t="s">
        <v>11</v>
      </c>
      <c r="D1498" t="s">
        <v>12</v>
      </c>
      <c r="E1498">
        <v>6</v>
      </c>
      <c r="F1498" s="3">
        <v>4098</v>
      </c>
      <c r="G1498" s="2">
        <v>1174.46</v>
      </c>
      <c r="H1498">
        <f>Master_ventas[[#This Row],[Profit]]/Master_ventas[[#This Row],[Sales]]</f>
        <v>0.28659346022449977</v>
      </c>
      <c r="I1498">
        <f ca="1">Referencia_Hoy-Master_ventas[[#This Row],[Order Date]]</f>
        <v>990</v>
      </c>
      <c r="J1498" t="str">
        <f>UPPER(Master_ventas[[#This Row],[Product Name]])</f>
        <v>MOUSE</v>
      </c>
      <c r="K1498" t="str">
        <f>UPPER(Master_ventas[[#This Row],[Category]])</f>
        <v>ACCESSORIES</v>
      </c>
      <c r="L1498">
        <f>YEAR(Master_ventas[[#This Row],[Order Date]])</f>
        <v>2024</v>
      </c>
      <c r="M1498" t="str">
        <f>CONCATENATE(LEFT(Master_ventas[[#This Row],[ProdUpper]],3),RIGHT(Master_ventas[[#This Row],[Ext-Year]],2),"-",MID(Master_ventas[[#This Row],[Category]],1,1))</f>
        <v>MOU24-A</v>
      </c>
      <c r="N1498" t="str">
        <f>MID(Master_ventas[[#This Row],[ProdUpper]],1,3)</f>
        <v>MOU</v>
      </c>
      <c r="O1498" t="str">
        <f>UPPER(IF(Master_ventas[[#This Row],[Profit]]&gt;500,"High","Std"))</f>
        <v>HIGH</v>
      </c>
      <c r="P1498">
        <v>1497</v>
      </c>
    </row>
    <row r="1499" spans="1:16" x14ac:dyDescent="0.3">
      <c r="A1499" s="1">
        <v>45089</v>
      </c>
      <c r="B1499" t="s">
        <v>20</v>
      </c>
      <c r="C1499" t="s">
        <v>11</v>
      </c>
      <c r="D1499" t="s">
        <v>9</v>
      </c>
      <c r="E1499">
        <v>1</v>
      </c>
      <c r="F1499" s="3">
        <v>338</v>
      </c>
      <c r="G1499" s="2">
        <v>32.61</v>
      </c>
      <c r="H1499">
        <f>Master_ventas[[#This Row],[Profit]]/Master_ventas[[#This Row],[Sales]]</f>
        <v>9.6479289940828397E-2</v>
      </c>
      <c r="I1499">
        <f ca="1">Referencia_Hoy-Master_ventas[[#This Row],[Order Date]]</f>
        <v>1234</v>
      </c>
      <c r="J1499" t="str">
        <f>UPPER(Master_ventas[[#This Row],[Product Name]])</f>
        <v>MONITOR</v>
      </c>
      <c r="K1499" t="str">
        <f>UPPER(Master_ventas[[#This Row],[Category]])</f>
        <v>ACCESSORIES</v>
      </c>
      <c r="L1499">
        <f>YEAR(Master_ventas[[#This Row],[Order Date]])</f>
        <v>2023</v>
      </c>
      <c r="M1499" t="str">
        <f>CONCATENATE(LEFT(Master_ventas[[#This Row],[ProdUpper]],3),RIGHT(Master_ventas[[#This Row],[Ext-Year]],2),"-",MID(Master_ventas[[#This Row],[Category]],1,1))</f>
        <v>MON23-A</v>
      </c>
      <c r="N1499" t="str">
        <f>MID(Master_ventas[[#This Row],[ProdUpper]],1,3)</f>
        <v>MON</v>
      </c>
      <c r="O1499" t="str">
        <f>UPPER(IF(Master_ventas[[#This Row],[Profit]]&gt;500,"High","Std"))</f>
        <v>STD</v>
      </c>
      <c r="P1499">
        <v>1498</v>
      </c>
    </row>
    <row r="1500" spans="1:16" x14ac:dyDescent="0.3">
      <c r="A1500" s="1">
        <v>45360</v>
      </c>
      <c r="B1500" t="s">
        <v>7</v>
      </c>
      <c r="C1500" t="s">
        <v>8</v>
      </c>
      <c r="D1500" t="s">
        <v>16</v>
      </c>
      <c r="E1500">
        <v>8</v>
      </c>
      <c r="F1500" s="3">
        <v>9280</v>
      </c>
      <c r="G1500" s="2">
        <v>1596.88</v>
      </c>
      <c r="H1500">
        <f>Master_ventas[[#This Row],[Profit]]/Master_ventas[[#This Row],[Sales]]</f>
        <v>0.17207758620689656</v>
      </c>
      <c r="I1500">
        <f ca="1">Referencia_Hoy-Master_ventas[[#This Row],[Order Date]]</f>
        <v>963</v>
      </c>
      <c r="J1500" t="str">
        <f>UPPER(Master_ventas[[#This Row],[Product Name]])</f>
        <v>PRINTER</v>
      </c>
      <c r="K1500" t="str">
        <f>UPPER(Master_ventas[[#This Row],[Category]])</f>
        <v>OFFICE</v>
      </c>
      <c r="L1500">
        <f>YEAR(Master_ventas[[#This Row],[Order Date]])</f>
        <v>2024</v>
      </c>
      <c r="M1500" t="str">
        <f>CONCATENATE(LEFT(Master_ventas[[#This Row],[ProdUpper]],3),RIGHT(Master_ventas[[#This Row],[Ext-Year]],2),"-",MID(Master_ventas[[#This Row],[Category]],1,1))</f>
        <v>PRI24-O</v>
      </c>
      <c r="N1500" t="str">
        <f>MID(Master_ventas[[#This Row],[ProdUpper]],1,3)</f>
        <v>PRI</v>
      </c>
      <c r="O1500" t="str">
        <f>UPPER(IF(Master_ventas[[#This Row],[Profit]]&gt;500,"High","Std"))</f>
        <v>HIGH</v>
      </c>
      <c r="P1500">
        <v>1499</v>
      </c>
    </row>
    <row r="1501" spans="1:16" x14ac:dyDescent="0.3">
      <c r="A1501" s="1">
        <v>44667</v>
      </c>
      <c r="B1501" t="s">
        <v>19</v>
      </c>
      <c r="C1501" t="s">
        <v>14</v>
      </c>
      <c r="D1501" t="s">
        <v>12</v>
      </c>
      <c r="E1501">
        <v>1</v>
      </c>
      <c r="F1501" s="3">
        <v>890</v>
      </c>
      <c r="G1501" s="2">
        <v>57.04</v>
      </c>
      <c r="H1501">
        <f>Master_ventas[[#This Row],[Profit]]/Master_ventas[[#This Row],[Sales]]</f>
        <v>6.4089887640449442E-2</v>
      </c>
      <c r="I1501">
        <f ca="1">Referencia_Hoy-Master_ventas[[#This Row],[Order Date]]</f>
        <v>1656</v>
      </c>
      <c r="J1501" t="str">
        <f>UPPER(Master_ventas[[#This Row],[Product Name]])</f>
        <v>SMARTWATCH</v>
      </c>
      <c r="K1501" t="str">
        <f>UPPER(Master_ventas[[#This Row],[Category]])</f>
        <v>ELECTRONICS</v>
      </c>
      <c r="L1501">
        <f>YEAR(Master_ventas[[#This Row],[Order Date]])</f>
        <v>2022</v>
      </c>
      <c r="M1501" t="str">
        <f>CONCATENATE(LEFT(Master_ventas[[#This Row],[ProdUpper]],3),RIGHT(Master_ventas[[#This Row],[Ext-Year]],2),"-",MID(Master_ventas[[#This Row],[Category]],1,1))</f>
        <v>SMA22-E</v>
      </c>
      <c r="N1501" t="str">
        <f>MID(Master_ventas[[#This Row],[ProdUpper]],1,3)</f>
        <v>SMA</v>
      </c>
      <c r="O1501" t="str">
        <f>UPPER(IF(Master_ventas[[#This Row],[Profit]]&gt;500,"High","Std"))</f>
        <v>STD</v>
      </c>
      <c r="P1501">
        <v>1500</v>
      </c>
    </row>
    <row r="1502" spans="1:16" x14ac:dyDescent="0.3">
      <c r="A1502" s="1">
        <v>45042</v>
      </c>
      <c r="B1502" t="s">
        <v>13</v>
      </c>
      <c r="C1502" t="s">
        <v>14</v>
      </c>
      <c r="D1502" t="s">
        <v>15</v>
      </c>
      <c r="E1502">
        <v>2</v>
      </c>
      <c r="F1502" s="3">
        <v>1790</v>
      </c>
      <c r="G1502" s="2">
        <v>442.75</v>
      </c>
      <c r="H1502">
        <f>Master_ventas[[#This Row],[Profit]]/Master_ventas[[#This Row],[Sales]]</f>
        <v>0.24734636871508381</v>
      </c>
      <c r="I1502">
        <f ca="1">Referencia_Hoy-Master_ventas[[#This Row],[Order Date]]</f>
        <v>1281</v>
      </c>
      <c r="J1502" t="str">
        <f>UPPER(Master_ventas[[#This Row],[Product Name]])</f>
        <v>TABLET</v>
      </c>
      <c r="K1502" t="str">
        <f>UPPER(Master_ventas[[#This Row],[Category]])</f>
        <v>ELECTRONICS</v>
      </c>
      <c r="L1502">
        <f>YEAR(Master_ventas[[#This Row],[Order Date]])</f>
        <v>2023</v>
      </c>
      <c r="M1502" t="str">
        <f>CONCATENATE(LEFT(Master_ventas[[#This Row],[ProdUpper]],3),RIGHT(Master_ventas[[#This Row],[Ext-Year]],2),"-",MID(Master_ventas[[#This Row],[Category]],1,1))</f>
        <v>TAB23-E</v>
      </c>
      <c r="N1502" t="str">
        <f>MID(Master_ventas[[#This Row],[ProdUpper]],1,3)</f>
        <v>TAB</v>
      </c>
      <c r="O1502" t="str">
        <f>UPPER(IF(Master_ventas[[#This Row],[Profit]]&gt;500,"High","Std"))</f>
        <v>STD</v>
      </c>
      <c r="P1502">
        <v>1501</v>
      </c>
    </row>
    <row r="1503" spans="1:16" x14ac:dyDescent="0.3">
      <c r="A1503" s="1">
        <v>45200</v>
      </c>
      <c r="B1503" t="s">
        <v>13</v>
      </c>
      <c r="C1503" t="s">
        <v>14</v>
      </c>
      <c r="D1503" t="s">
        <v>9</v>
      </c>
      <c r="E1503">
        <v>9</v>
      </c>
      <c r="F1503" s="3">
        <v>8523</v>
      </c>
      <c r="G1503" s="2">
        <v>978.97</v>
      </c>
      <c r="H1503">
        <f>Master_ventas[[#This Row],[Profit]]/Master_ventas[[#This Row],[Sales]]</f>
        <v>0.1148621377449255</v>
      </c>
      <c r="I1503">
        <f ca="1">Referencia_Hoy-Master_ventas[[#This Row],[Order Date]]</f>
        <v>1123</v>
      </c>
      <c r="J1503" t="str">
        <f>UPPER(Master_ventas[[#This Row],[Product Name]])</f>
        <v>TABLET</v>
      </c>
      <c r="K1503" t="str">
        <f>UPPER(Master_ventas[[#This Row],[Category]])</f>
        <v>ELECTRONICS</v>
      </c>
      <c r="L1503">
        <f>YEAR(Master_ventas[[#This Row],[Order Date]])</f>
        <v>2023</v>
      </c>
      <c r="M1503" t="str">
        <f>CONCATENATE(LEFT(Master_ventas[[#This Row],[ProdUpper]],3),RIGHT(Master_ventas[[#This Row],[Ext-Year]],2),"-",MID(Master_ventas[[#This Row],[Category]],1,1))</f>
        <v>TAB23-E</v>
      </c>
      <c r="N1503" t="str">
        <f>MID(Master_ventas[[#This Row],[ProdUpper]],1,3)</f>
        <v>TAB</v>
      </c>
      <c r="O1503" t="str">
        <f>UPPER(IF(Master_ventas[[#This Row],[Profit]]&gt;500,"High","Std"))</f>
        <v>HIGH</v>
      </c>
      <c r="P1503">
        <v>1502</v>
      </c>
    </row>
    <row r="1504" spans="1:16" x14ac:dyDescent="0.3">
      <c r="A1504" s="1">
        <v>44978</v>
      </c>
      <c r="B1504" t="s">
        <v>18</v>
      </c>
      <c r="C1504" t="s">
        <v>11</v>
      </c>
      <c r="D1504" t="s">
        <v>16</v>
      </c>
      <c r="E1504">
        <v>9</v>
      </c>
      <c r="F1504" s="3">
        <v>7776</v>
      </c>
      <c r="G1504" s="2">
        <v>677.74</v>
      </c>
      <c r="H1504">
        <f>Master_ventas[[#This Row],[Profit]]/Master_ventas[[#This Row],[Sales]]</f>
        <v>8.715792181069959E-2</v>
      </c>
      <c r="I1504">
        <f ca="1">Referencia_Hoy-Master_ventas[[#This Row],[Order Date]]</f>
        <v>1345</v>
      </c>
      <c r="J1504" t="str">
        <f>UPPER(Master_ventas[[#This Row],[Product Name]])</f>
        <v>HEADPHONES</v>
      </c>
      <c r="K1504" t="str">
        <f>UPPER(Master_ventas[[#This Row],[Category]])</f>
        <v>ACCESSORIES</v>
      </c>
      <c r="L1504">
        <f>YEAR(Master_ventas[[#This Row],[Order Date]])</f>
        <v>2023</v>
      </c>
      <c r="M1504" t="str">
        <f>CONCATENATE(LEFT(Master_ventas[[#This Row],[ProdUpper]],3),RIGHT(Master_ventas[[#This Row],[Ext-Year]],2),"-",MID(Master_ventas[[#This Row],[Category]],1,1))</f>
        <v>HEA23-A</v>
      </c>
      <c r="N1504" t="str">
        <f>MID(Master_ventas[[#This Row],[ProdUpper]],1,3)</f>
        <v>HEA</v>
      </c>
      <c r="O1504" t="str">
        <f>UPPER(IF(Master_ventas[[#This Row],[Profit]]&gt;500,"High","Std"))</f>
        <v>HIGH</v>
      </c>
      <c r="P1504">
        <v>1503</v>
      </c>
    </row>
    <row r="1505" spans="1:16" x14ac:dyDescent="0.3">
      <c r="A1505" s="1">
        <v>45371</v>
      </c>
      <c r="B1505" t="s">
        <v>10</v>
      </c>
      <c r="C1505" t="s">
        <v>11</v>
      </c>
      <c r="D1505" t="s">
        <v>9</v>
      </c>
      <c r="E1505">
        <v>7</v>
      </c>
      <c r="F1505" s="3">
        <v>3031</v>
      </c>
      <c r="G1505" s="2">
        <v>417.5</v>
      </c>
      <c r="H1505">
        <f>Master_ventas[[#This Row],[Profit]]/Master_ventas[[#This Row],[Sales]]</f>
        <v>0.13774331903662157</v>
      </c>
      <c r="I1505">
        <f ca="1">Referencia_Hoy-Master_ventas[[#This Row],[Order Date]]</f>
        <v>952</v>
      </c>
      <c r="J1505" t="str">
        <f>UPPER(Master_ventas[[#This Row],[Product Name]])</f>
        <v>MOUSE</v>
      </c>
      <c r="K1505" t="str">
        <f>UPPER(Master_ventas[[#This Row],[Category]])</f>
        <v>ACCESSORIES</v>
      </c>
      <c r="L1505">
        <f>YEAR(Master_ventas[[#This Row],[Order Date]])</f>
        <v>2024</v>
      </c>
      <c r="M1505" t="str">
        <f>CONCATENATE(LEFT(Master_ventas[[#This Row],[ProdUpper]],3),RIGHT(Master_ventas[[#This Row],[Ext-Year]],2),"-",MID(Master_ventas[[#This Row],[Category]],1,1))</f>
        <v>MOU24-A</v>
      </c>
      <c r="N1505" t="str">
        <f>MID(Master_ventas[[#This Row],[ProdUpper]],1,3)</f>
        <v>MOU</v>
      </c>
      <c r="O1505" t="str">
        <f>UPPER(IF(Master_ventas[[#This Row],[Profit]]&gt;500,"High","Std"))</f>
        <v>STD</v>
      </c>
      <c r="P1505">
        <v>1504</v>
      </c>
    </row>
    <row r="1506" spans="1:16" x14ac:dyDescent="0.3">
      <c r="A1506" s="1">
        <v>44836</v>
      </c>
      <c r="B1506" t="s">
        <v>17</v>
      </c>
      <c r="C1506" t="s">
        <v>14</v>
      </c>
      <c r="D1506" t="s">
        <v>15</v>
      </c>
      <c r="E1506">
        <v>9</v>
      </c>
      <c r="F1506" s="3">
        <v>4698</v>
      </c>
      <c r="G1506" s="2">
        <v>1262.47</v>
      </c>
      <c r="H1506">
        <f>Master_ventas[[#This Row],[Profit]]/Master_ventas[[#This Row],[Sales]]</f>
        <v>0.26872498935717326</v>
      </c>
      <c r="I1506">
        <f ca="1">Referencia_Hoy-Master_ventas[[#This Row],[Order Date]]</f>
        <v>1487</v>
      </c>
      <c r="J1506" t="str">
        <f>UPPER(Master_ventas[[#This Row],[Product Name]])</f>
        <v>CAMERA</v>
      </c>
      <c r="K1506" t="str">
        <f>UPPER(Master_ventas[[#This Row],[Category]])</f>
        <v>ELECTRONICS</v>
      </c>
      <c r="L1506">
        <f>YEAR(Master_ventas[[#This Row],[Order Date]])</f>
        <v>2022</v>
      </c>
      <c r="M1506" t="str">
        <f>CONCATENATE(LEFT(Master_ventas[[#This Row],[ProdUpper]],3),RIGHT(Master_ventas[[#This Row],[Ext-Year]],2),"-",MID(Master_ventas[[#This Row],[Category]],1,1))</f>
        <v>CAM22-E</v>
      </c>
      <c r="N1506" t="str">
        <f>MID(Master_ventas[[#This Row],[ProdUpper]],1,3)</f>
        <v>CAM</v>
      </c>
      <c r="O1506" t="str">
        <f>UPPER(IF(Master_ventas[[#This Row],[Profit]]&gt;500,"High","Std"))</f>
        <v>HIGH</v>
      </c>
      <c r="P1506">
        <v>1505</v>
      </c>
    </row>
    <row r="1507" spans="1:16" x14ac:dyDescent="0.3">
      <c r="A1507" s="1">
        <v>45090</v>
      </c>
      <c r="B1507" t="s">
        <v>22</v>
      </c>
      <c r="C1507" t="s">
        <v>11</v>
      </c>
      <c r="D1507" t="s">
        <v>16</v>
      </c>
      <c r="E1507">
        <v>9</v>
      </c>
      <c r="F1507" s="3">
        <v>4851</v>
      </c>
      <c r="G1507" s="2">
        <v>1408.41</v>
      </c>
      <c r="H1507">
        <f>Master_ventas[[#This Row],[Profit]]/Master_ventas[[#This Row],[Sales]]</f>
        <v>0.29033395176252319</v>
      </c>
      <c r="I1507">
        <f ca="1">Referencia_Hoy-Master_ventas[[#This Row],[Order Date]]</f>
        <v>1233</v>
      </c>
      <c r="J1507" t="str">
        <f>UPPER(Master_ventas[[#This Row],[Product Name]])</f>
        <v>KEYBOARD</v>
      </c>
      <c r="K1507" t="str">
        <f>UPPER(Master_ventas[[#This Row],[Category]])</f>
        <v>ACCESSORIES</v>
      </c>
      <c r="L1507">
        <f>YEAR(Master_ventas[[#This Row],[Order Date]])</f>
        <v>2023</v>
      </c>
      <c r="M1507" t="str">
        <f>CONCATENATE(LEFT(Master_ventas[[#This Row],[ProdUpper]],3),RIGHT(Master_ventas[[#This Row],[Ext-Year]],2),"-",MID(Master_ventas[[#This Row],[Category]],1,1))</f>
        <v>KEY23-A</v>
      </c>
      <c r="N1507" t="str">
        <f>MID(Master_ventas[[#This Row],[ProdUpper]],1,3)</f>
        <v>KEY</v>
      </c>
      <c r="O1507" t="str">
        <f>UPPER(IF(Master_ventas[[#This Row],[Profit]]&gt;500,"High","Std"))</f>
        <v>HIGH</v>
      </c>
      <c r="P1507">
        <v>1506</v>
      </c>
    </row>
    <row r="1508" spans="1:16" x14ac:dyDescent="0.3">
      <c r="A1508" s="1">
        <v>44948</v>
      </c>
      <c r="B1508" t="s">
        <v>17</v>
      </c>
      <c r="C1508" t="s">
        <v>14</v>
      </c>
      <c r="D1508" t="s">
        <v>12</v>
      </c>
      <c r="E1508">
        <v>6</v>
      </c>
      <c r="F1508" s="3">
        <v>4542</v>
      </c>
      <c r="G1508" s="2">
        <v>1169.1600000000001</v>
      </c>
      <c r="H1508">
        <f>Master_ventas[[#This Row],[Profit]]/Master_ventas[[#This Row],[Sales]]</f>
        <v>0.25741083223249672</v>
      </c>
      <c r="I1508">
        <f ca="1">Referencia_Hoy-Master_ventas[[#This Row],[Order Date]]</f>
        <v>1375</v>
      </c>
      <c r="J1508" t="str">
        <f>UPPER(Master_ventas[[#This Row],[Product Name]])</f>
        <v>CAMERA</v>
      </c>
      <c r="K1508" t="str">
        <f>UPPER(Master_ventas[[#This Row],[Category]])</f>
        <v>ELECTRONICS</v>
      </c>
      <c r="L1508">
        <f>YEAR(Master_ventas[[#This Row],[Order Date]])</f>
        <v>2023</v>
      </c>
      <c r="M1508" t="str">
        <f>CONCATENATE(LEFT(Master_ventas[[#This Row],[ProdUpper]],3),RIGHT(Master_ventas[[#This Row],[Ext-Year]],2),"-",MID(Master_ventas[[#This Row],[Category]],1,1))</f>
        <v>CAM23-E</v>
      </c>
      <c r="N1508" t="str">
        <f>MID(Master_ventas[[#This Row],[ProdUpper]],1,3)</f>
        <v>CAM</v>
      </c>
      <c r="O1508" t="str">
        <f>UPPER(IF(Master_ventas[[#This Row],[Profit]]&gt;500,"High","Std"))</f>
        <v>HIGH</v>
      </c>
      <c r="P1508">
        <v>1507</v>
      </c>
    </row>
    <row r="1509" spans="1:16" x14ac:dyDescent="0.3">
      <c r="A1509" s="1">
        <v>44825</v>
      </c>
      <c r="B1509" t="s">
        <v>18</v>
      </c>
      <c r="C1509" t="s">
        <v>11</v>
      </c>
      <c r="D1509" t="s">
        <v>9</v>
      </c>
      <c r="E1509">
        <v>2</v>
      </c>
      <c r="F1509" s="3">
        <v>978</v>
      </c>
      <c r="G1509" s="2">
        <v>210.75</v>
      </c>
      <c r="H1509">
        <f>Master_ventas[[#This Row],[Profit]]/Master_ventas[[#This Row],[Sales]]</f>
        <v>0.21549079754601227</v>
      </c>
      <c r="I1509">
        <f ca="1">Referencia_Hoy-Master_ventas[[#This Row],[Order Date]]</f>
        <v>1498</v>
      </c>
      <c r="J1509" t="str">
        <f>UPPER(Master_ventas[[#This Row],[Product Name]])</f>
        <v>HEADPHONES</v>
      </c>
      <c r="K1509" t="str">
        <f>UPPER(Master_ventas[[#This Row],[Category]])</f>
        <v>ACCESSORIES</v>
      </c>
      <c r="L1509">
        <f>YEAR(Master_ventas[[#This Row],[Order Date]])</f>
        <v>2022</v>
      </c>
      <c r="M1509" t="str">
        <f>CONCATENATE(LEFT(Master_ventas[[#This Row],[ProdUpper]],3),RIGHT(Master_ventas[[#This Row],[Ext-Year]],2),"-",MID(Master_ventas[[#This Row],[Category]],1,1))</f>
        <v>HEA22-A</v>
      </c>
      <c r="N1509" t="str">
        <f>MID(Master_ventas[[#This Row],[ProdUpper]],1,3)</f>
        <v>HEA</v>
      </c>
      <c r="O1509" t="str">
        <f>UPPER(IF(Master_ventas[[#This Row],[Profit]]&gt;500,"High","Std"))</f>
        <v>STD</v>
      </c>
      <c r="P1509">
        <v>1508</v>
      </c>
    </row>
    <row r="1510" spans="1:16" x14ac:dyDescent="0.3">
      <c r="A1510" s="1">
        <v>44565</v>
      </c>
      <c r="B1510" t="s">
        <v>10</v>
      </c>
      <c r="C1510" t="s">
        <v>11</v>
      </c>
      <c r="D1510" t="s">
        <v>15</v>
      </c>
      <c r="E1510">
        <v>9</v>
      </c>
      <c r="F1510" s="3">
        <v>9378</v>
      </c>
      <c r="G1510" s="2">
        <v>1740.97</v>
      </c>
      <c r="H1510">
        <f>Master_ventas[[#This Row],[Profit]]/Master_ventas[[#This Row],[Sales]]</f>
        <v>0.18564406056728514</v>
      </c>
      <c r="I1510">
        <f ca="1">Referencia_Hoy-Master_ventas[[#This Row],[Order Date]]</f>
        <v>1758</v>
      </c>
      <c r="J1510" t="str">
        <f>UPPER(Master_ventas[[#This Row],[Product Name]])</f>
        <v>MOUSE</v>
      </c>
      <c r="K1510" t="str">
        <f>UPPER(Master_ventas[[#This Row],[Category]])</f>
        <v>ACCESSORIES</v>
      </c>
      <c r="L1510">
        <f>YEAR(Master_ventas[[#This Row],[Order Date]])</f>
        <v>2022</v>
      </c>
      <c r="M1510" t="str">
        <f>CONCATENATE(LEFT(Master_ventas[[#This Row],[ProdUpper]],3),RIGHT(Master_ventas[[#This Row],[Ext-Year]],2),"-",MID(Master_ventas[[#This Row],[Category]],1,1))</f>
        <v>MOU22-A</v>
      </c>
      <c r="N1510" t="str">
        <f>MID(Master_ventas[[#This Row],[ProdUpper]],1,3)</f>
        <v>MOU</v>
      </c>
      <c r="O1510" t="str">
        <f>UPPER(IF(Master_ventas[[#This Row],[Profit]]&gt;500,"High","Std"))</f>
        <v>HIGH</v>
      </c>
      <c r="P1510">
        <v>1509</v>
      </c>
    </row>
    <row r="1511" spans="1:16" x14ac:dyDescent="0.3">
      <c r="A1511" s="1">
        <v>45144</v>
      </c>
      <c r="B1511" t="s">
        <v>19</v>
      </c>
      <c r="C1511" t="s">
        <v>14</v>
      </c>
      <c r="D1511" t="s">
        <v>9</v>
      </c>
      <c r="E1511">
        <v>8</v>
      </c>
      <c r="F1511" s="3">
        <v>9464</v>
      </c>
      <c r="G1511" s="2">
        <v>2043.73</v>
      </c>
      <c r="H1511">
        <f>Master_ventas[[#This Row],[Profit]]/Master_ventas[[#This Row],[Sales]]</f>
        <v>0.21594780219780221</v>
      </c>
      <c r="I1511">
        <f ca="1">Referencia_Hoy-Master_ventas[[#This Row],[Order Date]]</f>
        <v>1179</v>
      </c>
      <c r="J1511" t="str">
        <f>UPPER(Master_ventas[[#This Row],[Product Name]])</f>
        <v>SMARTWATCH</v>
      </c>
      <c r="K1511" t="str">
        <f>UPPER(Master_ventas[[#This Row],[Category]])</f>
        <v>ELECTRONICS</v>
      </c>
      <c r="L1511">
        <f>YEAR(Master_ventas[[#This Row],[Order Date]])</f>
        <v>2023</v>
      </c>
      <c r="M1511" t="str">
        <f>CONCATENATE(LEFT(Master_ventas[[#This Row],[ProdUpper]],3),RIGHT(Master_ventas[[#This Row],[Ext-Year]],2),"-",MID(Master_ventas[[#This Row],[Category]],1,1))</f>
        <v>SMA23-E</v>
      </c>
      <c r="N1511" t="str">
        <f>MID(Master_ventas[[#This Row],[ProdUpper]],1,3)</f>
        <v>SMA</v>
      </c>
      <c r="O1511" t="str">
        <f>UPPER(IF(Master_ventas[[#This Row],[Profit]]&gt;500,"High","Std"))</f>
        <v>HIGH</v>
      </c>
      <c r="P1511">
        <v>1510</v>
      </c>
    </row>
    <row r="1512" spans="1:16" x14ac:dyDescent="0.3">
      <c r="A1512" s="1">
        <v>45604</v>
      </c>
      <c r="B1512" t="s">
        <v>7</v>
      </c>
      <c r="C1512" t="s">
        <v>8</v>
      </c>
      <c r="D1512" t="s">
        <v>16</v>
      </c>
      <c r="E1512">
        <v>8</v>
      </c>
      <c r="F1512" s="3">
        <v>1720</v>
      </c>
      <c r="G1512" s="2">
        <v>401.26</v>
      </c>
      <c r="H1512">
        <f>Master_ventas[[#This Row],[Profit]]/Master_ventas[[#This Row],[Sales]]</f>
        <v>0.2332906976744186</v>
      </c>
      <c r="I1512">
        <f ca="1">Referencia_Hoy-Master_ventas[[#This Row],[Order Date]]</f>
        <v>719</v>
      </c>
      <c r="J1512" t="str">
        <f>UPPER(Master_ventas[[#This Row],[Product Name]])</f>
        <v>PRINTER</v>
      </c>
      <c r="K1512" t="str">
        <f>UPPER(Master_ventas[[#This Row],[Category]])</f>
        <v>OFFICE</v>
      </c>
      <c r="L1512">
        <f>YEAR(Master_ventas[[#This Row],[Order Date]])</f>
        <v>2024</v>
      </c>
      <c r="M1512" t="str">
        <f>CONCATENATE(LEFT(Master_ventas[[#This Row],[ProdUpper]],3),RIGHT(Master_ventas[[#This Row],[Ext-Year]],2),"-",MID(Master_ventas[[#This Row],[Category]],1,1))</f>
        <v>PRI24-O</v>
      </c>
      <c r="N1512" t="str">
        <f>MID(Master_ventas[[#This Row],[ProdUpper]],1,3)</f>
        <v>PRI</v>
      </c>
      <c r="O1512" t="str">
        <f>UPPER(IF(Master_ventas[[#This Row],[Profit]]&gt;500,"High","Std"))</f>
        <v>STD</v>
      </c>
      <c r="P1512">
        <v>1511</v>
      </c>
    </row>
    <row r="1513" spans="1:16" x14ac:dyDescent="0.3">
      <c r="A1513" s="1">
        <v>44753</v>
      </c>
      <c r="B1513" t="s">
        <v>22</v>
      </c>
      <c r="C1513" t="s">
        <v>11</v>
      </c>
      <c r="D1513" t="s">
        <v>16</v>
      </c>
      <c r="E1513">
        <v>8</v>
      </c>
      <c r="F1513" s="3">
        <v>4752</v>
      </c>
      <c r="G1513" s="2">
        <v>1124.22</v>
      </c>
      <c r="H1513">
        <f>Master_ventas[[#This Row],[Profit]]/Master_ventas[[#This Row],[Sales]]</f>
        <v>0.23657828282828283</v>
      </c>
      <c r="I1513">
        <f ca="1">Referencia_Hoy-Master_ventas[[#This Row],[Order Date]]</f>
        <v>1570</v>
      </c>
      <c r="J1513" t="str">
        <f>UPPER(Master_ventas[[#This Row],[Product Name]])</f>
        <v>KEYBOARD</v>
      </c>
      <c r="K1513" t="str">
        <f>UPPER(Master_ventas[[#This Row],[Category]])</f>
        <v>ACCESSORIES</v>
      </c>
      <c r="L1513">
        <f>YEAR(Master_ventas[[#This Row],[Order Date]])</f>
        <v>2022</v>
      </c>
      <c r="M1513" t="str">
        <f>CONCATENATE(LEFT(Master_ventas[[#This Row],[ProdUpper]],3),RIGHT(Master_ventas[[#This Row],[Ext-Year]],2),"-",MID(Master_ventas[[#This Row],[Category]],1,1))</f>
        <v>KEY22-A</v>
      </c>
      <c r="N1513" t="str">
        <f>MID(Master_ventas[[#This Row],[ProdUpper]],1,3)</f>
        <v>KEY</v>
      </c>
      <c r="O1513" t="str">
        <f>UPPER(IF(Master_ventas[[#This Row],[Profit]]&gt;500,"High","Std"))</f>
        <v>HIGH</v>
      </c>
      <c r="P1513">
        <v>1512</v>
      </c>
    </row>
    <row r="1514" spans="1:16" x14ac:dyDescent="0.3">
      <c r="A1514" s="1">
        <v>45222</v>
      </c>
      <c r="B1514" t="s">
        <v>22</v>
      </c>
      <c r="C1514" t="s">
        <v>11</v>
      </c>
      <c r="D1514" t="s">
        <v>15</v>
      </c>
      <c r="E1514">
        <v>4</v>
      </c>
      <c r="F1514" s="3">
        <v>584</v>
      </c>
      <c r="G1514" s="2">
        <v>127.28</v>
      </c>
      <c r="H1514">
        <f>Master_ventas[[#This Row],[Profit]]/Master_ventas[[#This Row],[Sales]]</f>
        <v>0.21794520547945206</v>
      </c>
      <c r="I1514">
        <f ca="1">Referencia_Hoy-Master_ventas[[#This Row],[Order Date]]</f>
        <v>1101</v>
      </c>
      <c r="J1514" t="str">
        <f>UPPER(Master_ventas[[#This Row],[Product Name]])</f>
        <v>KEYBOARD</v>
      </c>
      <c r="K1514" t="str">
        <f>UPPER(Master_ventas[[#This Row],[Category]])</f>
        <v>ACCESSORIES</v>
      </c>
      <c r="L1514">
        <f>YEAR(Master_ventas[[#This Row],[Order Date]])</f>
        <v>2023</v>
      </c>
      <c r="M1514" t="str">
        <f>CONCATENATE(LEFT(Master_ventas[[#This Row],[ProdUpper]],3),RIGHT(Master_ventas[[#This Row],[Ext-Year]],2),"-",MID(Master_ventas[[#This Row],[Category]],1,1))</f>
        <v>KEY23-A</v>
      </c>
      <c r="N1514" t="str">
        <f>MID(Master_ventas[[#This Row],[ProdUpper]],1,3)</f>
        <v>KEY</v>
      </c>
      <c r="O1514" t="str">
        <f>UPPER(IF(Master_ventas[[#This Row],[Profit]]&gt;500,"High","Std"))</f>
        <v>STD</v>
      </c>
      <c r="P1514">
        <v>1513</v>
      </c>
    </row>
    <row r="1515" spans="1:16" x14ac:dyDescent="0.3">
      <c r="A1515" s="1">
        <v>45501</v>
      </c>
      <c r="B1515" t="s">
        <v>17</v>
      </c>
      <c r="C1515" t="s">
        <v>14</v>
      </c>
      <c r="D1515" t="s">
        <v>9</v>
      </c>
      <c r="E1515">
        <v>9</v>
      </c>
      <c r="F1515" s="3">
        <v>4554</v>
      </c>
      <c r="G1515" s="2">
        <v>1031.0899999999999</v>
      </c>
      <c r="H1515">
        <f>Master_ventas[[#This Row],[Profit]]/Master_ventas[[#This Row],[Sales]]</f>
        <v>0.2264141414141414</v>
      </c>
      <c r="I1515">
        <f ca="1">Referencia_Hoy-Master_ventas[[#This Row],[Order Date]]</f>
        <v>822</v>
      </c>
      <c r="J1515" t="str">
        <f>UPPER(Master_ventas[[#This Row],[Product Name]])</f>
        <v>CAMERA</v>
      </c>
      <c r="K1515" t="str">
        <f>UPPER(Master_ventas[[#This Row],[Category]])</f>
        <v>ELECTRONICS</v>
      </c>
      <c r="L1515">
        <f>YEAR(Master_ventas[[#This Row],[Order Date]])</f>
        <v>2024</v>
      </c>
      <c r="M1515" t="str">
        <f>CONCATENATE(LEFT(Master_ventas[[#This Row],[ProdUpper]],3),RIGHT(Master_ventas[[#This Row],[Ext-Year]],2),"-",MID(Master_ventas[[#This Row],[Category]],1,1))</f>
        <v>CAM24-E</v>
      </c>
      <c r="N1515" t="str">
        <f>MID(Master_ventas[[#This Row],[ProdUpper]],1,3)</f>
        <v>CAM</v>
      </c>
      <c r="O1515" t="str">
        <f>UPPER(IF(Master_ventas[[#This Row],[Profit]]&gt;500,"High","Std"))</f>
        <v>HIGH</v>
      </c>
      <c r="P1515">
        <v>1514</v>
      </c>
    </row>
    <row r="1516" spans="1:16" x14ac:dyDescent="0.3">
      <c r="A1516" s="1">
        <v>44765</v>
      </c>
      <c r="B1516" t="s">
        <v>13</v>
      </c>
      <c r="C1516" t="s">
        <v>14</v>
      </c>
      <c r="D1516" t="s">
        <v>15</v>
      </c>
      <c r="E1516">
        <v>2</v>
      </c>
      <c r="F1516" s="3">
        <v>2392</v>
      </c>
      <c r="G1516" s="2">
        <v>483.39</v>
      </c>
      <c r="H1516">
        <f>Master_ventas[[#This Row],[Profit]]/Master_ventas[[#This Row],[Sales]]</f>
        <v>0.20208612040133778</v>
      </c>
      <c r="I1516">
        <f ca="1">Referencia_Hoy-Master_ventas[[#This Row],[Order Date]]</f>
        <v>1558</v>
      </c>
      <c r="J1516" t="str">
        <f>UPPER(Master_ventas[[#This Row],[Product Name]])</f>
        <v>TABLET</v>
      </c>
      <c r="K1516" t="str">
        <f>UPPER(Master_ventas[[#This Row],[Category]])</f>
        <v>ELECTRONICS</v>
      </c>
      <c r="L1516">
        <f>YEAR(Master_ventas[[#This Row],[Order Date]])</f>
        <v>2022</v>
      </c>
      <c r="M1516" t="str">
        <f>CONCATENATE(LEFT(Master_ventas[[#This Row],[ProdUpper]],3),RIGHT(Master_ventas[[#This Row],[Ext-Year]],2),"-",MID(Master_ventas[[#This Row],[Category]],1,1))</f>
        <v>TAB22-E</v>
      </c>
      <c r="N1516" t="str">
        <f>MID(Master_ventas[[#This Row],[ProdUpper]],1,3)</f>
        <v>TAB</v>
      </c>
      <c r="O1516" t="str">
        <f>UPPER(IF(Master_ventas[[#This Row],[Profit]]&gt;500,"High","Std"))</f>
        <v>STD</v>
      </c>
      <c r="P1516">
        <v>1515</v>
      </c>
    </row>
    <row r="1517" spans="1:16" x14ac:dyDescent="0.3">
      <c r="A1517" s="1">
        <v>45250</v>
      </c>
      <c r="B1517" t="s">
        <v>17</v>
      </c>
      <c r="C1517" t="s">
        <v>14</v>
      </c>
      <c r="D1517" t="s">
        <v>15</v>
      </c>
      <c r="E1517">
        <v>7</v>
      </c>
      <c r="F1517" s="3">
        <v>3962</v>
      </c>
      <c r="G1517" s="2">
        <v>916.13</v>
      </c>
      <c r="H1517">
        <f>Master_ventas[[#This Row],[Profit]]/Master_ventas[[#This Row],[Sales]]</f>
        <v>0.23122917718324079</v>
      </c>
      <c r="I1517">
        <f ca="1">Referencia_Hoy-Master_ventas[[#This Row],[Order Date]]</f>
        <v>1073</v>
      </c>
      <c r="J1517" t="str">
        <f>UPPER(Master_ventas[[#This Row],[Product Name]])</f>
        <v>CAMERA</v>
      </c>
      <c r="K1517" t="str">
        <f>UPPER(Master_ventas[[#This Row],[Category]])</f>
        <v>ELECTRONICS</v>
      </c>
      <c r="L1517">
        <f>YEAR(Master_ventas[[#This Row],[Order Date]])</f>
        <v>2023</v>
      </c>
      <c r="M1517" t="str">
        <f>CONCATENATE(LEFT(Master_ventas[[#This Row],[ProdUpper]],3),RIGHT(Master_ventas[[#This Row],[Ext-Year]],2),"-",MID(Master_ventas[[#This Row],[Category]],1,1))</f>
        <v>CAM23-E</v>
      </c>
      <c r="N1517" t="str">
        <f>MID(Master_ventas[[#This Row],[ProdUpper]],1,3)</f>
        <v>CAM</v>
      </c>
      <c r="O1517" t="str">
        <f>UPPER(IF(Master_ventas[[#This Row],[Profit]]&gt;500,"High","Std"))</f>
        <v>HIGH</v>
      </c>
      <c r="P1517">
        <v>1516</v>
      </c>
    </row>
    <row r="1518" spans="1:16" x14ac:dyDescent="0.3">
      <c r="A1518" s="1">
        <v>45067</v>
      </c>
      <c r="B1518" t="s">
        <v>23</v>
      </c>
      <c r="C1518" t="s">
        <v>14</v>
      </c>
      <c r="D1518" t="s">
        <v>9</v>
      </c>
      <c r="E1518">
        <v>3</v>
      </c>
      <c r="F1518" s="3">
        <v>1308</v>
      </c>
      <c r="G1518" s="2">
        <v>141.04</v>
      </c>
      <c r="H1518">
        <f>Master_ventas[[#This Row],[Profit]]/Master_ventas[[#This Row],[Sales]]</f>
        <v>0.10782874617737002</v>
      </c>
      <c r="I1518">
        <f ca="1">Referencia_Hoy-Master_ventas[[#This Row],[Order Date]]</f>
        <v>1256</v>
      </c>
      <c r="J1518" t="str">
        <f>UPPER(Master_ventas[[#This Row],[Product Name]])</f>
        <v>LAPTOP</v>
      </c>
      <c r="K1518" t="str">
        <f>UPPER(Master_ventas[[#This Row],[Category]])</f>
        <v>ELECTRONICS</v>
      </c>
      <c r="L1518">
        <f>YEAR(Master_ventas[[#This Row],[Order Date]])</f>
        <v>2023</v>
      </c>
      <c r="M1518" t="str">
        <f>CONCATENATE(LEFT(Master_ventas[[#This Row],[ProdUpper]],3),RIGHT(Master_ventas[[#This Row],[Ext-Year]],2),"-",MID(Master_ventas[[#This Row],[Category]],1,1))</f>
        <v>LAP23-E</v>
      </c>
      <c r="N1518" t="str">
        <f>MID(Master_ventas[[#This Row],[ProdUpper]],1,3)</f>
        <v>LAP</v>
      </c>
      <c r="O1518" t="str">
        <f>UPPER(IF(Master_ventas[[#This Row],[Profit]]&gt;500,"High","Std"))</f>
        <v>STD</v>
      </c>
      <c r="P1518">
        <v>1517</v>
      </c>
    </row>
    <row r="1519" spans="1:16" x14ac:dyDescent="0.3">
      <c r="A1519" s="1">
        <v>45184</v>
      </c>
      <c r="B1519" t="s">
        <v>7</v>
      </c>
      <c r="C1519" t="s">
        <v>8</v>
      </c>
      <c r="D1519" t="s">
        <v>15</v>
      </c>
      <c r="E1519">
        <v>8</v>
      </c>
      <c r="F1519" s="3">
        <v>5912</v>
      </c>
      <c r="G1519" s="2">
        <v>1153.18</v>
      </c>
      <c r="H1519">
        <f>Master_ventas[[#This Row],[Profit]]/Master_ventas[[#This Row],[Sales]]</f>
        <v>0.19505751014884981</v>
      </c>
      <c r="I1519">
        <f ca="1">Referencia_Hoy-Master_ventas[[#This Row],[Order Date]]</f>
        <v>1139</v>
      </c>
      <c r="J1519" t="str">
        <f>UPPER(Master_ventas[[#This Row],[Product Name]])</f>
        <v>PRINTER</v>
      </c>
      <c r="K1519" t="str">
        <f>UPPER(Master_ventas[[#This Row],[Category]])</f>
        <v>OFFICE</v>
      </c>
      <c r="L1519">
        <f>YEAR(Master_ventas[[#This Row],[Order Date]])</f>
        <v>2023</v>
      </c>
      <c r="M1519" t="str">
        <f>CONCATENATE(LEFT(Master_ventas[[#This Row],[ProdUpper]],3),RIGHT(Master_ventas[[#This Row],[Ext-Year]],2),"-",MID(Master_ventas[[#This Row],[Category]],1,1))</f>
        <v>PRI23-O</v>
      </c>
      <c r="N1519" t="str">
        <f>MID(Master_ventas[[#This Row],[ProdUpper]],1,3)</f>
        <v>PRI</v>
      </c>
      <c r="O1519" t="str">
        <f>UPPER(IF(Master_ventas[[#This Row],[Profit]]&gt;500,"High","Std"))</f>
        <v>HIGH</v>
      </c>
      <c r="P1519">
        <v>1518</v>
      </c>
    </row>
    <row r="1520" spans="1:16" x14ac:dyDescent="0.3">
      <c r="A1520" s="1">
        <v>45056</v>
      </c>
      <c r="B1520" t="s">
        <v>17</v>
      </c>
      <c r="C1520" t="s">
        <v>14</v>
      </c>
      <c r="D1520" t="s">
        <v>15</v>
      </c>
      <c r="E1520">
        <v>7</v>
      </c>
      <c r="F1520" s="3">
        <v>5831</v>
      </c>
      <c r="G1520" s="2">
        <v>1416.31</v>
      </c>
      <c r="H1520">
        <f>Master_ventas[[#This Row],[Profit]]/Master_ventas[[#This Row],[Sales]]</f>
        <v>0.24289315726290514</v>
      </c>
      <c r="I1520">
        <f ca="1">Referencia_Hoy-Master_ventas[[#This Row],[Order Date]]</f>
        <v>1267</v>
      </c>
      <c r="J1520" t="str">
        <f>UPPER(Master_ventas[[#This Row],[Product Name]])</f>
        <v>CAMERA</v>
      </c>
      <c r="K1520" t="str">
        <f>UPPER(Master_ventas[[#This Row],[Category]])</f>
        <v>ELECTRONICS</v>
      </c>
      <c r="L1520">
        <f>YEAR(Master_ventas[[#This Row],[Order Date]])</f>
        <v>2023</v>
      </c>
      <c r="M1520" t="str">
        <f>CONCATENATE(LEFT(Master_ventas[[#This Row],[ProdUpper]],3),RIGHT(Master_ventas[[#This Row],[Ext-Year]],2),"-",MID(Master_ventas[[#This Row],[Category]],1,1))</f>
        <v>CAM23-E</v>
      </c>
      <c r="N1520" t="str">
        <f>MID(Master_ventas[[#This Row],[ProdUpper]],1,3)</f>
        <v>CAM</v>
      </c>
      <c r="O1520" t="str">
        <f>UPPER(IF(Master_ventas[[#This Row],[Profit]]&gt;500,"High","Std"))</f>
        <v>HIGH</v>
      </c>
      <c r="P1520">
        <v>1519</v>
      </c>
    </row>
    <row r="1521" spans="1:16" x14ac:dyDescent="0.3">
      <c r="A1521" s="1">
        <v>44906</v>
      </c>
      <c r="B1521" t="s">
        <v>17</v>
      </c>
      <c r="C1521" t="s">
        <v>14</v>
      </c>
      <c r="D1521" t="s">
        <v>16</v>
      </c>
      <c r="E1521">
        <v>7</v>
      </c>
      <c r="F1521" s="3">
        <v>5572</v>
      </c>
      <c r="G1521" s="2">
        <v>690.68</v>
      </c>
      <c r="H1521">
        <f>Master_ventas[[#This Row],[Profit]]/Master_ventas[[#This Row],[Sales]]</f>
        <v>0.12395549174443646</v>
      </c>
      <c r="I1521">
        <f ca="1">Referencia_Hoy-Master_ventas[[#This Row],[Order Date]]</f>
        <v>1417</v>
      </c>
      <c r="J1521" t="str">
        <f>UPPER(Master_ventas[[#This Row],[Product Name]])</f>
        <v>CAMERA</v>
      </c>
      <c r="K1521" t="str">
        <f>UPPER(Master_ventas[[#This Row],[Category]])</f>
        <v>ELECTRONICS</v>
      </c>
      <c r="L1521">
        <f>YEAR(Master_ventas[[#This Row],[Order Date]])</f>
        <v>2022</v>
      </c>
      <c r="M1521" t="str">
        <f>CONCATENATE(LEFT(Master_ventas[[#This Row],[ProdUpper]],3),RIGHT(Master_ventas[[#This Row],[Ext-Year]],2),"-",MID(Master_ventas[[#This Row],[Category]],1,1))</f>
        <v>CAM22-E</v>
      </c>
      <c r="N1521" t="str">
        <f>MID(Master_ventas[[#This Row],[ProdUpper]],1,3)</f>
        <v>CAM</v>
      </c>
      <c r="O1521" t="str">
        <f>UPPER(IF(Master_ventas[[#This Row],[Profit]]&gt;500,"High","Std"))</f>
        <v>HIGH</v>
      </c>
      <c r="P1521">
        <v>1520</v>
      </c>
    </row>
    <row r="1522" spans="1:16" x14ac:dyDescent="0.3">
      <c r="A1522" s="1">
        <v>45149</v>
      </c>
      <c r="B1522" t="s">
        <v>20</v>
      </c>
      <c r="C1522" t="s">
        <v>11</v>
      </c>
      <c r="D1522" t="s">
        <v>9</v>
      </c>
      <c r="E1522">
        <v>6</v>
      </c>
      <c r="F1522" s="3">
        <v>5214</v>
      </c>
      <c r="G1522" s="2">
        <v>1093.04</v>
      </c>
      <c r="H1522">
        <f>Master_ventas[[#This Row],[Profit]]/Master_ventas[[#This Row],[Sales]]</f>
        <v>0.20963559647103949</v>
      </c>
      <c r="I1522">
        <f ca="1">Referencia_Hoy-Master_ventas[[#This Row],[Order Date]]</f>
        <v>1174</v>
      </c>
      <c r="J1522" t="str">
        <f>UPPER(Master_ventas[[#This Row],[Product Name]])</f>
        <v>MONITOR</v>
      </c>
      <c r="K1522" t="str">
        <f>UPPER(Master_ventas[[#This Row],[Category]])</f>
        <v>ACCESSORIES</v>
      </c>
      <c r="L1522">
        <f>YEAR(Master_ventas[[#This Row],[Order Date]])</f>
        <v>2023</v>
      </c>
      <c r="M1522" t="str">
        <f>CONCATENATE(LEFT(Master_ventas[[#This Row],[ProdUpper]],3),RIGHT(Master_ventas[[#This Row],[Ext-Year]],2),"-",MID(Master_ventas[[#This Row],[Category]],1,1))</f>
        <v>MON23-A</v>
      </c>
      <c r="N1522" t="str">
        <f>MID(Master_ventas[[#This Row],[ProdUpper]],1,3)</f>
        <v>MON</v>
      </c>
      <c r="O1522" t="str">
        <f>UPPER(IF(Master_ventas[[#This Row],[Profit]]&gt;500,"High","Std"))</f>
        <v>HIGH</v>
      </c>
      <c r="P1522">
        <v>1521</v>
      </c>
    </row>
    <row r="1523" spans="1:16" x14ac:dyDescent="0.3">
      <c r="A1523" s="1">
        <v>44730</v>
      </c>
      <c r="B1523" t="s">
        <v>10</v>
      </c>
      <c r="C1523" t="s">
        <v>11</v>
      </c>
      <c r="D1523" t="s">
        <v>12</v>
      </c>
      <c r="E1523">
        <v>9</v>
      </c>
      <c r="F1523" s="3">
        <v>6705</v>
      </c>
      <c r="G1523" s="2">
        <v>1283.78</v>
      </c>
      <c r="H1523">
        <f>Master_ventas[[#This Row],[Profit]]/Master_ventas[[#This Row],[Sales]]</f>
        <v>0.19146607009694258</v>
      </c>
      <c r="I1523">
        <f ca="1">Referencia_Hoy-Master_ventas[[#This Row],[Order Date]]</f>
        <v>1593</v>
      </c>
      <c r="J1523" t="str">
        <f>UPPER(Master_ventas[[#This Row],[Product Name]])</f>
        <v>MOUSE</v>
      </c>
      <c r="K1523" t="str">
        <f>UPPER(Master_ventas[[#This Row],[Category]])</f>
        <v>ACCESSORIES</v>
      </c>
      <c r="L1523">
        <f>YEAR(Master_ventas[[#This Row],[Order Date]])</f>
        <v>2022</v>
      </c>
      <c r="M1523" t="str">
        <f>CONCATENATE(LEFT(Master_ventas[[#This Row],[ProdUpper]],3),RIGHT(Master_ventas[[#This Row],[Ext-Year]],2),"-",MID(Master_ventas[[#This Row],[Category]],1,1))</f>
        <v>MOU22-A</v>
      </c>
      <c r="N1523" t="str">
        <f>MID(Master_ventas[[#This Row],[ProdUpper]],1,3)</f>
        <v>MOU</v>
      </c>
      <c r="O1523" t="str">
        <f>UPPER(IF(Master_ventas[[#This Row],[Profit]]&gt;500,"High","Std"))</f>
        <v>HIGH</v>
      </c>
      <c r="P1523">
        <v>1522</v>
      </c>
    </row>
    <row r="1524" spans="1:16" x14ac:dyDescent="0.3">
      <c r="A1524" s="1">
        <v>44954</v>
      </c>
      <c r="B1524" t="s">
        <v>18</v>
      </c>
      <c r="C1524" t="s">
        <v>11</v>
      </c>
      <c r="D1524" t="s">
        <v>9</v>
      </c>
      <c r="E1524">
        <v>1</v>
      </c>
      <c r="F1524" s="3">
        <v>426</v>
      </c>
      <c r="G1524" s="2">
        <v>93.83</v>
      </c>
      <c r="H1524">
        <f>Master_ventas[[#This Row],[Profit]]/Master_ventas[[#This Row],[Sales]]</f>
        <v>0.2202582159624413</v>
      </c>
      <c r="I1524">
        <f ca="1">Referencia_Hoy-Master_ventas[[#This Row],[Order Date]]</f>
        <v>1369</v>
      </c>
      <c r="J1524" t="str">
        <f>UPPER(Master_ventas[[#This Row],[Product Name]])</f>
        <v>HEADPHONES</v>
      </c>
      <c r="K1524" t="str">
        <f>UPPER(Master_ventas[[#This Row],[Category]])</f>
        <v>ACCESSORIES</v>
      </c>
      <c r="L1524">
        <f>YEAR(Master_ventas[[#This Row],[Order Date]])</f>
        <v>2023</v>
      </c>
      <c r="M1524" t="str">
        <f>CONCATENATE(LEFT(Master_ventas[[#This Row],[ProdUpper]],3),RIGHT(Master_ventas[[#This Row],[Ext-Year]],2),"-",MID(Master_ventas[[#This Row],[Category]],1,1))</f>
        <v>HEA23-A</v>
      </c>
      <c r="N1524" t="str">
        <f>MID(Master_ventas[[#This Row],[ProdUpper]],1,3)</f>
        <v>HEA</v>
      </c>
      <c r="O1524" t="str">
        <f>UPPER(IF(Master_ventas[[#This Row],[Profit]]&gt;500,"High","Std"))</f>
        <v>STD</v>
      </c>
      <c r="P1524">
        <v>1523</v>
      </c>
    </row>
    <row r="1525" spans="1:16" x14ac:dyDescent="0.3">
      <c r="A1525" s="1">
        <v>45602</v>
      </c>
      <c r="B1525" t="s">
        <v>21</v>
      </c>
      <c r="C1525" t="s">
        <v>14</v>
      </c>
      <c r="D1525" t="s">
        <v>16</v>
      </c>
      <c r="E1525">
        <v>2</v>
      </c>
      <c r="F1525" s="3">
        <v>2204</v>
      </c>
      <c r="G1525" s="2">
        <v>523.82000000000005</v>
      </c>
      <c r="H1525">
        <f>Master_ventas[[#This Row],[Profit]]/Master_ventas[[#This Row],[Sales]]</f>
        <v>0.2376678765880218</v>
      </c>
      <c r="I1525">
        <f ca="1">Referencia_Hoy-Master_ventas[[#This Row],[Order Date]]</f>
        <v>721</v>
      </c>
      <c r="J1525" t="str">
        <f>UPPER(Master_ventas[[#This Row],[Product Name]])</f>
        <v>SMARTPHONE</v>
      </c>
      <c r="K1525" t="str">
        <f>UPPER(Master_ventas[[#This Row],[Category]])</f>
        <v>ELECTRONICS</v>
      </c>
      <c r="L1525">
        <f>YEAR(Master_ventas[[#This Row],[Order Date]])</f>
        <v>2024</v>
      </c>
      <c r="M1525" t="str">
        <f>CONCATENATE(LEFT(Master_ventas[[#This Row],[ProdUpper]],3),RIGHT(Master_ventas[[#This Row],[Ext-Year]],2),"-",MID(Master_ventas[[#This Row],[Category]],1,1))</f>
        <v>SMA24-E</v>
      </c>
      <c r="N1525" t="str">
        <f>MID(Master_ventas[[#This Row],[ProdUpper]],1,3)</f>
        <v>SMA</v>
      </c>
      <c r="O1525" t="str">
        <f>UPPER(IF(Master_ventas[[#This Row],[Profit]]&gt;500,"High","Std"))</f>
        <v>HIGH</v>
      </c>
      <c r="P1525">
        <v>1524</v>
      </c>
    </row>
    <row r="1526" spans="1:16" x14ac:dyDescent="0.3">
      <c r="A1526" s="1">
        <v>44798</v>
      </c>
      <c r="B1526" t="s">
        <v>21</v>
      </c>
      <c r="C1526" t="s">
        <v>14</v>
      </c>
      <c r="D1526" t="s">
        <v>9</v>
      </c>
      <c r="E1526">
        <v>3</v>
      </c>
      <c r="F1526" s="3">
        <v>2652</v>
      </c>
      <c r="G1526" s="2">
        <v>161.66999999999999</v>
      </c>
      <c r="H1526">
        <f>Master_ventas[[#This Row],[Profit]]/Master_ventas[[#This Row],[Sales]]</f>
        <v>6.0961538461538456E-2</v>
      </c>
      <c r="I1526">
        <f ca="1">Referencia_Hoy-Master_ventas[[#This Row],[Order Date]]</f>
        <v>1525</v>
      </c>
      <c r="J1526" t="str">
        <f>UPPER(Master_ventas[[#This Row],[Product Name]])</f>
        <v>SMARTPHONE</v>
      </c>
      <c r="K1526" t="str">
        <f>UPPER(Master_ventas[[#This Row],[Category]])</f>
        <v>ELECTRONICS</v>
      </c>
      <c r="L1526">
        <f>YEAR(Master_ventas[[#This Row],[Order Date]])</f>
        <v>2022</v>
      </c>
      <c r="M1526" t="str">
        <f>CONCATENATE(LEFT(Master_ventas[[#This Row],[ProdUpper]],3),RIGHT(Master_ventas[[#This Row],[Ext-Year]],2),"-",MID(Master_ventas[[#This Row],[Category]],1,1))</f>
        <v>SMA22-E</v>
      </c>
      <c r="N1526" t="str">
        <f>MID(Master_ventas[[#This Row],[ProdUpper]],1,3)</f>
        <v>SMA</v>
      </c>
      <c r="O1526" t="str">
        <f>UPPER(IF(Master_ventas[[#This Row],[Profit]]&gt;500,"High","Std"))</f>
        <v>STD</v>
      </c>
      <c r="P1526">
        <v>1525</v>
      </c>
    </row>
    <row r="1527" spans="1:16" x14ac:dyDescent="0.3">
      <c r="A1527" s="1">
        <v>45114</v>
      </c>
      <c r="B1527" t="s">
        <v>7</v>
      </c>
      <c r="C1527" t="s">
        <v>8</v>
      </c>
      <c r="D1527" t="s">
        <v>15</v>
      </c>
      <c r="E1527">
        <v>6</v>
      </c>
      <c r="F1527" s="3">
        <v>3132</v>
      </c>
      <c r="G1527" s="2">
        <v>919.52</v>
      </c>
      <c r="H1527">
        <f>Master_ventas[[#This Row],[Profit]]/Master_ventas[[#This Row],[Sales]]</f>
        <v>0.29358876117496807</v>
      </c>
      <c r="I1527">
        <f ca="1">Referencia_Hoy-Master_ventas[[#This Row],[Order Date]]</f>
        <v>1209</v>
      </c>
      <c r="J1527" t="str">
        <f>UPPER(Master_ventas[[#This Row],[Product Name]])</f>
        <v>PRINTER</v>
      </c>
      <c r="K1527" t="str">
        <f>UPPER(Master_ventas[[#This Row],[Category]])</f>
        <v>OFFICE</v>
      </c>
      <c r="L1527">
        <f>YEAR(Master_ventas[[#This Row],[Order Date]])</f>
        <v>2023</v>
      </c>
      <c r="M1527" t="str">
        <f>CONCATENATE(LEFT(Master_ventas[[#This Row],[ProdUpper]],3),RIGHT(Master_ventas[[#This Row],[Ext-Year]],2),"-",MID(Master_ventas[[#This Row],[Category]],1,1))</f>
        <v>PRI23-O</v>
      </c>
      <c r="N1527" t="str">
        <f>MID(Master_ventas[[#This Row],[ProdUpper]],1,3)</f>
        <v>PRI</v>
      </c>
      <c r="O1527" t="str">
        <f>UPPER(IF(Master_ventas[[#This Row],[Profit]]&gt;500,"High","Std"))</f>
        <v>HIGH</v>
      </c>
      <c r="P1527">
        <v>1526</v>
      </c>
    </row>
    <row r="1528" spans="1:16" x14ac:dyDescent="0.3">
      <c r="A1528" s="1">
        <v>45447</v>
      </c>
      <c r="B1528" t="s">
        <v>7</v>
      </c>
      <c r="C1528" t="s">
        <v>8</v>
      </c>
      <c r="D1528" t="s">
        <v>16</v>
      </c>
      <c r="E1528">
        <v>5</v>
      </c>
      <c r="F1528" s="3">
        <v>1830</v>
      </c>
      <c r="G1528" s="2">
        <v>437.35</v>
      </c>
      <c r="H1528">
        <f>Master_ventas[[#This Row],[Profit]]/Master_ventas[[#This Row],[Sales]]</f>
        <v>0.23898907103825137</v>
      </c>
      <c r="I1528">
        <f ca="1">Referencia_Hoy-Master_ventas[[#This Row],[Order Date]]</f>
        <v>876</v>
      </c>
      <c r="J1528" t="str">
        <f>UPPER(Master_ventas[[#This Row],[Product Name]])</f>
        <v>PRINTER</v>
      </c>
      <c r="K1528" t="str">
        <f>UPPER(Master_ventas[[#This Row],[Category]])</f>
        <v>OFFICE</v>
      </c>
      <c r="L1528">
        <f>YEAR(Master_ventas[[#This Row],[Order Date]])</f>
        <v>2024</v>
      </c>
      <c r="M1528" t="str">
        <f>CONCATENATE(LEFT(Master_ventas[[#This Row],[ProdUpper]],3),RIGHT(Master_ventas[[#This Row],[Ext-Year]],2),"-",MID(Master_ventas[[#This Row],[Category]],1,1))</f>
        <v>PRI24-O</v>
      </c>
      <c r="N1528" t="str">
        <f>MID(Master_ventas[[#This Row],[ProdUpper]],1,3)</f>
        <v>PRI</v>
      </c>
      <c r="O1528" t="str">
        <f>UPPER(IF(Master_ventas[[#This Row],[Profit]]&gt;500,"High","Std"))</f>
        <v>STD</v>
      </c>
      <c r="P1528">
        <v>1527</v>
      </c>
    </row>
    <row r="1529" spans="1:16" x14ac:dyDescent="0.3">
      <c r="A1529" s="1">
        <v>45318</v>
      </c>
      <c r="B1529" t="s">
        <v>23</v>
      </c>
      <c r="C1529" t="s">
        <v>14</v>
      </c>
      <c r="D1529" t="s">
        <v>12</v>
      </c>
      <c r="E1529">
        <v>9</v>
      </c>
      <c r="F1529" s="3">
        <v>2763</v>
      </c>
      <c r="G1529" s="2">
        <v>676.25</v>
      </c>
      <c r="H1529">
        <f>Master_ventas[[#This Row],[Profit]]/Master_ventas[[#This Row],[Sales]]</f>
        <v>0.24475208107129931</v>
      </c>
      <c r="I1529">
        <f ca="1">Referencia_Hoy-Master_ventas[[#This Row],[Order Date]]</f>
        <v>1005</v>
      </c>
      <c r="J1529" t="str">
        <f>UPPER(Master_ventas[[#This Row],[Product Name]])</f>
        <v>LAPTOP</v>
      </c>
      <c r="K1529" t="str">
        <f>UPPER(Master_ventas[[#This Row],[Category]])</f>
        <v>ELECTRONICS</v>
      </c>
      <c r="L1529">
        <f>YEAR(Master_ventas[[#This Row],[Order Date]])</f>
        <v>2024</v>
      </c>
      <c r="M1529" t="str">
        <f>CONCATENATE(LEFT(Master_ventas[[#This Row],[ProdUpper]],3),RIGHT(Master_ventas[[#This Row],[Ext-Year]],2),"-",MID(Master_ventas[[#This Row],[Category]],1,1))</f>
        <v>LAP24-E</v>
      </c>
      <c r="N1529" t="str">
        <f>MID(Master_ventas[[#This Row],[ProdUpper]],1,3)</f>
        <v>LAP</v>
      </c>
      <c r="O1529" t="str">
        <f>UPPER(IF(Master_ventas[[#This Row],[Profit]]&gt;500,"High","Std"))</f>
        <v>HIGH</v>
      </c>
      <c r="P1529">
        <v>1528</v>
      </c>
    </row>
    <row r="1530" spans="1:16" x14ac:dyDescent="0.3">
      <c r="A1530" s="1">
        <v>44821</v>
      </c>
      <c r="B1530" t="s">
        <v>20</v>
      </c>
      <c r="C1530" t="s">
        <v>11</v>
      </c>
      <c r="D1530" t="s">
        <v>9</v>
      </c>
      <c r="E1530">
        <v>8</v>
      </c>
      <c r="F1530" s="3">
        <v>9056</v>
      </c>
      <c r="G1530" s="2">
        <v>2281.9699999999998</v>
      </c>
      <c r="H1530">
        <f>Master_ventas[[#This Row],[Profit]]/Master_ventas[[#This Row],[Sales]]</f>
        <v>0.25198431978798586</v>
      </c>
      <c r="I1530">
        <f ca="1">Referencia_Hoy-Master_ventas[[#This Row],[Order Date]]</f>
        <v>1502</v>
      </c>
      <c r="J1530" t="str">
        <f>UPPER(Master_ventas[[#This Row],[Product Name]])</f>
        <v>MONITOR</v>
      </c>
      <c r="K1530" t="str">
        <f>UPPER(Master_ventas[[#This Row],[Category]])</f>
        <v>ACCESSORIES</v>
      </c>
      <c r="L1530">
        <f>YEAR(Master_ventas[[#This Row],[Order Date]])</f>
        <v>2022</v>
      </c>
      <c r="M1530" t="str">
        <f>CONCATENATE(LEFT(Master_ventas[[#This Row],[ProdUpper]],3),RIGHT(Master_ventas[[#This Row],[Ext-Year]],2),"-",MID(Master_ventas[[#This Row],[Category]],1,1))</f>
        <v>MON22-A</v>
      </c>
      <c r="N1530" t="str">
        <f>MID(Master_ventas[[#This Row],[ProdUpper]],1,3)</f>
        <v>MON</v>
      </c>
      <c r="O1530" t="str">
        <f>UPPER(IF(Master_ventas[[#This Row],[Profit]]&gt;500,"High","Std"))</f>
        <v>HIGH</v>
      </c>
      <c r="P1530">
        <v>1529</v>
      </c>
    </row>
    <row r="1531" spans="1:16" x14ac:dyDescent="0.3">
      <c r="A1531" s="1">
        <v>44630</v>
      </c>
      <c r="B1531" t="s">
        <v>17</v>
      </c>
      <c r="C1531" t="s">
        <v>14</v>
      </c>
      <c r="D1531" t="s">
        <v>9</v>
      </c>
      <c r="E1531">
        <v>7</v>
      </c>
      <c r="F1531" s="3">
        <v>5439</v>
      </c>
      <c r="G1531" s="2">
        <v>1416.62</v>
      </c>
      <c r="H1531">
        <f>Master_ventas[[#This Row],[Profit]]/Master_ventas[[#This Row],[Sales]]</f>
        <v>0.26045596617025185</v>
      </c>
      <c r="I1531">
        <f ca="1">Referencia_Hoy-Master_ventas[[#This Row],[Order Date]]</f>
        <v>1693</v>
      </c>
      <c r="J1531" t="str">
        <f>UPPER(Master_ventas[[#This Row],[Product Name]])</f>
        <v>CAMERA</v>
      </c>
      <c r="K1531" t="str">
        <f>UPPER(Master_ventas[[#This Row],[Category]])</f>
        <v>ELECTRONICS</v>
      </c>
      <c r="L1531">
        <f>YEAR(Master_ventas[[#This Row],[Order Date]])</f>
        <v>2022</v>
      </c>
      <c r="M1531" t="str">
        <f>CONCATENATE(LEFT(Master_ventas[[#This Row],[ProdUpper]],3),RIGHT(Master_ventas[[#This Row],[Ext-Year]],2),"-",MID(Master_ventas[[#This Row],[Category]],1,1))</f>
        <v>CAM22-E</v>
      </c>
      <c r="N1531" t="str">
        <f>MID(Master_ventas[[#This Row],[ProdUpper]],1,3)</f>
        <v>CAM</v>
      </c>
      <c r="O1531" t="str">
        <f>UPPER(IF(Master_ventas[[#This Row],[Profit]]&gt;500,"High","Std"))</f>
        <v>HIGH</v>
      </c>
      <c r="P1531">
        <v>1530</v>
      </c>
    </row>
    <row r="1532" spans="1:16" x14ac:dyDescent="0.3">
      <c r="A1532" s="1">
        <v>44774</v>
      </c>
      <c r="B1532" t="s">
        <v>17</v>
      </c>
      <c r="C1532" t="s">
        <v>14</v>
      </c>
      <c r="D1532" t="s">
        <v>15</v>
      </c>
      <c r="E1532">
        <v>6</v>
      </c>
      <c r="F1532" s="3">
        <v>828</v>
      </c>
      <c r="G1532" s="2">
        <v>47.91</v>
      </c>
      <c r="H1532">
        <f>Master_ventas[[#This Row],[Profit]]/Master_ventas[[#This Row],[Sales]]</f>
        <v>5.7862318840579706E-2</v>
      </c>
      <c r="I1532">
        <f ca="1">Referencia_Hoy-Master_ventas[[#This Row],[Order Date]]</f>
        <v>1549</v>
      </c>
      <c r="J1532" t="str">
        <f>UPPER(Master_ventas[[#This Row],[Product Name]])</f>
        <v>CAMERA</v>
      </c>
      <c r="K1532" t="str">
        <f>UPPER(Master_ventas[[#This Row],[Category]])</f>
        <v>ELECTRONICS</v>
      </c>
      <c r="L1532">
        <f>YEAR(Master_ventas[[#This Row],[Order Date]])</f>
        <v>2022</v>
      </c>
      <c r="M1532" t="str">
        <f>CONCATENATE(LEFT(Master_ventas[[#This Row],[ProdUpper]],3),RIGHT(Master_ventas[[#This Row],[Ext-Year]],2),"-",MID(Master_ventas[[#This Row],[Category]],1,1))</f>
        <v>CAM22-E</v>
      </c>
      <c r="N1532" t="str">
        <f>MID(Master_ventas[[#This Row],[ProdUpper]],1,3)</f>
        <v>CAM</v>
      </c>
      <c r="O1532" t="str">
        <f>UPPER(IF(Master_ventas[[#This Row],[Profit]]&gt;500,"High","Std"))</f>
        <v>STD</v>
      </c>
      <c r="P1532">
        <v>1531</v>
      </c>
    </row>
    <row r="1533" spans="1:16" x14ac:dyDescent="0.3">
      <c r="A1533" s="1">
        <v>45566</v>
      </c>
      <c r="B1533" t="s">
        <v>19</v>
      </c>
      <c r="C1533" t="s">
        <v>14</v>
      </c>
      <c r="D1533" t="s">
        <v>12</v>
      </c>
      <c r="E1533">
        <v>5</v>
      </c>
      <c r="F1533" s="3">
        <v>1910</v>
      </c>
      <c r="G1533" s="2">
        <v>463.07</v>
      </c>
      <c r="H1533">
        <f>Master_ventas[[#This Row],[Profit]]/Master_ventas[[#This Row],[Sales]]</f>
        <v>0.24244502617801048</v>
      </c>
      <c r="I1533">
        <f ca="1">Referencia_Hoy-Master_ventas[[#This Row],[Order Date]]</f>
        <v>757</v>
      </c>
      <c r="J1533" t="str">
        <f>UPPER(Master_ventas[[#This Row],[Product Name]])</f>
        <v>SMARTWATCH</v>
      </c>
      <c r="K1533" t="str">
        <f>UPPER(Master_ventas[[#This Row],[Category]])</f>
        <v>ELECTRONICS</v>
      </c>
      <c r="L1533">
        <f>YEAR(Master_ventas[[#This Row],[Order Date]])</f>
        <v>2024</v>
      </c>
      <c r="M1533" t="str">
        <f>CONCATENATE(LEFT(Master_ventas[[#This Row],[ProdUpper]],3),RIGHT(Master_ventas[[#This Row],[Ext-Year]],2),"-",MID(Master_ventas[[#This Row],[Category]],1,1))</f>
        <v>SMA24-E</v>
      </c>
      <c r="N1533" t="str">
        <f>MID(Master_ventas[[#This Row],[ProdUpper]],1,3)</f>
        <v>SMA</v>
      </c>
      <c r="O1533" t="str">
        <f>UPPER(IF(Master_ventas[[#This Row],[Profit]]&gt;500,"High","Std"))</f>
        <v>STD</v>
      </c>
      <c r="P1533">
        <v>1532</v>
      </c>
    </row>
    <row r="1534" spans="1:16" x14ac:dyDescent="0.3">
      <c r="A1534" s="1">
        <v>44976</v>
      </c>
      <c r="B1534" t="s">
        <v>13</v>
      </c>
      <c r="C1534" t="s">
        <v>14</v>
      </c>
      <c r="D1534" t="s">
        <v>9</v>
      </c>
      <c r="E1534">
        <v>2</v>
      </c>
      <c r="F1534" s="3">
        <v>1874</v>
      </c>
      <c r="G1534" s="2">
        <v>333.86</v>
      </c>
      <c r="H1534">
        <f>Master_ventas[[#This Row],[Profit]]/Master_ventas[[#This Row],[Sales]]</f>
        <v>0.17815368196371398</v>
      </c>
      <c r="I1534">
        <f ca="1">Referencia_Hoy-Master_ventas[[#This Row],[Order Date]]</f>
        <v>1347</v>
      </c>
      <c r="J1534" t="str">
        <f>UPPER(Master_ventas[[#This Row],[Product Name]])</f>
        <v>TABLET</v>
      </c>
      <c r="K1534" t="str">
        <f>UPPER(Master_ventas[[#This Row],[Category]])</f>
        <v>ELECTRONICS</v>
      </c>
      <c r="L1534">
        <f>YEAR(Master_ventas[[#This Row],[Order Date]])</f>
        <v>2023</v>
      </c>
      <c r="M1534" t="str">
        <f>CONCATENATE(LEFT(Master_ventas[[#This Row],[ProdUpper]],3),RIGHT(Master_ventas[[#This Row],[Ext-Year]],2),"-",MID(Master_ventas[[#This Row],[Category]],1,1))</f>
        <v>TAB23-E</v>
      </c>
      <c r="N1534" t="str">
        <f>MID(Master_ventas[[#This Row],[ProdUpper]],1,3)</f>
        <v>TAB</v>
      </c>
      <c r="O1534" t="str">
        <f>UPPER(IF(Master_ventas[[#This Row],[Profit]]&gt;500,"High","Std"))</f>
        <v>STD</v>
      </c>
      <c r="P1534">
        <v>1533</v>
      </c>
    </row>
    <row r="1535" spans="1:16" x14ac:dyDescent="0.3">
      <c r="A1535" s="1">
        <v>45140</v>
      </c>
      <c r="B1535" t="s">
        <v>10</v>
      </c>
      <c r="C1535" t="s">
        <v>11</v>
      </c>
      <c r="D1535" t="s">
        <v>12</v>
      </c>
      <c r="E1535">
        <v>1</v>
      </c>
      <c r="F1535" s="3">
        <v>1032</v>
      </c>
      <c r="G1535" s="2">
        <v>291.41000000000003</v>
      </c>
      <c r="H1535">
        <f>Master_ventas[[#This Row],[Profit]]/Master_ventas[[#This Row],[Sales]]</f>
        <v>0.28237403100775194</v>
      </c>
      <c r="I1535">
        <f ca="1">Referencia_Hoy-Master_ventas[[#This Row],[Order Date]]</f>
        <v>1183</v>
      </c>
      <c r="J1535" t="str">
        <f>UPPER(Master_ventas[[#This Row],[Product Name]])</f>
        <v>MOUSE</v>
      </c>
      <c r="K1535" t="str">
        <f>UPPER(Master_ventas[[#This Row],[Category]])</f>
        <v>ACCESSORIES</v>
      </c>
      <c r="L1535">
        <f>YEAR(Master_ventas[[#This Row],[Order Date]])</f>
        <v>2023</v>
      </c>
      <c r="M1535" t="str">
        <f>CONCATENATE(LEFT(Master_ventas[[#This Row],[ProdUpper]],3),RIGHT(Master_ventas[[#This Row],[Ext-Year]],2),"-",MID(Master_ventas[[#This Row],[Category]],1,1))</f>
        <v>MOU23-A</v>
      </c>
      <c r="N1535" t="str">
        <f>MID(Master_ventas[[#This Row],[ProdUpper]],1,3)</f>
        <v>MOU</v>
      </c>
      <c r="O1535" t="str">
        <f>UPPER(IF(Master_ventas[[#This Row],[Profit]]&gt;500,"High","Std"))</f>
        <v>STD</v>
      </c>
      <c r="P1535">
        <v>1534</v>
      </c>
    </row>
    <row r="1536" spans="1:16" x14ac:dyDescent="0.3">
      <c r="A1536" s="1">
        <v>45103</v>
      </c>
      <c r="B1536" t="s">
        <v>22</v>
      </c>
      <c r="C1536" t="s">
        <v>11</v>
      </c>
      <c r="D1536" t="s">
        <v>12</v>
      </c>
      <c r="E1536">
        <v>3</v>
      </c>
      <c r="F1536" s="3">
        <v>3264</v>
      </c>
      <c r="G1536" s="2">
        <v>556.86</v>
      </c>
      <c r="H1536">
        <f>Master_ventas[[#This Row],[Profit]]/Master_ventas[[#This Row],[Sales]]</f>
        <v>0.17060661764705884</v>
      </c>
      <c r="I1536">
        <f ca="1">Referencia_Hoy-Master_ventas[[#This Row],[Order Date]]</f>
        <v>1220</v>
      </c>
      <c r="J1536" t="str">
        <f>UPPER(Master_ventas[[#This Row],[Product Name]])</f>
        <v>KEYBOARD</v>
      </c>
      <c r="K1536" t="str">
        <f>UPPER(Master_ventas[[#This Row],[Category]])</f>
        <v>ACCESSORIES</v>
      </c>
      <c r="L1536">
        <f>YEAR(Master_ventas[[#This Row],[Order Date]])</f>
        <v>2023</v>
      </c>
      <c r="M1536" t="str">
        <f>CONCATENATE(LEFT(Master_ventas[[#This Row],[ProdUpper]],3),RIGHT(Master_ventas[[#This Row],[Ext-Year]],2),"-",MID(Master_ventas[[#This Row],[Category]],1,1))</f>
        <v>KEY23-A</v>
      </c>
      <c r="N1536" t="str">
        <f>MID(Master_ventas[[#This Row],[ProdUpper]],1,3)</f>
        <v>KEY</v>
      </c>
      <c r="O1536" t="str">
        <f>UPPER(IF(Master_ventas[[#This Row],[Profit]]&gt;500,"High","Std"))</f>
        <v>HIGH</v>
      </c>
      <c r="P1536">
        <v>1535</v>
      </c>
    </row>
    <row r="1537" spans="1:16" x14ac:dyDescent="0.3">
      <c r="A1537" s="1">
        <v>44891</v>
      </c>
      <c r="B1537" t="s">
        <v>21</v>
      </c>
      <c r="C1537" t="s">
        <v>14</v>
      </c>
      <c r="D1537" t="s">
        <v>16</v>
      </c>
      <c r="E1537">
        <v>1</v>
      </c>
      <c r="F1537" s="3">
        <v>877</v>
      </c>
      <c r="G1537" s="2">
        <v>110.99</v>
      </c>
      <c r="H1537">
        <f>Master_ventas[[#This Row],[Profit]]/Master_ventas[[#This Row],[Sales]]</f>
        <v>0.1265564424173318</v>
      </c>
      <c r="I1537">
        <f ca="1">Referencia_Hoy-Master_ventas[[#This Row],[Order Date]]</f>
        <v>1432</v>
      </c>
      <c r="J1537" t="str">
        <f>UPPER(Master_ventas[[#This Row],[Product Name]])</f>
        <v>SMARTPHONE</v>
      </c>
      <c r="K1537" t="str">
        <f>UPPER(Master_ventas[[#This Row],[Category]])</f>
        <v>ELECTRONICS</v>
      </c>
      <c r="L1537">
        <f>YEAR(Master_ventas[[#This Row],[Order Date]])</f>
        <v>2022</v>
      </c>
      <c r="M1537" t="str">
        <f>CONCATENATE(LEFT(Master_ventas[[#This Row],[ProdUpper]],3),RIGHT(Master_ventas[[#This Row],[Ext-Year]],2),"-",MID(Master_ventas[[#This Row],[Category]],1,1))</f>
        <v>SMA22-E</v>
      </c>
      <c r="N1537" t="str">
        <f>MID(Master_ventas[[#This Row],[ProdUpper]],1,3)</f>
        <v>SMA</v>
      </c>
      <c r="O1537" t="str">
        <f>UPPER(IF(Master_ventas[[#This Row],[Profit]]&gt;500,"High","Std"))</f>
        <v>STD</v>
      </c>
      <c r="P1537">
        <v>1536</v>
      </c>
    </row>
    <row r="1538" spans="1:16" x14ac:dyDescent="0.3">
      <c r="A1538" s="1">
        <v>44704</v>
      </c>
      <c r="B1538" t="s">
        <v>17</v>
      </c>
      <c r="C1538" t="s">
        <v>14</v>
      </c>
      <c r="D1538" t="s">
        <v>9</v>
      </c>
      <c r="E1538">
        <v>3</v>
      </c>
      <c r="F1538" s="3">
        <v>924</v>
      </c>
      <c r="G1538" s="2">
        <v>183.18</v>
      </c>
      <c r="H1538">
        <f>Master_ventas[[#This Row],[Profit]]/Master_ventas[[#This Row],[Sales]]</f>
        <v>0.19824675324675325</v>
      </c>
      <c r="I1538">
        <f ca="1">Referencia_Hoy-Master_ventas[[#This Row],[Order Date]]</f>
        <v>1619</v>
      </c>
      <c r="J1538" t="str">
        <f>UPPER(Master_ventas[[#This Row],[Product Name]])</f>
        <v>CAMERA</v>
      </c>
      <c r="K1538" t="str">
        <f>UPPER(Master_ventas[[#This Row],[Category]])</f>
        <v>ELECTRONICS</v>
      </c>
      <c r="L1538">
        <f>YEAR(Master_ventas[[#This Row],[Order Date]])</f>
        <v>2022</v>
      </c>
      <c r="M1538" t="str">
        <f>CONCATENATE(LEFT(Master_ventas[[#This Row],[ProdUpper]],3),RIGHT(Master_ventas[[#This Row],[Ext-Year]],2),"-",MID(Master_ventas[[#This Row],[Category]],1,1))</f>
        <v>CAM22-E</v>
      </c>
      <c r="N1538" t="str">
        <f>MID(Master_ventas[[#This Row],[ProdUpper]],1,3)</f>
        <v>CAM</v>
      </c>
      <c r="O1538" t="str">
        <f>UPPER(IF(Master_ventas[[#This Row],[Profit]]&gt;500,"High","Std"))</f>
        <v>STD</v>
      </c>
      <c r="P1538">
        <v>1537</v>
      </c>
    </row>
    <row r="1539" spans="1:16" x14ac:dyDescent="0.3">
      <c r="A1539" s="1">
        <v>45042</v>
      </c>
      <c r="B1539" t="s">
        <v>17</v>
      </c>
      <c r="C1539" t="s">
        <v>14</v>
      </c>
      <c r="D1539" t="s">
        <v>16</v>
      </c>
      <c r="E1539">
        <v>3</v>
      </c>
      <c r="F1539" s="3">
        <v>417</v>
      </c>
      <c r="G1539" s="2">
        <v>114.42</v>
      </c>
      <c r="H1539">
        <f>Master_ventas[[#This Row],[Profit]]/Master_ventas[[#This Row],[Sales]]</f>
        <v>0.27438848920863312</v>
      </c>
      <c r="I1539">
        <f ca="1">Referencia_Hoy-Master_ventas[[#This Row],[Order Date]]</f>
        <v>1281</v>
      </c>
      <c r="J1539" t="str">
        <f>UPPER(Master_ventas[[#This Row],[Product Name]])</f>
        <v>CAMERA</v>
      </c>
      <c r="K1539" t="str">
        <f>UPPER(Master_ventas[[#This Row],[Category]])</f>
        <v>ELECTRONICS</v>
      </c>
      <c r="L1539">
        <f>YEAR(Master_ventas[[#This Row],[Order Date]])</f>
        <v>2023</v>
      </c>
      <c r="M1539" t="str">
        <f>CONCATENATE(LEFT(Master_ventas[[#This Row],[ProdUpper]],3),RIGHT(Master_ventas[[#This Row],[Ext-Year]],2),"-",MID(Master_ventas[[#This Row],[Category]],1,1))</f>
        <v>CAM23-E</v>
      </c>
      <c r="N1539" t="str">
        <f>MID(Master_ventas[[#This Row],[ProdUpper]],1,3)</f>
        <v>CAM</v>
      </c>
      <c r="O1539" t="str">
        <f>UPPER(IF(Master_ventas[[#This Row],[Profit]]&gt;500,"High","Std"))</f>
        <v>STD</v>
      </c>
      <c r="P1539">
        <v>1538</v>
      </c>
    </row>
    <row r="1540" spans="1:16" x14ac:dyDescent="0.3">
      <c r="A1540" s="1">
        <v>45343</v>
      </c>
      <c r="B1540" t="s">
        <v>23</v>
      </c>
      <c r="C1540" t="s">
        <v>14</v>
      </c>
      <c r="D1540" t="s">
        <v>16</v>
      </c>
      <c r="E1540">
        <v>5</v>
      </c>
      <c r="F1540" s="3">
        <v>2670</v>
      </c>
      <c r="G1540" s="2">
        <v>155.88999999999999</v>
      </c>
      <c r="H1540">
        <f>Master_ventas[[#This Row],[Profit]]/Master_ventas[[#This Row],[Sales]]</f>
        <v>5.8385767790262166E-2</v>
      </c>
      <c r="I1540">
        <f ca="1">Referencia_Hoy-Master_ventas[[#This Row],[Order Date]]</f>
        <v>980</v>
      </c>
      <c r="J1540" t="str">
        <f>UPPER(Master_ventas[[#This Row],[Product Name]])</f>
        <v>LAPTOP</v>
      </c>
      <c r="K1540" t="str">
        <f>UPPER(Master_ventas[[#This Row],[Category]])</f>
        <v>ELECTRONICS</v>
      </c>
      <c r="L1540">
        <f>YEAR(Master_ventas[[#This Row],[Order Date]])</f>
        <v>2024</v>
      </c>
      <c r="M1540" t="str">
        <f>CONCATENATE(LEFT(Master_ventas[[#This Row],[ProdUpper]],3),RIGHT(Master_ventas[[#This Row],[Ext-Year]],2),"-",MID(Master_ventas[[#This Row],[Category]],1,1))</f>
        <v>LAP24-E</v>
      </c>
      <c r="N1540" t="str">
        <f>MID(Master_ventas[[#This Row],[ProdUpper]],1,3)</f>
        <v>LAP</v>
      </c>
      <c r="O1540" t="str">
        <f>UPPER(IF(Master_ventas[[#This Row],[Profit]]&gt;500,"High","Std"))</f>
        <v>STD</v>
      </c>
      <c r="P1540">
        <v>1539</v>
      </c>
    </row>
    <row r="1541" spans="1:16" x14ac:dyDescent="0.3">
      <c r="A1541" s="1">
        <v>45461</v>
      </c>
      <c r="B1541" t="s">
        <v>22</v>
      </c>
      <c r="C1541" t="s">
        <v>11</v>
      </c>
      <c r="D1541" t="s">
        <v>15</v>
      </c>
      <c r="E1541">
        <v>7</v>
      </c>
      <c r="F1541" s="3">
        <v>2716</v>
      </c>
      <c r="G1541" s="2">
        <v>512.09</v>
      </c>
      <c r="H1541">
        <f>Master_ventas[[#This Row],[Profit]]/Master_ventas[[#This Row],[Sales]]</f>
        <v>0.18854565537555229</v>
      </c>
      <c r="I1541">
        <f ca="1">Referencia_Hoy-Master_ventas[[#This Row],[Order Date]]</f>
        <v>862</v>
      </c>
      <c r="J1541" t="str">
        <f>UPPER(Master_ventas[[#This Row],[Product Name]])</f>
        <v>KEYBOARD</v>
      </c>
      <c r="K1541" t="str">
        <f>UPPER(Master_ventas[[#This Row],[Category]])</f>
        <v>ACCESSORIES</v>
      </c>
      <c r="L1541">
        <f>YEAR(Master_ventas[[#This Row],[Order Date]])</f>
        <v>2024</v>
      </c>
      <c r="M1541" t="str">
        <f>CONCATENATE(LEFT(Master_ventas[[#This Row],[ProdUpper]],3),RIGHT(Master_ventas[[#This Row],[Ext-Year]],2),"-",MID(Master_ventas[[#This Row],[Category]],1,1))</f>
        <v>KEY24-A</v>
      </c>
      <c r="N1541" t="str">
        <f>MID(Master_ventas[[#This Row],[ProdUpper]],1,3)</f>
        <v>KEY</v>
      </c>
      <c r="O1541" t="str">
        <f>UPPER(IF(Master_ventas[[#This Row],[Profit]]&gt;500,"High","Std"))</f>
        <v>HIGH</v>
      </c>
      <c r="P1541">
        <v>1540</v>
      </c>
    </row>
    <row r="1542" spans="1:16" x14ac:dyDescent="0.3">
      <c r="A1542" s="1">
        <v>45064</v>
      </c>
      <c r="B1542" t="s">
        <v>18</v>
      </c>
      <c r="C1542" t="s">
        <v>11</v>
      </c>
      <c r="D1542" t="s">
        <v>16</v>
      </c>
      <c r="E1542">
        <v>9</v>
      </c>
      <c r="F1542" s="3">
        <v>10134</v>
      </c>
      <c r="G1542" s="2">
        <v>1334.37</v>
      </c>
      <c r="H1542">
        <f>Master_ventas[[#This Row],[Profit]]/Master_ventas[[#This Row],[Sales]]</f>
        <v>0.13167258732978093</v>
      </c>
      <c r="I1542">
        <f ca="1">Referencia_Hoy-Master_ventas[[#This Row],[Order Date]]</f>
        <v>1259</v>
      </c>
      <c r="J1542" t="str">
        <f>UPPER(Master_ventas[[#This Row],[Product Name]])</f>
        <v>HEADPHONES</v>
      </c>
      <c r="K1542" t="str">
        <f>UPPER(Master_ventas[[#This Row],[Category]])</f>
        <v>ACCESSORIES</v>
      </c>
      <c r="L1542">
        <f>YEAR(Master_ventas[[#This Row],[Order Date]])</f>
        <v>2023</v>
      </c>
      <c r="M1542" t="str">
        <f>CONCATENATE(LEFT(Master_ventas[[#This Row],[ProdUpper]],3),RIGHT(Master_ventas[[#This Row],[Ext-Year]],2),"-",MID(Master_ventas[[#This Row],[Category]],1,1))</f>
        <v>HEA23-A</v>
      </c>
      <c r="N1542" t="str">
        <f>MID(Master_ventas[[#This Row],[ProdUpper]],1,3)</f>
        <v>HEA</v>
      </c>
      <c r="O1542" t="str">
        <f>UPPER(IF(Master_ventas[[#This Row],[Profit]]&gt;500,"High","Std"))</f>
        <v>HIGH</v>
      </c>
      <c r="P1542">
        <v>1541</v>
      </c>
    </row>
    <row r="1543" spans="1:16" x14ac:dyDescent="0.3">
      <c r="A1543" s="1">
        <v>44580</v>
      </c>
      <c r="B1543" t="s">
        <v>20</v>
      </c>
      <c r="C1543" t="s">
        <v>11</v>
      </c>
      <c r="D1543" t="s">
        <v>9</v>
      </c>
      <c r="E1543">
        <v>5</v>
      </c>
      <c r="F1543" s="3">
        <v>5500</v>
      </c>
      <c r="G1543" s="2">
        <v>1230.98</v>
      </c>
      <c r="H1543">
        <f>Master_ventas[[#This Row],[Profit]]/Master_ventas[[#This Row],[Sales]]</f>
        <v>0.22381454545454546</v>
      </c>
      <c r="I1543">
        <f ca="1">Referencia_Hoy-Master_ventas[[#This Row],[Order Date]]</f>
        <v>1743</v>
      </c>
      <c r="J1543" t="str">
        <f>UPPER(Master_ventas[[#This Row],[Product Name]])</f>
        <v>MONITOR</v>
      </c>
      <c r="K1543" t="str">
        <f>UPPER(Master_ventas[[#This Row],[Category]])</f>
        <v>ACCESSORIES</v>
      </c>
      <c r="L1543">
        <f>YEAR(Master_ventas[[#This Row],[Order Date]])</f>
        <v>2022</v>
      </c>
      <c r="M1543" t="str">
        <f>CONCATENATE(LEFT(Master_ventas[[#This Row],[ProdUpper]],3),RIGHT(Master_ventas[[#This Row],[Ext-Year]],2),"-",MID(Master_ventas[[#This Row],[Category]],1,1))</f>
        <v>MON22-A</v>
      </c>
      <c r="N1543" t="str">
        <f>MID(Master_ventas[[#This Row],[ProdUpper]],1,3)</f>
        <v>MON</v>
      </c>
      <c r="O1543" t="str">
        <f>UPPER(IF(Master_ventas[[#This Row],[Profit]]&gt;500,"High","Std"))</f>
        <v>HIGH</v>
      </c>
      <c r="P1543">
        <v>1542</v>
      </c>
    </row>
    <row r="1544" spans="1:16" x14ac:dyDescent="0.3">
      <c r="A1544" s="1">
        <v>45633</v>
      </c>
      <c r="B1544" t="s">
        <v>13</v>
      </c>
      <c r="C1544" t="s">
        <v>14</v>
      </c>
      <c r="D1544" t="s">
        <v>12</v>
      </c>
      <c r="E1544">
        <v>6</v>
      </c>
      <c r="F1544" s="3">
        <v>6228</v>
      </c>
      <c r="G1544" s="2">
        <v>1756.82</v>
      </c>
      <c r="H1544">
        <f>Master_ventas[[#This Row],[Profit]]/Master_ventas[[#This Row],[Sales]]</f>
        <v>0.28208413615928069</v>
      </c>
      <c r="I1544">
        <f ca="1">Referencia_Hoy-Master_ventas[[#This Row],[Order Date]]</f>
        <v>690</v>
      </c>
      <c r="J1544" t="str">
        <f>UPPER(Master_ventas[[#This Row],[Product Name]])</f>
        <v>TABLET</v>
      </c>
      <c r="K1544" t="str">
        <f>UPPER(Master_ventas[[#This Row],[Category]])</f>
        <v>ELECTRONICS</v>
      </c>
      <c r="L1544">
        <f>YEAR(Master_ventas[[#This Row],[Order Date]])</f>
        <v>2024</v>
      </c>
      <c r="M1544" t="str">
        <f>CONCATENATE(LEFT(Master_ventas[[#This Row],[ProdUpper]],3),RIGHT(Master_ventas[[#This Row],[Ext-Year]],2),"-",MID(Master_ventas[[#This Row],[Category]],1,1))</f>
        <v>TAB24-E</v>
      </c>
      <c r="N1544" t="str">
        <f>MID(Master_ventas[[#This Row],[ProdUpper]],1,3)</f>
        <v>TAB</v>
      </c>
      <c r="O1544" t="str">
        <f>UPPER(IF(Master_ventas[[#This Row],[Profit]]&gt;500,"High","Std"))</f>
        <v>HIGH</v>
      </c>
      <c r="P1544">
        <v>1543</v>
      </c>
    </row>
    <row r="1545" spans="1:16" x14ac:dyDescent="0.3">
      <c r="A1545" s="1">
        <v>45459</v>
      </c>
      <c r="B1545" t="s">
        <v>23</v>
      </c>
      <c r="C1545" t="s">
        <v>14</v>
      </c>
      <c r="D1545" t="s">
        <v>16</v>
      </c>
      <c r="E1545">
        <v>7</v>
      </c>
      <c r="F1545" s="3">
        <v>1092</v>
      </c>
      <c r="G1545" s="2">
        <v>274.77</v>
      </c>
      <c r="H1545">
        <f>Master_ventas[[#This Row],[Profit]]/Master_ventas[[#This Row],[Sales]]</f>
        <v>0.2516208791208791</v>
      </c>
      <c r="I1545">
        <f ca="1">Referencia_Hoy-Master_ventas[[#This Row],[Order Date]]</f>
        <v>864</v>
      </c>
      <c r="J1545" t="str">
        <f>UPPER(Master_ventas[[#This Row],[Product Name]])</f>
        <v>LAPTOP</v>
      </c>
      <c r="K1545" t="str">
        <f>UPPER(Master_ventas[[#This Row],[Category]])</f>
        <v>ELECTRONICS</v>
      </c>
      <c r="L1545">
        <f>YEAR(Master_ventas[[#This Row],[Order Date]])</f>
        <v>2024</v>
      </c>
      <c r="M1545" t="str">
        <f>CONCATENATE(LEFT(Master_ventas[[#This Row],[ProdUpper]],3),RIGHT(Master_ventas[[#This Row],[Ext-Year]],2),"-",MID(Master_ventas[[#This Row],[Category]],1,1))</f>
        <v>LAP24-E</v>
      </c>
      <c r="N1545" t="str">
        <f>MID(Master_ventas[[#This Row],[ProdUpper]],1,3)</f>
        <v>LAP</v>
      </c>
      <c r="O1545" t="str">
        <f>UPPER(IF(Master_ventas[[#This Row],[Profit]]&gt;500,"High","Std"))</f>
        <v>STD</v>
      </c>
      <c r="P1545">
        <v>1544</v>
      </c>
    </row>
    <row r="1546" spans="1:16" x14ac:dyDescent="0.3">
      <c r="A1546" s="1">
        <v>45101</v>
      </c>
      <c r="B1546" t="s">
        <v>20</v>
      </c>
      <c r="C1546" t="s">
        <v>11</v>
      </c>
      <c r="D1546" t="s">
        <v>16</v>
      </c>
      <c r="E1546">
        <v>5</v>
      </c>
      <c r="F1546" s="3">
        <v>3255</v>
      </c>
      <c r="G1546" s="2">
        <v>332.54</v>
      </c>
      <c r="H1546">
        <f>Master_ventas[[#This Row],[Profit]]/Master_ventas[[#This Row],[Sales]]</f>
        <v>0.10216282642089095</v>
      </c>
      <c r="I1546">
        <f ca="1">Referencia_Hoy-Master_ventas[[#This Row],[Order Date]]</f>
        <v>1222</v>
      </c>
      <c r="J1546" t="str">
        <f>UPPER(Master_ventas[[#This Row],[Product Name]])</f>
        <v>MONITOR</v>
      </c>
      <c r="K1546" t="str">
        <f>UPPER(Master_ventas[[#This Row],[Category]])</f>
        <v>ACCESSORIES</v>
      </c>
      <c r="L1546">
        <f>YEAR(Master_ventas[[#This Row],[Order Date]])</f>
        <v>2023</v>
      </c>
      <c r="M1546" t="str">
        <f>CONCATENATE(LEFT(Master_ventas[[#This Row],[ProdUpper]],3),RIGHT(Master_ventas[[#This Row],[Ext-Year]],2),"-",MID(Master_ventas[[#This Row],[Category]],1,1))</f>
        <v>MON23-A</v>
      </c>
      <c r="N1546" t="str">
        <f>MID(Master_ventas[[#This Row],[ProdUpper]],1,3)</f>
        <v>MON</v>
      </c>
      <c r="O1546" t="str">
        <f>UPPER(IF(Master_ventas[[#This Row],[Profit]]&gt;500,"High","Std"))</f>
        <v>STD</v>
      </c>
      <c r="P1546">
        <v>1545</v>
      </c>
    </row>
    <row r="1547" spans="1:16" x14ac:dyDescent="0.3">
      <c r="A1547" s="1">
        <v>44740</v>
      </c>
      <c r="B1547" t="s">
        <v>13</v>
      </c>
      <c r="C1547" t="s">
        <v>14</v>
      </c>
      <c r="D1547" t="s">
        <v>16</v>
      </c>
      <c r="E1547">
        <v>5</v>
      </c>
      <c r="F1547" s="3">
        <v>5645</v>
      </c>
      <c r="G1547" s="2">
        <v>1320.86</v>
      </c>
      <c r="H1547">
        <f>Master_ventas[[#This Row],[Profit]]/Master_ventas[[#This Row],[Sales]]</f>
        <v>0.23398759964570415</v>
      </c>
      <c r="I1547">
        <f ca="1">Referencia_Hoy-Master_ventas[[#This Row],[Order Date]]</f>
        <v>1583</v>
      </c>
      <c r="J1547" t="str">
        <f>UPPER(Master_ventas[[#This Row],[Product Name]])</f>
        <v>TABLET</v>
      </c>
      <c r="K1547" t="str">
        <f>UPPER(Master_ventas[[#This Row],[Category]])</f>
        <v>ELECTRONICS</v>
      </c>
      <c r="L1547">
        <f>YEAR(Master_ventas[[#This Row],[Order Date]])</f>
        <v>2022</v>
      </c>
      <c r="M1547" t="str">
        <f>CONCATENATE(LEFT(Master_ventas[[#This Row],[ProdUpper]],3),RIGHT(Master_ventas[[#This Row],[Ext-Year]],2),"-",MID(Master_ventas[[#This Row],[Category]],1,1))</f>
        <v>TAB22-E</v>
      </c>
      <c r="N1547" t="str">
        <f>MID(Master_ventas[[#This Row],[ProdUpper]],1,3)</f>
        <v>TAB</v>
      </c>
      <c r="O1547" t="str">
        <f>UPPER(IF(Master_ventas[[#This Row],[Profit]]&gt;500,"High","Std"))</f>
        <v>HIGH</v>
      </c>
      <c r="P1547">
        <v>1546</v>
      </c>
    </row>
    <row r="1548" spans="1:16" x14ac:dyDescent="0.3">
      <c r="A1548" s="1">
        <v>45371</v>
      </c>
      <c r="B1548" t="s">
        <v>21</v>
      </c>
      <c r="C1548" t="s">
        <v>14</v>
      </c>
      <c r="D1548" t="s">
        <v>9</v>
      </c>
      <c r="E1548">
        <v>9</v>
      </c>
      <c r="F1548" s="3">
        <v>7578</v>
      </c>
      <c r="G1548" s="2">
        <v>466.87</v>
      </c>
      <c r="H1548">
        <f>Master_ventas[[#This Row],[Profit]]/Master_ventas[[#This Row],[Sales]]</f>
        <v>6.1608603853259433E-2</v>
      </c>
      <c r="I1548">
        <f ca="1">Referencia_Hoy-Master_ventas[[#This Row],[Order Date]]</f>
        <v>952</v>
      </c>
      <c r="J1548" t="str">
        <f>UPPER(Master_ventas[[#This Row],[Product Name]])</f>
        <v>SMARTPHONE</v>
      </c>
      <c r="K1548" t="str">
        <f>UPPER(Master_ventas[[#This Row],[Category]])</f>
        <v>ELECTRONICS</v>
      </c>
      <c r="L1548">
        <f>YEAR(Master_ventas[[#This Row],[Order Date]])</f>
        <v>2024</v>
      </c>
      <c r="M1548" t="str">
        <f>CONCATENATE(LEFT(Master_ventas[[#This Row],[ProdUpper]],3),RIGHT(Master_ventas[[#This Row],[Ext-Year]],2),"-",MID(Master_ventas[[#This Row],[Category]],1,1))</f>
        <v>SMA24-E</v>
      </c>
      <c r="N1548" t="str">
        <f>MID(Master_ventas[[#This Row],[ProdUpper]],1,3)</f>
        <v>SMA</v>
      </c>
      <c r="O1548" t="str">
        <f>UPPER(IF(Master_ventas[[#This Row],[Profit]]&gt;500,"High","Std"))</f>
        <v>STD</v>
      </c>
      <c r="P1548">
        <v>1547</v>
      </c>
    </row>
    <row r="1549" spans="1:16" x14ac:dyDescent="0.3">
      <c r="A1549" s="1">
        <v>45037</v>
      </c>
      <c r="B1549" t="s">
        <v>22</v>
      </c>
      <c r="C1549" t="s">
        <v>11</v>
      </c>
      <c r="D1549" t="s">
        <v>15</v>
      </c>
      <c r="E1549">
        <v>9</v>
      </c>
      <c r="F1549" s="3">
        <v>6282</v>
      </c>
      <c r="G1549" s="2">
        <v>1594.61</v>
      </c>
      <c r="H1549">
        <f>Master_ventas[[#This Row],[Profit]]/Master_ventas[[#This Row],[Sales]]</f>
        <v>0.25383794969754853</v>
      </c>
      <c r="I1549">
        <f ca="1">Referencia_Hoy-Master_ventas[[#This Row],[Order Date]]</f>
        <v>1286</v>
      </c>
      <c r="J1549" t="str">
        <f>UPPER(Master_ventas[[#This Row],[Product Name]])</f>
        <v>KEYBOARD</v>
      </c>
      <c r="K1549" t="str">
        <f>UPPER(Master_ventas[[#This Row],[Category]])</f>
        <v>ACCESSORIES</v>
      </c>
      <c r="L1549">
        <f>YEAR(Master_ventas[[#This Row],[Order Date]])</f>
        <v>2023</v>
      </c>
      <c r="M1549" t="str">
        <f>CONCATENATE(LEFT(Master_ventas[[#This Row],[ProdUpper]],3),RIGHT(Master_ventas[[#This Row],[Ext-Year]],2),"-",MID(Master_ventas[[#This Row],[Category]],1,1))</f>
        <v>KEY23-A</v>
      </c>
      <c r="N1549" t="str">
        <f>MID(Master_ventas[[#This Row],[ProdUpper]],1,3)</f>
        <v>KEY</v>
      </c>
      <c r="O1549" t="str">
        <f>UPPER(IF(Master_ventas[[#This Row],[Profit]]&gt;500,"High","Std"))</f>
        <v>HIGH</v>
      </c>
      <c r="P1549">
        <v>1548</v>
      </c>
    </row>
    <row r="1550" spans="1:16" x14ac:dyDescent="0.3">
      <c r="A1550" s="1">
        <v>45655</v>
      </c>
      <c r="B1550" t="s">
        <v>23</v>
      </c>
      <c r="C1550" t="s">
        <v>14</v>
      </c>
      <c r="D1550" t="s">
        <v>15</v>
      </c>
      <c r="E1550">
        <v>6</v>
      </c>
      <c r="F1550" s="3">
        <v>2364</v>
      </c>
      <c r="G1550" s="2">
        <v>639.29</v>
      </c>
      <c r="H1550">
        <f>Master_ventas[[#This Row],[Profit]]/Master_ventas[[#This Row],[Sales]]</f>
        <v>0.27042724196277496</v>
      </c>
      <c r="I1550">
        <f ca="1">Referencia_Hoy-Master_ventas[[#This Row],[Order Date]]</f>
        <v>668</v>
      </c>
      <c r="J1550" t="str">
        <f>UPPER(Master_ventas[[#This Row],[Product Name]])</f>
        <v>LAPTOP</v>
      </c>
      <c r="K1550" t="str">
        <f>UPPER(Master_ventas[[#This Row],[Category]])</f>
        <v>ELECTRONICS</v>
      </c>
      <c r="L1550">
        <f>YEAR(Master_ventas[[#This Row],[Order Date]])</f>
        <v>2024</v>
      </c>
      <c r="M1550" t="str">
        <f>CONCATENATE(LEFT(Master_ventas[[#This Row],[ProdUpper]],3),RIGHT(Master_ventas[[#This Row],[Ext-Year]],2),"-",MID(Master_ventas[[#This Row],[Category]],1,1))</f>
        <v>LAP24-E</v>
      </c>
      <c r="N1550" t="str">
        <f>MID(Master_ventas[[#This Row],[ProdUpper]],1,3)</f>
        <v>LAP</v>
      </c>
      <c r="O1550" t="str">
        <f>UPPER(IF(Master_ventas[[#This Row],[Profit]]&gt;500,"High","Std"))</f>
        <v>HIGH</v>
      </c>
      <c r="P1550">
        <v>1549</v>
      </c>
    </row>
    <row r="1551" spans="1:16" x14ac:dyDescent="0.3">
      <c r="A1551" s="1">
        <v>45272</v>
      </c>
      <c r="B1551" t="s">
        <v>22</v>
      </c>
      <c r="C1551" t="s">
        <v>11</v>
      </c>
      <c r="D1551" t="s">
        <v>9</v>
      </c>
      <c r="E1551">
        <v>8</v>
      </c>
      <c r="F1551" s="3">
        <v>6880</v>
      </c>
      <c r="G1551" s="2">
        <v>1570.91</v>
      </c>
      <c r="H1551">
        <f>Master_ventas[[#This Row],[Profit]]/Master_ventas[[#This Row],[Sales]]</f>
        <v>0.22832994186046512</v>
      </c>
      <c r="I1551">
        <f ca="1">Referencia_Hoy-Master_ventas[[#This Row],[Order Date]]</f>
        <v>1051</v>
      </c>
      <c r="J1551" t="str">
        <f>UPPER(Master_ventas[[#This Row],[Product Name]])</f>
        <v>KEYBOARD</v>
      </c>
      <c r="K1551" t="str">
        <f>UPPER(Master_ventas[[#This Row],[Category]])</f>
        <v>ACCESSORIES</v>
      </c>
      <c r="L1551">
        <f>YEAR(Master_ventas[[#This Row],[Order Date]])</f>
        <v>2023</v>
      </c>
      <c r="M1551" t="str">
        <f>CONCATENATE(LEFT(Master_ventas[[#This Row],[ProdUpper]],3),RIGHT(Master_ventas[[#This Row],[Ext-Year]],2),"-",MID(Master_ventas[[#This Row],[Category]],1,1))</f>
        <v>KEY23-A</v>
      </c>
      <c r="N1551" t="str">
        <f>MID(Master_ventas[[#This Row],[ProdUpper]],1,3)</f>
        <v>KEY</v>
      </c>
      <c r="O1551" t="str">
        <f>UPPER(IF(Master_ventas[[#This Row],[Profit]]&gt;500,"High","Std"))</f>
        <v>HIGH</v>
      </c>
      <c r="P1551">
        <v>1550</v>
      </c>
    </row>
    <row r="1552" spans="1:16" x14ac:dyDescent="0.3">
      <c r="A1552" s="1">
        <v>44864</v>
      </c>
      <c r="B1552" t="s">
        <v>21</v>
      </c>
      <c r="C1552" t="s">
        <v>14</v>
      </c>
      <c r="D1552" t="s">
        <v>12</v>
      </c>
      <c r="E1552">
        <v>6</v>
      </c>
      <c r="F1552" s="3">
        <v>3288</v>
      </c>
      <c r="G1552" s="2">
        <v>249.02</v>
      </c>
      <c r="H1552">
        <f>Master_ventas[[#This Row],[Profit]]/Master_ventas[[#This Row],[Sales]]</f>
        <v>7.5736009732360096E-2</v>
      </c>
      <c r="I1552">
        <f ca="1">Referencia_Hoy-Master_ventas[[#This Row],[Order Date]]</f>
        <v>1459</v>
      </c>
      <c r="J1552" t="str">
        <f>UPPER(Master_ventas[[#This Row],[Product Name]])</f>
        <v>SMARTPHONE</v>
      </c>
      <c r="K1552" t="str">
        <f>UPPER(Master_ventas[[#This Row],[Category]])</f>
        <v>ELECTRONICS</v>
      </c>
      <c r="L1552">
        <f>YEAR(Master_ventas[[#This Row],[Order Date]])</f>
        <v>2022</v>
      </c>
      <c r="M1552" t="str">
        <f>CONCATENATE(LEFT(Master_ventas[[#This Row],[ProdUpper]],3),RIGHT(Master_ventas[[#This Row],[Ext-Year]],2),"-",MID(Master_ventas[[#This Row],[Category]],1,1))</f>
        <v>SMA22-E</v>
      </c>
      <c r="N1552" t="str">
        <f>MID(Master_ventas[[#This Row],[ProdUpper]],1,3)</f>
        <v>SMA</v>
      </c>
      <c r="O1552" t="str">
        <f>UPPER(IF(Master_ventas[[#This Row],[Profit]]&gt;500,"High","Std"))</f>
        <v>STD</v>
      </c>
      <c r="P1552">
        <v>1551</v>
      </c>
    </row>
    <row r="1553" spans="1:16" x14ac:dyDescent="0.3">
      <c r="A1553" s="1">
        <v>45323</v>
      </c>
      <c r="B1553" t="s">
        <v>20</v>
      </c>
      <c r="C1553" t="s">
        <v>11</v>
      </c>
      <c r="D1553" t="s">
        <v>12</v>
      </c>
      <c r="E1553">
        <v>6</v>
      </c>
      <c r="F1553" s="3">
        <v>5292</v>
      </c>
      <c r="G1553" s="2">
        <v>659.58</v>
      </c>
      <c r="H1553">
        <f>Master_ventas[[#This Row],[Profit]]/Master_ventas[[#This Row],[Sales]]</f>
        <v>0.12463718820861679</v>
      </c>
      <c r="I1553">
        <f ca="1">Referencia_Hoy-Master_ventas[[#This Row],[Order Date]]</f>
        <v>1000</v>
      </c>
      <c r="J1553" t="str">
        <f>UPPER(Master_ventas[[#This Row],[Product Name]])</f>
        <v>MONITOR</v>
      </c>
      <c r="K1553" t="str">
        <f>UPPER(Master_ventas[[#This Row],[Category]])</f>
        <v>ACCESSORIES</v>
      </c>
      <c r="L1553">
        <f>YEAR(Master_ventas[[#This Row],[Order Date]])</f>
        <v>2024</v>
      </c>
      <c r="M1553" t="str">
        <f>CONCATENATE(LEFT(Master_ventas[[#This Row],[ProdUpper]],3),RIGHT(Master_ventas[[#This Row],[Ext-Year]],2),"-",MID(Master_ventas[[#This Row],[Category]],1,1))</f>
        <v>MON24-A</v>
      </c>
      <c r="N1553" t="str">
        <f>MID(Master_ventas[[#This Row],[ProdUpper]],1,3)</f>
        <v>MON</v>
      </c>
      <c r="O1553" t="str">
        <f>UPPER(IF(Master_ventas[[#This Row],[Profit]]&gt;500,"High","Std"))</f>
        <v>HIGH</v>
      </c>
      <c r="P1553">
        <v>1552</v>
      </c>
    </row>
    <row r="1554" spans="1:16" x14ac:dyDescent="0.3">
      <c r="A1554" s="1">
        <v>45236</v>
      </c>
      <c r="B1554" t="s">
        <v>7</v>
      </c>
      <c r="C1554" t="s">
        <v>8</v>
      </c>
      <c r="D1554" t="s">
        <v>9</v>
      </c>
      <c r="E1554">
        <v>3</v>
      </c>
      <c r="F1554" s="3">
        <v>3522</v>
      </c>
      <c r="G1554" s="2">
        <v>883.41</v>
      </c>
      <c r="H1554">
        <f>Master_ventas[[#This Row],[Profit]]/Master_ventas[[#This Row],[Sales]]</f>
        <v>0.25082623509369678</v>
      </c>
      <c r="I1554">
        <f ca="1">Referencia_Hoy-Master_ventas[[#This Row],[Order Date]]</f>
        <v>1087</v>
      </c>
      <c r="J1554" t="str">
        <f>UPPER(Master_ventas[[#This Row],[Product Name]])</f>
        <v>PRINTER</v>
      </c>
      <c r="K1554" t="str">
        <f>UPPER(Master_ventas[[#This Row],[Category]])</f>
        <v>OFFICE</v>
      </c>
      <c r="L1554">
        <f>YEAR(Master_ventas[[#This Row],[Order Date]])</f>
        <v>2023</v>
      </c>
      <c r="M1554" t="str">
        <f>CONCATENATE(LEFT(Master_ventas[[#This Row],[ProdUpper]],3),RIGHT(Master_ventas[[#This Row],[Ext-Year]],2),"-",MID(Master_ventas[[#This Row],[Category]],1,1))</f>
        <v>PRI23-O</v>
      </c>
      <c r="N1554" t="str">
        <f>MID(Master_ventas[[#This Row],[ProdUpper]],1,3)</f>
        <v>PRI</v>
      </c>
      <c r="O1554" t="str">
        <f>UPPER(IF(Master_ventas[[#This Row],[Profit]]&gt;500,"High","Std"))</f>
        <v>HIGH</v>
      </c>
      <c r="P1554">
        <v>1553</v>
      </c>
    </row>
    <row r="1555" spans="1:16" x14ac:dyDescent="0.3">
      <c r="A1555" s="1">
        <v>44842</v>
      </c>
      <c r="B1555" t="s">
        <v>19</v>
      </c>
      <c r="C1555" t="s">
        <v>14</v>
      </c>
      <c r="D1555" t="s">
        <v>16</v>
      </c>
      <c r="E1555">
        <v>2</v>
      </c>
      <c r="F1555" s="3">
        <v>1518</v>
      </c>
      <c r="G1555" s="2">
        <v>87.6</v>
      </c>
      <c r="H1555">
        <f>Master_ventas[[#This Row],[Profit]]/Master_ventas[[#This Row],[Sales]]</f>
        <v>5.7707509881422918E-2</v>
      </c>
      <c r="I1555">
        <f ca="1">Referencia_Hoy-Master_ventas[[#This Row],[Order Date]]</f>
        <v>1481</v>
      </c>
      <c r="J1555" t="str">
        <f>UPPER(Master_ventas[[#This Row],[Product Name]])</f>
        <v>SMARTWATCH</v>
      </c>
      <c r="K1555" t="str">
        <f>UPPER(Master_ventas[[#This Row],[Category]])</f>
        <v>ELECTRONICS</v>
      </c>
      <c r="L1555">
        <f>YEAR(Master_ventas[[#This Row],[Order Date]])</f>
        <v>2022</v>
      </c>
      <c r="M1555" t="str">
        <f>CONCATENATE(LEFT(Master_ventas[[#This Row],[ProdUpper]],3),RIGHT(Master_ventas[[#This Row],[Ext-Year]],2),"-",MID(Master_ventas[[#This Row],[Category]],1,1))</f>
        <v>SMA22-E</v>
      </c>
      <c r="N1555" t="str">
        <f>MID(Master_ventas[[#This Row],[ProdUpper]],1,3)</f>
        <v>SMA</v>
      </c>
      <c r="O1555" t="str">
        <f>UPPER(IF(Master_ventas[[#This Row],[Profit]]&gt;500,"High","Std"))</f>
        <v>STD</v>
      </c>
      <c r="P1555">
        <v>1554</v>
      </c>
    </row>
    <row r="1556" spans="1:16" x14ac:dyDescent="0.3">
      <c r="A1556" s="1">
        <v>45094</v>
      </c>
      <c r="B1556" t="s">
        <v>13</v>
      </c>
      <c r="C1556" t="s">
        <v>14</v>
      </c>
      <c r="D1556" t="s">
        <v>9</v>
      </c>
      <c r="E1556">
        <v>7</v>
      </c>
      <c r="F1556" s="3">
        <v>2457</v>
      </c>
      <c r="G1556" s="2">
        <v>690.55</v>
      </c>
      <c r="H1556">
        <f>Master_ventas[[#This Row],[Profit]]/Master_ventas[[#This Row],[Sales]]</f>
        <v>0.28105413105413102</v>
      </c>
      <c r="I1556">
        <f ca="1">Referencia_Hoy-Master_ventas[[#This Row],[Order Date]]</f>
        <v>1229</v>
      </c>
      <c r="J1556" t="str">
        <f>UPPER(Master_ventas[[#This Row],[Product Name]])</f>
        <v>TABLET</v>
      </c>
      <c r="K1556" t="str">
        <f>UPPER(Master_ventas[[#This Row],[Category]])</f>
        <v>ELECTRONICS</v>
      </c>
      <c r="L1556">
        <f>YEAR(Master_ventas[[#This Row],[Order Date]])</f>
        <v>2023</v>
      </c>
      <c r="M1556" t="str">
        <f>CONCATENATE(LEFT(Master_ventas[[#This Row],[ProdUpper]],3),RIGHT(Master_ventas[[#This Row],[Ext-Year]],2),"-",MID(Master_ventas[[#This Row],[Category]],1,1))</f>
        <v>TAB23-E</v>
      </c>
      <c r="N1556" t="str">
        <f>MID(Master_ventas[[#This Row],[ProdUpper]],1,3)</f>
        <v>TAB</v>
      </c>
      <c r="O1556" t="str">
        <f>UPPER(IF(Master_ventas[[#This Row],[Profit]]&gt;500,"High","Std"))</f>
        <v>HIGH</v>
      </c>
      <c r="P1556">
        <v>1555</v>
      </c>
    </row>
    <row r="1557" spans="1:16" x14ac:dyDescent="0.3">
      <c r="A1557" s="1">
        <v>45300</v>
      </c>
      <c r="B1557" t="s">
        <v>18</v>
      </c>
      <c r="C1557" t="s">
        <v>11</v>
      </c>
      <c r="D1557" t="s">
        <v>16</v>
      </c>
      <c r="E1557">
        <v>1</v>
      </c>
      <c r="F1557" s="3">
        <v>309</v>
      </c>
      <c r="G1557" s="2">
        <v>62.08</v>
      </c>
      <c r="H1557">
        <f>Master_ventas[[#This Row],[Profit]]/Master_ventas[[#This Row],[Sales]]</f>
        <v>0.20090614886731392</v>
      </c>
      <c r="I1557">
        <f ca="1">Referencia_Hoy-Master_ventas[[#This Row],[Order Date]]</f>
        <v>1023</v>
      </c>
      <c r="J1557" t="str">
        <f>UPPER(Master_ventas[[#This Row],[Product Name]])</f>
        <v>HEADPHONES</v>
      </c>
      <c r="K1557" t="str">
        <f>UPPER(Master_ventas[[#This Row],[Category]])</f>
        <v>ACCESSORIES</v>
      </c>
      <c r="L1557">
        <f>YEAR(Master_ventas[[#This Row],[Order Date]])</f>
        <v>2024</v>
      </c>
      <c r="M1557" t="str">
        <f>CONCATENATE(LEFT(Master_ventas[[#This Row],[ProdUpper]],3),RIGHT(Master_ventas[[#This Row],[Ext-Year]],2),"-",MID(Master_ventas[[#This Row],[Category]],1,1))</f>
        <v>HEA24-A</v>
      </c>
      <c r="N1557" t="str">
        <f>MID(Master_ventas[[#This Row],[ProdUpper]],1,3)</f>
        <v>HEA</v>
      </c>
      <c r="O1557" t="str">
        <f>UPPER(IF(Master_ventas[[#This Row],[Profit]]&gt;500,"High","Std"))</f>
        <v>STD</v>
      </c>
      <c r="P1557">
        <v>1556</v>
      </c>
    </row>
    <row r="1558" spans="1:16" x14ac:dyDescent="0.3">
      <c r="A1558" s="1">
        <v>44585</v>
      </c>
      <c r="B1558" t="s">
        <v>20</v>
      </c>
      <c r="C1558" t="s">
        <v>11</v>
      </c>
      <c r="D1558" t="s">
        <v>9</v>
      </c>
      <c r="E1558">
        <v>6</v>
      </c>
      <c r="F1558" s="3">
        <v>6192</v>
      </c>
      <c r="G1558" s="2">
        <v>717.46</v>
      </c>
      <c r="H1558">
        <f>Master_ventas[[#This Row],[Profit]]/Master_ventas[[#This Row],[Sales]]</f>
        <v>0.11586886304909562</v>
      </c>
      <c r="I1558">
        <f ca="1">Referencia_Hoy-Master_ventas[[#This Row],[Order Date]]</f>
        <v>1738</v>
      </c>
      <c r="J1558" t="str">
        <f>UPPER(Master_ventas[[#This Row],[Product Name]])</f>
        <v>MONITOR</v>
      </c>
      <c r="K1558" t="str">
        <f>UPPER(Master_ventas[[#This Row],[Category]])</f>
        <v>ACCESSORIES</v>
      </c>
      <c r="L1558">
        <f>YEAR(Master_ventas[[#This Row],[Order Date]])</f>
        <v>2022</v>
      </c>
      <c r="M1558" t="str">
        <f>CONCATENATE(LEFT(Master_ventas[[#This Row],[ProdUpper]],3),RIGHT(Master_ventas[[#This Row],[Ext-Year]],2),"-",MID(Master_ventas[[#This Row],[Category]],1,1))</f>
        <v>MON22-A</v>
      </c>
      <c r="N1558" t="str">
        <f>MID(Master_ventas[[#This Row],[ProdUpper]],1,3)</f>
        <v>MON</v>
      </c>
      <c r="O1558" t="str">
        <f>UPPER(IF(Master_ventas[[#This Row],[Profit]]&gt;500,"High","Std"))</f>
        <v>HIGH</v>
      </c>
      <c r="P1558">
        <v>1557</v>
      </c>
    </row>
    <row r="1559" spans="1:16" x14ac:dyDescent="0.3">
      <c r="A1559" s="1">
        <v>44716</v>
      </c>
      <c r="B1559" t="s">
        <v>17</v>
      </c>
      <c r="C1559" t="s">
        <v>14</v>
      </c>
      <c r="D1559" t="s">
        <v>12</v>
      </c>
      <c r="E1559">
        <v>5</v>
      </c>
      <c r="F1559" s="3">
        <v>4235</v>
      </c>
      <c r="G1559" s="2">
        <v>747.96</v>
      </c>
      <c r="H1559">
        <f>Master_ventas[[#This Row],[Profit]]/Master_ventas[[#This Row],[Sales]]</f>
        <v>0.17661393152302243</v>
      </c>
      <c r="I1559">
        <f ca="1">Referencia_Hoy-Master_ventas[[#This Row],[Order Date]]</f>
        <v>1607</v>
      </c>
      <c r="J1559" t="str">
        <f>UPPER(Master_ventas[[#This Row],[Product Name]])</f>
        <v>CAMERA</v>
      </c>
      <c r="K1559" t="str">
        <f>UPPER(Master_ventas[[#This Row],[Category]])</f>
        <v>ELECTRONICS</v>
      </c>
      <c r="L1559">
        <f>YEAR(Master_ventas[[#This Row],[Order Date]])</f>
        <v>2022</v>
      </c>
      <c r="M1559" t="str">
        <f>CONCATENATE(LEFT(Master_ventas[[#This Row],[ProdUpper]],3),RIGHT(Master_ventas[[#This Row],[Ext-Year]],2),"-",MID(Master_ventas[[#This Row],[Category]],1,1))</f>
        <v>CAM22-E</v>
      </c>
      <c r="N1559" t="str">
        <f>MID(Master_ventas[[#This Row],[ProdUpper]],1,3)</f>
        <v>CAM</v>
      </c>
      <c r="O1559" t="str">
        <f>UPPER(IF(Master_ventas[[#This Row],[Profit]]&gt;500,"High","Std"))</f>
        <v>HIGH</v>
      </c>
      <c r="P1559">
        <v>1558</v>
      </c>
    </row>
    <row r="1560" spans="1:16" x14ac:dyDescent="0.3">
      <c r="A1560" s="1">
        <v>44786</v>
      </c>
      <c r="B1560" t="s">
        <v>19</v>
      </c>
      <c r="C1560" t="s">
        <v>14</v>
      </c>
      <c r="D1560" t="s">
        <v>9</v>
      </c>
      <c r="E1560">
        <v>9</v>
      </c>
      <c r="F1560" s="3">
        <v>7128</v>
      </c>
      <c r="G1560" s="2">
        <v>457.11</v>
      </c>
      <c r="H1560">
        <f>Master_ventas[[#This Row],[Profit]]/Master_ventas[[#This Row],[Sales]]</f>
        <v>6.4128787878787882E-2</v>
      </c>
      <c r="I1560">
        <f ca="1">Referencia_Hoy-Master_ventas[[#This Row],[Order Date]]</f>
        <v>1537</v>
      </c>
      <c r="J1560" t="str">
        <f>UPPER(Master_ventas[[#This Row],[Product Name]])</f>
        <v>SMARTWATCH</v>
      </c>
      <c r="K1560" t="str">
        <f>UPPER(Master_ventas[[#This Row],[Category]])</f>
        <v>ELECTRONICS</v>
      </c>
      <c r="L1560">
        <f>YEAR(Master_ventas[[#This Row],[Order Date]])</f>
        <v>2022</v>
      </c>
      <c r="M1560" t="str">
        <f>CONCATENATE(LEFT(Master_ventas[[#This Row],[ProdUpper]],3),RIGHT(Master_ventas[[#This Row],[Ext-Year]],2),"-",MID(Master_ventas[[#This Row],[Category]],1,1))</f>
        <v>SMA22-E</v>
      </c>
      <c r="N1560" t="str">
        <f>MID(Master_ventas[[#This Row],[ProdUpper]],1,3)</f>
        <v>SMA</v>
      </c>
      <c r="O1560" t="str">
        <f>UPPER(IF(Master_ventas[[#This Row],[Profit]]&gt;500,"High","Std"))</f>
        <v>STD</v>
      </c>
      <c r="P1560">
        <v>1559</v>
      </c>
    </row>
    <row r="1561" spans="1:16" x14ac:dyDescent="0.3">
      <c r="A1561" s="1">
        <v>45496</v>
      </c>
      <c r="B1561" t="s">
        <v>13</v>
      </c>
      <c r="C1561" t="s">
        <v>14</v>
      </c>
      <c r="D1561" t="s">
        <v>9</v>
      </c>
      <c r="E1561">
        <v>5</v>
      </c>
      <c r="F1561" s="3">
        <v>5660</v>
      </c>
      <c r="G1561" s="2">
        <v>641.69000000000005</v>
      </c>
      <c r="H1561">
        <f>Master_ventas[[#This Row],[Profit]]/Master_ventas[[#This Row],[Sales]]</f>
        <v>0.11337279151943463</v>
      </c>
      <c r="I1561">
        <f ca="1">Referencia_Hoy-Master_ventas[[#This Row],[Order Date]]</f>
        <v>827</v>
      </c>
      <c r="J1561" t="str">
        <f>UPPER(Master_ventas[[#This Row],[Product Name]])</f>
        <v>TABLET</v>
      </c>
      <c r="K1561" t="str">
        <f>UPPER(Master_ventas[[#This Row],[Category]])</f>
        <v>ELECTRONICS</v>
      </c>
      <c r="L1561">
        <f>YEAR(Master_ventas[[#This Row],[Order Date]])</f>
        <v>2024</v>
      </c>
      <c r="M1561" t="str">
        <f>CONCATENATE(LEFT(Master_ventas[[#This Row],[ProdUpper]],3),RIGHT(Master_ventas[[#This Row],[Ext-Year]],2),"-",MID(Master_ventas[[#This Row],[Category]],1,1))</f>
        <v>TAB24-E</v>
      </c>
      <c r="N1561" t="str">
        <f>MID(Master_ventas[[#This Row],[ProdUpper]],1,3)</f>
        <v>TAB</v>
      </c>
      <c r="O1561" t="str">
        <f>UPPER(IF(Master_ventas[[#This Row],[Profit]]&gt;500,"High","Std"))</f>
        <v>HIGH</v>
      </c>
      <c r="P1561">
        <v>1560</v>
      </c>
    </row>
    <row r="1562" spans="1:16" x14ac:dyDescent="0.3">
      <c r="A1562" s="1">
        <v>45435</v>
      </c>
      <c r="B1562" t="s">
        <v>21</v>
      </c>
      <c r="C1562" t="s">
        <v>14</v>
      </c>
      <c r="D1562" t="s">
        <v>15</v>
      </c>
      <c r="E1562">
        <v>1</v>
      </c>
      <c r="F1562" s="3">
        <v>787</v>
      </c>
      <c r="G1562" s="2">
        <v>120.38</v>
      </c>
      <c r="H1562">
        <f>Master_ventas[[#This Row],[Profit]]/Master_ventas[[#This Row],[Sales]]</f>
        <v>0.15296060991105465</v>
      </c>
      <c r="I1562">
        <f ca="1">Referencia_Hoy-Master_ventas[[#This Row],[Order Date]]</f>
        <v>888</v>
      </c>
      <c r="J1562" t="str">
        <f>UPPER(Master_ventas[[#This Row],[Product Name]])</f>
        <v>SMARTPHONE</v>
      </c>
      <c r="K1562" t="str">
        <f>UPPER(Master_ventas[[#This Row],[Category]])</f>
        <v>ELECTRONICS</v>
      </c>
      <c r="L1562">
        <f>YEAR(Master_ventas[[#This Row],[Order Date]])</f>
        <v>2024</v>
      </c>
      <c r="M1562" t="str">
        <f>CONCATENATE(LEFT(Master_ventas[[#This Row],[ProdUpper]],3),RIGHT(Master_ventas[[#This Row],[Ext-Year]],2),"-",MID(Master_ventas[[#This Row],[Category]],1,1))</f>
        <v>SMA24-E</v>
      </c>
      <c r="N1562" t="str">
        <f>MID(Master_ventas[[#This Row],[ProdUpper]],1,3)</f>
        <v>SMA</v>
      </c>
      <c r="O1562" t="str">
        <f>UPPER(IF(Master_ventas[[#This Row],[Profit]]&gt;500,"High","Std"))</f>
        <v>STD</v>
      </c>
      <c r="P1562">
        <v>1561</v>
      </c>
    </row>
    <row r="1563" spans="1:16" x14ac:dyDescent="0.3">
      <c r="A1563" s="1">
        <v>44878</v>
      </c>
      <c r="B1563" t="s">
        <v>10</v>
      </c>
      <c r="C1563" t="s">
        <v>11</v>
      </c>
      <c r="D1563" t="s">
        <v>16</v>
      </c>
      <c r="E1563">
        <v>3</v>
      </c>
      <c r="F1563" s="3">
        <v>375</v>
      </c>
      <c r="G1563" s="2">
        <v>107.26</v>
      </c>
      <c r="H1563">
        <f>Master_ventas[[#This Row],[Profit]]/Master_ventas[[#This Row],[Sales]]</f>
        <v>0.28602666666666671</v>
      </c>
      <c r="I1563">
        <f ca="1">Referencia_Hoy-Master_ventas[[#This Row],[Order Date]]</f>
        <v>1445</v>
      </c>
      <c r="J1563" t="str">
        <f>UPPER(Master_ventas[[#This Row],[Product Name]])</f>
        <v>MOUSE</v>
      </c>
      <c r="K1563" t="str">
        <f>UPPER(Master_ventas[[#This Row],[Category]])</f>
        <v>ACCESSORIES</v>
      </c>
      <c r="L1563">
        <f>YEAR(Master_ventas[[#This Row],[Order Date]])</f>
        <v>2022</v>
      </c>
      <c r="M1563" t="str">
        <f>CONCATENATE(LEFT(Master_ventas[[#This Row],[ProdUpper]],3),RIGHT(Master_ventas[[#This Row],[Ext-Year]],2),"-",MID(Master_ventas[[#This Row],[Category]],1,1))</f>
        <v>MOU22-A</v>
      </c>
      <c r="N1563" t="str">
        <f>MID(Master_ventas[[#This Row],[ProdUpper]],1,3)</f>
        <v>MOU</v>
      </c>
      <c r="O1563" t="str">
        <f>UPPER(IF(Master_ventas[[#This Row],[Profit]]&gt;500,"High","Std"))</f>
        <v>STD</v>
      </c>
      <c r="P1563">
        <v>1562</v>
      </c>
    </row>
    <row r="1564" spans="1:16" x14ac:dyDescent="0.3">
      <c r="A1564" s="1">
        <v>45157</v>
      </c>
      <c r="B1564" t="s">
        <v>17</v>
      </c>
      <c r="C1564" t="s">
        <v>14</v>
      </c>
      <c r="D1564" t="s">
        <v>15</v>
      </c>
      <c r="E1564">
        <v>4</v>
      </c>
      <c r="F1564" s="3">
        <v>296</v>
      </c>
      <c r="G1564" s="2">
        <v>44.79</v>
      </c>
      <c r="H1564">
        <f>Master_ventas[[#This Row],[Profit]]/Master_ventas[[#This Row],[Sales]]</f>
        <v>0.15131756756756756</v>
      </c>
      <c r="I1564">
        <f ca="1">Referencia_Hoy-Master_ventas[[#This Row],[Order Date]]</f>
        <v>1166</v>
      </c>
      <c r="J1564" t="str">
        <f>UPPER(Master_ventas[[#This Row],[Product Name]])</f>
        <v>CAMERA</v>
      </c>
      <c r="K1564" t="str">
        <f>UPPER(Master_ventas[[#This Row],[Category]])</f>
        <v>ELECTRONICS</v>
      </c>
      <c r="L1564">
        <f>YEAR(Master_ventas[[#This Row],[Order Date]])</f>
        <v>2023</v>
      </c>
      <c r="M1564" t="str">
        <f>CONCATENATE(LEFT(Master_ventas[[#This Row],[ProdUpper]],3),RIGHT(Master_ventas[[#This Row],[Ext-Year]],2),"-",MID(Master_ventas[[#This Row],[Category]],1,1))</f>
        <v>CAM23-E</v>
      </c>
      <c r="N1564" t="str">
        <f>MID(Master_ventas[[#This Row],[ProdUpper]],1,3)</f>
        <v>CAM</v>
      </c>
      <c r="O1564" t="str">
        <f>UPPER(IF(Master_ventas[[#This Row],[Profit]]&gt;500,"High","Std"))</f>
        <v>STD</v>
      </c>
      <c r="P1564">
        <v>1563</v>
      </c>
    </row>
    <row r="1565" spans="1:16" x14ac:dyDescent="0.3">
      <c r="A1565" s="1">
        <v>44562</v>
      </c>
      <c r="B1565" t="s">
        <v>22</v>
      </c>
      <c r="C1565" t="s">
        <v>11</v>
      </c>
      <c r="D1565" t="s">
        <v>12</v>
      </c>
      <c r="E1565">
        <v>6</v>
      </c>
      <c r="F1565" s="3">
        <v>6372</v>
      </c>
      <c r="G1565" s="2">
        <v>570.75</v>
      </c>
      <c r="H1565">
        <f>Master_ventas[[#This Row],[Profit]]/Master_ventas[[#This Row],[Sales]]</f>
        <v>8.9571563088512246E-2</v>
      </c>
      <c r="I1565">
        <f ca="1">Referencia_Hoy-Master_ventas[[#This Row],[Order Date]]</f>
        <v>1761</v>
      </c>
      <c r="J1565" t="str">
        <f>UPPER(Master_ventas[[#This Row],[Product Name]])</f>
        <v>KEYBOARD</v>
      </c>
      <c r="K1565" t="str">
        <f>UPPER(Master_ventas[[#This Row],[Category]])</f>
        <v>ACCESSORIES</v>
      </c>
      <c r="L1565">
        <f>YEAR(Master_ventas[[#This Row],[Order Date]])</f>
        <v>2022</v>
      </c>
      <c r="M1565" t="str">
        <f>CONCATENATE(LEFT(Master_ventas[[#This Row],[ProdUpper]],3),RIGHT(Master_ventas[[#This Row],[Ext-Year]],2),"-",MID(Master_ventas[[#This Row],[Category]],1,1))</f>
        <v>KEY22-A</v>
      </c>
      <c r="N1565" t="str">
        <f>MID(Master_ventas[[#This Row],[ProdUpper]],1,3)</f>
        <v>KEY</v>
      </c>
      <c r="O1565" t="str">
        <f>UPPER(IF(Master_ventas[[#This Row],[Profit]]&gt;500,"High","Std"))</f>
        <v>HIGH</v>
      </c>
      <c r="P1565">
        <v>1564</v>
      </c>
    </row>
    <row r="1566" spans="1:16" x14ac:dyDescent="0.3">
      <c r="A1566" s="1">
        <v>45459</v>
      </c>
      <c r="B1566" t="s">
        <v>10</v>
      </c>
      <c r="C1566" t="s">
        <v>11</v>
      </c>
      <c r="D1566" t="s">
        <v>16</v>
      </c>
      <c r="E1566">
        <v>6</v>
      </c>
      <c r="F1566" s="3">
        <v>2214</v>
      </c>
      <c r="G1566" s="2">
        <v>322.73</v>
      </c>
      <c r="H1566">
        <f>Master_ventas[[#This Row],[Profit]]/Master_ventas[[#This Row],[Sales]]</f>
        <v>0.14576784101174345</v>
      </c>
      <c r="I1566">
        <f ca="1">Referencia_Hoy-Master_ventas[[#This Row],[Order Date]]</f>
        <v>864</v>
      </c>
      <c r="J1566" t="str">
        <f>UPPER(Master_ventas[[#This Row],[Product Name]])</f>
        <v>MOUSE</v>
      </c>
      <c r="K1566" t="str">
        <f>UPPER(Master_ventas[[#This Row],[Category]])</f>
        <v>ACCESSORIES</v>
      </c>
      <c r="L1566">
        <f>YEAR(Master_ventas[[#This Row],[Order Date]])</f>
        <v>2024</v>
      </c>
      <c r="M1566" t="str">
        <f>CONCATENATE(LEFT(Master_ventas[[#This Row],[ProdUpper]],3),RIGHT(Master_ventas[[#This Row],[Ext-Year]],2),"-",MID(Master_ventas[[#This Row],[Category]],1,1))</f>
        <v>MOU24-A</v>
      </c>
      <c r="N1566" t="str">
        <f>MID(Master_ventas[[#This Row],[ProdUpper]],1,3)</f>
        <v>MOU</v>
      </c>
      <c r="O1566" t="str">
        <f>UPPER(IF(Master_ventas[[#This Row],[Profit]]&gt;500,"High","Std"))</f>
        <v>STD</v>
      </c>
      <c r="P1566">
        <v>1565</v>
      </c>
    </row>
    <row r="1567" spans="1:16" x14ac:dyDescent="0.3">
      <c r="A1567" s="1">
        <v>45551</v>
      </c>
      <c r="B1567" t="s">
        <v>18</v>
      </c>
      <c r="C1567" t="s">
        <v>11</v>
      </c>
      <c r="D1567" t="s">
        <v>15</v>
      </c>
      <c r="E1567">
        <v>6</v>
      </c>
      <c r="F1567" s="3">
        <v>2640</v>
      </c>
      <c r="G1567" s="2">
        <v>734.44</v>
      </c>
      <c r="H1567">
        <f>Master_ventas[[#This Row],[Profit]]/Master_ventas[[#This Row],[Sales]]</f>
        <v>0.27819696969696972</v>
      </c>
      <c r="I1567">
        <f ca="1">Referencia_Hoy-Master_ventas[[#This Row],[Order Date]]</f>
        <v>772</v>
      </c>
      <c r="J1567" t="str">
        <f>UPPER(Master_ventas[[#This Row],[Product Name]])</f>
        <v>HEADPHONES</v>
      </c>
      <c r="K1567" t="str">
        <f>UPPER(Master_ventas[[#This Row],[Category]])</f>
        <v>ACCESSORIES</v>
      </c>
      <c r="L1567">
        <f>YEAR(Master_ventas[[#This Row],[Order Date]])</f>
        <v>2024</v>
      </c>
      <c r="M1567" t="str">
        <f>CONCATENATE(LEFT(Master_ventas[[#This Row],[ProdUpper]],3),RIGHT(Master_ventas[[#This Row],[Ext-Year]],2),"-",MID(Master_ventas[[#This Row],[Category]],1,1))</f>
        <v>HEA24-A</v>
      </c>
      <c r="N1567" t="str">
        <f>MID(Master_ventas[[#This Row],[ProdUpper]],1,3)</f>
        <v>HEA</v>
      </c>
      <c r="O1567" t="str">
        <f>UPPER(IF(Master_ventas[[#This Row],[Profit]]&gt;500,"High","Std"))</f>
        <v>HIGH</v>
      </c>
      <c r="P1567">
        <v>1566</v>
      </c>
    </row>
    <row r="1568" spans="1:16" x14ac:dyDescent="0.3">
      <c r="A1568" s="1">
        <v>45238</v>
      </c>
      <c r="B1568" t="s">
        <v>17</v>
      </c>
      <c r="C1568" t="s">
        <v>14</v>
      </c>
      <c r="D1568" t="s">
        <v>15</v>
      </c>
      <c r="E1568">
        <v>7</v>
      </c>
      <c r="F1568" s="3">
        <v>2240</v>
      </c>
      <c r="G1568" s="2">
        <v>580.47</v>
      </c>
      <c r="H1568">
        <f>Master_ventas[[#This Row],[Profit]]/Master_ventas[[#This Row],[Sales]]</f>
        <v>0.25913839285714285</v>
      </c>
      <c r="I1568">
        <f ca="1">Referencia_Hoy-Master_ventas[[#This Row],[Order Date]]</f>
        <v>1085</v>
      </c>
      <c r="J1568" t="str">
        <f>UPPER(Master_ventas[[#This Row],[Product Name]])</f>
        <v>CAMERA</v>
      </c>
      <c r="K1568" t="str">
        <f>UPPER(Master_ventas[[#This Row],[Category]])</f>
        <v>ELECTRONICS</v>
      </c>
      <c r="L1568">
        <f>YEAR(Master_ventas[[#This Row],[Order Date]])</f>
        <v>2023</v>
      </c>
      <c r="M1568" t="str">
        <f>CONCATENATE(LEFT(Master_ventas[[#This Row],[ProdUpper]],3),RIGHT(Master_ventas[[#This Row],[Ext-Year]],2),"-",MID(Master_ventas[[#This Row],[Category]],1,1))</f>
        <v>CAM23-E</v>
      </c>
      <c r="N1568" t="str">
        <f>MID(Master_ventas[[#This Row],[ProdUpper]],1,3)</f>
        <v>CAM</v>
      </c>
      <c r="O1568" t="str">
        <f>UPPER(IF(Master_ventas[[#This Row],[Profit]]&gt;500,"High","Std"))</f>
        <v>HIGH</v>
      </c>
      <c r="P1568">
        <v>1567</v>
      </c>
    </row>
    <row r="1569" spans="1:16" x14ac:dyDescent="0.3">
      <c r="A1569" s="1">
        <v>45052</v>
      </c>
      <c r="B1569" t="s">
        <v>19</v>
      </c>
      <c r="C1569" t="s">
        <v>14</v>
      </c>
      <c r="D1569" t="s">
        <v>12</v>
      </c>
      <c r="E1569">
        <v>7</v>
      </c>
      <c r="F1569" s="3">
        <v>6258</v>
      </c>
      <c r="G1569" s="2">
        <v>1347.74</v>
      </c>
      <c r="H1569">
        <f>Master_ventas[[#This Row],[Profit]]/Master_ventas[[#This Row],[Sales]]</f>
        <v>0.21536273569830616</v>
      </c>
      <c r="I1569">
        <f ca="1">Referencia_Hoy-Master_ventas[[#This Row],[Order Date]]</f>
        <v>1271</v>
      </c>
      <c r="J1569" t="str">
        <f>UPPER(Master_ventas[[#This Row],[Product Name]])</f>
        <v>SMARTWATCH</v>
      </c>
      <c r="K1569" t="str">
        <f>UPPER(Master_ventas[[#This Row],[Category]])</f>
        <v>ELECTRONICS</v>
      </c>
      <c r="L1569">
        <f>YEAR(Master_ventas[[#This Row],[Order Date]])</f>
        <v>2023</v>
      </c>
      <c r="M1569" t="str">
        <f>CONCATENATE(LEFT(Master_ventas[[#This Row],[ProdUpper]],3),RIGHT(Master_ventas[[#This Row],[Ext-Year]],2),"-",MID(Master_ventas[[#This Row],[Category]],1,1))</f>
        <v>SMA23-E</v>
      </c>
      <c r="N1569" t="str">
        <f>MID(Master_ventas[[#This Row],[ProdUpper]],1,3)</f>
        <v>SMA</v>
      </c>
      <c r="O1569" t="str">
        <f>UPPER(IF(Master_ventas[[#This Row],[Profit]]&gt;500,"High","Std"))</f>
        <v>HIGH</v>
      </c>
      <c r="P1569">
        <v>1568</v>
      </c>
    </row>
    <row r="1570" spans="1:16" x14ac:dyDescent="0.3">
      <c r="A1570" s="1">
        <v>45293</v>
      </c>
      <c r="B1570" t="s">
        <v>7</v>
      </c>
      <c r="C1570" t="s">
        <v>8</v>
      </c>
      <c r="D1570" t="s">
        <v>16</v>
      </c>
      <c r="E1570">
        <v>8</v>
      </c>
      <c r="F1570" s="3">
        <v>3816</v>
      </c>
      <c r="G1570" s="2">
        <v>574.57000000000005</v>
      </c>
      <c r="H1570">
        <f>Master_ventas[[#This Row],[Profit]]/Master_ventas[[#This Row],[Sales]]</f>
        <v>0.15056865828092245</v>
      </c>
      <c r="I1570">
        <f ca="1">Referencia_Hoy-Master_ventas[[#This Row],[Order Date]]</f>
        <v>1030</v>
      </c>
      <c r="J1570" t="str">
        <f>UPPER(Master_ventas[[#This Row],[Product Name]])</f>
        <v>PRINTER</v>
      </c>
      <c r="K1570" t="str">
        <f>UPPER(Master_ventas[[#This Row],[Category]])</f>
        <v>OFFICE</v>
      </c>
      <c r="L1570">
        <f>YEAR(Master_ventas[[#This Row],[Order Date]])</f>
        <v>2024</v>
      </c>
      <c r="M1570" t="str">
        <f>CONCATENATE(LEFT(Master_ventas[[#This Row],[ProdUpper]],3),RIGHT(Master_ventas[[#This Row],[Ext-Year]],2),"-",MID(Master_ventas[[#This Row],[Category]],1,1))</f>
        <v>PRI24-O</v>
      </c>
      <c r="N1570" t="str">
        <f>MID(Master_ventas[[#This Row],[ProdUpper]],1,3)</f>
        <v>PRI</v>
      </c>
      <c r="O1570" t="str">
        <f>UPPER(IF(Master_ventas[[#This Row],[Profit]]&gt;500,"High","Std"))</f>
        <v>HIGH</v>
      </c>
      <c r="P1570">
        <v>1569</v>
      </c>
    </row>
    <row r="1571" spans="1:16" x14ac:dyDescent="0.3">
      <c r="A1571" s="1">
        <v>44696</v>
      </c>
      <c r="B1571" t="s">
        <v>19</v>
      </c>
      <c r="C1571" t="s">
        <v>14</v>
      </c>
      <c r="D1571" t="s">
        <v>15</v>
      </c>
      <c r="E1571">
        <v>2</v>
      </c>
      <c r="F1571" s="3">
        <v>390</v>
      </c>
      <c r="G1571" s="2">
        <v>115.48</v>
      </c>
      <c r="H1571">
        <f>Master_ventas[[#This Row],[Profit]]/Master_ventas[[#This Row],[Sales]]</f>
        <v>0.29610256410256414</v>
      </c>
      <c r="I1571">
        <f ca="1">Referencia_Hoy-Master_ventas[[#This Row],[Order Date]]</f>
        <v>1627</v>
      </c>
      <c r="J1571" t="str">
        <f>UPPER(Master_ventas[[#This Row],[Product Name]])</f>
        <v>SMARTWATCH</v>
      </c>
      <c r="K1571" t="str">
        <f>UPPER(Master_ventas[[#This Row],[Category]])</f>
        <v>ELECTRONICS</v>
      </c>
      <c r="L1571">
        <f>YEAR(Master_ventas[[#This Row],[Order Date]])</f>
        <v>2022</v>
      </c>
      <c r="M1571" t="str">
        <f>CONCATENATE(LEFT(Master_ventas[[#This Row],[ProdUpper]],3),RIGHT(Master_ventas[[#This Row],[Ext-Year]],2),"-",MID(Master_ventas[[#This Row],[Category]],1,1))</f>
        <v>SMA22-E</v>
      </c>
      <c r="N1571" t="str">
        <f>MID(Master_ventas[[#This Row],[ProdUpper]],1,3)</f>
        <v>SMA</v>
      </c>
      <c r="O1571" t="str">
        <f>UPPER(IF(Master_ventas[[#This Row],[Profit]]&gt;500,"High","Std"))</f>
        <v>STD</v>
      </c>
      <c r="P1571">
        <v>1570</v>
      </c>
    </row>
    <row r="1572" spans="1:16" x14ac:dyDescent="0.3">
      <c r="A1572" s="1">
        <v>45474</v>
      </c>
      <c r="B1572" t="s">
        <v>13</v>
      </c>
      <c r="C1572" t="s">
        <v>14</v>
      </c>
      <c r="D1572" t="s">
        <v>15</v>
      </c>
      <c r="E1572">
        <v>7</v>
      </c>
      <c r="F1572" s="3">
        <v>630</v>
      </c>
      <c r="G1572" s="2">
        <v>83.28</v>
      </c>
      <c r="H1572">
        <f>Master_ventas[[#This Row],[Profit]]/Master_ventas[[#This Row],[Sales]]</f>
        <v>0.13219047619047619</v>
      </c>
      <c r="I1572">
        <f ca="1">Referencia_Hoy-Master_ventas[[#This Row],[Order Date]]</f>
        <v>849</v>
      </c>
      <c r="J1572" t="str">
        <f>UPPER(Master_ventas[[#This Row],[Product Name]])</f>
        <v>TABLET</v>
      </c>
      <c r="K1572" t="str">
        <f>UPPER(Master_ventas[[#This Row],[Category]])</f>
        <v>ELECTRONICS</v>
      </c>
      <c r="L1572">
        <f>YEAR(Master_ventas[[#This Row],[Order Date]])</f>
        <v>2024</v>
      </c>
      <c r="M1572" t="str">
        <f>CONCATENATE(LEFT(Master_ventas[[#This Row],[ProdUpper]],3),RIGHT(Master_ventas[[#This Row],[Ext-Year]],2),"-",MID(Master_ventas[[#This Row],[Category]],1,1))</f>
        <v>TAB24-E</v>
      </c>
      <c r="N1572" t="str">
        <f>MID(Master_ventas[[#This Row],[ProdUpper]],1,3)</f>
        <v>TAB</v>
      </c>
      <c r="O1572" t="str">
        <f>UPPER(IF(Master_ventas[[#This Row],[Profit]]&gt;500,"High","Std"))</f>
        <v>STD</v>
      </c>
      <c r="P1572">
        <v>1571</v>
      </c>
    </row>
    <row r="1573" spans="1:16" x14ac:dyDescent="0.3">
      <c r="A1573" s="1">
        <v>44805</v>
      </c>
      <c r="B1573" t="s">
        <v>21</v>
      </c>
      <c r="C1573" t="s">
        <v>14</v>
      </c>
      <c r="D1573" t="s">
        <v>15</v>
      </c>
      <c r="E1573">
        <v>4</v>
      </c>
      <c r="F1573" s="3">
        <v>3868</v>
      </c>
      <c r="G1573" s="2">
        <v>819.26</v>
      </c>
      <c r="H1573">
        <f>Master_ventas[[#This Row],[Profit]]/Master_ventas[[#This Row],[Sales]]</f>
        <v>0.21180455015511893</v>
      </c>
      <c r="I1573">
        <f ca="1">Referencia_Hoy-Master_ventas[[#This Row],[Order Date]]</f>
        <v>1518</v>
      </c>
      <c r="J1573" t="str">
        <f>UPPER(Master_ventas[[#This Row],[Product Name]])</f>
        <v>SMARTPHONE</v>
      </c>
      <c r="K1573" t="str">
        <f>UPPER(Master_ventas[[#This Row],[Category]])</f>
        <v>ELECTRONICS</v>
      </c>
      <c r="L1573">
        <f>YEAR(Master_ventas[[#This Row],[Order Date]])</f>
        <v>2022</v>
      </c>
      <c r="M1573" t="str">
        <f>CONCATENATE(LEFT(Master_ventas[[#This Row],[ProdUpper]],3),RIGHT(Master_ventas[[#This Row],[Ext-Year]],2),"-",MID(Master_ventas[[#This Row],[Category]],1,1))</f>
        <v>SMA22-E</v>
      </c>
      <c r="N1573" t="str">
        <f>MID(Master_ventas[[#This Row],[ProdUpper]],1,3)</f>
        <v>SMA</v>
      </c>
      <c r="O1573" t="str">
        <f>UPPER(IF(Master_ventas[[#This Row],[Profit]]&gt;500,"High","Std"))</f>
        <v>HIGH</v>
      </c>
      <c r="P1573">
        <v>1572</v>
      </c>
    </row>
    <row r="1574" spans="1:16" x14ac:dyDescent="0.3">
      <c r="A1574" s="1">
        <v>45104</v>
      </c>
      <c r="B1574" t="s">
        <v>20</v>
      </c>
      <c r="C1574" t="s">
        <v>11</v>
      </c>
      <c r="D1574" t="s">
        <v>9</v>
      </c>
      <c r="E1574">
        <v>1</v>
      </c>
      <c r="F1574" s="3">
        <v>777</v>
      </c>
      <c r="G1574" s="2">
        <v>211.31</v>
      </c>
      <c r="H1574">
        <f>Master_ventas[[#This Row],[Profit]]/Master_ventas[[#This Row],[Sales]]</f>
        <v>0.27195624195624196</v>
      </c>
      <c r="I1574">
        <f ca="1">Referencia_Hoy-Master_ventas[[#This Row],[Order Date]]</f>
        <v>1219</v>
      </c>
      <c r="J1574" t="str">
        <f>UPPER(Master_ventas[[#This Row],[Product Name]])</f>
        <v>MONITOR</v>
      </c>
      <c r="K1574" t="str">
        <f>UPPER(Master_ventas[[#This Row],[Category]])</f>
        <v>ACCESSORIES</v>
      </c>
      <c r="L1574">
        <f>YEAR(Master_ventas[[#This Row],[Order Date]])</f>
        <v>2023</v>
      </c>
      <c r="M1574" t="str">
        <f>CONCATENATE(LEFT(Master_ventas[[#This Row],[ProdUpper]],3),RIGHT(Master_ventas[[#This Row],[Ext-Year]],2),"-",MID(Master_ventas[[#This Row],[Category]],1,1))</f>
        <v>MON23-A</v>
      </c>
      <c r="N1574" t="str">
        <f>MID(Master_ventas[[#This Row],[ProdUpper]],1,3)</f>
        <v>MON</v>
      </c>
      <c r="O1574" t="str">
        <f>UPPER(IF(Master_ventas[[#This Row],[Profit]]&gt;500,"High","Std"))</f>
        <v>STD</v>
      </c>
      <c r="P1574">
        <v>1573</v>
      </c>
    </row>
    <row r="1575" spans="1:16" x14ac:dyDescent="0.3">
      <c r="A1575" s="1">
        <v>45440</v>
      </c>
      <c r="B1575" t="s">
        <v>20</v>
      </c>
      <c r="C1575" t="s">
        <v>11</v>
      </c>
      <c r="D1575" t="s">
        <v>9</v>
      </c>
      <c r="E1575">
        <v>3</v>
      </c>
      <c r="F1575" s="3">
        <v>1347</v>
      </c>
      <c r="G1575" s="2">
        <v>196.59</v>
      </c>
      <c r="H1575">
        <f>Master_ventas[[#This Row],[Profit]]/Master_ventas[[#This Row],[Sales]]</f>
        <v>0.14594654788418709</v>
      </c>
      <c r="I1575">
        <f ca="1">Referencia_Hoy-Master_ventas[[#This Row],[Order Date]]</f>
        <v>883</v>
      </c>
      <c r="J1575" t="str">
        <f>UPPER(Master_ventas[[#This Row],[Product Name]])</f>
        <v>MONITOR</v>
      </c>
      <c r="K1575" t="str">
        <f>UPPER(Master_ventas[[#This Row],[Category]])</f>
        <v>ACCESSORIES</v>
      </c>
      <c r="L1575">
        <f>YEAR(Master_ventas[[#This Row],[Order Date]])</f>
        <v>2024</v>
      </c>
      <c r="M1575" t="str">
        <f>CONCATENATE(LEFT(Master_ventas[[#This Row],[ProdUpper]],3),RIGHT(Master_ventas[[#This Row],[Ext-Year]],2),"-",MID(Master_ventas[[#This Row],[Category]],1,1))</f>
        <v>MON24-A</v>
      </c>
      <c r="N1575" t="str">
        <f>MID(Master_ventas[[#This Row],[ProdUpper]],1,3)</f>
        <v>MON</v>
      </c>
      <c r="O1575" t="str">
        <f>UPPER(IF(Master_ventas[[#This Row],[Profit]]&gt;500,"High","Std"))</f>
        <v>STD</v>
      </c>
      <c r="P1575">
        <v>1574</v>
      </c>
    </row>
    <row r="1576" spans="1:16" x14ac:dyDescent="0.3">
      <c r="A1576" s="1">
        <v>45063</v>
      </c>
      <c r="B1576" t="s">
        <v>23</v>
      </c>
      <c r="C1576" t="s">
        <v>14</v>
      </c>
      <c r="D1576" t="s">
        <v>12</v>
      </c>
      <c r="E1576">
        <v>9</v>
      </c>
      <c r="F1576" s="3">
        <v>7272</v>
      </c>
      <c r="G1576" s="2">
        <v>500.32</v>
      </c>
      <c r="H1576">
        <f>Master_ventas[[#This Row],[Profit]]/Master_ventas[[#This Row],[Sales]]</f>
        <v>6.8800880088008803E-2</v>
      </c>
      <c r="I1576">
        <f ca="1">Referencia_Hoy-Master_ventas[[#This Row],[Order Date]]</f>
        <v>1260</v>
      </c>
      <c r="J1576" t="str">
        <f>UPPER(Master_ventas[[#This Row],[Product Name]])</f>
        <v>LAPTOP</v>
      </c>
      <c r="K1576" t="str">
        <f>UPPER(Master_ventas[[#This Row],[Category]])</f>
        <v>ELECTRONICS</v>
      </c>
      <c r="L1576">
        <f>YEAR(Master_ventas[[#This Row],[Order Date]])</f>
        <v>2023</v>
      </c>
      <c r="M1576" t="str">
        <f>CONCATENATE(LEFT(Master_ventas[[#This Row],[ProdUpper]],3),RIGHT(Master_ventas[[#This Row],[Ext-Year]],2),"-",MID(Master_ventas[[#This Row],[Category]],1,1))</f>
        <v>LAP23-E</v>
      </c>
      <c r="N1576" t="str">
        <f>MID(Master_ventas[[#This Row],[ProdUpper]],1,3)</f>
        <v>LAP</v>
      </c>
      <c r="O1576" t="str">
        <f>UPPER(IF(Master_ventas[[#This Row],[Profit]]&gt;500,"High","Std"))</f>
        <v>HIGH</v>
      </c>
      <c r="P1576">
        <v>1575</v>
      </c>
    </row>
    <row r="1577" spans="1:16" x14ac:dyDescent="0.3">
      <c r="A1577" s="1">
        <v>45563</v>
      </c>
      <c r="B1577" t="s">
        <v>7</v>
      </c>
      <c r="C1577" t="s">
        <v>8</v>
      </c>
      <c r="D1577" t="s">
        <v>9</v>
      </c>
      <c r="E1577">
        <v>6</v>
      </c>
      <c r="F1577" s="3">
        <v>5724</v>
      </c>
      <c r="G1577" s="2">
        <v>857.33</v>
      </c>
      <c r="H1577">
        <f>Master_ventas[[#This Row],[Profit]]/Master_ventas[[#This Row],[Sales]]</f>
        <v>0.14977812718378758</v>
      </c>
      <c r="I1577">
        <f ca="1">Referencia_Hoy-Master_ventas[[#This Row],[Order Date]]</f>
        <v>760</v>
      </c>
      <c r="J1577" t="str">
        <f>UPPER(Master_ventas[[#This Row],[Product Name]])</f>
        <v>PRINTER</v>
      </c>
      <c r="K1577" t="str">
        <f>UPPER(Master_ventas[[#This Row],[Category]])</f>
        <v>OFFICE</v>
      </c>
      <c r="L1577">
        <f>YEAR(Master_ventas[[#This Row],[Order Date]])</f>
        <v>2024</v>
      </c>
      <c r="M1577" t="str">
        <f>CONCATENATE(LEFT(Master_ventas[[#This Row],[ProdUpper]],3),RIGHT(Master_ventas[[#This Row],[Ext-Year]],2),"-",MID(Master_ventas[[#This Row],[Category]],1,1))</f>
        <v>PRI24-O</v>
      </c>
      <c r="N1577" t="str">
        <f>MID(Master_ventas[[#This Row],[ProdUpper]],1,3)</f>
        <v>PRI</v>
      </c>
      <c r="O1577" t="str">
        <f>UPPER(IF(Master_ventas[[#This Row],[Profit]]&gt;500,"High","Std"))</f>
        <v>HIGH</v>
      </c>
      <c r="P1577">
        <v>1576</v>
      </c>
    </row>
    <row r="1578" spans="1:16" x14ac:dyDescent="0.3">
      <c r="A1578" s="1">
        <v>44688</v>
      </c>
      <c r="B1578" t="s">
        <v>18</v>
      </c>
      <c r="C1578" t="s">
        <v>11</v>
      </c>
      <c r="D1578" t="s">
        <v>16</v>
      </c>
      <c r="E1578">
        <v>3</v>
      </c>
      <c r="F1578" s="3">
        <v>312</v>
      </c>
      <c r="G1578" s="2">
        <v>74.8</v>
      </c>
      <c r="H1578">
        <f>Master_ventas[[#This Row],[Profit]]/Master_ventas[[#This Row],[Sales]]</f>
        <v>0.23974358974358972</v>
      </c>
      <c r="I1578">
        <f ca="1">Referencia_Hoy-Master_ventas[[#This Row],[Order Date]]</f>
        <v>1635</v>
      </c>
      <c r="J1578" t="str">
        <f>UPPER(Master_ventas[[#This Row],[Product Name]])</f>
        <v>HEADPHONES</v>
      </c>
      <c r="K1578" t="str">
        <f>UPPER(Master_ventas[[#This Row],[Category]])</f>
        <v>ACCESSORIES</v>
      </c>
      <c r="L1578">
        <f>YEAR(Master_ventas[[#This Row],[Order Date]])</f>
        <v>2022</v>
      </c>
      <c r="M1578" t="str">
        <f>CONCATENATE(LEFT(Master_ventas[[#This Row],[ProdUpper]],3),RIGHT(Master_ventas[[#This Row],[Ext-Year]],2),"-",MID(Master_ventas[[#This Row],[Category]],1,1))</f>
        <v>HEA22-A</v>
      </c>
      <c r="N1578" t="str">
        <f>MID(Master_ventas[[#This Row],[ProdUpper]],1,3)</f>
        <v>HEA</v>
      </c>
      <c r="O1578" t="str">
        <f>UPPER(IF(Master_ventas[[#This Row],[Profit]]&gt;500,"High","Std"))</f>
        <v>STD</v>
      </c>
      <c r="P1578">
        <v>1577</v>
      </c>
    </row>
    <row r="1579" spans="1:16" x14ac:dyDescent="0.3">
      <c r="A1579" s="1">
        <v>45064</v>
      </c>
      <c r="B1579" t="s">
        <v>23</v>
      </c>
      <c r="C1579" t="s">
        <v>14</v>
      </c>
      <c r="D1579" t="s">
        <v>12</v>
      </c>
      <c r="E1579">
        <v>3</v>
      </c>
      <c r="F1579" s="3">
        <v>1947</v>
      </c>
      <c r="G1579" s="2">
        <v>239.63</v>
      </c>
      <c r="H1579">
        <f>Master_ventas[[#This Row],[Profit]]/Master_ventas[[#This Row],[Sales]]</f>
        <v>0.12307652799178223</v>
      </c>
      <c r="I1579">
        <f ca="1">Referencia_Hoy-Master_ventas[[#This Row],[Order Date]]</f>
        <v>1259</v>
      </c>
      <c r="J1579" t="str">
        <f>UPPER(Master_ventas[[#This Row],[Product Name]])</f>
        <v>LAPTOP</v>
      </c>
      <c r="K1579" t="str">
        <f>UPPER(Master_ventas[[#This Row],[Category]])</f>
        <v>ELECTRONICS</v>
      </c>
      <c r="L1579">
        <f>YEAR(Master_ventas[[#This Row],[Order Date]])</f>
        <v>2023</v>
      </c>
      <c r="M1579" t="str">
        <f>CONCATENATE(LEFT(Master_ventas[[#This Row],[ProdUpper]],3),RIGHT(Master_ventas[[#This Row],[Ext-Year]],2),"-",MID(Master_ventas[[#This Row],[Category]],1,1))</f>
        <v>LAP23-E</v>
      </c>
      <c r="N1579" t="str">
        <f>MID(Master_ventas[[#This Row],[ProdUpper]],1,3)</f>
        <v>LAP</v>
      </c>
      <c r="O1579" t="str">
        <f>UPPER(IF(Master_ventas[[#This Row],[Profit]]&gt;500,"High","Std"))</f>
        <v>STD</v>
      </c>
      <c r="P1579">
        <v>1578</v>
      </c>
    </row>
    <row r="1580" spans="1:16" x14ac:dyDescent="0.3">
      <c r="A1580" s="1">
        <v>45208</v>
      </c>
      <c r="B1580" t="s">
        <v>13</v>
      </c>
      <c r="C1580" t="s">
        <v>14</v>
      </c>
      <c r="D1580" t="s">
        <v>9</v>
      </c>
      <c r="E1580">
        <v>6</v>
      </c>
      <c r="F1580" s="3">
        <v>1128</v>
      </c>
      <c r="G1580" s="2">
        <v>207.97</v>
      </c>
      <c r="H1580">
        <f>Master_ventas[[#This Row],[Profit]]/Master_ventas[[#This Row],[Sales]]</f>
        <v>0.18437056737588653</v>
      </c>
      <c r="I1580">
        <f ca="1">Referencia_Hoy-Master_ventas[[#This Row],[Order Date]]</f>
        <v>1115</v>
      </c>
      <c r="J1580" t="str">
        <f>UPPER(Master_ventas[[#This Row],[Product Name]])</f>
        <v>TABLET</v>
      </c>
      <c r="K1580" t="str">
        <f>UPPER(Master_ventas[[#This Row],[Category]])</f>
        <v>ELECTRONICS</v>
      </c>
      <c r="L1580">
        <f>YEAR(Master_ventas[[#This Row],[Order Date]])</f>
        <v>2023</v>
      </c>
      <c r="M1580" t="str">
        <f>CONCATENATE(LEFT(Master_ventas[[#This Row],[ProdUpper]],3),RIGHT(Master_ventas[[#This Row],[Ext-Year]],2),"-",MID(Master_ventas[[#This Row],[Category]],1,1))</f>
        <v>TAB23-E</v>
      </c>
      <c r="N1580" t="str">
        <f>MID(Master_ventas[[#This Row],[ProdUpper]],1,3)</f>
        <v>TAB</v>
      </c>
      <c r="O1580" t="str">
        <f>UPPER(IF(Master_ventas[[#This Row],[Profit]]&gt;500,"High","Std"))</f>
        <v>STD</v>
      </c>
      <c r="P1580">
        <v>1579</v>
      </c>
    </row>
    <row r="1581" spans="1:16" x14ac:dyDescent="0.3">
      <c r="A1581" s="1">
        <v>44990</v>
      </c>
      <c r="B1581" t="s">
        <v>23</v>
      </c>
      <c r="C1581" t="s">
        <v>14</v>
      </c>
      <c r="D1581" t="s">
        <v>12</v>
      </c>
      <c r="E1581">
        <v>9</v>
      </c>
      <c r="F1581" s="3">
        <v>4158</v>
      </c>
      <c r="G1581" s="2">
        <v>672.32</v>
      </c>
      <c r="H1581">
        <f>Master_ventas[[#This Row],[Profit]]/Master_ventas[[#This Row],[Sales]]</f>
        <v>0.16169312169312169</v>
      </c>
      <c r="I1581">
        <f ca="1">Referencia_Hoy-Master_ventas[[#This Row],[Order Date]]</f>
        <v>1333</v>
      </c>
      <c r="J1581" t="str">
        <f>UPPER(Master_ventas[[#This Row],[Product Name]])</f>
        <v>LAPTOP</v>
      </c>
      <c r="K1581" t="str">
        <f>UPPER(Master_ventas[[#This Row],[Category]])</f>
        <v>ELECTRONICS</v>
      </c>
      <c r="L1581">
        <f>YEAR(Master_ventas[[#This Row],[Order Date]])</f>
        <v>2023</v>
      </c>
      <c r="M1581" t="str">
        <f>CONCATENATE(LEFT(Master_ventas[[#This Row],[ProdUpper]],3),RIGHT(Master_ventas[[#This Row],[Ext-Year]],2),"-",MID(Master_ventas[[#This Row],[Category]],1,1))</f>
        <v>LAP23-E</v>
      </c>
      <c r="N1581" t="str">
        <f>MID(Master_ventas[[#This Row],[ProdUpper]],1,3)</f>
        <v>LAP</v>
      </c>
      <c r="O1581" t="str">
        <f>UPPER(IF(Master_ventas[[#This Row],[Profit]]&gt;500,"High","Std"))</f>
        <v>HIGH</v>
      </c>
      <c r="P1581">
        <v>1580</v>
      </c>
    </row>
    <row r="1582" spans="1:16" x14ac:dyDescent="0.3">
      <c r="A1582" s="1">
        <v>45477</v>
      </c>
      <c r="B1582" t="s">
        <v>22</v>
      </c>
      <c r="C1582" t="s">
        <v>11</v>
      </c>
      <c r="D1582" t="s">
        <v>12</v>
      </c>
      <c r="E1582">
        <v>6</v>
      </c>
      <c r="F1582" s="3">
        <v>2670</v>
      </c>
      <c r="G1582" s="2">
        <v>782.28</v>
      </c>
      <c r="H1582">
        <f>Master_ventas[[#This Row],[Profit]]/Master_ventas[[#This Row],[Sales]]</f>
        <v>0.29298876404494378</v>
      </c>
      <c r="I1582">
        <f ca="1">Referencia_Hoy-Master_ventas[[#This Row],[Order Date]]</f>
        <v>846</v>
      </c>
      <c r="J1582" t="str">
        <f>UPPER(Master_ventas[[#This Row],[Product Name]])</f>
        <v>KEYBOARD</v>
      </c>
      <c r="K1582" t="str">
        <f>UPPER(Master_ventas[[#This Row],[Category]])</f>
        <v>ACCESSORIES</v>
      </c>
      <c r="L1582">
        <f>YEAR(Master_ventas[[#This Row],[Order Date]])</f>
        <v>2024</v>
      </c>
      <c r="M1582" t="str">
        <f>CONCATENATE(LEFT(Master_ventas[[#This Row],[ProdUpper]],3),RIGHT(Master_ventas[[#This Row],[Ext-Year]],2),"-",MID(Master_ventas[[#This Row],[Category]],1,1))</f>
        <v>KEY24-A</v>
      </c>
      <c r="N1582" t="str">
        <f>MID(Master_ventas[[#This Row],[ProdUpper]],1,3)</f>
        <v>KEY</v>
      </c>
      <c r="O1582" t="str">
        <f>UPPER(IF(Master_ventas[[#This Row],[Profit]]&gt;500,"High","Std"))</f>
        <v>HIGH</v>
      </c>
      <c r="P1582">
        <v>1581</v>
      </c>
    </row>
    <row r="1583" spans="1:16" x14ac:dyDescent="0.3">
      <c r="A1583" s="1">
        <v>45443</v>
      </c>
      <c r="B1583" t="s">
        <v>18</v>
      </c>
      <c r="C1583" t="s">
        <v>11</v>
      </c>
      <c r="D1583" t="s">
        <v>12</v>
      </c>
      <c r="E1583">
        <v>1</v>
      </c>
      <c r="F1583" s="3">
        <v>85</v>
      </c>
      <c r="G1583" s="2">
        <v>17.71</v>
      </c>
      <c r="H1583">
        <f>Master_ventas[[#This Row],[Profit]]/Master_ventas[[#This Row],[Sales]]</f>
        <v>0.2083529411764706</v>
      </c>
      <c r="I1583">
        <f ca="1">Referencia_Hoy-Master_ventas[[#This Row],[Order Date]]</f>
        <v>880</v>
      </c>
      <c r="J1583" t="str">
        <f>UPPER(Master_ventas[[#This Row],[Product Name]])</f>
        <v>HEADPHONES</v>
      </c>
      <c r="K1583" t="str">
        <f>UPPER(Master_ventas[[#This Row],[Category]])</f>
        <v>ACCESSORIES</v>
      </c>
      <c r="L1583">
        <f>YEAR(Master_ventas[[#This Row],[Order Date]])</f>
        <v>2024</v>
      </c>
      <c r="M1583" t="str">
        <f>CONCATENATE(LEFT(Master_ventas[[#This Row],[ProdUpper]],3),RIGHT(Master_ventas[[#This Row],[Ext-Year]],2),"-",MID(Master_ventas[[#This Row],[Category]],1,1))</f>
        <v>HEA24-A</v>
      </c>
      <c r="N1583" t="str">
        <f>MID(Master_ventas[[#This Row],[ProdUpper]],1,3)</f>
        <v>HEA</v>
      </c>
      <c r="O1583" t="str">
        <f>UPPER(IF(Master_ventas[[#This Row],[Profit]]&gt;500,"High","Std"))</f>
        <v>STD</v>
      </c>
      <c r="P1583">
        <v>1582</v>
      </c>
    </row>
    <row r="1584" spans="1:16" x14ac:dyDescent="0.3">
      <c r="A1584" s="1">
        <v>45270</v>
      </c>
      <c r="B1584" t="s">
        <v>10</v>
      </c>
      <c r="C1584" t="s">
        <v>11</v>
      </c>
      <c r="D1584" t="s">
        <v>12</v>
      </c>
      <c r="E1584">
        <v>8</v>
      </c>
      <c r="F1584" s="3">
        <v>4136</v>
      </c>
      <c r="G1584" s="2">
        <v>1056.54</v>
      </c>
      <c r="H1584">
        <f>Master_ventas[[#This Row],[Profit]]/Master_ventas[[#This Row],[Sales]]</f>
        <v>0.25544970986460347</v>
      </c>
      <c r="I1584">
        <f ca="1">Referencia_Hoy-Master_ventas[[#This Row],[Order Date]]</f>
        <v>1053</v>
      </c>
      <c r="J1584" t="str">
        <f>UPPER(Master_ventas[[#This Row],[Product Name]])</f>
        <v>MOUSE</v>
      </c>
      <c r="K1584" t="str">
        <f>UPPER(Master_ventas[[#This Row],[Category]])</f>
        <v>ACCESSORIES</v>
      </c>
      <c r="L1584">
        <f>YEAR(Master_ventas[[#This Row],[Order Date]])</f>
        <v>2023</v>
      </c>
      <c r="M1584" t="str">
        <f>CONCATENATE(LEFT(Master_ventas[[#This Row],[ProdUpper]],3),RIGHT(Master_ventas[[#This Row],[Ext-Year]],2),"-",MID(Master_ventas[[#This Row],[Category]],1,1))</f>
        <v>MOU23-A</v>
      </c>
      <c r="N1584" t="str">
        <f>MID(Master_ventas[[#This Row],[ProdUpper]],1,3)</f>
        <v>MOU</v>
      </c>
      <c r="O1584" t="str">
        <f>UPPER(IF(Master_ventas[[#This Row],[Profit]]&gt;500,"High","Std"))</f>
        <v>HIGH</v>
      </c>
      <c r="P1584">
        <v>1583</v>
      </c>
    </row>
    <row r="1585" spans="1:16" x14ac:dyDescent="0.3">
      <c r="A1585" s="1">
        <v>44688</v>
      </c>
      <c r="B1585" t="s">
        <v>13</v>
      </c>
      <c r="C1585" t="s">
        <v>14</v>
      </c>
      <c r="D1585" t="s">
        <v>9</v>
      </c>
      <c r="E1585">
        <v>6</v>
      </c>
      <c r="F1585" s="3">
        <v>4332</v>
      </c>
      <c r="G1585" s="2">
        <v>348.61</v>
      </c>
      <c r="H1585">
        <f>Master_ventas[[#This Row],[Profit]]/Master_ventas[[#This Row],[Sales]]</f>
        <v>8.0473222530009242E-2</v>
      </c>
      <c r="I1585">
        <f ca="1">Referencia_Hoy-Master_ventas[[#This Row],[Order Date]]</f>
        <v>1635</v>
      </c>
      <c r="J1585" t="str">
        <f>UPPER(Master_ventas[[#This Row],[Product Name]])</f>
        <v>TABLET</v>
      </c>
      <c r="K1585" t="str">
        <f>UPPER(Master_ventas[[#This Row],[Category]])</f>
        <v>ELECTRONICS</v>
      </c>
      <c r="L1585">
        <f>YEAR(Master_ventas[[#This Row],[Order Date]])</f>
        <v>2022</v>
      </c>
      <c r="M1585" t="str">
        <f>CONCATENATE(LEFT(Master_ventas[[#This Row],[ProdUpper]],3),RIGHT(Master_ventas[[#This Row],[Ext-Year]],2),"-",MID(Master_ventas[[#This Row],[Category]],1,1))</f>
        <v>TAB22-E</v>
      </c>
      <c r="N1585" t="str">
        <f>MID(Master_ventas[[#This Row],[ProdUpper]],1,3)</f>
        <v>TAB</v>
      </c>
      <c r="O1585" t="str">
        <f>UPPER(IF(Master_ventas[[#This Row],[Profit]]&gt;500,"High","Std"))</f>
        <v>STD</v>
      </c>
      <c r="P1585">
        <v>1584</v>
      </c>
    </row>
    <row r="1586" spans="1:16" x14ac:dyDescent="0.3">
      <c r="A1586" s="1">
        <v>45474</v>
      </c>
      <c r="B1586" t="s">
        <v>20</v>
      </c>
      <c r="C1586" t="s">
        <v>11</v>
      </c>
      <c r="D1586" t="s">
        <v>9</v>
      </c>
      <c r="E1586">
        <v>8</v>
      </c>
      <c r="F1586" s="3">
        <v>1600</v>
      </c>
      <c r="G1586" s="2">
        <v>305.3</v>
      </c>
      <c r="H1586">
        <f>Master_ventas[[#This Row],[Profit]]/Master_ventas[[#This Row],[Sales]]</f>
        <v>0.1908125</v>
      </c>
      <c r="I1586">
        <f ca="1">Referencia_Hoy-Master_ventas[[#This Row],[Order Date]]</f>
        <v>849</v>
      </c>
      <c r="J1586" t="str">
        <f>UPPER(Master_ventas[[#This Row],[Product Name]])</f>
        <v>MONITOR</v>
      </c>
      <c r="K1586" t="str">
        <f>UPPER(Master_ventas[[#This Row],[Category]])</f>
        <v>ACCESSORIES</v>
      </c>
      <c r="L1586">
        <f>YEAR(Master_ventas[[#This Row],[Order Date]])</f>
        <v>2024</v>
      </c>
      <c r="M1586" t="str">
        <f>CONCATENATE(LEFT(Master_ventas[[#This Row],[ProdUpper]],3),RIGHT(Master_ventas[[#This Row],[Ext-Year]],2),"-",MID(Master_ventas[[#This Row],[Category]],1,1))</f>
        <v>MON24-A</v>
      </c>
      <c r="N1586" t="str">
        <f>MID(Master_ventas[[#This Row],[ProdUpper]],1,3)</f>
        <v>MON</v>
      </c>
      <c r="O1586" t="str">
        <f>UPPER(IF(Master_ventas[[#This Row],[Profit]]&gt;500,"High","Std"))</f>
        <v>STD</v>
      </c>
      <c r="P1586">
        <v>1585</v>
      </c>
    </row>
    <row r="1587" spans="1:16" x14ac:dyDescent="0.3">
      <c r="A1587" s="1">
        <v>45227</v>
      </c>
      <c r="B1587" t="s">
        <v>13</v>
      </c>
      <c r="C1587" t="s">
        <v>14</v>
      </c>
      <c r="D1587" t="s">
        <v>12</v>
      </c>
      <c r="E1587">
        <v>7</v>
      </c>
      <c r="F1587" s="3">
        <v>5075</v>
      </c>
      <c r="G1587" s="2">
        <v>471.21</v>
      </c>
      <c r="H1587">
        <f>Master_ventas[[#This Row],[Profit]]/Master_ventas[[#This Row],[Sales]]</f>
        <v>9.2849261083743834E-2</v>
      </c>
      <c r="I1587">
        <f ca="1">Referencia_Hoy-Master_ventas[[#This Row],[Order Date]]</f>
        <v>1096</v>
      </c>
      <c r="J1587" t="str">
        <f>UPPER(Master_ventas[[#This Row],[Product Name]])</f>
        <v>TABLET</v>
      </c>
      <c r="K1587" t="str">
        <f>UPPER(Master_ventas[[#This Row],[Category]])</f>
        <v>ELECTRONICS</v>
      </c>
      <c r="L1587">
        <f>YEAR(Master_ventas[[#This Row],[Order Date]])</f>
        <v>2023</v>
      </c>
      <c r="M1587" t="str">
        <f>CONCATENATE(LEFT(Master_ventas[[#This Row],[ProdUpper]],3),RIGHT(Master_ventas[[#This Row],[Ext-Year]],2),"-",MID(Master_ventas[[#This Row],[Category]],1,1))</f>
        <v>TAB23-E</v>
      </c>
      <c r="N1587" t="str">
        <f>MID(Master_ventas[[#This Row],[ProdUpper]],1,3)</f>
        <v>TAB</v>
      </c>
      <c r="O1587" t="str">
        <f>UPPER(IF(Master_ventas[[#This Row],[Profit]]&gt;500,"High","Std"))</f>
        <v>STD</v>
      </c>
      <c r="P1587">
        <v>1586</v>
      </c>
    </row>
    <row r="1588" spans="1:16" x14ac:dyDescent="0.3">
      <c r="A1588" s="1">
        <v>44769</v>
      </c>
      <c r="B1588" t="s">
        <v>13</v>
      </c>
      <c r="C1588" t="s">
        <v>14</v>
      </c>
      <c r="D1588" t="s">
        <v>15</v>
      </c>
      <c r="E1588">
        <v>6</v>
      </c>
      <c r="F1588" s="3">
        <v>4152</v>
      </c>
      <c r="G1588" s="2">
        <v>1065.46</v>
      </c>
      <c r="H1588">
        <f>Master_ventas[[#This Row],[Profit]]/Master_ventas[[#This Row],[Sales]]</f>
        <v>0.2566136801541426</v>
      </c>
      <c r="I1588">
        <f ca="1">Referencia_Hoy-Master_ventas[[#This Row],[Order Date]]</f>
        <v>1554</v>
      </c>
      <c r="J1588" t="str">
        <f>UPPER(Master_ventas[[#This Row],[Product Name]])</f>
        <v>TABLET</v>
      </c>
      <c r="K1588" t="str">
        <f>UPPER(Master_ventas[[#This Row],[Category]])</f>
        <v>ELECTRONICS</v>
      </c>
      <c r="L1588">
        <f>YEAR(Master_ventas[[#This Row],[Order Date]])</f>
        <v>2022</v>
      </c>
      <c r="M1588" t="str">
        <f>CONCATENATE(LEFT(Master_ventas[[#This Row],[ProdUpper]],3),RIGHT(Master_ventas[[#This Row],[Ext-Year]],2),"-",MID(Master_ventas[[#This Row],[Category]],1,1))</f>
        <v>TAB22-E</v>
      </c>
      <c r="N1588" t="str">
        <f>MID(Master_ventas[[#This Row],[ProdUpper]],1,3)</f>
        <v>TAB</v>
      </c>
      <c r="O1588" t="str">
        <f>UPPER(IF(Master_ventas[[#This Row],[Profit]]&gt;500,"High","Std"))</f>
        <v>HIGH</v>
      </c>
      <c r="P1588">
        <v>1587</v>
      </c>
    </row>
    <row r="1589" spans="1:16" x14ac:dyDescent="0.3">
      <c r="A1589" s="1">
        <v>44694</v>
      </c>
      <c r="B1589" t="s">
        <v>7</v>
      </c>
      <c r="C1589" t="s">
        <v>8</v>
      </c>
      <c r="D1589" t="s">
        <v>12</v>
      </c>
      <c r="E1589">
        <v>7</v>
      </c>
      <c r="F1589" s="3">
        <v>5635</v>
      </c>
      <c r="G1589" s="2">
        <v>1665.01</v>
      </c>
      <c r="H1589">
        <f>Master_ventas[[#This Row],[Profit]]/Master_ventas[[#This Row],[Sales]]</f>
        <v>0.29547648624667255</v>
      </c>
      <c r="I1589">
        <f ca="1">Referencia_Hoy-Master_ventas[[#This Row],[Order Date]]</f>
        <v>1629</v>
      </c>
      <c r="J1589" t="str">
        <f>UPPER(Master_ventas[[#This Row],[Product Name]])</f>
        <v>PRINTER</v>
      </c>
      <c r="K1589" t="str">
        <f>UPPER(Master_ventas[[#This Row],[Category]])</f>
        <v>OFFICE</v>
      </c>
      <c r="L1589">
        <f>YEAR(Master_ventas[[#This Row],[Order Date]])</f>
        <v>2022</v>
      </c>
      <c r="M1589" t="str">
        <f>CONCATENATE(LEFT(Master_ventas[[#This Row],[ProdUpper]],3),RIGHT(Master_ventas[[#This Row],[Ext-Year]],2),"-",MID(Master_ventas[[#This Row],[Category]],1,1))</f>
        <v>PRI22-O</v>
      </c>
      <c r="N1589" t="str">
        <f>MID(Master_ventas[[#This Row],[ProdUpper]],1,3)</f>
        <v>PRI</v>
      </c>
      <c r="O1589" t="str">
        <f>UPPER(IF(Master_ventas[[#This Row],[Profit]]&gt;500,"High","Std"))</f>
        <v>HIGH</v>
      </c>
      <c r="P1589">
        <v>1588</v>
      </c>
    </row>
    <row r="1590" spans="1:16" x14ac:dyDescent="0.3">
      <c r="A1590" s="1">
        <v>44820</v>
      </c>
      <c r="B1590" t="s">
        <v>19</v>
      </c>
      <c r="C1590" t="s">
        <v>14</v>
      </c>
      <c r="D1590" t="s">
        <v>12</v>
      </c>
      <c r="E1590">
        <v>3</v>
      </c>
      <c r="F1590" s="3">
        <v>3108</v>
      </c>
      <c r="G1590" s="2">
        <v>220.97</v>
      </c>
      <c r="H1590">
        <f>Master_ventas[[#This Row],[Profit]]/Master_ventas[[#This Row],[Sales]]</f>
        <v>7.1097168597168595E-2</v>
      </c>
      <c r="I1590">
        <f ca="1">Referencia_Hoy-Master_ventas[[#This Row],[Order Date]]</f>
        <v>1503</v>
      </c>
      <c r="J1590" t="str">
        <f>UPPER(Master_ventas[[#This Row],[Product Name]])</f>
        <v>SMARTWATCH</v>
      </c>
      <c r="K1590" t="str">
        <f>UPPER(Master_ventas[[#This Row],[Category]])</f>
        <v>ELECTRONICS</v>
      </c>
      <c r="L1590">
        <f>YEAR(Master_ventas[[#This Row],[Order Date]])</f>
        <v>2022</v>
      </c>
      <c r="M1590" t="str">
        <f>CONCATENATE(LEFT(Master_ventas[[#This Row],[ProdUpper]],3),RIGHT(Master_ventas[[#This Row],[Ext-Year]],2),"-",MID(Master_ventas[[#This Row],[Category]],1,1))</f>
        <v>SMA22-E</v>
      </c>
      <c r="N1590" t="str">
        <f>MID(Master_ventas[[#This Row],[ProdUpper]],1,3)</f>
        <v>SMA</v>
      </c>
      <c r="O1590" t="str">
        <f>UPPER(IF(Master_ventas[[#This Row],[Profit]]&gt;500,"High","Std"))</f>
        <v>STD</v>
      </c>
      <c r="P1590">
        <v>1589</v>
      </c>
    </row>
    <row r="1591" spans="1:16" x14ac:dyDescent="0.3">
      <c r="A1591" s="1">
        <v>44858</v>
      </c>
      <c r="B1591" t="s">
        <v>19</v>
      </c>
      <c r="C1591" t="s">
        <v>14</v>
      </c>
      <c r="D1591" t="s">
        <v>15</v>
      </c>
      <c r="E1591">
        <v>7</v>
      </c>
      <c r="F1591" s="3">
        <v>4270</v>
      </c>
      <c r="G1591" s="2">
        <v>1197.44</v>
      </c>
      <c r="H1591">
        <f>Master_ventas[[#This Row],[Profit]]/Master_ventas[[#This Row],[Sales]]</f>
        <v>0.28043091334894615</v>
      </c>
      <c r="I1591">
        <f ca="1">Referencia_Hoy-Master_ventas[[#This Row],[Order Date]]</f>
        <v>1465</v>
      </c>
      <c r="J1591" t="str">
        <f>UPPER(Master_ventas[[#This Row],[Product Name]])</f>
        <v>SMARTWATCH</v>
      </c>
      <c r="K1591" t="str">
        <f>UPPER(Master_ventas[[#This Row],[Category]])</f>
        <v>ELECTRONICS</v>
      </c>
      <c r="L1591">
        <f>YEAR(Master_ventas[[#This Row],[Order Date]])</f>
        <v>2022</v>
      </c>
      <c r="M1591" t="str">
        <f>CONCATENATE(LEFT(Master_ventas[[#This Row],[ProdUpper]],3),RIGHT(Master_ventas[[#This Row],[Ext-Year]],2),"-",MID(Master_ventas[[#This Row],[Category]],1,1))</f>
        <v>SMA22-E</v>
      </c>
      <c r="N1591" t="str">
        <f>MID(Master_ventas[[#This Row],[ProdUpper]],1,3)</f>
        <v>SMA</v>
      </c>
      <c r="O1591" t="str">
        <f>UPPER(IF(Master_ventas[[#This Row],[Profit]]&gt;500,"High","Std"))</f>
        <v>HIGH</v>
      </c>
      <c r="P1591">
        <v>1590</v>
      </c>
    </row>
    <row r="1592" spans="1:16" x14ac:dyDescent="0.3">
      <c r="A1592" s="1">
        <v>44972</v>
      </c>
      <c r="B1592" t="s">
        <v>20</v>
      </c>
      <c r="C1592" t="s">
        <v>11</v>
      </c>
      <c r="D1592" t="s">
        <v>16</v>
      </c>
      <c r="E1592">
        <v>5</v>
      </c>
      <c r="F1592" s="3">
        <v>1350</v>
      </c>
      <c r="G1592" s="2">
        <v>321.89999999999998</v>
      </c>
      <c r="H1592">
        <f>Master_ventas[[#This Row],[Profit]]/Master_ventas[[#This Row],[Sales]]</f>
        <v>0.23844444444444443</v>
      </c>
      <c r="I1592">
        <f ca="1">Referencia_Hoy-Master_ventas[[#This Row],[Order Date]]</f>
        <v>1351</v>
      </c>
      <c r="J1592" t="str">
        <f>UPPER(Master_ventas[[#This Row],[Product Name]])</f>
        <v>MONITOR</v>
      </c>
      <c r="K1592" t="str">
        <f>UPPER(Master_ventas[[#This Row],[Category]])</f>
        <v>ACCESSORIES</v>
      </c>
      <c r="L1592">
        <f>YEAR(Master_ventas[[#This Row],[Order Date]])</f>
        <v>2023</v>
      </c>
      <c r="M1592" t="str">
        <f>CONCATENATE(LEFT(Master_ventas[[#This Row],[ProdUpper]],3),RIGHT(Master_ventas[[#This Row],[Ext-Year]],2),"-",MID(Master_ventas[[#This Row],[Category]],1,1))</f>
        <v>MON23-A</v>
      </c>
      <c r="N1592" t="str">
        <f>MID(Master_ventas[[#This Row],[ProdUpper]],1,3)</f>
        <v>MON</v>
      </c>
      <c r="O1592" t="str">
        <f>UPPER(IF(Master_ventas[[#This Row],[Profit]]&gt;500,"High","Std"))</f>
        <v>STD</v>
      </c>
      <c r="P1592">
        <v>1591</v>
      </c>
    </row>
    <row r="1593" spans="1:16" x14ac:dyDescent="0.3">
      <c r="A1593" s="1">
        <v>45358</v>
      </c>
      <c r="B1593" t="s">
        <v>22</v>
      </c>
      <c r="C1593" t="s">
        <v>11</v>
      </c>
      <c r="D1593" t="s">
        <v>12</v>
      </c>
      <c r="E1593">
        <v>3</v>
      </c>
      <c r="F1593" s="3">
        <v>330</v>
      </c>
      <c r="G1593" s="2">
        <v>81.86</v>
      </c>
      <c r="H1593">
        <f>Master_ventas[[#This Row],[Profit]]/Master_ventas[[#This Row],[Sales]]</f>
        <v>0.24806060606060606</v>
      </c>
      <c r="I1593">
        <f ca="1">Referencia_Hoy-Master_ventas[[#This Row],[Order Date]]</f>
        <v>965</v>
      </c>
      <c r="J1593" t="str">
        <f>UPPER(Master_ventas[[#This Row],[Product Name]])</f>
        <v>KEYBOARD</v>
      </c>
      <c r="K1593" t="str">
        <f>UPPER(Master_ventas[[#This Row],[Category]])</f>
        <v>ACCESSORIES</v>
      </c>
      <c r="L1593">
        <f>YEAR(Master_ventas[[#This Row],[Order Date]])</f>
        <v>2024</v>
      </c>
      <c r="M1593" t="str">
        <f>CONCATENATE(LEFT(Master_ventas[[#This Row],[ProdUpper]],3),RIGHT(Master_ventas[[#This Row],[Ext-Year]],2),"-",MID(Master_ventas[[#This Row],[Category]],1,1))</f>
        <v>KEY24-A</v>
      </c>
      <c r="N1593" t="str">
        <f>MID(Master_ventas[[#This Row],[ProdUpper]],1,3)</f>
        <v>KEY</v>
      </c>
      <c r="O1593" t="str">
        <f>UPPER(IF(Master_ventas[[#This Row],[Profit]]&gt;500,"High","Std"))</f>
        <v>STD</v>
      </c>
      <c r="P1593">
        <v>1592</v>
      </c>
    </row>
    <row r="1594" spans="1:16" x14ac:dyDescent="0.3">
      <c r="A1594" s="1">
        <v>44755</v>
      </c>
      <c r="B1594" t="s">
        <v>17</v>
      </c>
      <c r="C1594" t="s">
        <v>14</v>
      </c>
      <c r="D1594" t="s">
        <v>15</v>
      </c>
      <c r="E1594">
        <v>6</v>
      </c>
      <c r="F1594" s="3">
        <v>4260</v>
      </c>
      <c r="G1594" s="2">
        <v>504.82</v>
      </c>
      <c r="H1594">
        <f>Master_ventas[[#This Row],[Profit]]/Master_ventas[[#This Row],[Sales]]</f>
        <v>0.11850234741784037</v>
      </c>
      <c r="I1594">
        <f ca="1">Referencia_Hoy-Master_ventas[[#This Row],[Order Date]]</f>
        <v>1568</v>
      </c>
      <c r="J1594" t="str">
        <f>UPPER(Master_ventas[[#This Row],[Product Name]])</f>
        <v>CAMERA</v>
      </c>
      <c r="K1594" t="str">
        <f>UPPER(Master_ventas[[#This Row],[Category]])</f>
        <v>ELECTRONICS</v>
      </c>
      <c r="L1594">
        <f>YEAR(Master_ventas[[#This Row],[Order Date]])</f>
        <v>2022</v>
      </c>
      <c r="M1594" t="str">
        <f>CONCATENATE(LEFT(Master_ventas[[#This Row],[ProdUpper]],3),RIGHT(Master_ventas[[#This Row],[Ext-Year]],2),"-",MID(Master_ventas[[#This Row],[Category]],1,1))</f>
        <v>CAM22-E</v>
      </c>
      <c r="N1594" t="str">
        <f>MID(Master_ventas[[#This Row],[ProdUpper]],1,3)</f>
        <v>CAM</v>
      </c>
      <c r="O1594" t="str">
        <f>UPPER(IF(Master_ventas[[#This Row],[Profit]]&gt;500,"High","Std"))</f>
        <v>HIGH</v>
      </c>
      <c r="P1594">
        <v>1593</v>
      </c>
    </row>
    <row r="1595" spans="1:16" x14ac:dyDescent="0.3">
      <c r="A1595" s="1">
        <v>44773</v>
      </c>
      <c r="B1595" t="s">
        <v>18</v>
      </c>
      <c r="C1595" t="s">
        <v>11</v>
      </c>
      <c r="D1595" t="s">
        <v>9</v>
      </c>
      <c r="E1595">
        <v>3</v>
      </c>
      <c r="F1595" s="3">
        <v>2712</v>
      </c>
      <c r="G1595" s="2">
        <v>751.52</v>
      </c>
      <c r="H1595">
        <f>Master_ventas[[#This Row],[Profit]]/Master_ventas[[#This Row],[Sales]]</f>
        <v>0.27710914454277286</v>
      </c>
      <c r="I1595">
        <f ca="1">Referencia_Hoy-Master_ventas[[#This Row],[Order Date]]</f>
        <v>1550</v>
      </c>
      <c r="J1595" t="str">
        <f>UPPER(Master_ventas[[#This Row],[Product Name]])</f>
        <v>HEADPHONES</v>
      </c>
      <c r="K1595" t="str">
        <f>UPPER(Master_ventas[[#This Row],[Category]])</f>
        <v>ACCESSORIES</v>
      </c>
      <c r="L1595">
        <f>YEAR(Master_ventas[[#This Row],[Order Date]])</f>
        <v>2022</v>
      </c>
      <c r="M1595" t="str">
        <f>CONCATENATE(LEFT(Master_ventas[[#This Row],[ProdUpper]],3),RIGHT(Master_ventas[[#This Row],[Ext-Year]],2),"-",MID(Master_ventas[[#This Row],[Category]],1,1))</f>
        <v>HEA22-A</v>
      </c>
      <c r="N1595" t="str">
        <f>MID(Master_ventas[[#This Row],[ProdUpper]],1,3)</f>
        <v>HEA</v>
      </c>
      <c r="O1595" t="str">
        <f>UPPER(IF(Master_ventas[[#This Row],[Profit]]&gt;500,"High","Std"))</f>
        <v>HIGH</v>
      </c>
      <c r="P1595">
        <v>1594</v>
      </c>
    </row>
    <row r="1596" spans="1:16" x14ac:dyDescent="0.3">
      <c r="A1596" s="1">
        <v>45377</v>
      </c>
      <c r="B1596" t="s">
        <v>21</v>
      </c>
      <c r="C1596" t="s">
        <v>14</v>
      </c>
      <c r="D1596" t="s">
        <v>16</v>
      </c>
      <c r="E1596">
        <v>1</v>
      </c>
      <c r="F1596" s="3">
        <v>328</v>
      </c>
      <c r="G1596" s="2">
        <v>46.23</v>
      </c>
      <c r="H1596">
        <f>Master_ventas[[#This Row],[Profit]]/Master_ventas[[#This Row],[Sales]]</f>
        <v>0.1409451219512195</v>
      </c>
      <c r="I1596">
        <f ca="1">Referencia_Hoy-Master_ventas[[#This Row],[Order Date]]</f>
        <v>946</v>
      </c>
      <c r="J1596" t="str">
        <f>UPPER(Master_ventas[[#This Row],[Product Name]])</f>
        <v>SMARTPHONE</v>
      </c>
      <c r="K1596" t="str">
        <f>UPPER(Master_ventas[[#This Row],[Category]])</f>
        <v>ELECTRONICS</v>
      </c>
      <c r="L1596">
        <f>YEAR(Master_ventas[[#This Row],[Order Date]])</f>
        <v>2024</v>
      </c>
      <c r="M1596" t="str">
        <f>CONCATENATE(LEFT(Master_ventas[[#This Row],[ProdUpper]],3),RIGHT(Master_ventas[[#This Row],[Ext-Year]],2),"-",MID(Master_ventas[[#This Row],[Category]],1,1))</f>
        <v>SMA24-E</v>
      </c>
      <c r="N1596" t="str">
        <f>MID(Master_ventas[[#This Row],[ProdUpper]],1,3)</f>
        <v>SMA</v>
      </c>
      <c r="O1596" t="str">
        <f>UPPER(IF(Master_ventas[[#This Row],[Profit]]&gt;500,"High","Std"))</f>
        <v>STD</v>
      </c>
      <c r="P1596">
        <v>1595</v>
      </c>
    </row>
    <row r="1597" spans="1:16" x14ac:dyDescent="0.3">
      <c r="A1597" s="1">
        <v>45151</v>
      </c>
      <c r="B1597" t="s">
        <v>21</v>
      </c>
      <c r="C1597" t="s">
        <v>14</v>
      </c>
      <c r="D1597" t="s">
        <v>16</v>
      </c>
      <c r="E1597">
        <v>8</v>
      </c>
      <c r="F1597" s="3">
        <v>7776</v>
      </c>
      <c r="G1597" s="2">
        <v>498.6</v>
      </c>
      <c r="H1597">
        <f>Master_ventas[[#This Row],[Profit]]/Master_ventas[[#This Row],[Sales]]</f>
        <v>6.4120370370370369E-2</v>
      </c>
      <c r="I1597">
        <f ca="1">Referencia_Hoy-Master_ventas[[#This Row],[Order Date]]</f>
        <v>1172</v>
      </c>
      <c r="J1597" t="str">
        <f>UPPER(Master_ventas[[#This Row],[Product Name]])</f>
        <v>SMARTPHONE</v>
      </c>
      <c r="K1597" t="str">
        <f>UPPER(Master_ventas[[#This Row],[Category]])</f>
        <v>ELECTRONICS</v>
      </c>
      <c r="L1597">
        <f>YEAR(Master_ventas[[#This Row],[Order Date]])</f>
        <v>2023</v>
      </c>
      <c r="M1597" t="str">
        <f>CONCATENATE(LEFT(Master_ventas[[#This Row],[ProdUpper]],3),RIGHT(Master_ventas[[#This Row],[Ext-Year]],2),"-",MID(Master_ventas[[#This Row],[Category]],1,1))</f>
        <v>SMA23-E</v>
      </c>
      <c r="N1597" t="str">
        <f>MID(Master_ventas[[#This Row],[ProdUpper]],1,3)</f>
        <v>SMA</v>
      </c>
      <c r="O1597" t="str">
        <f>UPPER(IF(Master_ventas[[#This Row],[Profit]]&gt;500,"High","Std"))</f>
        <v>STD</v>
      </c>
      <c r="P1597">
        <v>1596</v>
      </c>
    </row>
    <row r="1598" spans="1:16" x14ac:dyDescent="0.3">
      <c r="A1598" s="1">
        <v>44689</v>
      </c>
      <c r="B1598" t="s">
        <v>23</v>
      </c>
      <c r="C1598" t="s">
        <v>14</v>
      </c>
      <c r="D1598" t="s">
        <v>12</v>
      </c>
      <c r="E1598">
        <v>4</v>
      </c>
      <c r="F1598" s="3">
        <v>2896</v>
      </c>
      <c r="G1598" s="2">
        <v>522.82000000000005</v>
      </c>
      <c r="H1598">
        <f>Master_ventas[[#This Row],[Profit]]/Master_ventas[[#This Row],[Sales]]</f>
        <v>0.18053176795580111</v>
      </c>
      <c r="I1598">
        <f ca="1">Referencia_Hoy-Master_ventas[[#This Row],[Order Date]]</f>
        <v>1634</v>
      </c>
      <c r="J1598" t="str">
        <f>UPPER(Master_ventas[[#This Row],[Product Name]])</f>
        <v>LAPTOP</v>
      </c>
      <c r="K1598" t="str">
        <f>UPPER(Master_ventas[[#This Row],[Category]])</f>
        <v>ELECTRONICS</v>
      </c>
      <c r="L1598">
        <f>YEAR(Master_ventas[[#This Row],[Order Date]])</f>
        <v>2022</v>
      </c>
      <c r="M1598" t="str">
        <f>CONCATENATE(LEFT(Master_ventas[[#This Row],[ProdUpper]],3),RIGHT(Master_ventas[[#This Row],[Ext-Year]],2),"-",MID(Master_ventas[[#This Row],[Category]],1,1))</f>
        <v>LAP22-E</v>
      </c>
      <c r="N1598" t="str">
        <f>MID(Master_ventas[[#This Row],[ProdUpper]],1,3)</f>
        <v>LAP</v>
      </c>
      <c r="O1598" t="str">
        <f>UPPER(IF(Master_ventas[[#This Row],[Profit]]&gt;500,"High","Std"))</f>
        <v>HIGH</v>
      </c>
      <c r="P1598">
        <v>1597</v>
      </c>
    </row>
    <row r="1599" spans="1:16" x14ac:dyDescent="0.3">
      <c r="A1599" s="1">
        <v>45053</v>
      </c>
      <c r="B1599" t="s">
        <v>13</v>
      </c>
      <c r="C1599" t="s">
        <v>14</v>
      </c>
      <c r="D1599" t="s">
        <v>9</v>
      </c>
      <c r="E1599">
        <v>2</v>
      </c>
      <c r="F1599" s="3">
        <v>1902</v>
      </c>
      <c r="G1599" s="2">
        <v>388.83</v>
      </c>
      <c r="H1599">
        <f>Master_ventas[[#This Row],[Profit]]/Master_ventas[[#This Row],[Sales]]</f>
        <v>0.2044321766561514</v>
      </c>
      <c r="I1599">
        <f ca="1">Referencia_Hoy-Master_ventas[[#This Row],[Order Date]]</f>
        <v>1270</v>
      </c>
      <c r="J1599" t="str">
        <f>UPPER(Master_ventas[[#This Row],[Product Name]])</f>
        <v>TABLET</v>
      </c>
      <c r="K1599" t="str">
        <f>UPPER(Master_ventas[[#This Row],[Category]])</f>
        <v>ELECTRONICS</v>
      </c>
      <c r="L1599">
        <f>YEAR(Master_ventas[[#This Row],[Order Date]])</f>
        <v>2023</v>
      </c>
      <c r="M1599" t="str">
        <f>CONCATENATE(LEFT(Master_ventas[[#This Row],[ProdUpper]],3),RIGHT(Master_ventas[[#This Row],[Ext-Year]],2),"-",MID(Master_ventas[[#This Row],[Category]],1,1))</f>
        <v>TAB23-E</v>
      </c>
      <c r="N1599" t="str">
        <f>MID(Master_ventas[[#This Row],[ProdUpper]],1,3)</f>
        <v>TAB</v>
      </c>
      <c r="O1599" t="str">
        <f>UPPER(IF(Master_ventas[[#This Row],[Profit]]&gt;500,"High","Std"))</f>
        <v>STD</v>
      </c>
      <c r="P1599">
        <v>1598</v>
      </c>
    </row>
    <row r="1600" spans="1:16" x14ac:dyDescent="0.3">
      <c r="A1600" s="1">
        <v>44590</v>
      </c>
      <c r="B1600" t="s">
        <v>19</v>
      </c>
      <c r="C1600" t="s">
        <v>14</v>
      </c>
      <c r="D1600" t="s">
        <v>9</v>
      </c>
      <c r="E1600">
        <v>7</v>
      </c>
      <c r="F1600" s="3">
        <v>3255</v>
      </c>
      <c r="G1600" s="2">
        <v>814.85</v>
      </c>
      <c r="H1600">
        <f>Master_ventas[[#This Row],[Profit]]/Master_ventas[[#This Row],[Sales]]</f>
        <v>0.25033794162826423</v>
      </c>
      <c r="I1600">
        <f ca="1">Referencia_Hoy-Master_ventas[[#This Row],[Order Date]]</f>
        <v>1733</v>
      </c>
      <c r="J1600" t="str">
        <f>UPPER(Master_ventas[[#This Row],[Product Name]])</f>
        <v>SMARTWATCH</v>
      </c>
      <c r="K1600" t="str">
        <f>UPPER(Master_ventas[[#This Row],[Category]])</f>
        <v>ELECTRONICS</v>
      </c>
      <c r="L1600">
        <f>YEAR(Master_ventas[[#This Row],[Order Date]])</f>
        <v>2022</v>
      </c>
      <c r="M1600" t="str">
        <f>CONCATENATE(LEFT(Master_ventas[[#This Row],[ProdUpper]],3),RIGHT(Master_ventas[[#This Row],[Ext-Year]],2),"-",MID(Master_ventas[[#This Row],[Category]],1,1))</f>
        <v>SMA22-E</v>
      </c>
      <c r="N1600" t="str">
        <f>MID(Master_ventas[[#This Row],[ProdUpper]],1,3)</f>
        <v>SMA</v>
      </c>
      <c r="O1600" t="str">
        <f>UPPER(IF(Master_ventas[[#This Row],[Profit]]&gt;500,"High","Std"))</f>
        <v>HIGH</v>
      </c>
      <c r="P1600">
        <v>1599</v>
      </c>
    </row>
    <row r="1601" spans="1:16" x14ac:dyDescent="0.3">
      <c r="A1601" s="1">
        <v>44622</v>
      </c>
      <c r="B1601" t="s">
        <v>22</v>
      </c>
      <c r="C1601" t="s">
        <v>11</v>
      </c>
      <c r="D1601" t="s">
        <v>9</v>
      </c>
      <c r="E1601">
        <v>3</v>
      </c>
      <c r="F1601" s="3">
        <v>633</v>
      </c>
      <c r="G1601" s="2">
        <v>162.4</v>
      </c>
      <c r="H1601">
        <f>Master_ventas[[#This Row],[Profit]]/Master_ventas[[#This Row],[Sales]]</f>
        <v>0.25655608214849923</v>
      </c>
      <c r="I1601">
        <f ca="1">Referencia_Hoy-Master_ventas[[#This Row],[Order Date]]</f>
        <v>1701</v>
      </c>
      <c r="J1601" t="str">
        <f>UPPER(Master_ventas[[#This Row],[Product Name]])</f>
        <v>KEYBOARD</v>
      </c>
      <c r="K1601" t="str">
        <f>UPPER(Master_ventas[[#This Row],[Category]])</f>
        <v>ACCESSORIES</v>
      </c>
      <c r="L1601">
        <f>YEAR(Master_ventas[[#This Row],[Order Date]])</f>
        <v>2022</v>
      </c>
      <c r="M1601" t="str">
        <f>CONCATENATE(LEFT(Master_ventas[[#This Row],[ProdUpper]],3),RIGHT(Master_ventas[[#This Row],[Ext-Year]],2),"-",MID(Master_ventas[[#This Row],[Category]],1,1))</f>
        <v>KEY22-A</v>
      </c>
      <c r="N1601" t="str">
        <f>MID(Master_ventas[[#This Row],[ProdUpper]],1,3)</f>
        <v>KEY</v>
      </c>
      <c r="O1601" t="str">
        <f>UPPER(IF(Master_ventas[[#This Row],[Profit]]&gt;500,"High","Std"))</f>
        <v>STD</v>
      </c>
      <c r="P1601">
        <v>1600</v>
      </c>
    </row>
    <row r="1602" spans="1:16" x14ac:dyDescent="0.3">
      <c r="A1602" s="1">
        <v>45027</v>
      </c>
      <c r="B1602" t="s">
        <v>13</v>
      </c>
      <c r="C1602" t="s">
        <v>14</v>
      </c>
      <c r="D1602" t="s">
        <v>12</v>
      </c>
      <c r="E1602">
        <v>7</v>
      </c>
      <c r="F1602" s="3">
        <v>6209</v>
      </c>
      <c r="G1602" s="2">
        <v>402.78</v>
      </c>
      <c r="H1602">
        <f>Master_ventas[[#This Row],[Profit]]/Master_ventas[[#This Row],[Sales]]</f>
        <v>6.4870349492671925E-2</v>
      </c>
      <c r="I1602">
        <f ca="1">Referencia_Hoy-Master_ventas[[#This Row],[Order Date]]</f>
        <v>1296</v>
      </c>
      <c r="J1602" t="str">
        <f>UPPER(Master_ventas[[#This Row],[Product Name]])</f>
        <v>TABLET</v>
      </c>
      <c r="K1602" t="str">
        <f>UPPER(Master_ventas[[#This Row],[Category]])</f>
        <v>ELECTRONICS</v>
      </c>
      <c r="L1602">
        <f>YEAR(Master_ventas[[#This Row],[Order Date]])</f>
        <v>2023</v>
      </c>
      <c r="M1602" t="str">
        <f>CONCATENATE(LEFT(Master_ventas[[#This Row],[ProdUpper]],3),RIGHT(Master_ventas[[#This Row],[Ext-Year]],2),"-",MID(Master_ventas[[#This Row],[Category]],1,1))</f>
        <v>TAB23-E</v>
      </c>
      <c r="N1602" t="str">
        <f>MID(Master_ventas[[#This Row],[ProdUpper]],1,3)</f>
        <v>TAB</v>
      </c>
      <c r="O1602" t="str">
        <f>UPPER(IF(Master_ventas[[#This Row],[Profit]]&gt;500,"High","Std"))</f>
        <v>STD</v>
      </c>
      <c r="P1602">
        <v>1601</v>
      </c>
    </row>
    <row r="1603" spans="1:16" x14ac:dyDescent="0.3">
      <c r="A1603" s="1">
        <v>45055</v>
      </c>
      <c r="B1603" t="s">
        <v>19</v>
      </c>
      <c r="C1603" t="s">
        <v>14</v>
      </c>
      <c r="D1603" t="s">
        <v>12</v>
      </c>
      <c r="E1603">
        <v>9</v>
      </c>
      <c r="F1603" s="3">
        <v>4698</v>
      </c>
      <c r="G1603" s="2">
        <v>1167.9000000000001</v>
      </c>
      <c r="H1603">
        <f>Master_ventas[[#This Row],[Profit]]/Master_ventas[[#This Row],[Sales]]</f>
        <v>0.24859514687100895</v>
      </c>
      <c r="I1603">
        <f ca="1">Referencia_Hoy-Master_ventas[[#This Row],[Order Date]]</f>
        <v>1268</v>
      </c>
      <c r="J1603" t="str">
        <f>UPPER(Master_ventas[[#This Row],[Product Name]])</f>
        <v>SMARTWATCH</v>
      </c>
      <c r="K1603" t="str">
        <f>UPPER(Master_ventas[[#This Row],[Category]])</f>
        <v>ELECTRONICS</v>
      </c>
      <c r="L1603">
        <f>YEAR(Master_ventas[[#This Row],[Order Date]])</f>
        <v>2023</v>
      </c>
      <c r="M1603" t="str">
        <f>CONCATENATE(LEFT(Master_ventas[[#This Row],[ProdUpper]],3),RIGHT(Master_ventas[[#This Row],[Ext-Year]],2),"-",MID(Master_ventas[[#This Row],[Category]],1,1))</f>
        <v>SMA23-E</v>
      </c>
      <c r="N1603" t="str">
        <f>MID(Master_ventas[[#This Row],[ProdUpper]],1,3)</f>
        <v>SMA</v>
      </c>
      <c r="O1603" t="str">
        <f>UPPER(IF(Master_ventas[[#This Row],[Profit]]&gt;500,"High","Std"))</f>
        <v>HIGH</v>
      </c>
      <c r="P1603">
        <v>1602</v>
      </c>
    </row>
    <row r="1604" spans="1:16" x14ac:dyDescent="0.3">
      <c r="A1604" s="1">
        <v>45484</v>
      </c>
      <c r="B1604" t="s">
        <v>21</v>
      </c>
      <c r="C1604" t="s">
        <v>14</v>
      </c>
      <c r="D1604" t="s">
        <v>16</v>
      </c>
      <c r="E1604">
        <v>8</v>
      </c>
      <c r="F1604" s="3">
        <v>7424</v>
      </c>
      <c r="G1604" s="2">
        <v>1878.07</v>
      </c>
      <c r="H1604">
        <f>Master_ventas[[#This Row],[Profit]]/Master_ventas[[#This Row],[Sales]]</f>
        <v>0.25297279094827585</v>
      </c>
      <c r="I1604">
        <f ca="1">Referencia_Hoy-Master_ventas[[#This Row],[Order Date]]</f>
        <v>839</v>
      </c>
      <c r="J1604" t="str">
        <f>UPPER(Master_ventas[[#This Row],[Product Name]])</f>
        <v>SMARTPHONE</v>
      </c>
      <c r="K1604" t="str">
        <f>UPPER(Master_ventas[[#This Row],[Category]])</f>
        <v>ELECTRONICS</v>
      </c>
      <c r="L1604">
        <f>YEAR(Master_ventas[[#This Row],[Order Date]])</f>
        <v>2024</v>
      </c>
      <c r="M1604" t="str">
        <f>CONCATENATE(LEFT(Master_ventas[[#This Row],[ProdUpper]],3),RIGHT(Master_ventas[[#This Row],[Ext-Year]],2),"-",MID(Master_ventas[[#This Row],[Category]],1,1))</f>
        <v>SMA24-E</v>
      </c>
      <c r="N1604" t="str">
        <f>MID(Master_ventas[[#This Row],[ProdUpper]],1,3)</f>
        <v>SMA</v>
      </c>
      <c r="O1604" t="str">
        <f>UPPER(IF(Master_ventas[[#This Row],[Profit]]&gt;500,"High","Std"))</f>
        <v>HIGH</v>
      </c>
      <c r="P1604">
        <v>1603</v>
      </c>
    </row>
    <row r="1605" spans="1:16" x14ac:dyDescent="0.3">
      <c r="A1605" s="1">
        <v>44587</v>
      </c>
      <c r="B1605" t="s">
        <v>7</v>
      </c>
      <c r="C1605" t="s">
        <v>8</v>
      </c>
      <c r="D1605" t="s">
        <v>12</v>
      </c>
      <c r="E1605">
        <v>1</v>
      </c>
      <c r="F1605" s="3">
        <v>498</v>
      </c>
      <c r="G1605" s="2">
        <v>58.3</v>
      </c>
      <c r="H1605">
        <f>Master_ventas[[#This Row],[Profit]]/Master_ventas[[#This Row],[Sales]]</f>
        <v>0.11706827309236947</v>
      </c>
      <c r="I1605">
        <f ca="1">Referencia_Hoy-Master_ventas[[#This Row],[Order Date]]</f>
        <v>1736</v>
      </c>
      <c r="J1605" t="str">
        <f>UPPER(Master_ventas[[#This Row],[Product Name]])</f>
        <v>PRINTER</v>
      </c>
      <c r="K1605" t="str">
        <f>UPPER(Master_ventas[[#This Row],[Category]])</f>
        <v>OFFICE</v>
      </c>
      <c r="L1605">
        <f>YEAR(Master_ventas[[#This Row],[Order Date]])</f>
        <v>2022</v>
      </c>
      <c r="M1605" t="str">
        <f>CONCATENATE(LEFT(Master_ventas[[#This Row],[ProdUpper]],3),RIGHT(Master_ventas[[#This Row],[Ext-Year]],2),"-",MID(Master_ventas[[#This Row],[Category]],1,1))</f>
        <v>PRI22-O</v>
      </c>
      <c r="N1605" t="str">
        <f>MID(Master_ventas[[#This Row],[ProdUpper]],1,3)</f>
        <v>PRI</v>
      </c>
      <c r="O1605" t="str">
        <f>UPPER(IF(Master_ventas[[#This Row],[Profit]]&gt;500,"High","Std"))</f>
        <v>STD</v>
      </c>
      <c r="P1605">
        <v>1604</v>
      </c>
    </row>
    <row r="1606" spans="1:16" x14ac:dyDescent="0.3">
      <c r="A1606" s="1">
        <v>45168</v>
      </c>
      <c r="B1606" t="s">
        <v>18</v>
      </c>
      <c r="C1606" t="s">
        <v>11</v>
      </c>
      <c r="D1606" t="s">
        <v>12</v>
      </c>
      <c r="E1606">
        <v>1</v>
      </c>
      <c r="F1606" s="3">
        <v>111</v>
      </c>
      <c r="G1606" s="2">
        <v>27.91</v>
      </c>
      <c r="H1606">
        <f>Master_ventas[[#This Row],[Profit]]/Master_ventas[[#This Row],[Sales]]</f>
        <v>0.25144144144144143</v>
      </c>
      <c r="I1606">
        <f ca="1">Referencia_Hoy-Master_ventas[[#This Row],[Order Date]]</f>
        <v>1155</v>
      </c>
      <c r="J1606" t="str">
        <f>UPPER(Master_ventas[[#This Row],[Product Name]])</f>
        <v>HEADPHONES</v>
      </c>
      <c r="K1606" t="str">
        <f>UPPER(Master_ventas[[#This Row],[Category]])</f>
        <v>ACCESSORIES</v>
      </c>
      <c r="L1606">
        <f>YEAR(Master_ventas[[#This Row],[Order Date]])</f>
        <v>2023</v>
      </c>
      <c r="M1606" t="str">
        <f>CONCATENATE(LEFT(Master_ventas[[#This Row],[ProdUpper]],3),RIGHT(Master_ventas[[#This Row],[Ext-Year]],2),"-",MID(Master_ventas[[#This Row],[Category]],1,1))</f>
        <v>HEA23-A</v>
      </c>
      <c r="N1606" t="str">
        <f>MID(Master_ventas[[#This Row],[ProdUpper]],1,3)</f>
        <v>HEA</v>
      </c>
      <c r="O1606" t="str">
        <f>UPPER(IF(Master_ventas[[#This Row],[Profit]]&gt;500,"High","Std"))</f>
        <v>STD</v>
      </c>
      <c r="P1606">
        <v>1605</v>
      </c>
    </row>
    <row r="1607" spans="1:16" x14ac:dyDescent="0.3">
      <c r="A1607" s="1">
        <v>45156</v>
      </c>
      <c r="B1607" t="s">
        <v>23</v>
      </c>
      <c r="C1607" t="s">
        <v>14</v>
      </c>
      <c r="D1607" t="s">
        <v>9</v>
      </c>
      <c r="E1607">
        <v>8</v>
      </c>
      <c r="F1607" s="3">
        <v>7520</v>
      </c>
      <c r="G1607" s="2">
        <v>1201.4000000000001</v>
      </c>
      <c r="H1607">
        <f>Master_ventas[[#This Row],[Profit]]/Master_ventas[[#This Row],[Sales]]</f>
        <v>0.15976063829787235</v>
      </c>
      <c r="I1607">
        <f ca="1">Referencia_Hoy-Master_ventas[[#This Row],[Order Date]]</f>
        <v>1167</v>
      </c>
      <c r="J1607" t="str">
        <f>UPPER(Master_ventas[[#This Row],[Product Name]])</f>
        <v>LAPTOP</v>
      </c>
      <c r="K1607" t="str">
        <f>UPPER(Master_ventas[[#This Row],[Category]])</f>
        <v>ELECTRONICS</v>
      </c>
      <c r="L1607">
        <f>YEAR(Master_ventas[[#This Row],[Order Date]])</f>
        <v>2023</v>
      </c>
      <c r="M1607" t="str">
        <f>CONCATENATE(LEFT(Master_ventas[[#This Row],[ProdUpper]],3),RIGHT(Master_ventas[[#This Row],[Ext-Year]],2),"-",MID(Master_ventas[[#This Row],[Category]],1,1))</f>
        <v>LAP23-E</v>
      </c>
      <c r="N1607" t="str">
        <f>MID(Master_ventas[[#This Row],[ProdUpper]],1,3)</f>
        <v>LAP</v>
      </c>
      <c r="O1607" t="str">
        <f>UPPER(IF(Master_ventas[[#This Row],[Profit]]&gt;500,"High","Std"))</f>
        <v>HIGH</v>
      </c>
      <c r="P1607">
        <v>1606</v>
      </c>
    </row>
    <row r="1608" spans="1:16" x14ac:dyDescent="0.3">
      <c r="A1608" s="1">
        <v>45077</v>
      </c>
      <c r="B1608" t="s">
        <v>17</v>
      </c>
      <c r="C1608" t="s">
        <v>14</v>
      </c>
      <c r="D1608" t="s">
        <v>15</v>
      </c>
      <c r="E1608">
        <v>1</v>
      </c>
      <c r="F1608" s="3">
        <v>182</v>
      </c>
      <c r="G1608" s="2">
        <v>30.97</v>
      </c>
      <c r="H1608">
        <f>Master_ventas[[#This Row],[Profit]]/Master_ventas[[#This Row],[Sales]]</f>
        <v>0.17016483516483516</v>
      </c>
      <c r="I1608">
        <f ca="1">Referencia_Hoy-Master_ventas[[#This Row],[Order Date]]</f>
        <v>1246</v>
      </c>
      <c r="J1608" t="str">
        <f>UPPER(Master_ventas[[#This Row],[Product Name]])</f>
        <v>CAMERA</v>
      </c>
      <c r="K1608" t="str">
        <f>UPPER(Master_ventas[[#This Row],[Category]])</f>
        <v>ELECTRONICS</v>
      </c>
      <c r="L1608">
        <f>YEAR(Master_ventas[[#This Row],[Order Date]])</f>
        <v>2023</v>
      </c>
      <c r="M1608" t="str">
        <f>CONCATENATE(LEFT(Master_ventas[[#This Row],[ProdUpper]],3),RIGHT(Master_ventas[[#This Row],[Ext-Year]],2),"-",MID(Master_ventas[[#This Row],[Category]],1,1))</f>
        <v>CAM23-E</v>
      </c>
      <c r="N1608" t="str">
        <f>MID(Master_ventas[[#This Row],[ProdUpper]],1,3)</f>
        <v>CAM</v>
      </c>
      <c r="O1608" t="str">
        <f>UPPER(IF(Master_ventas[[#This Row],[Profit]]&gt;500,"High","Std"))</f>
        <v>STD</v>
      </c>
      <c r="P1608">
        <v>1607</v>
      </c>
    </row>
    <row r="1609" spans="1:16" x14ac:dyDescent="0.3">
      <c r="A1609" s="1">
        <v>44610</v>
      </c>
      <c r="B1609" t="s">
        <v>10</v>
      </c>
      <c r="C1609" t="s">
        <v>11</v>
      </c>
      <c r="D1609" t="s">
        <v>16</v>
      </c>
      <c r="E1609">
        <v>5</v>
      </c>
      <c r="F1609" s="3">
        <v>5890</v>
      </c>
      <c r="G1609" s="2">
        <v>309</v>
      </c>
      <c r="H1609">
        <f>Master_ventas[[#This Row],[Profit]]/Master_ventas[[#This Row],[Sales]]</f>
        <v>5.2461799660441427E-2</v>
      </c>
      <c r="I1609">
        <f ca="1">Referencia_Hoy-Master_ventas[[#This Row],[Order Date]]</f>
        <v>1713</v>
      </c>
      <c r="J1609" t="str">
        <f>UPPER(Master_ventas[[#This Row],[Product Name]])</f>
        <v>MOUSE</v>
      </c>
      <c r="K1609" t="str">
        <f>UPPER(Master_ventas[[#This Row],[Category]])</f>
        <v>ACCESSORIES</v>
      </c>
      <c r="L1609">
        <f>YEAR(Master_ventas[[#This Row],[Order Date]])</f>
        <v>2022</v>
      </c>
      <c r="M1609" t="str">
        <f>CONCATENATE(LEFT(Master_ventas[[#This Row],[ProdUpper]],3),RIGHT(Master_ventas[[#This Row],[Ext-Year]],2),"-",MID(Master_ventas[[#This Row],[Category]],1,1))</f>
        <v>MOU22-A</v>
      </c>
      <c r="N1609" t="str">
        <f>MID(Master_ventas[[#This Row],[ProdUpper]],1,3)</f>
        <v>MOU</v>
      </c>
      <c r="O1609" t="str">
        <f>UPPER(IF(Master_ventas[[#This Row],[Profit]]&gt;500,"High","Std"))</f>
        <v>STD</v>
      </c>
      <c r="P1609">
        <v>1608</v>
      </c>
    </row>
    <row r="1610" spans="1:16" x14ac:dyDescent="0.3">
      <c r="A1610" s="1">
        <v>45490</v>
      </c>
      <c r="B1610" t="s">
        <v>23</v>
      </c>
      <c r="C1610" t="s">
        <v>14</v>
      </c>
      <c r="D1610" t="s">
        <v>15</v>
      </c>
      <c r="E1610">
        <v>4</v>
      </c>
      <c r="F1610" s="3">
        <v>3244</v>
      </c>
      <c r="G1610" s="2">
        <v>357.55</v>
      </c>
      <c r="H1610">
        <f>Master_ventas[[#This Row],[Profit]]/Master_ventas[[#This Row],[Sales]]</f>
        <v>0.11021886559802713</v>
      </c>
      <c r="I1610">
        <f ca="1">Referencia_Hoy-Master_ventas[[#This Row],[Order Date]]</f>
        <v>833</v>
      </c>
      <c r="J1610" t="str">
        <f>UPPER(Master_ventas[[#This Row],[Product Name]])</f>
        <v>LAPTOP</v>
      </c>
      <c r="K1610" t="str">
        <f>UPPER(Master_ventas[[#This Row],[Category]])</f>
        <v>ELECTRONICS</v>
      </c>
      <c r="L1610">
        <f>YEAR(Master_ventas[[#This Row],[Order Date]])</f>
        <v>2024</v>
      </c>
      <c r="M1610" t="str">
        <f>CONCATENATE(LEFT(Master_ventas[[#This Row],[ProdUpper]],3),RIGHT(Master_ventas[[#This Row],[Ext-Year]],2),"-",MID(Master_ventas[[#This Row],[Category]],1,1))</f>
        <v>LAP24-E</v>
      </c>
      <c r="N1610" t="str">
        <f>MID(Master_ventas[[#This Row],[ProdUpper]],1,3)</f>
        <v>LAP</v>
      </c>
      <c r="O1610" t="str">
        <f>UPPER(IF(Master_ventas[[#This Row],[Profit]]&gt;500,"High","Std"))</f>
        <v>STD</v>
      </c>
      <c r="P1610">
        <v>1609</v>
      </c>
    </row>
    <row r="1611" spans="1:16" x14ac:dyDescent="0.3">
      <c r="A1611" s="1">
        <v>45408</v>
      </c>
      <c r="B1611" t="s">
        <v>21</v>
      </c>
      <c r="C1611" t="s">
        <v>14</v>
      </c>
      <c r="D1611" t="s">
        <v>15</v>
      </c>
      <c r="E1611">
        <v>7</v>
      </c>
      <c r="F1611" s="3">
        <v>5229</v>
      </c>
      <c r="G1611" s="2">
        <v>1058.26</v>
      </c>
      <c r="H1611">
        <f>Master_ventas[[#This Row],[Profit]]/Master_ventas[[#This Row],[Sales]]</f>
        <v>0.20238286479250334</v>
      </c>
      <c r="I1611">
        <f ca="1">Referencia_Hoy-Master_ventas[[#This Row],[Order Date]]</f>
        <v>915</v>
      </c>
      <c r="J1611" t="str">
        <f>UPPER(Master_ventas[[#This Row],[Product Name]])</f>
        <v>SMARTPHONE</v>
      </c>
      <c r="K1611" t="str">
        <f>UPPER(Master_ventas[[#This Row],[Category]])</f>
        <v>ELECTRONICS</v>
      </c>
      <c r="L1611">
        <f>YEAR(Master_ventas[[#This Row],[Order Date]])</f>
        <v>2024</v>
      </c>
      <c r="M1611" t="str">
        <f>CONCATENATE(LEFT(Master_ventas[[#This Row],[ProdUpper]],3),RIGHT(Master_ventas[[#This Row],[Ext-Year]],2),"-",MID(Master_ventas[[#This Row],[Category]],1,1))</f>
        <v>SMA24-E</v>
      </c>
      <c r="N1611" t="str">
        <f>MID(Master_ventas[[#This Row],[ProdUpper]],1,3)</f>
        <v>SMA</v>
      </c>
      <c r="O1611" t="str">
        <f>UPPER(IF(Master_ventas[[#This Row],[Profit]]&gt;500,"High","Std"))</f>
        <v>HIGH</v>
      </c>
      <c r="P1611">
        <v>1610</v>
      </c>
    </row>
    <row r="1612" spans="1:16" x14ac:dyDescent="0.3">
      <c r="A1612" s="1">
        <v>44853</v>
      </c>
      <c r="B1612" t="s">
        <v>19</v>
      </c>
      <c r="C1612" t="s">
        <v>14</v>
      </c>
      <c r="D1612" t="s">
        <v>9</v>
      </c>
      <c r="E1612">
        <v>9</v>
      </c>
      <c r="F1612" s="3">
        <v>5202</v>
      </c>
      <c r="G1612" s="2">
        <v>1271.47</v>
      </c>
      <c r="H1612">
        <f>Master_ventas[[#This Row],[Profit]]/Master_ventas[[#This Row],[Sales]]</f>
        <v>0.24441945405613227</v>
      </c>
      <c r="I1612">
        <f ca="1">Referencia_Hoy-Master_ventas[[#This Row],[Order Date]]</f>
        <v>1470</v>
      </c>
      <c r="J1612" t="str">
        <f>UPPER(Master_ventas[[#This Row],[Product Name]])</f>
        <v>SMARTWATCH</v>
      </c>
      <c r="K1612" t="str">
        <f>UPPER(Master_ventas[[#This Row],[Category]])</f>
        <v>ELECTRONICS</v>
      </c>
      <c r="L1612">
        <f>YEAR(Master_ventas[[#This Row],[Order Date]])</f>
        <v>2022</v>
      </c>
      <c r="M1612" t="str">
        <f>CONCATENATE(LEFT(Master_ventas[[#This Row],[ProdUpper]],3),RIGHT(Master_ventas[[#This Row],[Ext-Year]],2),"-",MID(Master_ventas[[#This Row],[Category]],1,1))</f>
        <v>SMA22-E</v>
      </c>
      <c r="N1612" t="str">
        <f>MID(Master_ventas[[#This Row],[ProdUpper]],1,3)</f>
        <v>SMA</v>
      </c>
      <c r="O1612" t="str">
        <f>UPPER(IF(Master_ventas[[#This Row],[Profit]]&gt;500,"High","Std"))</f>
        <v>HIGH</v>
      </c>
      <c r="P1612">
        <v>1611</v>
      </c>
    </row>
    <row r="1613" spans="1:16" x14ac:dyDescent="0.3">
      <c r="A1613" s="1">
        <v>44635</v>
      </c>
      <c r="B1613" t="s">
        <v>22</v>
      </c>
      <c r="C1613" t="s">
        <v>11</v>
      </c>
      <c r="D1613" t="s">
        <v>16</v>
      </c>
      <c r="E1613">
        <v>3</v>
      </c>
      <c r="F1613" s="3">
        <v>438</v>
      </c>
      <c r="G1613" s="2">
        <v>67.430000000000007</v>
      </c>
      <c r="H1613">
        <f>Master_ventas[[#This Row],[Profit]]/Master_ventas[[#This Row],[Sales]]</f>
        <v>0.15394977168949772</v>
      </c>
      <c r="I1613">
        <f ca="1">Referencia_Hoy-Master_ventas[[#This Row],[Order Date]]</f>
        <v>1688</v>
      </c>
      <c r="J1613" t="str">
        <f>UPPER(Master_ventas[[#This Row],[Product Name]])</f>
        <v>KEYBOARD</v>
      </c>
      <c r="K1613" t="str">
        <f>UPPER(Master_ventas[[#This Row],[Category]])</f>
        <v>ACCESSORIES</v>
      </c>
      <c r="L1613">
        <f>YEAR(Master_ventas[[#This Row],[Order Date]])</f>
        <v>2022</v>
      </c>
      <c r="M1613" t="str">
        <f>CONCATENATE(LEFT(Master_ventas[[#This Row],[ProdUpper]],3),RIGHT(Master_ventas[[#This Row],[Ext-Year]],2),"-",MID(Master_ventas[[#This Row],[Category]],1,1))</f>
        <v>KEY22-A</v>
      </c>
      <c r="N1613" t="str">
        <f>MID(Master_ventas[[#This Row],[ProdUpper]],1,3)</f>
        <v>KEY</v>
      </c>
      <c r="O1613" t="str">
        <f>UPPER(IF(Master_ventas[[#This Row],[Profit]]&gt;500,"High","Std"))</f>
        <v>STD</v>
      </c>
      <c r="P1613">
        <v>1612</v>
      </c>
    </row>
    <row r="1614" spans="1:16" x14ac:dyDescent="0.3">
      <c r="A1614" s="1">
        <v>44971</v>
      </c>
      <c r="B1614" t="s">
        <v>22</v>
      </c>
      <c r="C1614" t="s">
        <v>11</v>
      </c>
      <c r="D1614" t="s">
        <v>12</v>
      </c>
      <c r="E1614">
        <v>6</v>
      </c>
      <c r="F1614" s="3">
        <v>6900</v>
      </c>
      <c r="G1614" s="2">
        <v>1109.73</v>
      </c>
      <c r="H1614">
        <f>Master_ventas[[#This Row],[Profit]]/Master_ventas[[#This Row],[Sales]]</f>
        <v>0.16083043478260869</v>
      </c>
      <c r="I1614">
        <f ca="1">Referencia_Hoy-Master_ventas[[#This Row],[Order Date]]</f>
        <v>1352</v>
      </c>
      <c r="J1614" t="str">
        <f>UPPER(Master_ventas[[#This Row],[Product Name]])</f>
        <v>KEYBOARD</v>
      </c>
      <c r="K1614" t="str">
        <f>UPPER(Master_ventas[[#This Row],[Category]])</f>
        <v>ACCESSORIES</v>
      </c>
      <c r="L1614">
        <f>YEAR(Master_ventas[[#This Row],[Order Date]])</f>
        <v>2023</v>
      </c>
      <c r="M1614" t="str">
        <f>CONCATENATE(LEFT(Master_ventas[[#This Row],[ProdUpper]],3),RIGHT(Master_ventas[[#This Row],[Ext-Year]],2),"-",MID(Master_ventas[[#This Row],[Category]],1,1))</f>
        <v>KEY23-A</v>
      </c>
      <c r="N1614" t="str">
        <f>MID(Master_ventas[[#This Row],[ProdUpper]],1,3)</f>
        <v>KEY</v>
      </c>
      <c r="O1614" t="str">
        <f>UPPER(IF(Master_ventas[[#This Row],[Profit]]&gt;500,"High","Std"))</f>
        <v>HIGH</v>
      </c>
      <c r="P1614">
        <v>1613</v>
      </c>
    </row>
    <row r="1615" spans="1:16" x14ac:dyDescent="0.3">
      <c r="A1615" s="1">
        <v>44815</v>
      </c>
      <c r="B1615" t="s">
        <v>13</v>
      </c>
      <c r="C1615" t="s">
        <v>14</v>
      </c>
      <c r="D1615" t="s">
        <v>12</v>
      </c>
      <c r="E1615">
        <v>3</v>
      </c>
      <c r="F1615" s="3">
        <v>369</v>
      </c>
      <c r="G1615" s="2">
        <v>36.07</v>
      </c>
      <c r="H1615">
        <f>Master_ventas[[#This Row],[Profit]]/Master_ventas[[#This Row],[Sales]]</f>
        <v>9.7750677506775074E-2</v>
      </c>
      <c r="I1615">
        <f ca="1">Referencia_Hoy-Master_ventas[[#This Row],[Order Date]]</f>
        <v>1508</v>
      </c>
      <c r="J1615" t="str">
        <f>UPPER(Master_ventas[[#This Row],[Product Name]])</f>
        <v>TABLET</v>
      </c>
      <c r="K1615" t="str">
        <f>UPPER(Master_ventas[[#This Row],[Category]])</f>
        <v>ELECTRONICS</v>
      </c>
      <c r="L1615">
        <f>YEAR(Master_ventas[[#This Row],[Order Date]])</f>
        <v>2022</v>
      </c>
      <c r="M1615" t="str">
        <f>CONCATENATE(LEFT(Master_ventas[[#This Row],[ProdUpper]],3),RIGHT(Master_ventas[[#This Row],[Ext-Year]],2),"-",MID(Master_ventas[[#This Row],[Category]],1,1))</f>
        <v>TAB22-E</v>
      </c>
      <c r="N1615" t="str">
        <f>MID(Master_ventas[[#This Row],[ProdUpper]],1,3)</f>
        <v>TAB</v>
      </c>
      <c r="O1615" t="str">
        <f>UPPER(IF(Master_ventas[[#This Row],[Profit]]&gt;500,"High","Std"))</f>
        <v>STD</v>
      </c>
      <c r="P1615">
        <v>1614</v>
      </c>
    </row>
    <row r="1616" spans="1:16" x14ac:dyDescent="0.3">
      <c r="A1616" s="1">
        <v>45308</v>
      </c>
      <c r="B1616" t="s">
        <v>23</v>
      </c>
      <c r="C1616" t="s">
        <v>14</v>
      </c>
      <c r="D1616" t="s">
        <v>16</v>
      </c>
      <c r="E1616">
        <v>4</v>
      </c>
      <c r="F1616" s="3">
        <v>4140</v>
      </c>
      <c r="G1616" s="2">
        <v>1229.8499999999999</v>
      </c>
      <c r="H1616">
        <f>Master_ventas[[#This Row],[Profit]]/Master_ventas[[#This Row],[Sales]]</f>
        <v>0.29706521739130431</v>
      </c>
      <c r="I1616">
        <f ca="1">Referencia_Hoy-Master_ventas[[#This Row],[Order Date]]</f>
        <v>1015</v>
      </c>
      <c r="J1616" t="str">
        <f>UPPER(Master_ventas[[#This Row],[Product Name]])</f>
        <v>LAPTOP</v>
      </c>
      <c r="K1616" t="str">
        <f>UPPER(Master_ventas[[#This Row],[Category]])</f>
        <v>ELECTRONICS</v>
      </c>
      <c r="L1616">
        <f>YEAR(Master_ventas[[#This Row],[Order Date]])</f>
        <v>2024</v>
      </c>
      <c r="M1616" t="str">
        <f>CONCATENATE(LEFT(Master_ventas[[#This Row],[ProdUpper]],3),RIGHT(Master_ventas[[#This Row],[Ext-Year]],2),"-",MID(Master_ventas[[#This Row],[Category]],1,1))</f>
        <v>LAP24-E</v>
      </c>
      <c r="N1616" t="str">
        <f>MID(Master_ventas[[#This Row],[ProdUpper]],1,3)</f>
        <v>LAP</v>
      </c>
      <c r="O1616" t="str">
        <f>UPPER(IF(Master_ventas[[#This Row],[Profit]]&gt;500,"High","Std"))</f>
        <v>HIGH</v>
      </c>
      <c r="P1616">
        <v>1615</v>
      </c>
    </row>
    <row r="1617" spans="1:16" x14ac:dyDescent="0.3">
      <c r="A1617" s="1">
        <v>45395</v>
      </c>
      <c r="B1617" t="s">
        <v>7</v>
      </c>
      <c r="C1617" t="s">
        <v>8</v>
      </c>
      <c r="D1617" t="s">
        <v>15</v>
      </c>
      <c r="E1617">
        <v>3</v>
      </c>
      <c r="F1617" s="3">
        <v>1086</v>
      </c>
      <c r="G1617" s="2">
        <v>188.65</v>
      </c>
      <c r="H1617">
        <f>Master_ventas[[#This Row],[Profit]]/Master_ventas[[#This Row],[Sales]]</f>
        <v>0.17371086556169429</v>
      </c>
      <c r="I1617">
        <f ca="1">Referencia_Hoy-Master_ventas[[#This Row],[Order Date]]</f>
        <v>928</v>
      </c>
      <c r="J1617" t="str">
        <f>UPPER(Master_ventas[[#This Row],[Product Name]])</f>
        <v>PRINTER</v>
      </c>
      <c r="K1617" t="str">
        <f>UPPER(Master_ventas[[#This Row],[Category]])</f>
        <v>OFFICE</v>
      </c>
      <c r="L1617">
        <f>YEAR(Master_ventas[[#This Row],[Order Date]])</f>
        <v>2024</v>
      </c>
      <c r="M1617" t="str">
        <f>CONCATENATE(LEFT(Master_ventas[[#This Row],[ProdUpper]],3),RIGHT(Master_ventas[[#This Row],[Ext-Year]],2),"-",MID(Master_ventas[[#This Row],[Category]],1,1))</f>
        <v>PRI24-O</v>
      </c>
      <c r="N1617" t="str">
        <f>MID(Master_ventas[[#This Row],[ProdUpper]],1,3)</f>
        <v>PRI</v>
      </c>
      <c r="O1617" t="str">
        <f>UPPER(IF(Master_ventas[[#This Row],[Profit]]&gt;500,"High","Std"))</f>
        <v>STD</v>
      </c>
      <c r="P1617">
        <v>1616</v>
      </c>
    </row>
    <row r="1618" spans="1:16" x14ac:dyDescent="0.3">
      <c r="A1618" s="1">
        <v>44988</v>
      </c>
      <c r="B1618" t="s">
        <v>10</v>
      </c>
      <c r="C1618" t="s">
        <v>11</v>
      </c>
      <c r="D1618" t="s">
        <v>15</v>
      </c>
      <c r="E1618">
        <v>2</v>
      </c>
      <c r="F1618" s="3">
        <v>2134</v>
      </c>
      <c r="G1618" s="2">
        <v>269.52999999999997</v>
      </c>
      <c r="H1618">
        <f>Master_ventas[[#This Row],[Profit]]/Master_ventas[[#This Row],[Sales]]</f>
        <v>0.12630271790065603</v>
      </c>
      <c r="I1618">
        <f ca="1">Referencia_Hoy-Master_ventas[[#This Row],[Order Date]]</f>
        <v>1335</v>
      </c>
      <c r="J1618" t="str">
        <f>UPPER(Master_ventas[[#This Row],[Product Name]])</f>
        <v>MOUSE</v>
      </c>
      <c r="K1618" t="str">
        <f>UPPER(Master_ventas[[#This Row],[Category]])</f>
        <v>ACCESSORIES</v>
      </c>
      <c r="L1618">
        <f>YEAR(Master_ventas[[#This Row],[Order Date]])</f>
        <v>2023</v>
      </c>
      <c r="M1618" t="str">
        <f>CONCATENATE(LEFT(Master_ventas[[#This Row],[ProdUpper]],3),RIGHT(Master_ventas[[#This Row],[Ext-Year]],2),"-",MID(Master_ventas[[#This Row],[Category]],1,1))</f>
        <v>MOU23-A</v>
      </c>
      <c r="N1618" t="str">
        <f>MID(Master_ventas[[#This Row],[ProdUpper]],1,3)</f>
        <v>MOU</v>
      </c>
      <c r="O1618" t="str">
        <f>UPPER(IF(Master_ventas[[#This Row],[Profit]]&gt;500,"High","Std"))</f>
        <v>STD</v>
      </c>
      <c r="P1618">
        <v>1617</v>
      </c>
    </row>
    <row r="1619" spans="1:16" x14ac:dyDescent="0.3">
      <c r="A1619" s="1">
        <v>44728</v>
      </c>
      <c r="B1619" t="s">
        <v>23</v>
      </c>
      <c r="C1619" t="s">
        <v>14</v>
      </c>
      <c r="D1619" t="s">
        <v>9</v>
      </c>
      <c r="E1619">
        <v>6</v>
      </c>
      <c r="F1619" s="3">
        <v>5310</v>
      </c>
      <c r="G1619" s="2">
        <v>637.80999999999995</v>
      </c>
      <c r="H1619">
        <f>Master_ventas[[#This Row],[Profit]]/Master_ventas[[#This Row],[Sales]]</f>
        <v>0.12011487758945386</v>
      </c>
      <c r="I1619">
        <f ca="1">Referencia_Hoy-Master_ventas[[#This Row],[Order Date]]</f>
        <v>1595</v>
      </c>
      <c r="J1619" t="str">
        <f>UPPER(Master_ventas[[#This Row],[Product Name]])</f>
        <v>LAPTOP</v>
      </c>
      <c r="K1619" t="str">
        <f>UPPER(Master_ventas[[#This Row],[Category]])</f>
        <v>ELECTRONICS</v>
      </c>
      <c r="L1619">
        <f>YEAR(Master_ventas[[#This Row],[Order Date]])</f>
        <v>2022</v>
      </c>
      <c r="M1619" t="str">
        <f>CONCATENATE(LEFT(Master_ventas[[#This Row],[ProdUpper]],3),RIGHT(Master_ventas[[#This Row],[Ext-Year]],2),"-",MID(Master_ventas[[#This Row],[Category]],1,1))</f>
        <v>LAP22-E</v>
      </c>
      <c r="N1619" t="str">
        <f>MID(Master_ventas[[#This Row],[ProdUpper]],1,3)</f>
        <v>LAP</v>
      </c>
      <c r="O1619" t="str">
        <f>UPPER(IF(Master_ventas[[#This Row],[Profit]]&gt;500,"High","Std"))</f>
        <v>HIGH</v>
      </c>
      <c r="P1619">
        <v>1618</v>
      </c>
    </row>
    <row r="1620" spans="1:16" x14ac:dyDescent="0.3">
      <c r="A1620" s="1">
        <v>45158</v>
      </c>
      <c r="B1620" t="s">
        <v>18</v>
      </c>
      <c r="C1620" t="s">
        <v>11</v>
      </c>
      <c r="D1620" t="s">
        <v>12</v>
      </c>
      <c r="E1620">
        <v>6</v>
      </c>
      <c r="F1620" s="3">
        <v>2748</v>
      </c>
      <c r="G1620" s="2">
        <v>682.8</v>
      </c>
      <c r="H1620">
        <f>Master_ventas[[#This Row],[Profit]]/Master_ventas[[#This Row],[Sales]]</f>
        <v>0.24847161572052401</v>
      </c>
      <c r="I1620">
        <f ca="1">Referencia_Hoy-Master_ventas[[#This Row],[Order Date]]</f>
        <v>1165</v>
      </c>
      <c r="J1620" t="str">
        <f>UPPER(Master_ventas[[#This Row],[Product Name]])</f>
        <v>HEADPHONES</v>
      </c>
      <c r="K1620" t="str">
        <f>UPPER(Master_ventas[[#This Row],[Category]])</f>
        <v>ACCESSORIES</v>
      </c>
      <c r="L1620">
        <f>YEAR(Master_ventas[[#This Row],[Order Date]])</f>
        <v>2023</v>
      </c>
      <c r="M1620" t="str">
        <f>CONCATENATE(LEFT(Master_ventas[[#This Row],[ProdUpper]],3),RIGHT(Master_ventas[[#This Row],[Ext-Year]],2),"-",MID(Master_ventas[[#This Row],[Category]],1,1))</f>
        <v>HEA23-A</v>
      </c>
      <c r="N1620" t="str">
        <f>MID(Master_ventas[[#This Row],[ProdUpper]],1,3)</f>
        <v>HEA</v>
      </c>
      <c r="O1620" t="str">
        <f>UPPER(IF(Master_ventas[[#This Row],[Profit]]&gt;500,"High","Std"))</f>
        <v>HIGH</v>
      </c>
      <c r="P1620">
        <v>1619</v>
      </c>
    </row>
    <row r="1621" spans="1:16" x14ac:dyDescent="0.3">
      <c r="A1621" s="1">
        <v>45553</v>
      </c>
      <c r="B1621" t="s">
        <v>7</v>
      </c>
      <c r="C1621" t="s">
        <v>8</v>
      </c>
      <c r="D1621" t="s">
        <v>15</v>
      </c>
      <c r="E1621">
        <v>9</v>
      </c>
      <c r="F1621" s="3">
        <v>3357</v>
      </c>
      <c r="G1621" s="2">
        <v>405.61</v>
      </c>
      <c r="H1621">
        <f>Master_ventas[[#This Row],[Profit]]/Master_ventas[[#This Row],[Sales]]</f>
        <v>0.12082514149538279</v>
      </c>
      <c r="I1621">
        <f ca="1">Referencia_Hoy-Master_ventas[[#This Row],[Order Date]]</f>
        <v>770</v>
      </c>
      <c r="J1621" t="str">
        <f>UPPER(Master_ventas[[#This Row],[Product Name]])</f>
        <v>PRINTER</v>
      </c>
      <c r="K1621" t="str">
        <f>UPPER(Master_ventas[[#This Row],[Category]])</f>
        <v>OFFICE</v>
      </c>
      <c r="L1621">
        <f>YEAR(Master_ventas[[#This Row],[Order Date]])</f>
        <v>2024</v>
      </c>
      <c r="M1621" t="str">
        <f>CONCATENATE(LEFT(Master_ventas[[#This Row],[ProdUpper]],3),RIGHT(Master_ventas[[#This Row],[Ext-Year]],2),"-",MID(Master_ventas[[#This Row],[Category]],1,1))</f>
        <v>PRI24-O</v>
      </c>
      <c r="N1621" t="str">
        <f>MID(Master_ventas[[#This Row],[ProdUpper]],1,3)</f>
        <v>PRI</v>
      </c>
      <c r="O1621" t="str">
        <f>UPPER(IF(Master_ventas[[#This Row],[Profit]]&gt;500,"High","Std"))</f>
        <v>STD</v>
      </c>
      <c r="P1621">
        <v>1620</v>
      </c>
    </row>
    <row r="1622" spans="1:16" x14ac:dyDescent="0.3">
      <c r="A1622" s="1">
        <v>44954</v>
      </c>
      <c r="B1622" t="s">
        <v>19</v>
      </c>
      <c r="C1622" t="s">
        <v>14</v>
      </c>
      <c r="D1622" t="s">
        <v>16</v>
      </c>
      <c r="E1622">
        <v>9</v>
      </c>
      <c r="F1622" s="3">
        <v>10206</v>
      </c>
      <c r="G1622" s="2">
        <v>592.77</v>
      </c>
      <c r="H1622">
        <f>Master_ventas[[#This Row],[Profit]]/Master_ventas[[#This Row],[Sales]]</f>
        <v>5.8080540858318631E-2</v>
      </c>
      <c r="I1622">
        <f ca="1">Referencia_Hoy-Master_ventas[[#This Row],[Order Date]]</f>
        <v>1369</v>
      </c>
      <c r="J1622" t="str">
        <f>UPPER(Master_ventas[[#This Row],[Product Name]])</f>
        <v>SMARTWATCH</v>
      </c>
      <c r="K1622" t="str">
        <f>UPPER(Master_ventas[[#This Row],[Category]])</f>
        <v>ELECTRONICS</v>
      </c>
      <c r="L1622">
        <f>YEAR(Master_ventas[[#This Row],[Order Date]])</f>
        <v>2023</v>
      </c>
      <c r="M1622" t="str">
        <f>CONCATENATE(LEFT(Master_ventas[[#This Row],[ProdUpper]],3),RIGHT(Master_ventas[[#This Row],[Ext-Year]],2),"-",MID(Master_ventas[[#This Row],[Category]],1,1))</f>
        <v>SMA23-E</v>
      </c>
      <c r="N1622" t="str">
        <f>MID(Master_ventas[[#This Row],[ProdUpper]],1,3)</f>
        <v>SMA</v>
      </c>
      <c r="O1622" t="str">
        <f>UPPER(IF(Master_ventas[[#This Row],[Profit]]&gt;500,"High","Std"))</f>
        <v>HIGH</v>
      </c>
      <c r="P1622">
        <v>1621</v>
      </c>
    </row>
    <row r="1623" spans="1:16" x14ac:dyDescent="0.3">
      <c r="A1623" s="1">
        <v>45585</v>
      </c>
      <c r="B1623" t="s">
        <v>21</v>
      </c>
      <c r="C1623" t="s">
        <v>14</v>
      </c>
      <c r="D1623" t="s">
        <v>15</v>
      </c>
      <c r="E1623">
        <v>6</v>
      </c>
      <c r="F1623" s="3">
        <v>2970</v>
      </c>
      <c r="G1623" s="2">
        <v>425.9</v>
      </c>
      <c r="H1623">
        <f>Master_ventas[[#This Row],[Profit]]/Master_ventas[[#This Row],[Sales]]</f>
        <v>0.14340067340067339</v>
      </c>
      <c r="I1623">
        <f ca="1">Referencia_Hoy-Master_ventas[[#This Row],[Order Date]]</f>
        <v>738</v>
      </c>
      <c r="J1623" t="str">
        <f>UPPER(Master_ventas[[#This Row],[Product Name]])</f>
        <v>SMARTPHONE</v>
      </c>
      <c r="K1623" t="str">
        <f>UPPER(Master_ventas[[#This Row],[Category]])</f>
        <v>ELECTRONICS</v>
      </c>
      <c r="L1623">
        <f>YEAR(Master_ventas[[#This Row],[Order Date]])</f>
        <v>2024</v>
      </c>
      <c r="M1623" t="str">
        <f>CONCATENATE(LEFT(Master_ventas[[#This Row],[ProdUpper]],3),RIGHT(Master_ventas[[#This Row],[Ext-Year]],2),"-",MID(Master_ventas[[#This Row],[Category]],1,1))</f>
        <v>SMA24-E</v>
      </c>
      <c r="N1623" t="str">
        <f>MID(Master_ventas[[#This Row],[ProdUpper]],1,3)</f>
        <v>SMA</v>
      </c>
      <c r="O1623" t="str">
        <f>UPPER(IF(Master_ventas[[#This Row],[Profit]]&gt;500,"High","Std"))</f>
        <v>STD</v>
      </c>
      <c r="P1623">
        <v>1622</v>
      </c>
    </row>
    <row r="1624" spans="1:16" x14ac:dyDescent="0.3">
      <c r="A1624" s="1">
        <v>44699</v>
      </c>
      <c r="B1624" t="s">
        <v>10</v>
      </c>
      <c r="C1624" t="s">
        <v>11</v>
      </c>
      <c r="D1624" t="s">
        <v>16</v>
      </c>
      <c r="E1624">
        <v>4</v>
      </c>
      <c r="F1624" s="3">
        <v>1208</v>
      </c>
      <c r="G1624" s="2">
        <v>351.47</v>
      </c>
      <c r="H1624">
        <f>Master_ventas[[#This Row],[Profit]]/Master_ventas[[#This Row],[Sales]]</f>
        <v>0.29095198675496692</v>
      </c>
      <c r="I1624">
        <f ca="1">Referencia_Hoy-Master_ventas[[#This Row],[Order Date]]</f>
        <v>1624</v>
      </c>
      <c r="J1624" t="str">
        <f>UPPER(Master_ventas[[#This Row],[Product Name]])</f>
        <v>MOUSE</v>
      </c>
      <c r="K1624" t="str">
        <f>UPPER(Master_ventas[[#This Row],[Category]])</f>
        <v>ACCESSORIES</v>
      </c>
      <c r="L1624">
        <f>YEAR(Master_ventas[[#This Row],[Order Date]])</f>
        <v>2022</v>
      </c>
      <c r="M1624" t="str">
        <f>CONCATENATE(LEFT(Master_ventas[[#This Row],[ProdUpper]],3),RIGHT(Master_ventas[[#This Row],[Ext-Year]],2),"-",MID(Master_ventas[[#This Row],[Category]],1,1))</f>
        <v>MOU22-A</v>
      </c>
      <c r="N1624" t="str">
        <f>MID(Master_ventas[[#This Row],[ProdUpper]],1,3)</f>
        <v>MOU</v>
      </c>
      <c r="O1624" t="str">
        <f>UPPER(IF(Master_ventas[[#This Row],[Profit]]&gt;500,"High","Std"))</f>
        <v>STD</v>
      </c>
      <c r="P1624">
        <v>1623</v>
      </c>
    </row>
    <row r="1625" spans="1:16" x14ac:dyDescent="0.3">
      <c r="A1625" s="1">
        <v>45462</v>
      </c>
      <c r="B1625" t="s">
        <v>19</v>
      </c>
      <c r="C1625" t="s">
        <v>14</v>
      </c>
      <c r="D1625" t="s">
        <v>15</v>
      </c>
      <c r="E1625">
        <v>3</v>
      </c>
      <c r="F1625" s="3">
        <v>945</v>
      </c>
      <c r="G1625" s="2">
        <v>135.59</v>
      </c>
      <c r="H1625">
        <f>Master_ventas[[#This Row],[Profit]]/Master_ventas[[#This Row],[Sales]]</f>
        <v>0.14348148148148149</v>
      </c>
      <c r="I1625">
        <f ca="1">Referencia_Hoy-Master_ventas[[#This Row],[Order Date]]</f>
        <v>861</v>
      </c>
      <c r="J1625" t="str">
        <f>UPPER(Master_ventas[[#This Row],[Product Name]])</f>
        <v>SMARTWATCH</v>
      </c>
      <c r="K1625" t="str">
        <f>UPPER(Master_ventas[[#This Row],[Category]])</f>
        <v>ELECTRONICS</v>
      </c>
      <c r="L1625">
        <f>YEAR(Master_ventas[[#This Row],[Order Date]])</f>
        <v>2024</v>
      </c>
      <c r="M1625" t="str">
        <f>CONCATENATE(LEFT(Master_ventas[[#This Row],[ProdUpper]],3),RIGHT(Master_ventas[[#This Row],[Ext-Year]],2),"-",MID(Master_ventas[[#This Row],[Category]],1,1))</f>
        <v>SMA24-E</v>
      </c>
      <c r="N1625" t="str">
        <f>MID(Master_ventas[[#This Row],[ProdUpper]],1,3)</f>
        <v>SMA</v>
      </c>
      <c r="O1625" t="str">
        <f>UPPER(IF(Master_ventas[[#This Row],[Profit]]&gt;500,"High","Std"))</f>
        <v>STD</v>
      </c>
      <c r="P1625">
        <v>1624</v>
      </c>
    </row>
    <row r="1626" spans="1:16" x14ac:dyDescent="0.3">
      <c r="A1626" s="1">
        <v>44748</v>
      </c>
      <c r="B1626" t="s">
        <v>20</v>
      </c>
      <c r="C1626" t="s">
        <v>11</v>
      </c>
      <c r="D1626" t="s">
        <v>12</v>
      </c>
      <c r="E1626">
        <v>8</v>
      </c>
      <c r="F1626" s="3">
        <v>7040</v>
      </c>
      <c r="G1626" s="2">
        <v>996.02</v>
      </c>
      <c r="H1626">
        <f>Master_ventas[[#This Row],[Profit]]/Master_ventas[[#This Row],[Sales]]</f>
        <v>0.14148011363636365</v>
      </c>
      <c r="I1626">
        <f ca="1">Referencia_Hoy-Master_ventas[[#This Row],[Order Date]]</f>
        <v>1575</v>
      </c>
      <c r="J1626" t="str">
        <f>UPPER(Master_ventas[[#This Row],[Product Name]])</f>
        <v>MONITOR</v>
      </c>
      <c r="K1626" t="str">
        <f>UPPER(Master_ventas[[#This Row],[Category]])</f>
        <v>ACCESSORIES</v>
      </c>
      <c r="L1626">
        <f>YEAR(Master_ventas[[#This Row],[Order Date]])</f>
        <v>2022</v>
      </c>
      <c r="M1626" t="str">
        <f>CONCATENATE(LEFT(Master_ventas[[#This Row],[ProdUpper]],3),RIGHT(Master_ventas[[#This Row],[Ext-Year]],2),"-",MID(Master_ventas[[#This Row],[Category]],1,1))</f>
        <v>MON22-A</v>
      </c>
      <c r="N1626" t="str">
        <f>MID(Master_ventas[[#This Row],[ProdUpper]],1,3)</f>
        <v>MON</v>
      </c>
      <c r="O1626" t="str">
        <f>UPPER(IF(Master_ventas[[#This Row],[Profit]]&gt;500,"High","Std"))</f>
        <v>HIGH</v>
      </c>
      <c r="P1626">
        <v>1625</v>
      </c>
    </row>
    <row r="1627" spans="1:16" x14ac:dyDescent="0.3">
      <c r="A1627" s="1">
        <v>45252</v>
      </c>
      <c r="B1627" t="s">
        <v>21</v>
      </c>
      <c r="C1627" t="s">
        <v>14</v>
      </c>
      <c r="D1627" t="s">
        <v>16</v>
      </c>
      <c r="E1627">
        <v>4</v>
      </c>
      <c r="F1627" s="3">
        <v>3684</v>
      </c>
      <c r="G1627" s="2">
        <v>1009.1</v>
      </c>
      <c r="H1627">
        <f>Master_ventas[[#This Row],[Profit]]/Master_ventas[[#This Row],[Sales]]</f>
        <v>0.27391422366992402</v>
      </c>
      <c r="I1627">
        <f ca="1">Referencia_Hoy-Master_ventas[[#This Row],[Order Date]]</f>
        <v>1071</v>
      </c>
      <c r="J1627" t="str">
        <f>UPPER(Master_ventas[[#This Row],[Product Name]])</f>
        <v>SMARTPHONE</v>
      </c>
      <c r="K1627" t="str">
        <f>UPPER(Master_ventas[[#This Row],[Category]])</f>
        <v>ELECTRONICS</v>
      </c>
      <c r="L1627">
        <f>YEAR(Master_ventas[[#This Row],[Order Date]])</f>
        <v>2023</v>
      </c>
      <c r="M1627" t="str">
        <f>CONCATENATE(LEFT(Master_ventas[[#This Row],[ProdUpper]],3),RIGHT(Master_ventas[[#This Row],[Ext-Year]],2),"-",MID(Master_ventas[[#This Row],[Category]],1,1))</f>
        <v>SMA23-E</v>
      </c>
      <c r="N1627" t="str">
        <f>MID(Master_ventas[[#This Row],[ProdUpper]],1,3)</f>
        <v>SMA</v>
      </c>
      <c r="O1627" t="str">
        <f>UPPER(IF(Master_ventas[[#This Row],[Profit]]&gt;500,"High","Std"))</f>
        <v>HIGH</v>
      </c>
      <c r="P1627">
        <v>1626</v>
      </c>
    </row>
    <row r="1628" spans="1:16" x14ac:dyDescent="0.3">
      <c r="A1628" s="1">
        <v>45345</v>
      </c>
      <c r="B1628" t="s">
        <v>18</v>
      </c>
      <c r="C1628" t="s">
        <v>11</v>
      </c>
      <c r="D1628" t="s">
        <v>12</v>
      </c>
      <c r="E1628">
        <v>2</v>
      </c>
      <c r="F1628" s="3">
        <v>1262</v>
      </c>
      <c r="G1628" s="2">
        <v>190.02</v>
      </c>
      <c r="H1628">
        <f>Master_ventas[[#This Row],[Profit]]/Master_ventas[[#This Row],[Sales]]</f>
        <v>0.1505705229793978</v>
      </c>
      <c r="I1628">
        <f ca="1">Referencia_Hoy-Master_ventas[[#This Row],[Order Date]]</f>
        <v>978</v>
      </c>
      <c r="J1628" t="str">
        <f>UPPER(Master_ventas[[#This Row],[Product Name]])</f>
        <v>HEADPHONES</v>
      </c>
      <c r="K1628" t="str">
        <f>UPPER(Master_ventas[[#This Row],[Category]])</f>
        <v>ACCESSORIES</v>
      </c>
      <c r="L1628">
        <f>YEAR(Master_ventas[[#This Row],[Order Date]])</f>
        <v>2024</v>
      </c>
      <c r="M1628" t="str">
        <f>CONCATENATE(LEFT(Master_ventas[[#This Row],[ProdUpper]],3),RIGHT(Master_ventas[[#This Row],[Ext-Year]],2),"-",MID(Master_ventas[[#This Row],[Category]],1,1))</f>
        <v>HEA24-A</v>
      </c>
      <c r="N1628" t="str">
        <f>MID(Master_ventas[[#This Row],[ProdUpper]],1,3)</f>
        <v>HEA</v>
      </c>
      <c r="O1628" t="str">
        <f>UPPER(IF(Master_ventas[[#This Row],[Profit]]&gt;500,"High","Std"))</f>
        <v>STD</v>
      </c>
      <c r="P1628">
        <v>1627</v>
      </c>
    </row>
    <row r="1629" spans="1:16" x14ac:dyDescent="0.3">
      <c r="A1629" s="1">
        <v>44736</v>
      </c>
      <c r="B1629" t="s">
        <v>10</v>
      </c>
      <c r="C1629" t="s">
        <v>11</v>
      </c>
      <c r="D1629" t="s">
        <v>15</v>
      </c>
      <c r="E1629">
        <v>3</v>
      </c>
      <c r="F1629" s="3">
        <v>3504</v>
      </c>
      <c r="G1629" s="2">
        <v>807.65</v>
      </c>
      <c r="H1629">
        <f>Master_ventas[[#This Row],[Profit]]/Master_ventas[[#This Row],[Sales]]</f>
        <v>0.23049372146118721</v>
      </c>
      <c r="I1629">
        <f ca="1">Referencia_Hoy-Master_ventas[[#This Row],[Order Date]]</f>
        <v>1587</v>
      </c>
      <c r="J1629" t="str">
        <f>UPPER(Master_ventas[[#This Row],[Product Name]])</f>
        <v>MOUSE</v>
      </c>
      <c r="K1629" t="str">
        <f>UPPER(Master_ventas[[#This Row],[Category]])</f>
        <v>ACCESSORIES</v>
      </c>
      <c r="L1629">
        <f>YEAR(Master_ventas[[#This Row],[Order Date]])</f>
        <v>2022</v>
      </c>
      <c r="M1629" t="str">
        <f>CONCATENATE(LEFT(Master_ventas[[#This Row],[ProdUpper]],3),RIGHT(Master_ventas[[#This Row],[Ext-Year]],2),"-",MID(Master_ventas[[#This Row],[Category]],1,1))</f>
        <v>MOU22-A</v>
      </c>
      <c r="N1629" t="str">
        <f>MID(Master_ventas[[#This Row],[ProdUpper]],1,3)</f>
        <v>MOU</v>
      </c>
      <c r="O1629" t="str">
        <f>UPPER(IF(Master_ventas[[#This Row],[Profit]]&gt;500,"High","Std"))</f>
        <v>HIGH</v>
      </c>
      <c r="P1629">
        <v>1628</v>
      </c>
    </row>
    <row r="1630" spans="1:16" x14ac:dyDescent="0.3">
      <c r="A1630" s="1">
        <v>44910</v>
      </c>
      <c r="B1630" t="s">
        <v>7</v>
      </c>
      <c r="C1630" t="s">
        <v>8</v>
      </c>
      <c r="D1630" t="s">
        <v>12</v>
      </c>
      <c r="E1630">
        <v>6</v>
      </c>
      <c r="F1630" s="3">
        <v>4464</v>
      </c>
      <c r="G1630" s="2">
        <v>1122.3699999999999</v>
      </c>
      <c r="H1630">
        <f>Master_ventas[[#This Row],[Profit]]/Master_ventas[[#This Row],[Sales]]</f>
        <v>0.25142697132616487</v>
      </c>
      <c r="I1630">
        <f ca="1">Referencia_Hoy-Master_ventas[[#This Row],[Order Date]]</f>
        <v>1413</v>
      </c>
      <c r="J1630" t="str">
        <f>UPPER(Master_ventas[[#This Row],[Product Name]])</f>
        <v>PRINTER</v>
      </c>
      <c r="K1630" t="str">
        <f>UPPER(Master_ventas[[#This Row],[Category]])</f>
        <v>OFFICE</v>
      </c>
      <c r="L1630">
        <f>YEAR(Master_ventas[[#This Row],[Order Date]])</f>
        <v>2022</v>
      </c>
      <c r="M1630" t="str">
        <f>CONCATENATE(LEFT(Master_ventas[[#This Row],[ProdUpper]],3),RIGHT(Master_ventas[[#This Row],[Ext-Year]],2),"-",MID(Master_ventas[[#This Row],[Category]],1,1))</f>
        <v>PRI22-O</v>
      </c>
      <c r="N1630" t="str">
        <f>MID(Master_ventas[[#This Row],[ProdUpper]],1,3)</f>
        <v>PRI</v>
      </c>
      <c r="O1630" t="str">
        <f>UPPER(IF(Master_ventas[[#This Row],[Profit]]&gt;500,"High","Std"))</f>
        <v>HIGH</v>
      </c>
      <c r="P1630">
        <v>1629</v>
      </c>
    </row>
    <row r="1631" spans="1:16" x14ac:dyDescent="0.3">
      <c r="A1631" s="1">
        <v>45384</v>
      </c>
      <c r="B1631" t="s">
        <v>23</v>
      </c>
      <c r="C1631" t="s">
        <v>14</v>
      </c>
      <c r="D1631" t="s">
        <v>12</v>
      </c>
      <c r="E1631">
        <v>4</v>
      </c>
      <c r="F1631" s="3">
        <v>1324</v>
      </c>
      <c r="G1631" s="2">
        <v>227.2</v>
      </c>
      <c r="H1631">
        <f>Master_ventas[[#This Row],[Profit]]/Master_ventas[[#This Row],[Sales]]</f>
        <v>0.1716012084592145</v>
      </c>
      <c r="I1631">
        <f ca="1">Referencia_Hoy-Master_ventas[[#This Row],[Order Date]]</f>
        <v>939</v>
      </c>
      <c r="J1631" t="str">
        <f>UPPER(Master_ventas[[#This Row],[Product Name]])</f>
        <v>LAPTOP</v>
      </c>
      <c r="K1631" t="str">
        <f>UPPER(Master_ventas[[#This Row],[Category]])</f>
        <v>ELECTRONICS</v>
      </c>
      <c r="L1631">
        <f>YEAR(Master_ventas[[#This Row],[Order Date]])</f>
        <v>2024</v>
      </c>
      <c r="M1631" t="str">
        <f>CONCATENATE(LEFT(Master_ventas[[#This Row],[ProdUpper]],3),RIGHT(Master_ventas[[#This Row],[Ext-Year]],2),"-",MID(Master_ventas[[#This Row],[Category]],1,1))</f>
        <v>LAP24-E</v>
      </c>
      <c r="N1631" t="str">
        <f>MID(Master_ventas[[#This Row],[ProdUpper]],1,3)</f>
        <v>LAP</v>
      </c>
      <c r="O1631" t="str">
        <f>UPPER(IF(Master_ventas[[#This Row],[Profit]]&gt;500,"High","Std"))</f>
        <v>STD</v>
      </c>
      <c r="P1631">
        <v>1630</v>
      </c>
    </row>
    <row r="1632" spans="1:16" x14ac:dyDescent="0.3">
      <c r="A1632" s="1">
        <v>45124</v>
      </c>
      <c r="B1632" t="s">
        <v>17</v>
      </c>
      <c r="C1632" t="s">
        <v>14</v>
      </c>
      <c r="D1632" t="s">
        <v>12</v>
      </c>
      <c r="E1632">
        <v>6</v>
      </c>
      <c r="F1632" s="3">
        <v>4140</v>
      </c>
      <c r="G1632" s="2">
        <v>451.27</v>
      </c>
      <c r="H1632">
        <f>Master_ventas[[#This Row],[Profit]]/Master_ventas[[#This Row],[Sales]]</f>
        <v>0.1090024154589372</v>
      </c>
      <c r="I1632">
        <f ca="1">Referencia_Hoy-Master_ventas[[#This Row],[Order Date]]</f>
        <v>1199</v>
      </c>
      <c r="J1632" t="str">
        <f>UPPER(Master_ventas[[#This Row],[Product Name]])</f>
        <v>CAMERA</v>
      </c>
      <c r="K1632" t="str">
        <f>UPPER(Master_ventas[[#This Row],[Category]])</f>
        <v>ELECTRONICS</v>
      </c>
      <c r="L1632">
        <f>YEAR(Master_ventas[[#This Row],[Order Date]])</f>
        <v>2023</v>
      </c>
      <c r="M1632" t="str">
        <f>CONCATENATE(LEFT(Master_ventas[[#This Row],[ProdUpper]],3),RIGHT(Master_ventas[[#This Row],[Ext-Year]],2),"-",MID(Master_ventas[[#This Row],[Category]],1,1))</f>
        <v>CAM23-E</v>
      </c>
      <c r="N1632" t="str">
        <f>MID(Master_ventas[[#This Row],[ProdUpper]],1,3)</f>
        <v>CAM</v>
      </c>
      <c r="O1632" t="str">
        <f>UPPER(IF(Master_ventas[[#This Row],[Profit]]&gt;500,"High","Std"))</f>
        <v>STD</v>
      </c>
      <c r="P1632">
        <v>1631</v>
      </c>
    </row>
    <row r="1633" spans="1:16" x14ac:dyDescent="0.3">
      <c r="A1633" s="1">
        <v>45385</v>
      </c>
      <c r="B1633" t="s">
        <v>10</v>
      </c>
      <c r="C1633" t="s">
        <v>11</v>
      </c>
      <c r="D1633" t="s">
        <v>16</v>
      </c>
      <c r="E1633">
        <v>8</v>
      </c>
      <c r="F1633" s="3">
        <v>2384</v>
      </c>
      <c r="G1633" s="2">
        <v>120.28</v>
      </c>
      <c r="H1633">
        <f>Master_ventas[[#This Row],[Profit]]/Master_ventas[[#This Row],[Sales]]</f>
        <v>5.0453020134228185E-2</v>
      </c>
      <c r="I1633">
        <f ca="1">Referencia_Hoy-Master_ventas[[#This Row],[Order Date]]</f>
        <v>938</v>
      </c>
      <c r="J1633" t="str">
        <f>UPPER(Master_ventas[[#This Row],[Product Name]])</f>
        <v>MOUSE</v>
      </c>
      <c r="K1633" t="str">
        <f>UPPER(Master_ventas[[#This Row],[Category]])</f>
        <v>ACCESSORIES</v>
      </c>
      <c r="L1633">
        <f>YEAR(Master_ventas[[#This Row],[Order Date]])</f>
        <v>2024</v>
      </c>
      <c r="M1633" t="str">
        <f>CONCATENATE(LEFT(Master_ventas[[#This Row],[ProdUpper]],3),RIGHT(Master_ventas[[#This Row],[Ext-Year]],2),"-",MID(Master_ventas[[#This Row],[Category]],1,1))</f>
        <v>MOU24-A</v>
      </c>
      <c r="N1633" t="str">
        <f>MID(Master_ventas[[#This Row],[ProdUpper]],1,3)</f>
        <v>MOU</v>
      </c>
      <c r="O1633" t="str">
        <f>UPPER(IF(Master_ventas[[#This Row],[Profit]]&gt;500,"High","Std"))</f>
        <v>STD</v>
      </c>
      <c r="P1633">
        <v>1632</v>
      </c>
    </row>
    <row r="1634" spans="1:16" x14ac:dyDescent="0.3">
      <c r="A1634" s="1">
        <v>44683</v>
      </c>
      <c r="B1634" t="s">
        <v>23</v>
      </c>
      <c r="C1634" t="s">
        <v>14</v>
      </c>
      <c r="D1634" t="s">
        <v>16</v>
      </c>
      <c r="E1634">
        <v>8</v>
      </c>
      <c r="F1634" s="3">
        <v>4624</v>
      </c>
      <c r="G1634" s="2">
        <v>1313.36</v>
      </c>
      <c r="H1634">
        <f>Master_ventas[[#This Row],[Profit]]/Master_ventas[[#This Row],[Sales]]</f>
        <v>0.28403114186851208</v>
      </c>
      <c r="I1634">
        <f ca="1">Referencia_Hoy-Master_ventas[[#This Row],[Order Date]]</f>
        <v>1640</v>
      </c>
      <c r="J1634" t="str">
        <f>UPPER(Master_ventas[[#This Row],[Product Name]])</f>
        <v>LAPTOP</v>
      </c>
      <c r="K1634" t="str">
        <f>UPPER(Master_ventas[[#This Row],[Category]])</f>
        <v>ELECTRONICS</v>
      </c>
      <c r="L1634">
        <f>YEAR(Master_ventas[[#This Row],[Order Date]])</f>
        <v>2022</v>
      </c>
      <c r="M1634" t="str">
        <f>CONCATENATE(LEFT(Master_ventas[[#This Row],[ProdUpper]],3),RIGHT(Master_ventas[[#This Row],[Ext-Year]],2),"-",MID(Master_ventas[[#This Row],[Category]],1,1))</f>
        <v>LAP22-E</v>
      </c>
      <c r="N1634" t="str">
        <f>MID(Master_ventas[[#This Row],[ProdUpper]],1,3)</f>
        <v>LAP</v>
      </c>
      <c r="O1634" t="str">
        <f>UPPER(IF(Master_ventas[[#This Row],[Profit]]&gt;500,"High","Std"))</f>
        <v>HIGH</v>
      </c>
      <c r="P1634">
        <v>1633</v>
      </c>
    </row>
    <row r="1635" spans="1:16" x14ac:dyDescent="0.3">
      <c r="A1635" s="1">
        <v>45273</v>
      </c>
      <c r="B1635" t="s">
        <v>19</v>
      </c>
      <c r="C1635" t="s">
        <v>14</v>
      </c>
      <c r="D1635" t="s">
        <v>16</v>
      </c>
      <c r="E1635">
        <v>6</v>
      </c>
      <c r="F1635" s="3">
        <v>4812</v>
      </c>
      <c r="G1635" s="2">
        <v>662.54</v>
      </c>
      <c r="H1635">
        <f>Master_ventas[[#This Row],[Profit]]/Master_ventas[[#This Row],[Sales]]</f>
        <v>0.13768495428096425</v>
      </c>
      <c r="I1635">
        <f ca="1">Referencia_Hoy-Master_ventas[[#This Row],[Order Date]]</f>
        <v>1050</v>
      </c>
      <c r="J1635" t="str">
        <f>UPPER(Master_ventas[[#This Row],[Product Name]])</f>
        <v>SMARTWATCH</v>
      </c>
      <c r="K1635" t="str">
        <f>UPPER(Master_ventas[[#This Row],[Category]])</f>
        <v>ELECTRONICS</v>
      </c>
      <c r="L1635">
        <f>YEAR(Master_ventas[[#This Row],[Order Date]])</f>
        <v>2023</v>
      </c>
      <c r="M1635" t="str">
        <f>CONCATENATE(LEFT(Master_ventas[[#This Row],[ProdUpper]],3),RIGHT(Master_ventas[[#This Row],[Ext-Year]],2),"-",MID(Master_ventas[[#This Row],[Category]],1,1))</f>
        <v>SMA23-E</v>
      </c>
      <c r="N1635" t="str">
        <f>MID(Master_ventas[[#This Row],[ProdUpper]],1,3)</f>
        <v>SMA</v>
      </c>
      <c r="O1635" t="str">
        <f>UPPER(IF(Master_ventas[[#This Row],[Profit]]&gt;500,"High","Std"))</f>
        <v>HIGH</v>
      </c>
      <c r="P1635">
        <v>1634</v>
      </c>
    </row>
    <row r="1636" spans="1:16" x14ac:dyDescent="0.3">
      <c r="A1636" s="1">
        <v>44579</v>
      </c>
      <c r="B1636" t="s">
        <v>13</v>
      </c>
      <c r="C1636" t="s">
        <v>14</v>
      </c>
      <c r="D1636" t="s">
        <v>9</v>
      </c>
      <c r="E1636">
        <v>6</v>
      </c>
      <c r="F1636" s="3">
        <v>5640</v>
      </c>
      <c r="G1636" s="2">
        <v>856.44</v>
      </c>
      <c r="H1636">
        <f>Master_ventas[[#This Row],[Profit]]/Master_ventas[[#This Row],[Sales]]</f>
        <v>0.15185106382978725</v>
      </c>
      <c r="I1636">
        <f ca="1">Referencia_Hoy-Master_ventas[[#This Row],[Order Date]]</f>
        <v>1744</v>
      </c>
      <c r="J1636" t="str">
        <f>UPPER(Master_ventas[[#This Row],[Product Name]])</f>
        <v>TABLET</v>
      </c>
      <c r="K1636" t="str">
        <f>UPPER(Master_ventas[[#This Row],[Category]])</f>
        <v>ELECTRONICS</v>
      </c>
      <c r="L1636">
        <f>YEAR(Master_ventas[[#This Row],[Order Date]])</f>
        <v>2022</v>
      </c>
      <c r="M1636" t="str">
        <f>CONCATENATE(LEFT(Master_ventas[[#This Row],[ProdUpper]],3),RIGHT(Master_ventas[[#This Row],[Ext-Year]],2),"-",MID(Master_ventas[[#This Row],[Category]],1,1))</f>
        <v>TAB22-E</v>
      </c>
      <c r="N1636" t="str">
        <f>MID(Master_ventas[[#This Row],[ProdUpper]],1,3)</f>
        <v>TAB</v>
      </c>
      <c r="O1636" t="str">
        <f>UPPER(IF(Master_ventas[[#This Row],[Profit]]&gt;500,"High","Std"))</f>
        <v>HIGH</v>
      </c>
      <c r="P1636">
        <v>1635</v>
      </c>
    </row>
    <row r="1637" spans="1:16" x14ac:dyDescent="0.3">
      <c r="A1637" s="1">
        <v>44827</v>
      </c>
      <c r="B1637" t="s">
        <v>19</v>
      </c>
      <c r="C1637" t="s">
        <v>14</v>
      </c>
      <c r="D1637" t="s">
        <v>16</v>
      </c>
      <c r="E1637">
        <v>5</v>
      </c>
      <c r="F1637" s="3">
        <v>1840</v>
      </c>
      <c r="G1637" s="2">
        <v>307.08999999999997</v>
      </c>
      <c r="H1637">
        <f>Master_ventas[[#This Row],[Profit]]/Master_ventas[[#This Row],[Sales]]</f>
        <v>0.16689673913043476</v>
      </c>
      <c r="I1637">
        <f ca="1">Referencia_Hoy-Master_ventas[[#This Row],[Order Date]]</f>
        <v>1496</v>
      </c>
      <c r="J1637" t="str">
        <f>UPPER(Master_ventas[[#This Row],[Product Name]])</f>
        <v>SMARTWATCH</v>
      </c>
      <c r="K1637" t="str">
        <f>UPPER(Master_ventas[[#This Row],[Category]])</f>
        <v>ELECTRONICS</v>
      </c>
      <c r="L1637">
        <f>YEAR(Master_ventas[[#This Row],[Order Date]])</f>
        <v>2022</v>
      </c>
      <c r="M1637" t="str">
        <f>CONCATENATE(LEFT(Master_ventas[[#This Row],[ProdUpper]],3),RIGHT(Master_ventas[[#This Row],[Ext-Year]],2),"-",MID(Master_ventas[[#This Row],[Category]],1,1))</f>
        <v>SMA22-E</v>
      </c>
      <c r="N1637" t="str">
        <f>MID(Master_ventas[[#This Row],[ProdUpper]],1,3)</f>
        <v>SMA</v>
      </c>
      <c r="O1637" t="str">
        <f>UPPER(IF(Master_ventas[[#This Row],[Profit]]&gt;500,"High","Std"))</f>
        <v>STD</v>
      </c>
      <c r="P1637">
        <v>1636</v>
      </c>
    </row>
    <row r="1638" spans="1:16" x14ac:dyDescent="0.3">
      <c r="A1638" s="1">
        <v>45597</v>
      </c>
      <c r="B1638" t="s">
        <v>22</v>
      </c>
      <c r="C1638" t="s">
        <v>11</v>
      </c>
      <c r="D1638" t="s">
        <v>9</v>
      </c>
      <c r="E1638">
        <v>7</v>
      </c>
      <c r="F1638" s="3">
        <v>8071</v>
      </c>
      <c r="G1638" s="2">
        <v>435.51</v>
      </c>
      <c r="H1638">
        <f>Master_ventas[[#This Row],[Profit]]/Master_ventas[[#This Row],[Sales]]</f>
        <v>5.3959856275554455E-2</v>
      </c>
      <c r="I1638">
        <f ca="1">Referencia_Hoy-Master_ventas[[#This Row],[Order Date]]</f>
        <v>726</v>
      </c>
      <c r="J1638" t="str">
        <f>UPPER(Master_ventas[[#This Row],[Product Name]])</f>
        <v>KEYBOARD</v>
      </c>
      <c r="K1638" t="str">
        <f>UPPER(Master_ventas[[#This Row],[Category]])</f>
        <v>ACCESSORIES</v>
      </c>
      <c r="L1638">
        <f>YEAR(Master_ventas[[#This Row],[Order Date]])</f>
        <v>2024</v>
      </c>
      <c r="M1638" t="str">
        <f>CONCATENATE(LEFT(Master_ventas[[#This Row],[ProdUpper]],3),RIGHT(Master_ventas[[#This Row],[Ext-Year]],2),"-",MID(Master_ventas[[#This Row],[Category]],1,1))</f>
        <v>KEY24-A</v>
      </c>
      <c r="N1638" t="str">
        <f>MID(Master_ventas[[#This Row],[ProdUpper]],1,3)</f>
        <v>KEY</v>
      </c>
      <c r="O1638" t="str">
        <f>UPPER(IF(Master_ventas[[#This Row],[Profit]]&gt;500,"High","Std"))</f>
        <v>STD</v>
      </c>
      <c r="P1638">
        <v>1637</v>
      </c>
    </row>
    <row r="1639" spans="1:16" x14ac:dyDescent="0.3">
      <c r="A1639" s="1">
        <v>44859</v>
      </c>
      <c r="B1639" t="s">
        <v>22</v>
      </c>
      <c r="C1639" t="s">
        <v>11</v>
      </c>
      <c r="D1639" t="s">
        <v>9</v>
      </c>
      <c r="E1639">
        <v>3</v>
      </c>
      <c r="F1639" s="3">
        <v>2400</v>
      </c>
      <c r="G1639" s="2">
        <v>297.07</v>
      </c>
      <c r="H1639">
        <f>Master_ventas[[#This Row],[Profit]]/Master_ventas[[#This Row],[Sales]]</f>
        <v>0.12377916666666666</v>
      </c>
      <c r="I1639">
        <f ca="1">Referencia_Hoy-Master_ventas[[#This Row],[Order Date]]</f>
        <v>1464</v>
      </c>
      <c r="J1639" t="str">
        <f>UPPER(Master_ventas[[#This Row],[Product Name]])</f>
        <v>KEYBOARD</v>
      </c>
      <c r="K1639" t="str">
        <f>UPPER(Master_ventas[[#This Row],[Category]])</f>
        <v>ACCESSORIES</v>
      </c>
      <c r="L1639">
        <f>YEAR(Master_ventas[[#This Row],[Order Date]])</f>
        <v>2022</v>
      </c>
      <c r="M1639" t="str">
        <f>CONCATENATE(LEFT(Master_ventas[[#This Row],[ProdUpper]],3),RIGHT(Master_ventas[[#This Row],[Ext-Year]],2),"-",MID(Master_ventas[[#This Row],[Category]],1,1))</f>
        <v>KEY22-A</v>
      </c>
      <c r="N1639" t="str">
        <f>MID(Master_ventas[[#This Row],[ProdUpper]],1,3)</f>
        <v>KEY</v>
      </c>
      <c r="O1639" t="str">
        <f>UPPER(IF(Master_ventas[[#This Row],[Profit]]&gt;500,"High","Std"))</f>
        <v>STD</v>
      </c>
      <c r="P1639">
        <v>1638</v>
      </c>
    </row>
    <row r="1640" spans="1:16" x14ac:dyDescent="0.3">
      <c r="A1640" s="1">
        <v>45108</v>
      </c>
      <c r="B1640" t="s">
        <v>19</v>
      </c>
      <c r="C1640" t="s">
        <v>14</v>
      </c>
      <c r="D1640" t="s">
        <v>12</v>
      </c>
      <c r="E1640">
        <v>6</v>
      </c>
      <c r="F1640" s="3">
        <v>3570</v>
      </c>
      <c r="G1640" s="2">
        <v>265.62</v>
      </c>
      <c r="H1640">
        <f>Master_ventas[[#This Row],[Profit]]/Master_ventas[[#This Row],[Sales]]</f>
        <v>7.4403361344537816E-2</v>
      </c>
      <c r="I1640">
        <f ca="1">Referencia_Hoy-Master_ventas[[#This Row],[Order Date]]</f>
        <v>1215</v>
      </c>
      <c r="J1640" t="str">
        <f>UPPER(Master_ventas[[#This Row],[Product Name]])</f>
        <v>SMARTWATCH</v>
      </c>
      <c r="K1640" t="str">
        <f>UPPER(Master_ventas[[#This Row],[Category]])</f>
        <v>ELECTRONICS</v>
      </c>
      <c r="L1640">
        <f>YEAR(Master_ventas[[#This Row],[Order Date]])</f>
        <v>2023</v>
      </c>
      <c r="M1640" t="str">
        <f>CONCATENATE(LEFT(Master_ventas[[#This Row],[ProdUpper]],3),RIGHT(Master_ventas[[#This Row],[Ext-Year]],2),"-",MID(Master_ventas[[#This Row],[Category]],1,1))</f>
        <v>SMA23-E</v>
      </c>
      <c r="N1640" t="str">
        <f>MID(Master_ventas[[#This Row],[ProdUpper]],1,3)</f>
        <v>SMA</v>
      </c>
      <c r="O1640" t="str">
        <f>UPPER(IF(Master_ventas[[#This Row],[Profit]]&gt;500,"High","Std"))</f>
        <v>STD</v>
      </c>
      <c r="P1640">
        <v>1639</v>
      </c>
    </row>
    <row r="1641" spans="1:16" x14ac:dyDescent="0.3">
      <c r="A1641" s="1">
        <v>44647</v>
      </c>
      <c r="B1641" t="s">
        <v>23</v>
      </c>
      <c r="C1641" t="s">
        <v>14</v>
      </c>
      <c r="D1641" t="s">
        <v>12</v>
      </c>
      <c r="E1641">
        <v>3</v>
      </c>
      <c r="F1641" s="3">
        <v>1758</v>
      </c>
      <c r="G1641" s="2">
        <v>245.92</v>
      </c>
      <c r="H1641">
        <f>Master_ventas[[#This Row],[Profit]]/Master_ventas[[#This Row],[Sales]]</f>
        <v>0.13988623435722411</v>
      </c>
      <c r="I1641">
        <f ca="1">Referencia_Hoy-Master_ventas[[#This Row],[Order Date]]</f>
        <v>1676</v>
      </c>
      <c r="J1641" t="str">
        <f>UPPER(Master_ventas[[#This Row],[Product Name]])</f>
        <v>LAPTOP</v>
      </c>
      <c r="K1641" t="str">
        <f>UPPER(Master_ventas[[#This Row],[Category]])</f>
        <v>ELECTRONICS</v>
      </c>
      <c r="L1641">
        <f>YEAR(Master_ventas[[#This Row],[Order Date]])</f>
        <v>2022</v>
      </c>
      <c r="M1641" t="str">
        <f>CONCATENATE(LEFT(Master_ventas[[#This Row],[ProdUpper]],3),RIGHT(Master_ventas[[#This Row],[Ext-Year]],2),"-",MID(Master_ventas[[#This Row],[Category]],1,1))</f>
        <v>LAP22-E</v>
      </c>
      <c r="N1641" t="str">
        <f>MID(Master_ventas[[#This Row],[ProdUpper]],1,3)</f>
        <v>LAP</v>
      </c>
      <c r="O1641" t="str">
        <f>UPPER(IF(Master_ventas[[#This Row],[Profit]]&gt;500,"High","Std"))</f>
        <v>STD</v>
      </c>
      <c r="P1641">
        <v>1640</v>
      </c>
    </row>
    <row r="1642" spans="1:16" x14ac:dyDescent="0.3">
      <c r="A1642" s="1">
        <v>45144</v>
      </c>
      <c r="B1642" t="s">
        <v>20</v>
      </c>
      <c r="C1642" t="s">
        <v>11</v>
      </c>
      <c r="D1642" t="s">
        <v>9</v>
      </c>
      <c r="E1642">
        <v>4</v>
      </c>
      <c r="F1642" s="3">
        <v>3072</v>
      </c>
      <c r="G1642" s="2">
        <v>394.2</v>
      </c>
      <c r="H1642">
        <f>Master_ventas[[#This Row],[Profit]]/Master_ventas[[#This Row],[Sales]]</f>
        <v>0.12832031250000001</v>
      </c>
      <c r="I1642">
        <f ca="1">Referencia_Hoy-Master_ventas[[#This Row],[Order Date]]</f>
        <v>1179</v>
      </c>
      <c r="J1642" t="str">
        <f>UPPER(Master_ventas[[#This Row],[Product Name]])</f>
        <v>MONITOR</v>
      </c>
      <c r="K1642" t="str">
        <f>UPPER(Master_ventas[[#This Row],[Category]])</f>
        <v>ACCESSORIES</v>
      </c>
      <c r="L1642">
        <f>YEAR(Master_ventas[[#This Row],[Order Date]])</f>
        <v>2023</v>
      </c>
      <c r="M1642" t="str">
        <f>CONCATENATE(LEFT(Master_ventas[[#This Row],[ProdUpper]],3),RIGHT(Master_ventas[[#This Row],[Ext-Year]],2),"-",MID(Master_ventas[[#This Row],[Category]],1,1))</f>
        <v>MON23-A</v>
      </c>
      <c r="N1642" t="str">
        <f>MID(Master_ventas[[#This Row],[ProdUpper]],1,3)</f>
        <v>MON</v>
      </c>
      <c r="O1642" t="str">
        <f>UPPER(IF(Master_ventas[[#This Row],[Profit]]&gt;500,"High","Std"))</f>
        <v>STD</v>
      </c>
      <c r="P1642">
        <v>1641</v>
      </c>
    </row>
    <row r="1643" spans="1:16" x14ac:dyDescent="0.3">
      <c r="A1643" s="1">
        <v>45154</v>
      </c>
      <c r="B1643" t="s">
        <v>10</v>
      </c>
      <c r="C1643" t="s">
        <v>11</v>
      </c>
      <c r="D1643" t="s">
        <v>15</v>
      </c>
      <c r="E1643">
        <v>5</v>
      </c>
      <c r="F1643" s="3">
        <v>2185</v>
      </c>
      <c r="G1643" s="2">
        <v>136.1</v>
      </c>
      <c r="H1643">
        <f>Master_ventas[[#This Row],[Profit]]/Master_ventas[[#This Row],[Sales]]</f>
        <v>6.2288329519450798E-2</v>
      </c>
      <c r="I1643">
        <f ca="1">Referencia_Hoy-Master_ventas[[#This Row],[Order Date]]</f>
        <v>1169</v>
      </c>
      <c r="J1643" t="str">
        <f>UPPER(Master_ventas[[#This Row],[Product Name]])</f>
        <v>MOUSE</v>
      </c>
      <c r="K1643" t="str">
        <f>UPPER(Master_ventas[[#This Row],[Category]])</f>
        <v>ACCESSORIES</v>
      </c>
      <c r="L1643">
        <f>YEAR(Master_ventas[[#This Row],[Order Date]])</f>
        <v>2023</v>
      </c>
      <c r="M1643" t="str">
        <f>CONCATENATE(LEFT(Master_ventas[[#This Row],[ProdUpper]],3),RIGHT(Master_ventas[[#This Row],[Ext-Year]],2),"-",MID(Master_ventas[[#This Row],[Category]],1,1))</f>
        <v>MOU23-A</v>
      </c>
      <c r="N1643" t="str">
        <f>MID(Master_ventas[[#This Row],[ProdUpper]],1,3)</f>
        <v>MOU</v>
      </c>
      <c r="O1643" t="str">
        <f>UPPER(IF(Master_ventas[[#This Row],[Profit]]&gt;500,"High","Std"))</f>
        <v>STD</v>
      </c>
      <c r="P1643">
        <v>1642</v>
      </c>
    </row>
    <row r="1644" spans="1:16" x14ac:dyDescent="0.3">
      <c r="A1644" s="1">
        <v>44960</v>
      </c>
      <c r="B1644" t="s">
        <v>21</v>
      </c>
      <c r="C1644" t="s">
        <v>14</v>
      </c>
      <c r="D1644" t="s">
        <v>9</v>
      </c>
      <c r="E1644">
        <v>8</v>
      </c>
      <c r="F1644" s="3">
        <v>7664</v>
      </c>
      <c r="G1644" s="2">
        <v>1251.6500000000001</v>
      </c>
      <c r="H1644">
        <f>Master_ventas[[#This Row],[Profit]]/Master_ventas[[#This Row],[Sales]]</f>
        <v>0.16331550104384135</v>
      </c>
      <c r="I1644">
        <f ca="1">Referencia_Hoy-Master_ventas[[#This Row],[Order Date]]</f>
        <v>1363</v>
      </c>
      <c r="J1644" t="str">
        <f>UPPER(Master_ventas[[#This Row],[Product Name]])</f>
        <v>SMARTPHONE</v>
      </c>
      <c r="K1644" t="str">
        <f>UPPER(Master_ventas[[#This Row],[Category]])</f>
        <v>ELECTRONICS</v>
      </c>
      <c r="L1644">
        <f>YEAR(Master_ventas[[#This Row],[Order Date]])</f>
        <v>2023</v>
      </c>
      <c r="M1644" t="str">
        <f>CONCATENATE(LEFT(Master_ventas[[#This Row],[ProdUpper]],3),RIGHT(Master_ventas[[#This Row],[Ext-Year]],2),"-",MID(Master_ventas[[#This Row],[Category]],1,1))</f>
        <v>SMA23-E</v>
      </c>
      <c r="N1644" t="str">
        <f>MID(Master_ventas[[#This Row],[ProdUpper]],1,3)</f>
        <v>SMA</v>
      </c>
      <c r="O1644" t="str">
        <f>UPPER(IF(Master_ventas[[#This Row],[Profit]]&gt;500,"High","Std"))</f>
        <v>HIGH</v>
      </c>
      <c r="P1644">
        <v>1643</v>
      </c>
    </row>
    <row r="1645" spans="1:16" x14ac:dyDescent="0.3">
      <c r="A1645" s="1">
        <v>45364</v>
      </c>
      <c r="B1645" t="s">
        <v>18</v>
      </c>
      <c r="C1645" t="s">
        <v>11</v>
      </c>
      <c r="D1645" t="s">
        <v>16</v>
      </c>
      <c r="E1645">
        <v>5</v>
      </c>
      <c r="F1645" s="3">
        <v>1710</v>
      </c>
      <c r="G1645" s="2">
        <v>338.1</v>
      </c>
      <c r="H1645">
        <f>Master_ventas[[#This Row],[Profit]]/Master_ventas[[#This Row],[Sales]]</f>
        <v>0.19771929824561404</v>
      </c>
      <c r="I1645">
        <f ca="1">Referencia_Hoy-Master_ventas[[#This Row],[Order Date]]</f>
        <v>959</v>
      </c>
      <c r="J1645" t="str">
        <f>UPPER(Master_ventas[[#This Row],[Product Name]])</f>
        <v>HEADPHONES</v>
      </c>
      <c r="K1645" t="str">
        <f>UPPER(Master_ventas[[#This Row],[Category]])</f>
        <v>ACCESSORIES</v>
      </c>
      <c r="L1645">
        <f>YEAR(Master_ventas[[#This Row],[Order Date]])</f>
        <v>2024</v>
      </c>
      <c r="M1645" t="str">
        <f>CONCATENATE(LEFT(Master_ventas[[#This Row],[ProdUpper]],3),RIGHT(Master_ventas[[#This Row],[Ext-Year]],2),"-",MID(Master_ventas[[#This Row],[Category]],1,1))</f>
        <v>HEA24-A</v>
      </c>
      <c r="N1645" t="str">
        <f>MID(Master_ventas[[#This Row],[ProdUpper]],1,3)</f>
        <v>HEA</v>
      </c>
      <c r="O1645" t="str">
        <f>UPPER(IF(Master_ventas[[#This Row],[Profit]]&gt;500,"High","Std"))</f>
        <v>STD</v>
      </c>
      <c r="P1645">
        <v>1644</v>
      </c>
    </row>
    <row r="1646" spans="1:16" x14ac:dyDescent="0.3">
      <c r="A1646" s="1">
        <v>45521</v>
      </c>
      <c r="B1646" t="s">
        <v>7</v>
      </c>
      <c r="C1646" t="s">
        <v>8</v>
      </c>
      <c r="D1646" t="s">
        <v>15</v>
      </c>
      <c r="E1646">
        <v>2</v>
      </c>
      <c r="F1646" s="3">
        <v>1878</v>
      </c>
      <c r="G1646" s="2">
        <v>386.28</v>
      </c>
      <c r="H1646">
        <f>Master_ventas[[#This Row],[Profit]]/Master_ventas[[#This Row],[Sales]]</f>
        <v>0.20568690095846645</v>
      </c>
      <c r="I1646">
        <f ca="1">Referencia_Hoy-Master_ventas[[#This Row],[Order Date]]</f>
        <v>802</v>
      </c>
      <c r="J1646" t="str">
        <f>UPPER(Master_ventas[[#This Row],[Product Name]])</f>
        <v>PRINTER</v>
      </c>
      <c r="K1646" t="str">
        <f>UPPER(Master_ventas[[#This Row],[Category]])</f>
        <v>OFFICE</v>
      </c>
      <c r="L1646">
        <f>YEAR(Master_ventas[[#This Row],[Order Date]])</f>
        <v>2024</v>
      </c>
      <c r="M1646" t="str">
        <f>CONCATENATE(LEFT(Master_ventas[[#This Row],[ProdUpper]],3),RIGHT(Master_ventas[[#This Row],[Ext-Year]],2),"-",MID(Master_ventas[[#This Row],[Category]],1,1))</f>
        <v>PRI24-O</v>
      </c>
      <c r="N1646" t="str">
        <f>MID(Master_ventas[[#This Row],[ProdUpper]],1,3)</f>
        <v>PRI</v>
      </c>
      <c r="O1646" t="str">
        <f>UPPER(IF(Master_ventas[[#This Row],[Profit]]&gt;500,"High","Std"))</f>
        <v>STD</v>
      </c>
      <c r="P1646">
        <v>1645</v>
      </c>
    </row>
    <row r="1647" spans="1:16" x14ac:dyDescent="0.3">
      <c r="A1647" s="1">
        <v>45129</v>
      </c>
      <c r="B1647" t="s">
        <v>13</v>
      </c>
      <c r="C1647" t="s">
        <v>14</v>
      </c>
      <c r="D1647" t="s">
        <v>15</v>
      </c>
      <c r="E1647">
        <v>1</v>
      </c>
      <c r="F1647" s="3">
        <v>569</v>
      </c>
      <c r="G1647" s="2">
        <v>141.33000000000001</v>
      </c>
      <c r="H1647">
        <f>Master_ventas[[#This Row],[Profit]]/Master_ventas[[#This Row],[Sales]]</f>
        <v>0.24838312829525486</v>
      </c>
      <c r="I1647">
        <f ca="1">Referencia_Hoy-Master_ventas[[#This Row],[Order Date]]</f>
        <v>1194</v>
      </c>
      <c r="J1647" t="str">
        <f>UPPER(Master_ventas[[#This Row],[Product Name]])</f>
        <v>TABLET</v>
      </c>
      <c r="K1647" t="str">
        <f>UPPER(Master_ventas[[#This Row],[Category]])</f>
        <v>ELECTRONICS</v>
      </c>
      <c r="L1647">
        <f>YEAR(Master_ventas[[#This Row],[Order Date]])</f>
        <v>2023</v>
      </c>
      <c r="M1647" t="str">
        <f>CONCATENATE(LEFT(Master_ventas[[#This Row],[ProdUpper]],3),RIGHT(Master_ventas[[#This Row],[Ext-Year]],2),"-",MID(Master_ventas[[#This Row],[Category]],1,1))</f>
        <v>TAB23-E</v>
      </c>
      <c r="N1647" t="str">
        <f>MID(Master_ventas[[#This Row],[ProdUpper]],1,3)</f>
        <v>TAB</v>
      </c>
      <c r="O1647" t="str">
        <f>UPPER(IF(Master_ventas[[#This Row],[Profit]]&gt;500,"High","Std"))</f>
        <v>STD</v>
      </c>
      <c r="P1647">
        <v>1646</v>
      </c>
    </row>
    <row r="1648" spans="1:16" x14ac:dyDescent="0.3">
      <c r="A1648" s="1">
        <v>45021</v>
      </c>
      <c r="B1648" t="s">
        <v>19</v>
      </c>
      <c r="C1648" t="s">
        <v>14</v>
      </c>
      <c r="D1648" t="s">
        <v>16</v>
      </c>
      <c r="E1648">
        <v>3</v>
      </c>
      <c r="F1648" s="3">
        <v>1488</v>
      </c>
      <c r="G1648" s="2">
        <v>296.36</v>
      </c>
      <c r="H1648">
        <f>Master_ventas[[#This Row],[Profit]]/Master_ventas[[#This Row],[Sales]]</f>
        <v>0.19916666666666669</v>
      </c>
      <c r="I1648">
        <f ca="1">Referencia_Hoy-Master_ventas[[#This Row],[Order Date]]</f>
        <v>1302</v>
      </c>
      <c r="J1648" t="str">
        <f>UPPER(Master_ventas[[#This Row],[Product Name]])</f>
        <v>SMARTWATCH</v>
      </c>
      <c r="K1648" t="str">
        <f>UPPER(Master_ventas[[#This Row],[Category]])</f>
        <v>ELECTRONICS</v>
      </c>
      <c r="L1648">
        <f>YEAR(Master_ventas[[#This Row],[Order Date]])</f>
        <v>2023</v>
      </c>
      <c r="M1648" t="str">
        <f>CONCATENATE(LEFT(Master_ventas[[#This Row],[ProdUpper]],3),RIGHT(Master_ventas[[#This Row],[Ext-Year]],2),"-",MID(Master_ventas[[#This Row],[Category]],1,1))</f>
        <v>SMA23-E</v>
      </c>
      <c r="N1648" t="str">
        <f>MID(Master_ventas[[#This Row],[ProdUpper]],1,3)</f>
        <v>SMA</v>
      </c>
      <c r="O1648" t="str">
        <f>UPPER(IF(Master_ventas[[#This Row],[Profit]]&gt;500,"High","Std"))</f>
        <v>STD</v>
      </c>
      <c r="P1648">
        <v>1647</v>
      </c>
    </row>
    <row r="1649" spans="1:16" x14ac:dyDescent="0.3">
      <c r="A1649" s="1">
        <v>45402</v>
      </c>
      <c r="B1649" t="s">
        <v>10</v>
      </c>
      <c r="C1649" t="s">
        <v>11</v>
      </c>
      <c r="D1649" t="s">
        <v>16</v>
      </c>
      <c r="E1649">
        <v>9</v>
      </c>
      <c r="F1649" s="3">
        <v>9918</v>
      </c>
      <c r="G1649" s="2">
        <v>1956.17</v>
      </c>
      <c r="H1649">
        <f>Master_ventas[[#This Row],[Profit]]/Master_ventas[[#This Row],[Sales]]</f>
        <v>0.19723432143577335</v>
      </c>
      <c r="I1649">
        <f ca="1">Referencia_Hoy-Master_ventas[[#This Row],[Order Date]]</f>
        <v>921</v>
      </c>
      <c r="J1649" t="str">
        <f>UPPER(Master_ventas[[#This Row],[Product Name]])</f>
        <v>MOUSE</v>
      </c>
      <c r="K1649" t="str">
        <f>UPPER(Master_ventas[[#This Row],[Category]])</f>
        <v>ACCESSORIES</v>
      </c>
      <c r="L1649">
        <f>YEAR(Master_ventas[[#This Row],[Order Date]])</f>
        <v>2024</v>
      </c>
      <c r="M1649" t="str">
        <f>CONCATENATE(LEFT(Master_ventas[[#This Row],[ProdUpper]],3),RIGHT(Master_ventas[[#This Row],[Ext-Year]],2),"-",MID(Master_ventas[[#This Row],[Category]],1,1))</f>
        <v>MOU24-A</v>
      </c>
      <c r="N1649" t="str">
        <f>MID(Master_ventas[[#This Row],[ProdUpper]],1,3)</f>
        <v>MOU</v>
      </c>
      <c r="O1649" t="str">
        <f>UPPER(IF(Master_ventas[[#This Row],[Profit]]&gt;500,"High","Std"))</f>
        <v>HIGH</v>
      </c>
      <c r="P1649">
        <v>1648</v>
      </c>
    </row>
    <row r="1650" spans="1:16" x14ac:dyDescent="0.3">
      <c r="A1650" s="1">
        <v>44914</v>
      </c>
      <c r="B1650" t="s">
        <v>19</v>
      </c>
      <c r="C1650" t="s">
        <v>14</v>
      </c>
      <c r="D1650" t="s">
        <v>15</v>
      </c>
      <c r="E1650">
        <v>3</v>
      </c>
      <c r="F1650" s="3">
        <v>432</v>
      </c>
      <c r="G1650" s="2">
        <v>36.840000000000003</v>
      </c>
      <c r="H1650">
        <f>Master_ventas[[#This Row],[Profit]]/Master_ventas[[#This Row],[Sales]]</f>
        <v>8.5277777777777786E-2</v>
      </c>
      <c r="I1650">
        <f ca="1">Referencia_Hoy-Master_ventas[[#This Row],[Order Date]]</f>
        <v>1409</v>
      </c>
      <c r="J1650" t="str">
        <f>UPPER(Master_ventas[[#This Row],[Product Name]])</f>
        <v>SMARTWATCH</v>
      </c>
      <c r="K1650" t="str">
        <f>UPPER(Master_ventas[[#This Row],[Category]])</f>
        <v>ELECTRONICS</v>
      </c>
      <c r="L1650">
        <f>YEAR(Master_ventas[[#This Row],[Order Date]])</f>
        <v>2022</v>
      </c>
      <c r="M1650" t="str">
        <f>CONCATENATE(LEFT(Master_ventas[[#This Row],[ProdUpper]],3),RIGHT(Master_ventas[[#This Row],[Ext-Year]],2),"-",MID(Master_ventas[[#This Row],[Category]],1,1))</f>
        <v>SMA22-E</v>
      </c>
      <c r="N1650" t="str">
        <f>MID(Master_ventas[[#This Row],[ProdUpper]],1,3)</f>
        <v>SMA</v>
      </c>
      <c r="O1650" t="str">
        <f>UPPER(IF(Master_ventas[[#This Row],[Profit]]&gt;500,"High","Std"))</f>
        <v>STD</v>
      </c>
      <c r="P1650">
        <v>1649</v>
      </c>
    </row>
    <row r="1651" spans="1:16" x14ac:dyDescent="0.3">
      <c r="A1651" s="1">
        <v>45187</v>
      </c>
      <c r="B1651" t="s">
        <v>13</v>
      </c>
      <c r="C1651" t="s">
        <v>14</v>
      </c>
      <c r="D1651" t="s">
        <v>12</v>
      </c>
      <c r="E1651">
        <v>9</v>
      </c>
      <c r="F1651" s="3">
        <v>9828</v>
      </c>
      <c r="G1651" s="2">
        <v>1300.68</v>
      </c>
      <c r="H1651">
        <f>Master_ventas[[#This Row],[Profit]]/Master_ventas[[#This Row],[Sales]]</f>
        <v>0.13234432234432236</v>
      </c>
      <c r="I1651">
        <f ca="1">Referencia_Hoy-Master_ventas[[#This Row],[Order Date]]</f>
        <v>1136</v>
      </c>
      <c r="J1651" t="str">
        <f>UPPER(Master_ventas[[#This Row],[Product Name]])</f>
        <v>TABLET</v>
      </c>
      <c r="K1651" t="str">
        <f>UPPER(Master_ventas[[#This Row],[Category]])</f>
        <v>ELECTRONICS</v>
      </c>
      <c r="L1651">
        <f>YEAR(Master_ventas[[#This Row],[Order Date]])</f>
        <v>2023</v>
      </c>
      <c r="M1651" t="str">
        <f>CONCATENATE(LEFT(Master_ventas[[#This Row],[ProdUpper]],3),RIGHT(Master_ventas[[#This Row],[Ext-Year]],2),"-",MID(Master_ventas[[#This Row],[Category]],1,1))</f>
        <v>TAB23-E</v>
      </c>
      <c r="N1651" t="str">
        <f>MID(Master_ventas[[#This Row],[ProdUpper]],1,3)</f>
        <v>TAB</v>
      </c>
      <c r="O1651" t="str">
        <f>UPPER(IF(Master_ventas[[#This Row],[Profit]]&gt;500,"High","Std"))</f>
        <v>HIGH</v>
      </c>
      <c r="P1651">
        <v>1650</v>
      </c>
    </row>
    <row r="1652" spans="1:16" x14ac:dyDescent="0.3">
      <c r="A1652" s="1">
        <v>45654</v>
      </c>
      <c r="B1652" t="s">
        <v>19</v>
      </c>
      <c r="C1652" t="s">
        <v>14</v>
      </c>
      <c r="D1652" t="s">
        <v>9</v>
      </c>
      <c r="E1652">
        <v>5</v>
      </c>
      <c r="F1652" s="3">
        <v>3625</v>
      </c>
      <c r="G1652" s="2">
        <v>245.52</v>
      </c>
      <c r="H1652">
        <f>Master_ventas[[#This Row],[Profit]]/Master_ventas[[#This Row],[Sales]]</f>
        <v>6.7729655172413791E-2</v>
      </c>
      <c r="I1652">
        <f ca="1">Referencia_Hoy-Master_ventas[[#This Row],[Order Date]]</f>
        <v>669</v>
      </c>
      <c r="J1652" t="str">
        <f>UPPER(Master_ventas[[#This Row],[Product Name]])</f>
        <v>SMARTWATCH</v>
      </c>
      <c r="K1652" t="str">
        <f>UPPER(Master_ventas[[#This Row],[Category]])</f>
        <v>ELECTRONICS</v>
      </c>
      <c r="L1652">
        <f>YEAR(Master_ventas[[#This Row],[Order Date]])</f>
        <v>2024</v>
      </c>
      <c r="M1652" t="str">
        <f>CONCATENATE(LEFT(Master_ventas[[#This Row],[ProdUpper]],3),RIGHT(Master_ventas[[#This Row],[Ext-Year]],2),"-",MID(Master_ventas[[#This Row],[Category]],1,1))</f>
        <v>SMA24-E</v>
      </c>
      <c r="N1652" t="str">
        <f>MID(Master_ventas[[#This Row],[ProdUpper]],1,3)</f>
        <v>SMA</v>
      </c>
      <c r="O1652" t="str">
        <f>UPPER(IF(Master_ventas[[#This Row],[Profit]]&gt;500,"High","Std"))</f>
        <v>STD</v>
      </c>
      <c r="P1652">
        <v>1651</v>
      </c>
    </row>
    <row r="1653" spans="1:16" x14ac:dyDescent="0.3">
      <c r="A1653" s="1">
        <v>44698</v>
      </c>
      <c r="B1653" t="s">
        <v>19</v>
      </c>
      <c r="C1653" t="s">
        <v>14</v>
      </c>
      <c r="D1653" t="s">
        <v>15</v>
      </c>
      <c r="E1653">
        <v>3</v>
      </c>
      <c r="F1653" s="3">
        <v>2187</v>
      </c>
      <c r="G1653" s="2">
        <v>491.13</v>
      </c>
      <c r="H1653">
        <f>Master_ventas[[#This Row],[Profit]]/Master_ventas[[#This Row],[Sales]]</f>
        <v>0.22456790123456791</v>
      </c>
      <c r="I1653">
        <f ca="1">Referencia_Hoy-Master_ventas[[#This Row],[Order Date]]</f>
        <v>1625</v>
      </c>
      <c r="J1653" t="str">
        <f>UPPER(Master_ventas[[#This Row],[Product Name]])</f>
        <v>SMARTWATCH</v>
      </c>
      <c r="K1653" t="str">
        <f>UPPER(Master_ventas[[#This Row],[Category]])</f>
        <v>ELECTRONICS</v>
      </c>
      <c r="L1653">
        <f>YEAR(Master_ventas[[#This Row],[Order Date]])</f>
        <v>2022</v>
      </c>
      <c r="M1653" t="str">
        <f>CONCATENATE(LEFT(Master_ventas[[#This Row],[ProdUpper]],3),RIGHT(Master_ventas[[#This Row],[Ext-Year]],2),"-",MID(Master_ventas[[#This Row],[Category]],1,1))</f>
        <v>SMA22-E</v>
      </c>
      <c r="N1653" t="str">
        <f>MID(Master_ventas[[#This Row],[ProdUpper]],1,3)</f>
        <v>SMA</v>
      </c>
      <c r="O1653" t="str">
        <f>UPPER(IF(Master_ventas[[#This Row],[Profit]]&gt;500,"High","Std"))</f>
        <v>STD</v>
      </c>
      <c r="P1653">
        <v>1652</v>
      </c>
    </row>
    <row r="1654" spans="1:16" x14ac:dyDescent="0.3">
      <c r="A1654" s="1">
        <v>45223</v>
      </c>
      <c r="B1654" t="s">
        <v>20</v>
      </c>
      <c r="C1654" t="s">
        <v>11</v>
      </c>
      <c r="D1654" t="s">
        <v>15</v>
      </c>
      <c r="E1654">
        <v>5</v>
      </c>
      <c r="F1654" s="3">
        <v>5105</v>
      </c>
      <c r="G1654" s="2">
        <v>1003.4</v>
      </c>
      <c r="H1654">
        <f>Master_ventas[[#This Row],[Profit]]/Master_ventas[[#This Row],[Sales]]</f>
        <v>0.19655239960822724</v>
      </c>
      <c r="I1654">
        <f ca="1">Referencia_Hoy-Master_ventas[[#This Row],[Order Date]]</f>
        <v>1100</v>
      </c>
      <c r="J1654" t="str">
        <f>UPPER(Master_ventas[[#This Row],[Product Name]])</f>
        <v>MONITOR</v>
      </c>
      <c r="K1654" t="str">
        <f>UPPER(Master_ventas[[#This Row],[Category]])</f>
        <v>ACCESSORIES</v>
      </c>
      <c r="L1654">
        <f>YEAR(Master_ventas[[#This Row],[Order Date]])</f>
        <v>2023</v>
      </c>
      <c r="M1654" t="str">
        <f>CONCATENATE(LEFT(Master_ventas[[#This Row],[ProdUpper]],3),RIGHT(Master_ventas[[#This Row],[Ext-Year]],2),"-",MID(Master_ventas[[#This Row],[Category]],1,1))</f>
        <v>MON23-A</v>
      </c>
      <c r="N1654" t="str">
        <f>MID(Master_ventas[[#This Row],[ProdUpper]],1,3)</f>
        <v>MON</v>
      </c>
      <c r="O1654" t="str">
        <f>UPPER(IF(Master_ventas[[#This Row],[Profit]]&gt;500,"High","Std"))</f>
        <v>HIGH</v>
      </c>
      <c r="P1654">
        <v>1653</v>
      </c>
    </row>
    <row r="1655" spans="1:16" x14ac:dyDescent="0.3">
      <c r="A1655" s="1">
        <v>44904</v>
      </c>
      <c r="B1655" t="s">
        <v>18</v>
      </c>
      <c r="C1655" t="s">
        <v>11</v>
      </c>
      <c r="D1655" t="s">
        <v>15</v>
      </c>
      <c r="E1655">
        <v>3</v>
      </c>
      <c r="F1655" s="3">
        <v>1392</v>
      </c>
      <c r="G1655" s="2">
        <v>345.78</v>
      </c>
      <c r="H1655">
        <f>Master_ventas[[#This Row],[Profit]]/Master_ventas[[#This Row],[Sales]]</f>
        <v>0.24840517241379309</v>
      </c>
      <c r="I1655">
        <f ca="1">Referencia_Hoy-Master_ventas[[#This Row],[Order Date]]</f>
        <v>1419</v>
      </c>
      <c r="J1655" t="str">
        <f>UPPER(Master_ventas[[#This Row],[Product Name]])</f>
        <v>HEADPHONES</v>
      </c>
      <c r="K1655" t="str">
        <f>UPPER(Master_ventas[[#This Row],[Category]])</f>
        <v>ACCESSORIES</v>
      </c>
      <c r="L1655">
        <f>YEAR(Master_ventas[[#This Row],[Order Date]])</f>
        <v>2022</v>
      </c>
      <c r="M1655" t="str">
        <f>CONCATENATE(LEFT(Master_ventas[[#This Row],[ProdUpper]],3),RIGHT(Master_ventas[[#This Row],[Ext-Year]],2),"-",MID(Master_ventas[[#This Row],[Category]],1,1))</f>
        <v>HEA22-A</v>
      </c>
      <c r="N1655" t="str">
        <f>MID(Master_ventas[[#This Row],[ProdUpper]],1,3)</f>
        <v>HEA</v>
      </c>
      <c r="O1655" t="str">
        <f>UPPER(IF(Master_ventas[[#This Row],[Profit]]&gt;500,"High","Std"))</f>
        <v>STD</v>
      </c>
      <c r="P1655">
        <v>1654</v>
      </c>
    </row>
    <row r="1656" spans="1:16" x14ac:dyDescent="0.3">
      <c r="A1656" s="1">
        <v>44872</v>
      </c>
      <c r="B1656" t="s">
        <v>21</v>
      </c>
      <c r="C1656" t="s">
        <v>14</v>
      </c>
      <c r="D1656" t="s">
        <v>9</v>
      </c>
      <c r="E1656">
        <v>2</v>
      </c>
      <c r="F1656" s="3">
        <v>744</v>
      </c>
      <c r="G1656" s="2">
        <v>110.81</v>
      </c>
      <c r="H1656">
        <f>Master_ventas[[#This Row],[Profit]]/Master_ventas[[#This Row],[Sales]]</f>
        <v>0.14893817204301077</v>
      </c>
      <c r="I1656">
        <f ca="1">Referencia_Hoy-Master_ventas[[#This Row],[Order Date]]</f>
        <v>1451</v>
      </c>
      <c r="J1656" t="str">
        <f>UPPER(Master_ventas[[#This Row],[Product Name]])</f>
        <v>SMARTPHONE</v>
      </c>
      <c r="K1656" t="str">
        <f>UPPER(Master_ventas[[#This Row],[Category]])</f>
        <v>ELECTRONICS</v>
      </c>
      <c r="L1656">
        <f>YEAR(Master_ventas[[#This Row],[Order Date]])</f>
        <v>2022</v>
      </c>
      <c r="M1656" t="str">
        <f>CONCATENATE(LEFT(Master_ventas[[#This Row],[ProdUpper]],3),RIGHT(Master_ventas[[#This Row],[Ext-Year]],2),"-",MID(Master_ventas[[#This Row],[Category]],1,1))</f>
        <v>SMA22-E</v>
      </c>
      <c r="N1656" t="str">
        <f>MID(Master_ventas[[#This Row],[ProdUpper]],1,3)</f>
        <v>SMA</v>
      </c>
      <c r="O1656" t="str">
        <f>UPPER(IF(Master_ventas[[#This Row],[Profit]]&gt;500,"High","Std"))</f>
        <v>STD</v>
      </c>
      <c r="P1656">
        <v>1655</v>
      </c>
    </row>
    <row r="1657" spans="1:16" x14ac:dyDescent="0.3">
      <c r="A1657" s="1">
        <v>45082</v>
      </c>
      <c r="B1657" t="s">
        <v>19</v>
      </c>
      <c r="C1657" t="s">
        <v>14</v>
      </c>
      <c r="D1657" t="s">
        <v>15</v>
      </c>
      <c r="E1657">
        <v>4</v>
      </c>
      <c r="F1657" s="3">
        <v>1724</v>
      </c>
      <c r="G1657" s="2">
        <v>233.21</v>
      </c>
      <c r="H1657">
        <f>Master_ventas[[#This Row],[Profit]]/Master_ventas[[#This Row],[Sales]]</f>
        <v>0.13527262180974478</v>
      </c>
      <c r="I1657">
        <f ca="1">Referencia_Hoy-Master_ventas[[#This Row],[Order Date]]</f>
        <v>1241</v>
      </c>
      <c r="J1657" t="str">
        <f>UPPER(Master_ventas[[#This Row],[Product Name]])</f>
        <v>SMARTWATCH</v>
      </c>
      <c r="K1657" t="str">
        <f>UPPER(Master_ventas[[#This Row],[Category]])</f>
        <v>ELECTRONICS</v>
      </c>
      <c r="L1657">
        <f>YEAR(Master_ventas[[#This Row],[Order Date]])</f>
        <v>2023</v>
      </c>
      <c r="M1657" t="str">
        <f>CONCATENATE(LEFT(Master_ventas[[#This Row],[ProdUpper]],3),RIGHT(Master_ventas[[#This Row],[Ext-Year]],2),"-",MID(Master_ventas[[#This Row],[Category]],1,1))</f>
        <v>SMA23-E</v>
      </c>
      <c r="N1657" t="str">
        <f>MID(Master_ventas[[#This Row],[ProdUpper]],1,3)</f>
        <v>SMA</v>
      </c>
      <c r="O1657" t="str">
        <f>UPPER(IF(Master_ventas[[#This Row],[Profit]]&gt;500,"High","Std"))</f>
        <v>STD</v>
      </c>
      <c r="P1657">
        <v>1656</v>
      </c>
    </row>
    <row r="1658" spans="1:16" x14ac:dyDescent="0.3">
      <c r="A1658" s="1">
        <v>45225</v>
      </c>
      <c r="B1658" t="s">
        <v>10</v>
      </c>
      <c r="C1658" t="s">
        <v>11</v>
      </c>
      <c r="D1658" t="s">
        <v>16</v>
      </c>
      <c r="E1658">
        <v>5</v>
      </c>
      <c r="F1658" s="3">
        <v>1940</v>
      </c>
      <c r="G1658" s="2">
        <v>423.17</v>
      </c>
      <c r="H1658">
        <f>Master_ventas[[#This Row],[Profit]]/Master_ventas[[#This Row],[Sales]]</f>
        <v>0.21812886597938144</v>
      </c>
      <c r="I1658">
        <f ca="1">Referencia_Hoy-Master_ventas[[#This Row],[Order Date]]</f>
        <v>1098</v>
      </c>
      <c r="J1658" t="str">
        <f>UPPER(Master_ventas[[#This Row],[Product Name]])</f>
        <v>MOUSE</v>
      </c>
      <c r="K1658" t="str">
        <f>UPPER(Master_ventas[[#This Row],[Category]])</f>
        <v>ACCESSORIES</v>
      </c>
      <c r="L1658">
        <f>YEAR(Master_ventas[[#This Row],[Order Date]])</f>
        <v>2023</v>
      </c>
      <c r="M1658" t="str">
        <f>CONCATENATE(LEFT(Master_ventas[[#This Row],[ProdUpper]],3),RIGHT(Master_ventas[[#This Row],[Ext-Year]],2),"-",MID(Master_ventas[[#This Row],[Category]],1,1))</f>
        <v>MOU23-A</v>
      </c>
      <c r="N1658" t="str">
        <f>MID(Master_ventas[[#This Row],[ProdUpper]],1,3)</f>
        <v>MOU</v>
      </c>
      <c r="O1658" t="str">
        <f>UPPER(IF(Master_ventas[[#This Row],[Profit]]&gt;500,"High","Std"))</f>
        <v>STD</v>
      </c>
      <c r="P1658">
        <v>1657</v>
      </c>
    </row>
    <row r="1659" spans="1:16" x14ac:dyDescent="0.3">
      <c r="A1659" s="1">
        <v>45135</v>
      </c>
      <c r="B1659" t="s">
        <v>10</v>
      </c>
      <c r="C1659" t="s">
        <v>11</v>
      </c>
      <c r="D1659" t="s">
        <v>15</v>
      </c>
      <c r="E1659">
        <v>4</v>
      </c>
      <c r="F1659" s="3">
        <v>356</v>
      </c>
      <c r="G1659" s="2">
        <v>59.15</v>
      </c>
      <c r="H1659">
        <f>Master_ventas[[#This Row],[Profit]]/Master_ventas[[#This Row],[Sales]]</f>
        <v>0.16615168539325842</v>
      </c>
      <c r="I1659">
        <f ca="1">Referencia_Hoy-Master_ventas[[#This Row],[Order Date]]</f>
        <v>1188</v>
      </c>
      <c r="J1659" t="str">
        <f>UPPER(Master_ventas[[#This Row],[Product Name]])</f>
        <v>MOUSE</v>
      </c>
      <c r="K1659" t="str">
        <f>UPPER(Master_ventas[[#This Row],[Category]])</f>
        <v>ACCESSORIES</v>
      </c>
      <c r="L1659">
        <f>YEAR(Master_ventas[[#This Row],[Order Date]])</f>
        <v>2023</v>
      </c>
      <c r="M1659" t="str">
        <f>CONCATENATE(LEFT(Master_ventas[[#This Row],[ProdUpper]],3),RIGHT(Master_ventas[[#This Row],[Ext-Year]],2),"-",MID(Master_ventas[[#This Row],[Category]],1,1))</f>
        <v>MOU23-A</v>
      </c>
      <c r="N1659" t="str">
        <f>MID(Master_ventas[[#This Row],[ProdUpper]],1,3)</f>
        <v>MOU</v>
      </c>
      <c r="O1659" t="str">
        <f>UPPER(IF(Master_ventas[[#This Row],[Profit]]&gt;500,"High","Std"))</f>
        <v>STD</v>
      </c>
      <c r="P1659">
        <v>1658</v>
      </c>
    </row>
    <row r="1660" spans="1:16" x14ac:dyDescent="0.3">
      <c r="A1660" s="1">
        <v>45072</v>
      </c>
      <c r="B1660" t="s">
        <v>20</v>
      </c>
      <c r="C1660" t="s">
        <v>11</v>
      </c>
      <c r="D1660" t="s">
        <v>16</v>
      </c>
      <c r="E1660">
        <v>5</v>
      </c>
      <c r="F1660" s="3">
        <v>1095</v>
      </c>
      <c r="G1660" s="2">
        <v>269.87</v>
      </c>
      <c r="H1660">
        <f>Master_ventas[[#This Row],[Profit]]/Master_ventas[[#This Row],[Sales]]</f>
        <v>0.24645662100456622</v>
      </c>
      <c r="I1660">
        <f ca="1">Referencia_Hoy-Master_ventas[[#This Row],[Order Date]]</f>
        <v>1251</v>
      </c>
      <c r="J1660" t="str">
        <f>UPPER(Master_ventas[[#This Row],[Product Name]])</f>
        <v>MONITOR</v>
      </c>
      <c r="K1660" t="str">
        <f>UPPER(Master_ventas[[#This Row],[Category]])</f>
        <v>ACCESSORIES</v>
      </c>
      <c r="L1660">
        <f>YEAR(Master_ventas[[#This Row],[Order Date]])</f>
        <v>2023</v>
      </c>
      <c r="M1660" t="str">
        <f>CONCATENATE(LEFT(Master_ventas[[#This Row],[ProdUpper]],3),RIGHT(Master_ventas[[#This Row],[Ext-Year]],2),"-",MID(Master_ventas[[#This Row],[Category]],1,1))</f>
        <v>MON23-A</v>
      </c>
      <c r="N1660" t="str">
        <f>MID(Master_ventas[[#This Row],[ProdUpper]],1,3)</f>
        <v>MON</v>
      </c>
      <c r="O1660" t="str">
        <f>UPPER(IF(Master_ventas[[#This Row],[Profit]]&gt;500,"High","Std"))</f>
        <v>STD</v>
      </c>
      <c r="P1660">
        <v>1659</v>
      </c>
    </row>
    <row r="1661" spans="1:16" x14ac:dyDescent="0.3">
      <c r="A1661" s="1">
        <v>44902</v>
      </c>
      <c r="B1661" t="s">
        <v>13</v>
      </c>
      <c r="C1661" t="s">
        <v>14</v>
      </c>
      <c r="D1661" t="s">
        <v>9</v>
      </c>
      <c r="E1661">
        <v>8</v>
      </c>
      <c r="F1661" s="3">
        <v>4064</v>
      </c>
      <c r="G1661" s="2">
        <v>543.9</v>
      </c>
      <c r="H1661">
        <f>Master_ventas[[#This Row],[Profit]]/Master_ventas[[#This Row],[Sales]]</f>
        <v>0.13383366141732284</v>
      </c>
      <c r="I1661">
        <f ca="1">Referencia_Hoy-Master_ventas[[#This Row],[Order Date]]</f>
        <v>1421</v>
      </c>
      <c r="J1661" t="str">
        <f>UPPER(Master_ventas[[#This Row],[Product Name]])</f>
        <v>TABLET</v>
      </c>
      <c r="K1661" t="str">
        <f>UPPER(Master_ventas[[#This Row],[Category]])</f>
        <v>ELECTRONICS</v>
      </c>
      <c r="L1661">
        <f>YEAR(Master_ventas[[#This Row],[Order Date]])</f>
        <v>2022</v>
      </c>
      <c r="M1661" t="str">
        <f>CONCATENATE(LEFT(Master_ventas[[#This Row],[ProdUpper]],3),RIGHT(Master_ventas[[#This Row],[Ext-Year]],2),"-",MID(Master_ventas[[#This Row],[Category]],1,1))</f>
        <v>TAB22-E</v>
      </c>
      <c r="N1661" t="str">
        <f>MID(Master_ventas[[#This Row],[ProdUpper]],1,3)</f>
        <v>TAB</v>
      </c>
      <c r="O1661" t="str">
        <f>UPPER(IF(Master_ventas[[#This Row],[Profit]]&gt;500,"High","Std"))</f>
        <v>HIGH</v>
      </c>
      <c r="P1661">
        <v>1660</v>
      </c>
    </row>
    <row r="1662" spans="1:16" x14ac:dyDescent="0.3">
      <c r="A1662" s="1">
        <v>45616</v>
      </c>
      <c r="B1662" t="s">
        <v>19</v>
      </c>
      <c r="C1662" t="s">
        <v>14</v>
      </c>
      <c r="D1662" t="s">
        <v>16</v>
      </c>
      <c r="E1662">
        <v>7</v>
      </c>
      <c r="F1662" s="3">
        <v>5453</v>
      </c>
      <c r="G1662" s="2">
        <v>1592.37</v>
      </c>
      <c r="H1662">
        <f>Master_ventas[[#This Row],[Profit]]/Master_ventas[[#This Row],[Sales]]</f>
        <v>0.29201723821749492</v>
      </c>
      <c r="I1662">
        <f ca="1">Referencia_Hoy-Master_ventas[[#This Row],[Order Date]]</f>
        <v>707</v>
      </c>
      <c r="J1662" t="str">
        <f>UPPER(Master_ventas[[#This Row],[Product Name]])</f>
        <v>SMARTWATCH</v>
      </c>
      <c r="K1662" t="str">
        <f>UPPER(Master_ventas[[#This Row],[Category]])</f>
        <v>ELECTRONICS</v>
      </c>
      <c r="L1662">
        <f>YEAR(Master_ventas[[#This Row],[Order Date]])</f>
        <v>2024</v>
      </c>
      <c r="M1662" t="str">
        <f>CONCATENATE(LEFT(Master_ventas[[#This Row],[ProdUpper]],3),RIGHT(Master_ventas[[#This Row],[Ext-Year]],2),"-",MID(Master_ventas[[#This Row],[Category]],1,1))</f>
        <v>SMA24-E</v>
      </c>
      <c r="N1662" t="str">
        <f>MID(Master_ventas[[#This Row],[ProdUpper]],1,3)</f>
        <v>SMA</v>
      </c>
      <c r="O1662" t="str">
        <f>UPPER(IF(Master_ventas[[#This Row],[Profit]]&gt;500,"High","Std"))</f>
        <v>HIGH</v>
      </c>
      <c r="P1662">
        <v>1661</v>
      </c>
    </row>
    <row r="1663" spans="1:16" x14ac:dyDescent="0.3">
      <c r="A1663" s="1">
        <v>45382</v>
      </c>
      <c r="B1663" t="s">
        <v>20</v>
      </c>
      <c r="C1663" t="s">
        <v>11</v>
      </c>
      <c r="D1663" t="s">
        <v>15</v>
      </c>
      <c r="E1663">
        <v>8</v>
      </c>
      <c r="F1663" s="3">
        <v>7104</v>
      </c>
      <c r="G1663" s="2">
        <v>529.35</v>
      </c>
      <c r="H1663">
        <f>Master_ventas[[#This Row],[Profit]]/Master_ventas[[#This Row],[Sales]]</f>
        <v>7.4514358108108109E-2</v>
      </c>
      <c r="I1663">
        <f ca="1">Referencia_Hoy-Master_ventas[[#This Row],[Order Date]]</f>
        <v>941</v>
      </c>
      <c r="J1663" t="str">
        <f>UPPER(Master_ventas[[#This Row],[Product Name]])</f>
        <v>MONITOR</v>
      </c>
      <c r="K1663" t="str">
        <f>UPPER(Master_ventas[[#This Row],[Category]])</f>
        <v>ACCESSORIES</v>
      </c>
      <c r="L1663">
        <f>YEAR(Master_ventas[[#This Row],[Order Date]])</f>
        <v>2024</v>
      </c>
      <c r="M1663" t="str">
        <f>CONCATENATE(LEFT(Master_ventas[[#This Row],[ProdUpper]],3),RIGHT(Master_ventas[[#This Row],[Ext-Year]],2),"-",MID(Master_ventas[[#This Row],[Category]],1,1))</f>
        <v>MON24-A</v>
      </c>
      <c r="N1663" t="str">
        <f>MID(Master_ventas[[#This Row],[ProdUpper]],1,3)</f>
        <v>MON</v>
      </c>
      <c r="O1663" t="str">
        <f>UPPER(IF(Master_ventas[[#This Row],[Profit]]&gt;500,"High","Std"))</f>
        <v>HIGH</v>
      </c>
      <c r="P1663">
        <v>1662</v>
      </c>
    </row>
    <row r="1664" spans="1:16" x14ac:dyDescent="0.3">
      <c r="A1664" s="1">
        <v>45399</v>
      </c>
      <c r="B1664" t="s">
        <v>22</v>
      </c>
      <c r="C1664" t="s">
        <v>11</v>
      </c>
      <c r="D1664" t="s">
        <v>12</v>
      </c>
      <c r="E1664">
        <v>9</v>
      </c>
      <c r="F1664" s="3">
        <v>2745</v>
      </c>
      <c r="G1664" s="2">
        <v>660.56</v>
      </c>
      <c r="H1664">
        <f>Master_ventas[[#This Row],[Profit]]/Master_ventas[[#This Row],[Sales]]</f>
        <v>0.24064116575591984</v>
      </c>
      <c r="I1664">
        <f ca="1">Referencia_Hoy-Master_ventas[[#This Row],[Order Date]]</f>
        <v>924</v>
      </c>
      <c r="J1664" t="str">
        <f>UPPER(Master_ventas[[#This Row],[Product Name]])</f>
        <v>KEYBOARD</v>
      </c>
      <c r="K1664" t="str">
        <f>UPPER(Master_ventas[[#This Row],[Category]])</f>
        <v>ACCESSORIES</v>
      </c>
      <c r="L1664">
        <f>YEAR(Master_ventas[[#This Row],[Order Date]])</f>
        <v>2024</v>
      </c>
      <c r="M1664" t="str">
        <f>CONCATENATE(LEFT(Master_ventas[[#This Row],[ProdUpper]],3),RIGHT(Master_ventas[[#This Row],[Ext-Year]],2),"-",MID(Master_ventas[[#This Row],[Category]],1,1))</f>
        <v>KEY24-A</v>
      </c>
      <c r="N1664" t="str">
        <f>MID(Master_ventas[[#This Row],[ProdUpper]],1,3)</f>
        <v>KEY</v>
      </c>
      <c r="O1664" t="str">
        <f>UPPER(IF(Master_ventas[[#This Row],[Profit]]&gt;500,"High","Std"))</f>
        <v>HIGH</v>
      </c>
      <c r="P1664">
        <v>1663</v>
      </c>
    </row>
    <row r="1665" spans="1:16" x14ac:dyDescent="0.3">
      <c r="A1665" s="1">
        <v>45418</v>
      </c>
      <c r="B1665" t="s">
        <v>17</v>
      </c>
      <c r="C1665" t="s">
        <v>14</v>
      </c>
      <c r="D1665" t="s">
        <v>9</v>
      </c>
      <c r="E1665">
        <v>5</v>
      </c>
      <c r="F1665" s="3">
        <v>1030</v>
      </c>
      <c r="G1665" s="2">
        <v>64.81</v>
      </c>
      <c r="H1665">
        <f>Master_ventas[[#This Row],[Profit]]/Master_ventas[[#This Row],[Sales]]</f>
        <v>6.2922330097087378E-2</v>
      </c>
      <c r="I1665">
        <f ca="1">Referencia_Hoy-Master_ventas[[#This Row],[Order Date]]</f>
        <v>905</v>
      </c>
      <c r="J1665" t="str">
        <f>UPPER(Master_ventas[[#This Row],[Product Name]])</f>
        <v>CAMERA</v>
      </c>
      <c r="K1665" t="str">
        <f>UPPER(Master_ventas[[#This Row],[Category]])</f>
        <v>ELECTRONICS</v>
      </c>
      <c r="L1665">
        <f>YEAR(Master_ventas[[#This Row],[Order Date]])</f>
        <v>2024</v>
      </c>
      <c r="M1665" t="str">
        <f>CONCATENATE(LEFT(Master_ventas[[#This Row],[ProdUpper]],3),RIGHT(Master_ventas[[#This Row],[Ext-Year]],2),"-",MID(Master_ventas[[#This Row],[Category]],1,1))</f>
        <v>CAM24-E</v>
      </c>
      <c r="N1665" t="str">
        <f>MID(Master_ventas[[#This Row],[ProdUpper]],1,3)</f>
        <v>CAM</v>
      </c>
      <c r="O1665" t="str">
        <f>UPPER(IF(Master_ventas[[#This Row],[Profit]]&gt;500,"High","Std"))</f>
        <v>STD</v>
      </c>
      <c r="P1665">
        <v>1664</v>
      </c>
    </row>
    <row r="1666" spans="1:16" x14ac:dyDescent="0.3">
      <c r="A1666" s="1">
        <v>44982</v>
      </c>
      <c r="B1666" t="s">
        <v>13</v>
      </c>
      <c r="C1666" t="s">
        <v>14</v>
      </c>
      <c r="D1666" t="s">
        <v>9</v>
      </c>
      <c r="E1666">
        <v>9</v>
      </c>
      <c r="F1666" s="3">
        <v>8973</v>
      </c>
      <c r="G1666" s="2">
        <v>471.86</v>
      </c>
      <c r="H1666">
        <f>Master_ventas[[#This Row],[Profit]]/Master_ventas[[#This Row],[Sales]]</f>
        <v>5.2586648835395072E-2</v>
      </c>
      <c r="I1666">
        <f ca="1">Referencia_Hoy-Master_ventas[[#This Row],[Order Date]]</f>
        <v>1341</v>
      </c>
      <c r="J1666" t="str">
        <f>UPPER(Master_ventas[[#This Row],[Product Name]])</f>
        <v>TABLET</v>
      </c>
      <c r="K1666" t="str">
        <f>UPPER(Master_ventas[[#This Row],[Category]])</f>
        <v>ELECTRONICS</v>
      </c>
      <c r="L1666">
        <f>YEAR(Master_ventas[[#This Row],[Order Date]])</f>
        <v>2023</v>
      </c>
      <c r="M1666" t="str">
        <f>CONCATENATE(LEFT(Master_ventas[[#This Row],[ProdUpper]],3),RIGHT(Master_ventas[[#This Row],[Ext-Year]],2),"-",MID(Master_ventas[[#This Row],[Category]],1,1))</f>
        <v>TAB23-E</v>
      </c>
      <c r="N1666" t="str">
        <f>MID(Master_ventas[[#This Row],[ProdUpper]],1,3)</f>
        <v>TAB</v>
      </c>
      <c r="O1666" t="str">
        <f>UPPER(IF(Master_ventas[[#This Row],[Profit]]&gt;500,"High","Std"))</f>
        <v>STD</v>
      </c>
      <c r="P1666">
        <v>1665</v>
      </c>
    </row>
    <row r="1667" spans="1:16" x14ac:dyDescent="0.3">
      <c r="A1667" s="1">
        <v>44909</v>
      </c>
      <c r="B1667" t="s">
        <v>22</v>
      </c>
      <c r="C1667" t="s">
        <v>11</v>
      </c>
      <c r="D1667" t="s">
        <v>9</v>
      </c>
      <c r="E1667">
        <v>2</v>
      </c>
      <c r="F1667" s="3">
        <v>794</v>
      </c>
      <c r="G1667" s="2">
        <v>128.5</v>
      </c>
      <c r="H1667">
        <f>Master_ventas[[#This Row],[Profit]]/Master_ventas[[#This Row],[Sales]]</f>
        <v>0.16183879093198991</v>
      </c>
      <c r="I1667">
        <f ca="1">Referencia_Hoy-Master_ventas[[#This Row],[Order Date]]</f>
        <v>1414</v>
      </c>
      <c r="J1667" t="str">
        <f>UPPER(Master_ventas[[#This Row],[Product Name]])</f>
        <v>KEYBOARD</v>
      </c>
      <c r="K1667" t="str">
        <f>UPPER(Master_ventas[[#This Row],[Category]])</f>
        <v>ACCESSORIES</v>
      </c>
      <c r="L1667">
        <f>YEAR(Master_ventas[[#This Row],[Order Date]])</f>
        <v>2022</v>
      </c>
      <c r="M1667" t="str">
        <f>CONCATENATE(LEFT(Master_ventas[[#This Row],[ProdUpper]],3),RIGHT(Master_ventas[[#This Row],[Ext-Year]],2),"-",MID(Master_ventas[[#This Row],[Category]],1,1))</f>
        <v>KEY22-A</v>
      </c>
      <c r="N1667" t="str">
        <f>MID(Master_ventas[[#This Row],[ProdUpper]],1,3)</f>
        <v>KEY</v>
      </c>
      <c r="O1667" t="str">
        <f>UPPER(IF(Master_ventas[[#This Row],[Profit]]&gt;500,"High","Std"))</f>
        <v>STD</v>
      </c>
      <c r="P1667">
        <v>1666</v>
      </c>
    </row>
    <row r="1668" spans="1:16" x14ac:dyDescent="0.3">
      <c r="A1668" s="1">
        <v>45280</v>
      </c>
      <c r="B1668" t="s">
        <v>7</v>
      </c>
      <c r="C1668" t="s">
        <v>8</v>
      </c>
      <c r="D1668" t="s">
        <v>15</v>
      </c>
      <c r="E1668">
        <v>6</v>
      </c>
      <c r="F1668" s="3">
        <v>2142</v>
      </c>
      <c r="G1668" s="2">
        <v>476.19</v>
      </c>
      <c r="H1668">
        <f>Master_ventas[[#This Row],[Profit]]/Master_ventas[[#This Row],[Sales]]</f>
        <v>0.22231092436974789</v>
      </c>
      <c r="I1668">
        <f ca="1">Referencia_Hoy-Master_ventas[[#This Row],[Order Date]]</f>
        <v>1043</v>
      </c>
      <c r="J1668" t="str">
        <f>UPPER(Master_ventas[[#This Row],[Product Name]])</f>
        <v>PRINTER</v>
      </c>
      <c r="K1668" t="str">
        <f>UPPER(Master_ventas[[#This Row],[Category]])</f>
        <v>OFFICE</v>
      </c>
      <c r="L1668">
        <f>YEAR(Master_ventas[[#This Row],[Order Date]])</f>
        <v>2023</v>
      </c>
      <c r="M1668" t="str">
        <f>CONCATENATE(LEFT(Master_ventas[[#This Row],[ProdUpper]],3),RIGHT(Master_ventas[[#This Row],[Ext-Year]],2),"-",MID(Master_ventas[[#This Row],[Category]],1,1))</f>
        <v>PRI23-O</v>
      </c>
      <c r="N1668" t="str">
        <f>MID(Master_ventas[[#This Row],[ProdUpper]],1,3)</f>
        <v>PRI</v>
      </c>
      <c r="O1668" t="str">
        <f>UPPER(IF(Master_ventas[[#This Row],[Profit]]&gt;500,"High","Std"))</f>
        <v>STD</v>
      </c>
      <c r="P1668">
        <v>1667</v>
      </c>
    </row>
    <row r="1669" spans="1:16" x14ac:dyDescent="0.3">
      <c r="A1669" s="1">
        <v>45212</v>
      </c>
      <c r="B1669" t="s">
        <v>18</v>
      </c>
      <c r="C1669" t="s">
        <v>11</v>
      </c>
      <c r="D1669" t="s">
        <v>12</v>
      </c>
      <c r="E1669">
        <v>2</v>
      </c>
      <c r="F1669" s="3">
        <v>414</v>
      </c>
      <c r="G1669" s="2">
        <v>51.1</v>
      </c>
      <c r="H1669">
        <f>Master_ventas[[#This Row],[Profit]]/Master_ventas[[#This Row],[Sales]]</f>
        <v>0.12342995169082126</v>
      </c>
      <c r="I1669">
        <f ca="1">Referencia_Hoy-Master_ventas[[#This Row],[Order Date]]</f>
        <v>1111</v>
      </c>
      <c r="J1669" t="str">
        <f>UPPER(Master_ventas[[#This Row],[Product Name]])</f>
        <v>HEADPHONES</v>
      </c>
      <c r="K1669" t="str">
        <f>UPPER(Master_ventas[[#This Row],[Category]])</f>
        <v>ACCESSORIES</v>
      </c>
      <c r="L1669">
        <f>YEAR(Master_ventas[[#This Row],[Order Date]])</f>
        <v>2023</v>
      </c>
      <c r="M1669" t="str">
        <f>CONCATENATE(LEFT(Master_ventas[[#This Row],[ProdUpper]],3),RIGHT(Master_ventas[[#This Row],[Ext-Year]],2),"-",MID(Master_ventas[[#This Row],[Category]],1,1))</f>
        <v>HEA23-A</v>
      </c>
      <c r="N1669" t="str">
        <f>MID(Master_ventas[[#This Row],[ProdUpper]],1,3)</f>
        <v>HEA</v>
      </c>
      <c r="O1669" t="str">
        <f>UPPER(IF(Master_ventas[[#This Row],[Profit]]&gt;500,"High","Std"))</f>
        <v>STD</v>
      </c>
      <c r="P1669">
        <v>1668</v>
      </c>
    </row>
    <row r="1670" spans="1:16" x14ac:dyDescent="0.3">
      <c r="A1670" s="1">
        <v>45091</v>
      </c>
      <c r="B1670" t="s">
        <v>13</v>
      </c>
      <c r="C1670" t="s">
        <v>14</v>
      </c>
      <c r="D1670" t="s">
        <v>9</v>
      </c>
      <c r="E1670">
        <v>3</v>
      </c>
      <c r="F1670" s="3">
        <v>1416</v>
      </c>
      <c r="G1670" s="2">
        <v>220.7</v>
      </c>
      <c r="H1670">
        <f>Master_ventas[[#This Row],[Profit]]/Master_ventas[[#This Row],[Sales]]</f>
        <v>0.15586158192090394</v>
      </c>
      <c r="I1670">
        <f ca="1">Referencia_Hoy-Master_ventas[[#This Row],[Order Date]]</f>
        <v>1232</v>
      </c>
      <c r="J1670" t="str">
        <f>UPPER(Master_ventas[[#This Row],[Product Name]])</f>
        <v>TABLET</v>
      </c>
      <c r="K1670" t="str">
        <f>UPPER(Master_ventas[[#This Row],[Category]])</f>
        <v>ELECTRONICS</v>
      </c>
      <c r="L1670">
        <f>YEAR(Master_ventas[[#This Row],[Order Date]])</f>
        <v>2023</v>
      </c>
      <c r="M1670" t="str">
        <f>CONCATENATE(LEFT(Master_ventas[[#This Row],[ProdUpper]],3),RIGHT(Master_ventas[[#This Row],[Ext-Year]],2),"-",MID(Master_ventas[[#This Row],[Category]],1,1))</f>
        <v>TAB23-E</v>
      </c>
      <c r="N1670" t="str">
        <f>MID(Master_ventas[[#This Row],[ProdUpper]],1,3)</f>
        <v>TAB</v>
      </c>
      <c r="O1670" t="str">
        <f>UPPER(IF(Master_ventas[[#This Row],[Profit]]&gt;500,"High","Std"))</f>
        <v>STD</v>
      </c>
      <c r="P1670">
        <v>1669</v>
      </c>
    </row>
    <row r="1671" spans="1:16" x14ac:dyDescent="0.3">
      <c r="A1671" s="1">
        <v>44653</v>
      </c>
      <c r="B1671" t="s">
        <v>13</v>
      </c>
      <c r="C1671" t="s">
        <v>14</v>
      </c>
      <c r="D1671" t="s">
        <v>15</v>
      </c>
      <c r="E1671">
        <v>3</v>
      </c>
      <c r="F1671" s="3">
        <v>2103</v>
      </c>
      <c r="G1671" s="2">
        <v>541.35</v>
      </c>
      <c r="H1671">
        <f>Master_ventas[[#This Row],[Profit]]/Master_ventas[[#This Row],[Sales]]</f>
        <v>0.2574179743223966</v>
      </c>
      <c r="I1671">
        <f ca="1">Referencia_Hoy-Master_ventas[[#This Row],[Order Date]]</f>
        <v>1670</v>
      </c>
      <c r="J1671" t="str">
        <f>UPPER(Master_ventas[[#This Row],[Product Name]])</f>
        <v>TABLET</v>
      </c>
      <c r="K1671" t="str">
        <f>UPPER(Master_ventas[[#This Row],[Category]])</f>
        <v>ELECTRONICS</v>
      </c>
      <c r="L1671">
        <f>YEAR(Master_ventas[[#This Row],[Order Date]])</f>
        <v>2022</v>
      </c>
      <c r="M1671" t="str">
        <f>CONCATENATE(LEFT(Master_ventas[[#This Row],[ProdUpper]],3),RIGHT(Master_ventas[[#This Row],[Ext-Year]],2),"-",MID(Master_ventas[[#This Row],[Category]],1,1))</f>
        <v>TAB22-E</v>
      </c>
      <c r="N1671" t="str">
        <f>MID(Master_ventas[[#This Row],[ProdUpper]],1,3)</f>
        <v>TAB</v>
      </c>
      <c r="O1671" t="str">
        <f>UPPER(IF(Master_ventas[[#This Row],[Profit]]&gt;500,"High","Std"))</f>
        <v>HIGH</v>
      </c>
      <c r="P1671">
        <v>1670</v>
      </c>
    </row>
    <row r="1672" spans="1:16" x14ac:dyDescent="0.3">
      <c r="A1672" s="1">
        <v>45463</v>
      </c>
      <c r="B1672" t="s">
        <v>17</v>
      </c>
      <c r="C1672" t="s">
        <v>14</v>
      </c>
      <c r="D1672" t="s">
        <v>16</v>
      </c>
      <c r="E1672">
        <v>3</v>
      </c>
      <c r="F1672" s="3">
        <v>861</v>
      </c>
      <c r="G1672" s="2">
        <v>173.49</v>
      </c>
      <c r="H1672">
        <f>Master_ventas[[#This Row],[Profit]]/Master_ventas[[#This Row],[Sales]]</f>
        <v>0.20149825783972128</v>
      </c>
      <c r="I1672">
        <f ca="1">Referencia_Hoy-Master_ventas[[#This Row],[Order Date]]</f>
        <v>860</v>
      </c>
      <c r="J1672" t="str">
        <f>UPPER(Master_ventas[[#This Row],[Product Name]])</f>
        <v>CAMERA</v>
      </c>
      <c r="K1672" t="str">
        <f>UPPER(Master_ventas[[#This Row],[Category]])</f>
        <v>ELECTRONICS</v>
      </c>
      <c r="L1672">
        <f>YEAR(Master_ventas[[#This Row],[Order Date]])</f>
        <v>2024</v>
      </c>
      <c r="M1672" t="str">
        <f>CONCATENATE(LEFT(Master_ventas[[#This Row],[ProdUpper]],3),RIGHT(Master_ventas[[#This Row],[Ext-Year]],2),"-",MID(Master_ventas[[#This Row],[Category]],1,1))</f>
        <v>CAM24-E</v>
      </c>
      <c r="N1672" t="str">
        <f>MID(Master_ventas[[#This Row],[ProdUpper]],1,3)</f>
        <v>CAM</v>
      </c>
      <c r="O1672" t="str">
        <f>UPPER(IF(Master_ventas[[#This Row],[Profit]]&gt;500,"High","Std"))</f>
        <v>STD</v>
      </c>
      <c r="P1672">
        <v>1671</v>
      </c>
    </row>
    <row r="1673" spans="1:16" x14ac:dyDescent="0.3">
      <c r="A1673" s="1">
        <v>45431</v>
      </c>
      <c r="B1673" t="s">
        <v>18</v>
      </c>
      <c r="C1673" t="s">
        <v>11</v>
      </c>
      <c r="D1673" t="s">
        <v>16</v>
      </c>
      <c r="E1673">
        <v>3</v>
      </c>
      <c r="F1673" s="3">
        <v>2367</v>
      </c>
      <c r="G1673" s="2">
        <v>222.26</v>
      </c>
      <c r="H1673">
        <f>Master_ventas[[#This Row],[Profit]]/Master_ventas[[#This Row],[Sales]]</f>
        <v>9.389945078158006E-2</v>
      </c>
      <c r="I1673">
        <f ca="1">Referencia_Hoy-Master_ventas[[#This Row],[Order Date]]</f>
        <v>892</v>
      </c>
      <c r="J1673" t="str">
        <f>UPPER(Master_ventas[[#This Row],[Product Name]])</f>
        <v>HEADPHONES</v>
      </c>
      <c r="K1673" t="str">
        <f>UPPER(Master_ventas[[#This Row],[Category]])</f>
        <v>ACCESSORIES</v>
      </c>
      <c r="L1673">
        <f>YEAR(Master_ventas[[#This Row],[Order Date]])</f>
        <v>2024</v>
      </c>
      <c r="M1673" t="str">
        <f>CONCATENATE(LEFT(Master_ventas[[#This Row],[ProdUpper]],3),RIGHT(Master_ventas[[#This Row],[Ext-Year]],2),"-",MID(Master_ventas[[#This Row],[Category]],1,1))</f>
        <v>HEA24-A</v>
      </c>
      <c r="N1673" t="str">
        <f>MID(Master_ventas[[#This Row],[ProdUpper]],1,3)</f>
        <v>HEA</v>
      </c>
      <c r="O1673" t="str">
        <f>UPPER(IF(Master_ventas[[#This Row],[Profit]]&gt;500,"High","Std"))</f>
        <v>STD</v>
      </c>
      <c r="P1673">
        <v>1672</v>
      </c>
    </row>
    <row r="1674" spans="1:16" x14ac:dyDescent="0.3">
      <c r="A1674" s="1">
        <v>44942</v>
      </c>
      <c r="B1674" t="s">
        <v>13</v>
      </c>
      <c r="C1674" t="s">
        <v>14</v>
      </c>
      <c r="D1674" t="s">
        <v>15</v>
      </c>
      <c r="E1674">
        <v>5</v>
      </c>
      <c r="F1674" s="3">
        <v>2435</v>
      </c>
      <c r="G1674" s="2">
        <v>688.82</v>
      </c>
      <c r="H1674">
        <f>Master_ventas[[#This Row],[Profit]]/Master_ventas[[#This Row],[Sales]]</f>
        <v>0.28288295687885012</v>
      </c>
      <c r="I1674">
        <f ca="1">Referencia_Hoy-Master_ventas[[#This Row],[Order Date]]</f>
        <v>1381</v>
      </c>
      <c r="J1674" t="str">
        <f>UPPER(Master_ventas[[#This Row],[Product Name]])</f>
        <v>TABLET</v>
      </c>
      <c r="K1674" t="str">
        <f>UPPER(Master_ventas[[#This Row],[Category]])</f>
        <v>ELECTRONICS</v>
      </c>
      <c r="L1674">
        <f>YEAR(Master_ventas[[#This Row],[Order Date]])</f>
        <v>2023</v>
      </c>
      <c r="M1674" t="str">
        <f>CONCATENATE(LEFT(Master_ventas[[#This Row],[ProdUpper]],3),RIGHT(Master_ventas[[#This Row],[Ext-Year]],2),"-",MID(Master_ventas[[#This Row],[Category]],1,1))</f>
        <v>TAB23-E</v>
      </c>
      <c r="N1674" t="str">
        <f>MID(Master_ventas[[#This Row],[ProdUpper]],1,3)</f>
        <v>TAB</v>
      </c>
      <c r="O1674" t="str">
        <f>UPPER(IF(Master_ventas[[#This Row],[Profit]]&gt;500,"High","Std"))</f>
        <v>HIGH</v>
      </c>
      <c r="P1674">
        <v>1673</v>
      </c>
    </row>
    <row r="1675" spans="1:16" x14ac:dyDescent="0.3">
      <c r="A1675" s="1">
        <v>45053</v>
      </c>
      <c r="B1675" t="s">
        <v>7</v>
      </c>
      <c r="C1675" t="s">
        <v>8</v>
      </c>
      <c r="D1675" t="s">
        <v>15</v>
      </c>
      <c r="E1675">
        <v>4</v>
      </c>
      <c r="F1675" s="3">
        <v>2456</v>
      </c>
      <c r="G1675" s="2">
        <v>163.61000000000001</v>
      </c>
      <c r="H1675">
        <f>Master_ventas[[#This Row],[Profit]]/Master_ventas[[#This Row],[Sales]]</f>
        <v>6.6616449511400652E-2</v>
      </c>
      <c r="I1675">
        <f ca="1">Referencia_Hoy-Master_ventas[[#This Row],[Order Date]]</f>
        <v>1270</v>
      </c>
      <c r="J1675" t="str">
        <f>UPPER(Master_ventas[[#This Row],[Product Name]])</f>
        <v>PRINTER</v>
      </c>
      <c r="K1675" t="str">
        <f>UPPER(Master_ventas[[#This Row],[Category]])</f>
        <v>OFFICE</v>
      </c>
      <c r="L1675">
        <f>YEAR(Master_ventas[[#This Row],[Order Date]])</f>
        <v>2023</v>
      </c>
      <c r="M1675" t="str">
        <f>CONCATENATE(LEFT(Master_ventas[[#This Row],[ProdUpper]],3),RIGHT(Master_ventas[[#This Row],[Ext-Year]],2),"-",MID(Master_ventas[[#This Row],[Category]],1,1))</f>
        <v>PRI23-O</v>
      </c>
      <c r="N1675" t="str">
        <f>MID(Master_ventas[[#This Row],[ProdUpper]],1,3)</f>
        <v>PRI</v>
      </c>
      <c r="O1675" t="str">
        <f>UPPER(IF(Master_ventas[[#This Row],[Profit]]&gt;500,"High","Std"))</f>
        <v>STD</v>
      </c>
      <c r="P1675">
        <v>1674</v>
      </c>
    </row>
    <row r="1676" spans="1:16" x14ac:dyDescent="0.3">
      <c r="A1676" s="1">
        <v>45108</v>
      </c>
      <c r="B1676" t="s">
        <v>23</v>
      </c>
      <c r="C1676" t="s">
        <v>14</v>
      </c>
      <c r="D1676" t="s">
        <v>12</v>
      </c>
      <c r="E1676">
        <v>4</v>
      </c>
      <c r="F1676" s="3">
        <v>3216</v>
      </c>
      <c r="G1676" s="2">
        <v>962.49</v>
      </c>
      <c r="H1676">
        <f>Master_ventas[[#This Row],[Profit]]/Master_ventas[[#This Row],[Sales]]</f>
        <v>0.29928171641791046</v>
      </c>
      <c r="I1676">
        <f ca="1">Referencia_Hoy-Master_ventas[[#This Row],[Order Date]]</f>
        <v>1215</v>
      </c>
      <c r="J1676" t="str">
        <f>UPPER(Master_ventas[[#This Row],[Product Name]])</f>
        <v>LAPTOP</v>
      </c>
      <c r="K1676" t="str">
        <f>UPPER(Master_ventas[[#This Row],[Category]])</f>
        <v>ELECTRONICS</v>
      </c>
      <c r="L1676">
        <f>YEAR(Master_ventas[[#This Row],[Order Date]])</f>
        <v>2023</v>
      </c>
      <c r="M1676" t="str">
        <f>CONCATENATE(LEFT(Master_ventas[[#This Row],[ProdUpper]],3),RIGHT(Master_ventas[[#This Row],[Ext-Year]],2),"-",MID(Master_ventas[[#This Row],[Category]],1,1))</f>
        <v>LAP23-E</v>
      </c>
      <c r="N1676" t="str">
        <f>MID(Master_ventas[[#This Row],[ProdUpper]],1,3)</f>
        <v>LAP</v>
      </c>
      <c r="O1676" t="str">
        <f>UPPER(IF(Master_ventas[[#This Row],[Profit]]&gt;500,"High","Std"))</f>
        <v>HIGH</v>
      </c>
      <c r="P1676">
        <v>1675</v>
      </c>
    </row>
    <row r="1677" spans="1:16" x14ac:dyDescent="0.3">
      <c r="A1677" s="1">
        <v>45498</v>
      </c>
      <c r="B1677" t="s">
        <v>19</v>
      </c>
      <c r="C1677" t="s">
        <v>14</v>
      </c>
      <c r="D1677" t="s">
        <v>12</v>
      </c>
      <c r="E1677">
        <v>4</v>
      </c>
      <c r="F1677" s="3">
        <v>4324</v>
      </c>
      <c r="G1677" s="2">
        <v>833.11</v>
      </c>
      <c r="H1677">
        <f>Master_ventas[[#This Row],[Profit]]/Master_ventas[[#This Row],[Sales]]</f>
        <v>0.19267113783533765</v>
      </c>
      <c r="I1677">
        <f ca="1">Referencia_Hoy-Master_ventas[[#This Row],[Order Date]]</f>
        <v>825</v>
      </c>
      <c r="J1677" t="str">
        <f>UPPER(Master_ventas[[#This Row],[Product Name]])</f>
        <v>SMARTWATCH</v>
      </c>
      <c r="K1677" t="str">
        <f>UPPER(Master_ventas[[#This Row],[Category]])</f>
        <v>ELECTRONICS</v>
      </c>
      <c r="L1677">
        <f>YEAR(Master_ventas[[#This Row],[Order Date]])</f>
        <v>2024</v>
      </c>
      <c r="M1677" t="str">
        <f>CONCATENATE(LEFT(Master_ventas[[#This Row],[ProdUpper]],3),RIGHT(Master_ventas[[#This Row],[Ext-Year]],2),"-",MID(Master_ventas[[#This Row],[Category]],1,1))</f>
        <v>SMA24-E</v>
      </c>
      <c r="N1677" t="str">
        <f>MID(Master_ventas[[#This Row],[ProdUpper]],1,3)</f>
        <v>SMA</v>
      </c>
      <c r="O1677" t="str">
        <f>UPPER(IF(Master_ventas[[#This Row],[Profit]]&gt;500,"High","Std"))</f>
        <v>HIGH</v>
      </c>
      <c r="P1677">
        <v>1676</v>
      </c>
    </row>
    <row r="1678" spans="1:16" x14ac:dyDescent="0.3">
      <c r="A1678" s="1">
        <v>45196</v>
      </c>
      <c r="B1678" t="s">
        <v>10</v>
      </c>
      <c r="C1678" t="s">
        <v>11</v>
      </c>
      <c r="D1678" t="s">
        <v>15</v>
      </c>
      <c r="E1678">
        <v>4</v>
      </c>
      <c r="F1678" s="3">
        <v>2628</v>
      </c>
      <c r="G1678" s="2">
        <v>727.87</v>
      </c>
      <c r="H1678">
        <f>Master_ventas[[#This Row],[Profit]]/Master_ventas[[#This Row],[Sales]]</f>
        <v>0.27696727549467276</v>
      </c>
      <c r="I1678">
        <f ca="1">Referencia_Hoy-Master_ventas[[#This Row],[Order Date]]</f>
        <v>1127</v>
      </c>
      <c r="J1678" t="str">
        <f>UPPER(Master_ventas[[#This Row],[Product Name]])</f>
        <v>MOUSE</v>
      </c>
      <c r="K1678" t="str">
        <f>UPPER(Master_ventas[[#This Row],[Category]])</f>
        <v>ACCESSORIES</v>
      </c>
      <c r="L1678">
        <f>YEAR(Master_ventas[[#This Row],[Order Date]])</f>
        <v>2023</v>
      </c>
      <c r="M1678" t="str">
        <f>CONCATENATE(LEFT(Master_ventas[[#This Row],[ProdUpper]],3),RIGHT(Master_ventas[[#This Row],[Ext-Year]],2),"-",MID(Master_ventas[[#This Row],[Category]],1,1))</f>
        <v>MOU23-A</v>
      </c>
      <c r="N1678" t="str">
        <f>MID(Master_ventas[[#This Row],[ProdUpper]],1,3)</f>
        <v>MOU</v>
      </c>
      <c r="O1678" t="str">
        <f>UPPER(IF(Master_ventas[[#This Row],[Profit]]&gt;500,"High","Std"))</f>
        <v>HIGH</v>
      </c>
      <c r="P1678">
        <v>1677</v>
      </c>
    </row>
    <row r="1679" spans="1:16" x14ac:dyDescent="0.3">
      <c r="A1679" s="1">
        <v>45150</v>
      </c>
      <c r="B1679" t="s">
        <v>22</v>
      </c>
      <c r="C1679" t="s">
        <v>11</v>
      </c>
      <c r="D1679" t="s">
        <v>16</v>
      </c>
      <c r="E1679">
        <v>8</v>
      </c>
      <c r="F1679" s="3">
        <v>8992</v>
      </c>
      <c r="G1679" s="2">
        <v>2018.64</v>
      </c>
      <c r="H1679">
        <f>Master_ventas[[#This Row],[Profit]]/Master_ventas[[#This Row],[Sales]]</f>
        <v>0.22449288256227759</v>
      </c>
      <c r="I1679">
        <f ca="1">Referencia_Hoy-Master_ventas[[#This Row],[Order Date]]</f>
        <v>1173</v>
      </c>
      <c r="J1679" t="str">
        <f>UPPER(Master_ventas[[#This Row],[Product Name]])</f>
        <v>KEYBOARD</v>
      </c>
      <c r="K1679" t="str">
        <f>UPPER(Master_ventas[[#This Row],[Category]])</f>
        <v>ACCESSORIES</v>
      </c>
      <c r="L1679">
        <f>YEAR(Master_ventas[[#This Row],[Order Date]])</f>
        <v>2023</v>
      </c>
      <c r="M1679" t="str">
        <f>CONCATENATE(LEFT(Master_ventas[[#This Row],[ProdUpper]],3),RIGHT(Master_ventas[[#This Row],[Ext-Year]],2),"-",MID(Master_ventas[[#This Row],[Category]],1,1))</f>
        <v>KEY23-A</v>
      </c>
      <c r="N1679" t="str">
        <f>MID(Master_ventas[[#This Row],[ProdUpper]],1,3)</f>
        <v>KEY</v>
      </c>
      <c r="O1679" t="str">
        <f>UPPER(IF(Master_ventas[[#This Row],[Profit]]&gt;500,"High","Std"))</f>
        <v>HIGH</v>
      </c>
      <c r="P1679">
        <v>1678</v>
      </c>
    </row>
    <row r="1680" spans="1:16" x14ac:dyDescent="0.3">
      <c r="A1680" s="1">
        <v>45497</v>
      </c>
      <c r="B1680" t="s">
        <v>23</v>
      </c>
      <c r="C1680" t="s">
        <v>14</v>
      </c>
      <c r="D1680" t="s">
        <v>16</v>
      </c>
      <c r="E1680">
        <v>6</v>
      </c>
      <c r="F1680" s="3">
        <v>360</v>
      </c>
      <c r="G1680" s="2">
        <v>22.16</v>
      </c>
      <c r="H1680">
        <f>Master_ventas[[#This Row],[Profit]]/Master_ventas[[#This Row],[Sales]]</f>
        <v>6.1555555555555558E-2</v>
      </c>
      <c r="I1680">
        <f ca="1">Referencia_Hoy-Master_ventas[[#This Row],[Order Date]]</f>
        <v>826</v>
      </c>
      <c r="J1680" t="str">
        <f>UPPER(Master_ventas[[#This Row],[Product Name]])</f>
        <v>LAPTOP</v>
      </c>
      <c r="K1680" t="str">
        <f>UPPER(Master_ventas[[#This Row],[Category]])</f>
        <v>ELECTRONICS</v>
      </c>
      <c r="L1680">
        <f>YEAR(Master_ventas[[#This Row],[Order Date]])</f>
        <v>2024</v>
      </c>
      <c r="M1680" t="str">
        <f>CONCATENATE(LEFT(Master_ventas[[#This Row],[ProdUpper]],3),RIGHT(Master_ventas[[#This Row],[Ext-Year]],2),"-",MID(Master_ventas[[#This Row],[Category]],1,1))</f>
        <v>LAP24-E</v>
      </c>
      <c r="N1680" t="str">
        <f>MID(Master_ventas[[#This Row],[ProdUpper]],1,3)</f>
        <v>LAP</v>
      </c>
      <c r="O1680" t="str">
        <f>UPPER(IF(Master_ventas[[#This Row],[Profit]]&gt;500,"High","Std"))</f>
        <v>STD</v>
      </c>
      <c r="P1680">
        <v>1679</v>
      </c>
    </row>
    <row r="1681" spans="1:16" x14ac:dyDescent="0.3">
      <c r="A1681" s="1">
        <v>44768</v>
      </c>
      <c r="B1681" t="s">
        <v>13</v>
      </c>
      <c r="C1681" t="s">
        <v>14</v>
      </c>
      <c r="D1681" t="s">
        <v>15</v>
      </c>
      <c r="E1681">
        <v>3</v>
      </c>
      <c r="F1681" s="3">
        <v>2067</v>
      </c>
      <c r="G1681" s="2">
        <v>479.39</v>
      </c>
      <c r="H1681">
        <f>Master_ventas[[#This Row],[Profit]]/Master_ventas[[#This Row],[Sales]]</f>
        <v>0.23192549588776004</v>
      </c>
      <c r="I1681">
        <f ca="1">Referencia_Hoy-Master_ventas[[#This Row],[Order Date]]</f>
        <v>1555</v>
      </c>
      <c r="J1681" t="str">
        <f>UPPER(Master_ventas[[#This Row],[Product Name]])</f>
        <v>TABLET</v>
      </c>
      <c r="K1681" t="str">
        <f>UPPER(Master_ventas[[#This Row],[Category]])</f>
        <v>ELECTRONICS</v>
      </c>
      <c r="L1681">
        <f>YEAR(Master_ventas[[#This Row],[Order Date]])</f>
        <v>2022</v>
      </c>
      <c r="M1681" t="str">
        <f>CONCATENATE(LEFT(Master_ventas[[#This Row],[ProdUpper]],3),RIGHT(Master_ventas[[#This Row],[Ext-Year]],2),"-",MID(Master_ventas[[#This Row],[Category]],1,1))</f>
        <v>TAB22-E</v>
      </c>
      <c r="N1681" t="str">
        <f>MID(Master_ventas[[#This Row],[ProdUpper]],1,3)</f>
        <v>TAB</v>
      </c>
      <c r="O1681" t="str">
        <f>UPPER(IF(Master_ventas[[#This Row],[Profit]]&gt;500,"High","Std"))</f>
        <v>STD</v>
      </c>
      <c r="P1681">
        <v>1680</v>
      </c>
    </row>
    <row r="1682" spans="1:16" x14ac:dyDescent="0.3">
      <c r="A1682" s="1">
        <v>45629</v>
      </c>
      <c r="B1682" t="s">
        <v>10</v>
      </c>
      <c r="C1682" t="s">
        <v>11</v>
      </c>
      <c r="D1682" t="s">
        <v>15</v>
      </c>
      <c r="E1682">
        <v>9</v>
      </c>
      <c r="F1682" s="3">
        <v>3573</v>
      </c>
      <c r="G1682" s="2">
        <v>550.44000000000005</v>
      </c>
      <c r="H1682">
        <f>Master_ventas[[#This Row],[Profit]]/Master_ventas[[#This Row],[Sales]]</f>
        <v>0.15405541561712849</v>
      </c>
      <c r="I1682">
        <f ca="1">Referencia_Hoy-Master_ventas[[#This Row],[Order Date]]</f>
        <v>694</v>
      </c>
      <c r="J1682" t="str">
        <f>UPPER(Master_ventas[[#This Row],[Product Name]])</f>
        <v>MOUSE</v>
      </c>
      <c r="K1682" t="str">
        <f>UPPER(Master_ventas[[#This Row],[Category]])</f>
        <v>ACCESSORIES</v>
      </c>
      <c r="L1682">
        <f>YEAR(Master_ventas[[#This Row],[Order Date]])</f>
        <v>2024</v>
      </c>
      <c r="M1682" t="str">
        <f>CONCATENATE(LEFT(Master_ventas[[#This Row],[ProdUpper]],3),RIGHT(Master_ventas[[#This Row],[Ext-Year]],2),"-",MID(Master_ventas[[#This Row],[Category]],1,1))</f>
        <v>MOU24-A</v>
      </c>
      <c r="N1682" t="str">
        <f>MID(Master_ventas[[#This Row],[ProdUpper]],1,3)</f>
        <v>MOU</v>
      </c>
      <c r="O1682" t="str">
        <f>UPPER(IF(Master_ventas[[#This Row],[Profit]]&gt;500,"High","Std"))</f>
        <v>HIGH</v>
      </c>
      <c r="P1682">
        <v>1681</v>
      </c>
    </row>
    <row r="1683" spans="1:16" x14ac:dyDescent="0.3">
      <c r="A1683" s="1">
        <v>45153</v>
      </c>
      <c r="B1683" t="s">
        <v>23</v>
      </c>
      <c r="C1683" t="s">
        <v>14</v>
      </c>
      <c r="D1683" t="s">
        <v>15</v>
      </c>
      <c r="E1683">
        <v>8</v>
      </c>
      <c r="F1683" s="3">
        <v>1800</v>
      </c>
      <c r="G1683" s="2">
        <v>142.86000000000001</v>
      </c>
      <c r="H1683">
        <f>Master_ventas[[#This Row],[Profit]]/Master_ventas[[#This Row],[Sales]]</f>
        <v>7.9366666666666669E-2</v>
      </c>
      <c r="I1683">
        <f ca="1">Referencia_Hoy-Master_ventas[[#This Row],[Order Date]]</f>
        <v>1170</v>
      </c>
      <c r="J1683" t="str">
        <f>UPPER(Master_ventas[[#This Row],[Product Name]])</f>
        <v>LAPTOP</v>
      </c>
      <c r="K1683" t="str">
        <f>UPPER(Master_ventas[[#This Row],[Category]])</f>
        <v>ELECTRONICS</v>
      </c>
      <c r="L1683">
        <f>YEAR(Master_ventas[[#This Row],[Order Date]])</f>
        <v>2023</v>
      </c>
      <c r="M1683" t="str">
        <f>CONCATENATE(LEFT(Master_ventas[[#This Row],[ProdUpper]],3),RIGHT(Master_ventas[[#This Row],[Ext-Year]],2),"-",MID(Master_ventas[[#This Row],[Category]],1,1))</f>
        <v>LAP23-E</v>
      </c>
      <c r="N1683" t="str">
        <f>MID(Master_ventas[[#This Row],[ProdUpper]],1,3)</f>
        <v>LAP</v>
      </c>
      <c r="O1683" t="str">
        <f>UPPER(IF(Master_ventas[[#This Row],[Profit]]&gt;500,"High","Std"))</f>
        <v>STD</v>
      </c>
      <c r="P1683">
        <v>1682</v>
      </c>
    </row>
    <row r="1684" spans="1:16" x14ac:dyDescent="0.3">
      <c r="A1684" s="1">
        <v>45258</v>
      </c>
      <c r="B1684" t="s">
        <v>7</v>
      </c>
      <c r="C1684" t="s">
        <v>8</v>
      </c>
      <c r="D1684" t="s">
        <v>15</v>
      </c>
      <c r="E1684">
        <v>8</v>
      </c>
      <c r="F1684" s="3">
        <v>3912</v>
      </c>
      <c r="G1684" s="2">
        <v>334.1</v>
      </c>
      <c r="H1684">
        <f>Master_ventas[[#This Row],[Profit]]/Master_ventas[[#This Row],[Sales]]</f>
        <v>8.5403885480572608E-2</v>
      </c>
      <c r="I1684">
        <f ca="1">Referencia_Hoy-Master_ventas[[#This Row],[Order Date]]</f>
        <v>1065</v>
      </c>
      <c r="J1684" t="str">
        <f>UPPER(Master_ventas[[#This Row],[Product Name]])</f>
        <v>PRINTER</v>
      </c>
      <c r="K1684" t="str">
        <f>UPPER(Master_ventas[[#This Row],[Category]])</f>
        <v>OFFICE</v>
      </c>
      <c r="L1684">
        <f>YEAR(Master_ventas[[#This Row],[Order Date]])</f>
        <v>2023</v>
      </c>
      <c r="M1684" t="str">
        <f>CONCATENATE(LEFT(Master_ventas[[#This Row],[ProdUpper]],3),RIGHT(Master_ventas[[#This Row],[Ext-Year]],2),"-",MID(Master_ventas[[#This Row],[Category]],1,1))</f>
        <v>PRI23-O</v>
      </c>
      <c r="N1684" t="str">
        <f>MID(Master_ventas[[#This Row],[ProdUpper]],1,3)</f>
        <v>PRI</v>
      </c>
      <c r="O1684" t="str">
        <f>UPPER(IF(Master_ventas[[#This Row],[Profit]]&gt;500,"High","Std"))</f>
        <v>STD</v>
      </c>
      <c r="P1684">
        <v>1683</v>
      </c>
    </row>
    <row r="1685" spans="1:16" x14ac:dyDescent="0.3">
      <c r="A1685" s="1">
        <v>44776</v>
      </c>
      <c r="B1685" t="s">
        <v>18</v>
      </c>
      <c r="C1685" t="s">
        <v>11</v>
      </c>
      <c r="D1685" t="s">
        <v>9</v>
      </c>
      <c r="E1685">
        <v>8</v>
      </c>
      <c r="F1685" s="3">
        <v>5640</v>
      </c>
      <c r="G1685" s="2">
        <v>747.26</v>
      </c>
      <c r="H1685">
        <f>Master_ventas[[#This Row],[Profit]]/Master_ventas[[#This Row],[Sales]]</f>
        <v>0.13249290780141842</v>
      </c>
      <c r="I1685">
        <f ca="1">Referencia_Hoy-Master_ventas[[#This Row],[Order Date]]</f>
        <v>1547</v>
      </c>
      <c r="J1685" t="str">
        <f>UPPER(Master_ventas[[#This Row],[Product Name]])</f>
        <v>HEADPHONES</v>
      </c>
      <c r="K1685" t="str">
        <f>UPPER(Master_ventas[[#This Row],[Category]])</f>
        <v>ACCESSORIES</v>
      </c>
      <c r="L1685">
        <f>YEAR(Master_ventas[[#This Row],[Order Date]])</f>
        <v>2022</v>
      </c>
      <c r="M1685" t="str">
        <f>CONCATENATE(LEFT(Master_ventas[[#This Row],[ProdUpper]],3),RIGHT(Master_ventas[[#This Row],[Ext-Year]],2),"-",MID(Master_ventas[[#This Row],[Category]],1,1))</f>
        <v>HEA22-A</v>
      </c>
      <c r="N1685" t="str">
        <f>MID(Master_ventas[[#This Row],[ProdUpper]],1,3)</f>
        <v>HEA</v>
      </c>
      <c r="O1685" t="str">
        <f>UPPER(IF(Master_ventas[[#This Row],[Profit]]&gt;500,"High","Std"))</f>
        <v>HIGH</v>
      </c>
      <c r="P1685">
        <v>1684</v>
      </c>
    </row>
    <row r="1686" spans="1:16" x14ac:dyDescent="0.3">
      <c r="A1686" s="1">
        <v>44806</v>
      </c>
      <c r="B1686" t="s">
        <v>13</v>
      </c>
      <c r="C1686" t="s">
        <v>14</v>
      </c>
      <c r="D1686" t="s">
        <v>15</v>
      </c>
      <c r="E1686">
        <v>1</v>
      </c>
      <c r="F1686" s="3">
        <v>552</v>
      </c>
      <c r="G1686" s="2">
        <v>115.74</v>
      </c>
      <c r="H1686">
        <f>Master_ventas[[#This Row],[Profit]]/Master_ventas[[#This Row],[Sales]]</f>
        <v>0.20967391304347824</v>
      </c>
      <c r="I1686">
        <f ca="1">Referencia_Hoy-Master_ventas[[#This Row],[Order Date]]</f>
        <v>1517</v>
      </c>
      <c r="J1686" t="str">
        <f>UPPER(Master_ventas[[#This Row],[Product Name]])</f>
        <v>TABLET</v>
      </c>
      <c r="K1686" t="str">
        <f>UPPER(Master_ventas[[#This Row],[Category]])</f>
        <v>ELECTRONICS</v>
      </c>
      <c r="L1686">
        <f>YEAR(Master_ventas[[#This Row],[Order Date]])</f>
        <v>2022</v>
      </c>
      <c r="M1686" t="str">
        <f>CONCATENATE(LEFT(Master_ventas[[#This Row],[ProdUpper]],3),RIGHT(Master_ventas[[#This Row],[Ext-Year]],2),"-",MID(Master_ventas[[#This Row],[Category]],1,1))</f>
        <v>TAB22-E</v>
      </c>
      <c r="N1686" t="str">
        <f>MID(Master_ventas[[#This Row],[ProdUpper]],1,3)</f>
        <v>TAB</v>
      </c>
      <c r="O1686" t="str">
        <f>UPPER(IF(Master_ventas[[#This Row],[Profit]]&gt;500,"High","Std"))</f>
        <v>STD</v>
      </c>
      <c r="P1686">
        <v>1685</v>
      </c>
    </row>
    <row r="1687" spans="1:16" x14ac:dyDescent="0.3">
      <c r="A1687" s="1">
        <v>44676</v>
      </c>
      <c r="B1687" t="s">
        <v>10</v>
      </c>
      <c r="C1687" t="s">
        <v>11</v>
      </c>
      <c r="D1687" t="s">
        <v>15</v>
      </c>
      <c r="E1687">
        <v>7</v>
      </c>
      <c r="F1687" s="3">
        <v>1428</v>
      </c>
      <c r="G1687" s="2">
        <v>289.64999999999998</v>
      </c>
      <c r="H1687">
        <f>Master_ventas[[#This Row],[Profit]]/Master_ventas[[#This Row],[Sales]]</f>
        <v>0.20283613445378149</v>
      </c>
      <c r="I1687">
        <f ca="1">Referencia_Hoy-Master_ventas[[#This Row],[Order Date]]</f>
        <v>1647</v>
      </c>
      <c r="J1687" t="str">
        <f>UPPER(Master_ventas[[#This Row],[Product Name]])</f>
        <v>MOUSE</v>
      </c>
      <c r="K1687" t="str">
        <f>UPPER(Master_ventas[[#This Row],[Category]])</f>
        <v>ACCESSORIES</v>
      </c>
      <c r="L1687">
        <f>YEAR(Master_ventas[[#This Row],[Order Date]])</f>
        <v>2022</v>
      </c>
      <c r="M1687" t="str">
        <f>CONCATENATE(LEFT(Master_ventas[[#This Row],[ProdUpper]],3),RIGHT(Master_ventas[[#This Row],[Ext-Year]],2),"-",MID(Master_ventas[[#This Row],[Category]],1,1))</f>
        <v>MOU22-A</v>
      </c>
      <c r="N1687" t="str">
        <f>MID(Master_ventas[[#This Row],[ProdUpper]],1,3)</f>
        <v>MOU</v>
      </c>
      <c r="O1687" t="str">
        <f>UPPER(IF(Master_ventas[[#This Row],[Profit]]&gt;500,"High","Std"))</f>
        <v>STD</v>
      </c>
      <c r="P1687">
        <v>1686</v>
      </c>
    </row>
    <row r="1688" spans="1:16" x14ac:dyDescent="0.3">
      <c r="A1688" s="1">
        <v>44573</v>
      </c>
      <c r="B1688" t="s">
        <v>7</v>
      </c>
      <c r="C1688" t="s">
        <v>8</v>
      </c>
      <c r="D1688" t="s">
        <v>16</v>
      </c>
      <c r="E1688">
        <v>1</v>
      </c>
      <c r="F1688" s="3">
        <v>349</v>
      </c>
      <c r="G1688" s="2">
        <v>42.05</v>
      </c>
      <c r="H1688">
        <f>Master_ventas[[#This Row],[Profit]]/Master_ventas[[#This Row],[Sales]]</f>
        <v>0.12048710601719197</v>
      </c>
      <c r="I1688">
        <f ca="1">Referencia_Hoy-Master_ventas[[#This Row],[Order Date]]</f>
        <v>1750</v>
      </c>
      <c r="J1688" t="str">
        <f>UPPER(Master_ventas[[#This Row],[Product Name]])</f>
        <v>PRINTER</v>
      </c>
      <c r="K1688" t="str">
        <f>UPPER(Master_ventas[[#This Row],[Category]])</f>
        <v>OFFICE</v>
      </c>
      <c r="L1688">
        <f>YEAR(Master_ventas[[#This Row],[Order Date]])</f>
        <v>2022</v>
      </c>
      <c r="M1688" t="str">
        <f>CONCATENATE(LEFT(Master_ventas[[#This Row],[ProdUpper]],3),RIGHT(Master_ventas[[#This Row],[Ext-Year]],2),"-",MID(Master_ventas[[#This Row],[Category]],1,1))</f>
        <v>PRI22-O</v>
      </c>
      <c r="N1688" t="str">
        <f>MID(Master_ventas[[#This Row],[ProdUpper]],1,3)</f>
        <v>PRI</v>
      </c>
      <c r="O1688" t="str">
        <f>UPPER(IF(Master_ventas[[#This Row],[Profit]]&gt;500,"High","Std"))</f>
        <v>STD</v>
      </c>
      <c r="P1688">
        <v>1687</v>
      </c>
    </row>
    <row r="1689" spans="1:16" x14ac:dyDescent="0.3">
      <c r="A1689" s="1">
        <v>44864</v>
      </c>
      <c r="B1689" t="s">
        <v>13</v>
      </c>
      <c r="C1689" t="s">
        <v>14</v>
      </c>
      <c r="D1689" t="s">
        <v>9</v>
      </c>
      <c r="E1689">
        <v>6</v>
      </c>
      <c r="F1689" s="3">
        <v>6402</v>
      </c>
      <c r="G1689" s="2">
        <v>1366.28</v>
      </c>
      <c r="H1689">
        <f>Master_ventas[[#This Row],[Profit]]/Master_ventas[[#This Row],[Sales]]</f>
        <v>0.21341455795064043</v>
      </c>
      <c r="I1689">
        <f ca="1">Referencia_Hoy-Master_ventas[[#This Row],[Order Date]]</f>
        <v>1459</v>
      </c>
      <c r="J1689" t="str">
        <f>UPPER(Master_ventas[[#This Row],[Product Name]])</f>
        <v>TABLET</v>
      </c>
      <c r="K1689" t="str">
        <f>UPPER(Master_ventas[[#This Row],[Category]])</f>
        <v>ELECTRONICS</v>
      </c>
      <c r="L1689">
        <f>YEAR(Master_ventas[[#This Row],[Order Date]])</f>
        <v>2022</v>
      </c>
      <c r="M1689" t="str">
        <f>CONCATENATE(LEFT(Master_ventas[[#This Row],[ProdUpper]],3),RIGHT(Master_ventas[[#This Row],[Ext-Year]],2),"-",MID(Master_ventas[[#This Row],[Category]],1,1))</f>
        <v>TAB22-E</v>
      </c>
      <c r="N1689" t="str">
        <f>MID(Master_ventas[[#This Row],[ProdUpper]],1,3)</f>
        <v>TAB</v>
      </c>
      <c r="O1689" t="str">
        <f>UPPER(IF(Master_ventas[[#This Row],[Profit]]&gt;500,"High","Std"))</f>
        <v>HIGH</v>
      </c>
      <c r="P1689">
        <v>1688</v>
      </c>
    </row>
    <row r="1690" spans="1:16" x14ac:dyDescent="0.3">
      <c r="A1690" s="1">
        <v>45086</v>
      </c>
      <c r="B1690" t="s">
        <v>20</v>
      </c>
      <c r="C1690" t="s">
        <v>11</v>
      </c>
      <c r="D1690" t="s">
        <v>12</v>
      </c>
      <c r="E1690">
        <v>9</v>
      </c>
      <c r="F1690" s="3">
        <v>657</v>
      </c>
      <c r="G1690" s="2">
        <v>185.95</v>
      </c>
      <c r="H1690">
        <f>Master_ventas[[#This Row],[Profit]]/Master_ventas[[#This Row],[Sales]]</f>
        <v>0.28302891933028917</v>
      </c>
      <c r="I1690">
        <f ca="1">Referencia_Hoy-Master_ventas[[#This Row],[Order Date]]</f>
        <v>1237</v>
      </c>
      <c r="J1690" t="str">
        <f>UPPER(Master_ventas[[#This Row],[Product Name]])</f>
        <v>MONITOR</v>
      </c>
      <c r="K1690" t="str">
        <f>UPPER(Master_ventas[[#This Row],[Category]])</f>
        <v>ACCESSORIES</v>
      </c>
      <c r="L1690">
        <f>YEAR(Master_ventas[[#This Row],[Order Date]])</f>
        <v>2023</v>
      </c>
      <c r="M1690" t="str">
        <f>CONCATENATE(LEFT(Master_ventas[[#This Row],[ProdUpper]],3),RIGHT(Master_ventas[[#This Row],[Ext-Year]],2),"-",MID(Master_ventas[[#This Row],[Category]],1,1))</f>
        <v>MON23-A</v>
      </c>
      <c r="N1690" t="str">
        <f>MID(Master_ventas[[#This Row],[ProdUpper]],1,3)</f>
        <v>MON</v>
      </c>
      <c r="O1690" t="str">
        <f>UPPER(IF(Master_ventas[[#This Row],[Profit]]&gt;500,"High","Std"))</f>
        <v>STD</v>
      </c>
      <c r="P1690">
        <v>1689</v>
      </c>
    </row>
    <row r="1691" spans="1:16" x14ac:dyDescent="0.3">
      <c r="A1691" s="1">
        <v>44939</v>
      </c>
      <c r="B1691" t="s">
        <v>10</v>
      </c>
      <c r="C1691" t="s">
        <v>11</v>
      </c>
      <c r="D1691" t="s">
        <v>16</v>
      </c>
      <c r="E1691">
        <v>7</v>
      </c>
      <c r="F1691" s="3">
        <v>5327</v>
      </c>
      <c r="G1691" s="2">
        <v>950.7</v>
      </c>
      <c r="H1691">
        <f>Master_ventas[[#This Row],[Profit]]/Master_ventas[[#This Row],[Sales]]</f>
        <v>0.17846818096489583</v>
      </c>
      <c r="I1691">
        <f ca="1">Referencia_Hoy-Master_ventas[[#This Row],[Order Date]]</f>
        <v>1384</v>
      </c>
      <c r="J1691" t="str">
        <f>UPPER(Master_ventas[[#This Row],[Product Name]])</f>
        <v>MOUSE</v>
      </c>
      <c r="K1691" t="str">
        <f>UPPER(Master_ventas[[#This Row],[Category]])</f>
        <v>ACCESSORIES</v>
      </c>
      <c r="L1691">
        <f>YEAR(Master_ventas[[#This Row],[Order Date]])</f>
        <v>2023</v>
      </c>
      <c r="M1691" t="str">
        <f>CONCATENATE(LEFT(Master_ventas[[#This Row],[ProdUpper]],3),RIGHT(Master_ventas[[#This Row],[Ext-Year]],2),"-",MID(Master_ventas[[#This Row],[Category]],1,1))</f>
        <v>MOU23-A</v>
      </c>
      <c r="N1691" t="str">
        <f>MID(Master_ventas[[#This Row],[ProdUpper]],1,3)</f>
        <v>MOU</v>
      </c>
      <c r="O1691" t="str">
        <f>UPPER(IF(Master_ventas[[#This Row],[Profit]]&gt;500,"High","Std"))</f>
        <v>HIGH</v>
      </c>
      <c r="P1691">
        <v>1690</v>
      </c>
    </row>
    <row r="1692" spans="1:16" x14ac:dyDescent="0.3">
      <c r="A1692" s="1">
        <v>45318</v>
      </c>
      <c r="B1692" t="s">
        <v>22</v>
      </c>
      <c r="C1692" t="s">
        <v>11</v>
      </c>
      <c r="D1692" t="s">
        <v>9</v>
      </c>
      <c r="E1692">
        <v>4</v>
      </c>
      <c r="F1692" s="3">
        <v>4196</v>
      </c>
      <c r="G1692" s="2">
        <v>1152.45</v>
      </c>
      <c r="H1692">
        <f>Master_ventas[[#This Row],[Profit]]/Master_ventas[[#This Row],[Sales]]</f>
        <v>0.27465443279313634</v>
      </c>
      <c r="I1692">
        <f ca="1">Referencia_Hoy-Master_ventas[[#This Row],[Order Date]]</f>
        <v>1005</v>
      </c>
      <c r="J1692" t="str">
        <f>UPPER(Master_ventas[[#This Row],[Product Name]])</f>
        <v>KEYBOARD</v>
      </c>
      <c r="K1692" t="str">
        <f>UPPER(Master_ventas[[#This Row],[Category]])</f>
        <v>ACCESSORIES</v>
      </c>
      <c r="L1692">
        <f>YEAR(Master_ventas[[#This Row],[Order Date]])</f>
        <v>2024</v>
      </c>
      <c r="M1692" t="str">
        <f>CONCATENATE(LEFT(Master_ventas[[#This Row],[ProdUpper]],3),RIGHT(Master_ventas[[#This Row],[Ext-Year]],2),"-",MID(Master_ventas[[#This Row],[Category]],1,1))</f>
        <v>KEY24-A</v>
      </c>
      <c r="N1692" t="str">
        <f>MID(Master_ventas[[#This Row],[ProdUpper]],1,3)</f>
        <v>KEY</v>
      </c>
      <c r="O1692" t="str">
        <f>UPPER(IF(Master_ventas[[#This Row],[Profit]]&gt;500,"High","Std"))</f>
        <v>HIGH</v>
      </c>
      <c r="P1692">
        <v>1691</v>
      </c>
    </row>
    <row r="1693" spans="1:16" x14ac:dyDescent="0.3">
      <c r="A1693" s="1">
        <v>45234</v>
      </c>
      <c r="B1693" t="s">
        <v>23</v>
      </c>
      <c r="C1693" t="s">
        <v>14</v>
      </c>
      <c r="D1693" t="s">
        <v>12</v>
      </c>
      <c r="E1693">
        <v>4</v>
      </c>
      <c r="F1693" s="3">
        <v>2892</v>
      </c>
      <c r="G1693" s="2">
        <v>863.47</v>
      </c>
      <c r="H1693">
        <f>Master_ventas[[#This Row],[Profit]]/Master_ventas[[#This Row],[Sales]]</f>
        <v>0.29857192254495157</v>
      </c>
      <c r="I1693">
        <f ca="1">Referencia_Hoy-Master_ventas[[#This Row],[Order Date]]</f>
        <v>1089</v>
      </c>
      <c r="J1693" t="str">
        <f>UPPER(Master_ventas[[#This Row],[Product Name]])</f>
        <v>LAPTOP</v>
      </c>
      <c r="K1693" t="str">
        <f>UPPER(Master_ventas[[#This Row],[Category]])</f>
        <v>ELECTRONICS</v>
      </c>
      <c r="L1693">
        <f>YEAR(Master_ventas[[#This Row],[Order Date]])</f>
        <v>2023</v>
      </c>
      <c r="M1693" t="str">
        <f>CONCATENATE(LEFT(Master_ventas[[#This Row],[ProdUpper]],3),RIGHT(Master_ventas[[#This Row],[Ext-Year]],2),"-",MID(Master_ventas[[#This Row],[Category]],1,1))</f>
        <v>LAP23-E</v>
      </c>
      <c r="N1693" t="str">
        <f>MID(Master_ventas[[#This Row],[ProdUpper]],1,3)</f>
        <v>LAP</v>
      </c>
      <c r="O1693" t="str">
        <f>UPPER(IF(Master_ventas[[#This Row],[Profit]]&gt;500,"High","Std"))</f>
        <v>HIGH</v>
      </c>
      <c r="P1693">
        <v>1692</v>
      </c>
    </row>
    <row r="1694" spans="1:16" x14ac:dyDescent="0.3">
      <c r="A1694" s="1">
        <v>45511</v>
      </c>
      <c r="B1694" t="s">
        <v>23</v>
      </c>
      <c r="C1694" t="s">
        <v>14</v>
      </c>
      <c r="D1694" t="s">
        <v>16</v>
      </c>
      <c r="E1694">
        <v>9</v>
      </c>
      <c r="F1694" s="3">
        <v>2772</v>
      </c>
      <c r="G1694" s="2">
        <v>432.77</v>
      </c>
      <c r="H1694">
        <f>Master_ventas[[#This Row],[Profit]]/Master_ventas[[#This Row],[Sales]]</f>
        <v>0.15612193362193361</v>
      </c>
      <c r="I1694">
        <f ca="1">Referencia_Hoy-Master_ventas[[#This Row],[Order Date]]</f>
        <v>812</v>
      </c>
      <c r="J1694" t="str">
        <f>UPPER(Master_ventas[[#This Row],[Product Name]])</f>
        <v>LAPTOP</v>
      </c>
      <c r="K1694" t="str">
        <f>UPPER(Master_ventas[[#This Row],[Category]])</f>
        <v>ELECTRONICS</v>
      </c>
      <c r="L1694">
        <f>YEAR(Master_ventas[[#This Row],[Order Date]])</f>
        <v>2024</v>
      </c>
      <c r="M1694" t="str">
        <f>CONCATENATE(LEFT(Master_ventas[[#This Row],[ProdUpper]],3),RIGHT(Master_ventas[[#This Row],[Ext-Year]],2),"-",MID(Master_ventas[[#This Row],[Category]],1,1))</f>
        <v>LAP24-E</v>
      </c>
      <c r="N1694" t="str">
        <f>MID(Master_ventas[[#This Row],[ProdUpper]],1,3)</f>
        <v>LAP</v>
      </c>
      <c r="O1694" t="str">
        <f>UPPER(IF(Master_ventas[[#This Row],[Profit]]&gt;500,"High","Std"))</f>
        <v>STD</v>
      </c>
      <c r="P1694">
        <v>1693</v>
      </c>
    </row>
    <row r="1695" spans="1:16" x14ac:dyDescent="0.3">
      <c r="A1695" s="1">
        <v>45486</v>
      </c>
      <c r="B1695" t="s">
        <v>19</v>
      </c>
      <c r="C1695" t="s">
        <v>14</v>
      </c>
      <c r="D1695" t="s">
        <v>9</v>
      </c>
      <c r="E1695">
        <v>6</v>
      </c>
      <c r="F1695" s="3">
        <v>4692</v>
      </c>
      <c r="G1695" s="2">
        <v>1044.97</v>
      </c>
      <c r="H1695">
        <f>Master_ventas[[#This Row],[Profit]]/Master_ventas[[#This Row],[Sales]]</f>
        <v>0.22271312872975277</v>
      </c>
      <c r="I1695">
        <f ca="1">Referencia_Hoy-Master_ventas[[#This Row],[Order Date]]</f>
        <v>837</v>
      </c>
      <c r="J1695" t="str">
        <f>UPPER(Master_ventas[[#This Row],[Product Name]])</f>
        <v>SMARTWATCH</v>
      </c>
      <c r="K1695" t="str">
        <f>UPPER(Master_ventas[[#This Row],[Category]])</f>
        <v>ELECTRONICS</v>
      </c>
      <c r="L1695">
        <f>YEAR(Master_ventas[[#This Row],[Order Date]])</f>
        <v>2024</v>
      </c>
      <c r="M1695" t="str">
        <f>CONCATENATE(LEFT(Master_ventas[[#This Row],[ProdUpper]],3),RIGHT(Master_ventas[[#This Row],[Ext-Year]],2),"-",MID(Master_ventas[[#This Row],[Category]],1,1))</f>
        <v>SMA24-E</v>
      </c>
      <c r="N1695" t="str">
        <f>MID(Master_ventas[[#This Row],[ProdUpper]],1,3)</f>
        <v>SMA</v>
      </c>
      <c r="O1695" t="str">
        <f>UPPER(IF(Master_ventas[[#This Row],[Profit]]&gt;500,"High","Std"))</f>
        <v>HIGH</v>
      </c>
      <c r="P1695">
        <v>1694</v>
      </c>
    </row>
    <row r="1696" spans="1:16" x14ac:dyDescent="0.3">
      <c r="A1696" s="1">
        <v>44902</v>
      </c>
      <c r="B1696" t="s">
        <v>10</v>
      </c>
      <c r="C1696" t="s">
        <v>11</v>
      </c>
      <c r="D1696" t="s">
        <v>12</v>
      </c>
      <c r="E1696">
        <v>6</v>
      </c>
      <c r="F1696" s="3">
        <v>2742</v>
      </c>
      <c r="G1696" s="2">
        <v>334.48</v>
      </c>
      <c r="H1696">
        <f>Master_ventas[[#This Row],[Profit]]/Master_ventas[[#This Row],[Sales]]</f>
        <v>0.12198395331874545</v>
      </c>
      <c r="I1696">
        <f ca="1">Referencia_Hoy-Master_ventas[[#This Row],[Order Date]]</f>
        <v>1421</v>
      </c>
      <c r="J1696" t="str">
        <f>UPPER(Master_ventas[[#This Row],[Product Name]])</f>
        <v>MOUSE</v>
      </c>
      <c r="K1696" t="str">
        <f>UPPER(Master_ventas[[#This Row],[Category]])</f>
        <v>ACCESSORIES</v>
      </c>
      <c r="L1696">
        <f>YEAR(Master_ventas[[#This Row],[Order Date]])</f>
        <v>2022</v>
      </c>
      <c r="M1696" t="str">
        <f>CONCATENATE(LEFT(Master_ventas[[#This Row],[ProdUpper]],3),RIGHT(Master_ventas[[#This Row],[Ext-Year]],2),"-",MID(Master_ventas[[#This Row],[Category]],1,1))</f>
        <v>MOU22-A</v>
      </c>
      <c r="N1696" t="str">
        <f>MID(Master_ventas[[#This Row],[ProdUpper]],1,3)</f>
        <v>MOU</v>
      </c>
      <c r="O1696" t="str">
        <f>UPPER(IF(Master_ventas[[#This Row],[Profit]]&gt;500,"High","Std"))</f>
        <v>STD</v>
      </c>
      <c r="P1696">
        <v>1695</v>
      </c>
    </row>
    <row r="1697" spans="1:16" x14ac:dyDescent="0.3">
      <c r="A1697" s="1">
        <v>44942</v>
      </c>
      <c r="B1697" t="s">
        <v>21</v>
      </c>
      <c r="C1697" t="s">
        <v>14</v>
      </c>
      <c r="D1697" t="s">
        <v>9</v>
      </c>
      <c r="E1697">
        <v>8</v>
      </c>
      <c r="F1697" s="3">
        <v>8896</v>
      </c>
      <c r="G1697" s="2">
        <v>1154.96</v>
      </c>
      <c r="H1697">
        <f>Master_ventas[[#This Row],[Profit]]/Master_ventas[[#This Row],[Sales]]</f>
        <v>0.1298291366906475</v>
      </c>
      <c r="I1697">
        <f ca="1">Referencia_Hoy-Master_ventas[[#This Row],[Order Date]]</f>
        <v>1381</v>
      </c>
      <c r="J1697" t="str">
        <f>UPPER(Master_ventas[[#This Row],[Product Name]])</f>
        <v>SMARTPHONE</v>
      </c>
      <c r="K1697" t="str">
        <f>UPPER(Master_ventas[[#This Row],[Category]])</f>
        <v>ELECTRONICS</v>
      </c>
      <c r="L1697">
        <f>YEAR(Master_ventas[[#This Row],[Order Date]])</f>
        <v>2023</v>
      </c>
      <c r="M1697" t="str">
        <f>CONCATENATE(LEFT(Master_ventas[[#This Row],[ProdUpper]],3),RIGHT(Master_ventas[[#This Row],[Ext-Year]],2),"-",MID(Master_ventas[[#This Row],[Category]],1,1))</f>
        <v>SMA23-E</v>
      </c>
      <c r="N1697" t="str">
        <f>MID(Master_ventas[[#This Row],[ProdUpper]],1,3)</f>
        <v>SMA</v>
      </c>
      <c r="O1697" t="str">
        <f>UPPER(IF(Master_ventas[[#This Row],[Profit]]&gt;500,"High","Std"))</f>
        <v>HIGH</v>
      </c>
      <c r="P1697">
        <v>1696</v>
      </c>
    </row>
    <row r="1698" spans="1:16" x14ac:dyDescent="0.3">
      <c r="A1698" s="1">
        <v>44886</v>
      </c>
      <c r="B1698" t="s">
        <v>10</v>
      </c>
      <c r="C1698" t="s">
        <v>11</v>
      </c>
      <c r="D1698" t="s">
        <v>9</v>
      </c>
      <c r="E1698">
        <v>2</v>
      </c>
      <c r="F1698" s="3">
        <v>2344</v>
      </c>
      <c r="G1698" s="2">
        <v>385.19</v>
      </c>
      <c r="H1698">
        <f>Master_ventas[[#This Row],[Profit]]/Master_ventas[[#This Row],[Sales]]</f>
        <v>0.16433020477815699</v>
      </c>
      <c r="I1698">
        <f ca="1">Referencia_Hoy-Master_ventas[[#This Row],[Order Date]]</f>
        <v>1437</v>
      </c>
      <c r="J1698" t="str">
        <f>UPPER(Master_ventas[[#This Row],[Product Name]])</f>
        <v>MOUSE</v>
      </c>
      <c r="K1698" t="str">
        <f>UPPER(Master_ventas[[#This Row],[Category]])</f>
        <v>ACCESSORIES</v>
      </c>
      <c r="L1698">
        <f>YEAR(Master_ventas[[#This Row],[Order Date]])</f>
        <v>2022</v>
      </c>
      <c r="M1698" t="str">
        <f>CONCATENATE(LEFT(Master_ventas[[#This Row],[ProdUpper]],3),RIGHT(Master_ventas[[#This Row],[Ext-Year]],2),"-",MID(Master_ventas[[#This Row],[Category]],1,1))</f>
        <v>MOU22-A</v>
      </c>
      <c r="N1698" t="str">
        <f>MID(Master_ventas[[#This Row],[ProdUpper]],1,3)</f>
        <v>MOU</v>
      </c>
      <c r="O1698" t="str">
        <f>UPPER(IF(Master_ventas[[#This Row],[Profit]]&gt;500,"High","Std"))</f>
        <v>STD</v>
      </c>
      <c r="P1698">
        <v>1697</v>
      </c>
    </row>
    <row r="1699" spans="1:16" x14ac:dyDescent="0.3">
      <c r="A1699" s="1">
        <v>44587</v>
      </c>
      <c r="B1699" t="s">
        <v>18</v>
      </c>
      <c r="C1699" t="s">
        <v>11</v>
      </c>
      <c r="D1699" t="s">
        <v>15</v>
      </c>
      <c r="E1699">
        <v>7</v>
      </c>
      <c r="F1699" s="3">
        <v>4186</v>
      </c>
      <c r="G1699" s="2">
        <v>655.53</v>
      </c>
      <c r="H1699">
        <f>Master_ventas[[#This Row],[Profit]]/Master_ventas[[#This Row],[Sales]]</f>
        <v>0.15660057333970376</v>
      </c>
      <c r="I1699">
        <f ca="1">Referencia_Hoy-Master_ventas[[#This Row],[Order Date]]</f>
        <v>1736</v>
      </c>
      <c r="J1699" t="str">
        <f>UPPER(Master_ventas[[#This Row],[Product Name]])</f>
        <v>HEADPHONES</v>
      </c>
      <c r="K1699" t="str">
        <f>UPPER(Master_ventas[[#This Row],[Category]])</f>
        <v>ACCESSORIES</v>
      </c>
      <c r="L1699">
        <f>YEAR(Master_ventas[[#This Row],[Order Date]])</f>
        <v>2022</v>
      </c>
      <c r="M1699" t="str">
        <f>CONCATENATE(LEFT(Master_ventas[[#This Row],[ProdUpper]],3),RIGHT(Master_ventas[[#This Row],[Ext-Year]],2),"-",MID(Master_ventas[[#This Row],[Category]],1,1))</f>
        <v>HEA22-A</v>
      </c>
      <c r="N1699" t="str">
        <f>MID(Master_ventas[[#This Row],[ProdUpper]],1,3)</f>
        <v>HEA</v>
      </c>
      <c r="O1699" t="str">
        <f>UPPER(IF(Master_ventas[[#This Row],[Profit]]&gt;500,"High","Std"))</f>
        <v>HIGH</v>
      </c>
      <c r="P1699">
        <v>1698</v>
      </c>
    </row>
    <row r="1700" spans="1:16" x14ac:dyDescent="0.3">
      <c r="A1700" s="1">
        <v>45610</v>
      </c>
      <c r="B1700" t="s">
        <v>13</v>
      </c>
      <c r="C1700" t="s">
        <v>14</v>
      </c>
      <c r="D1700" t="s">
        <v>12</v>
      </c>
      <c r="E1700">
        <v>9</v>
      </c>
      <c r="F1700" s="3">
        <v>5238</v>
      </c>
      <c r="G1700" s="2">
        <v>1152.42</v>
      </c>
      <c r="H1700">
        <f>Master_ventas[[#This Row],[Profit]]/Master_ventas[[#This Row],[Sales]]</f>
        <v>0.2200114547537228</v>
      </c>
      <c r="I1700">
        <f ca="1">Referencia_Hoy-Master_ventas[[#This Row],[Order Date]]</f>
        <v>713</v>
      </c>
      <c r="J1700" t="str">
        <f>UPPER(Master_ventas[[#This Row],[Product Name]])</f>
        <v>TABLET</v>
      </c>
      <c r="K1700" t="str">
        <f>UPPER(Master_ventas[[#This Row],[Category]])</f>
        <v>ELECTRONICS</v>
      </c>
      <c r="L1700">
        <f>YEAR(Master_ventas[[#This Row],[Order Date]])</f>
        <v>2024</v>
      </c>
      <c r="M1700" t="str">
        <f>CONCATENATE(LEFT(Master_ventas[[#This Row],[ProdUpper]],3),RIGHT(Master_ventas[[#This Row],[Ext-Year]],2),"-",MID(Master_ventas[[#This Row],[Category]],1,1))</f>
        <v>TAB24-E</v>
      </c>
      <c r="N1700" t="str">
        <f>MID(Master_ventas[[#This Row],[ProdUpper]],1,3)</f>
        <v>TAB</v>
      </c>
      <c r="O1700" t="str">
        <f>UPPER(IF(Master_ventas[[#This Row],[Profit]]&gt;500,"High","Std"))</f>
        <v>HIGH</v>
      </c>
      <c r="P1700">
        <v>1699</v>
      </c>
    </row>
    <row r="1701" spans="1:16" x14ac:dyDescent="0.3">
      <c r="A1701" s="1">
        <v>44854</v>
      </c>
      <c r="B1701" t="s">
        <v>10</v>
      </c>
      <c r="C1701" t="s">
        <v>11</v>
      </c>
      <c r="D1701" t="s">
        <v>9</v>
      </c>
      <c r="E1701">
        <v>3</v>
      </c>
      <c r="F1701" s="3">
        <v>2982</v>
      </c>
      <c r="G1701" s="2">
        <v>452.22</v>
      </c>
      <c r="H1701">
        <f>Master_ventas[[#This Row],[Profit]]/Master_ventas[[#This Row],[Sales]]</f>
        <v>0.15164989939637827</v>
      </c>
      <c r="I1701">
        <f ca="1">Referencia_Hoy-Master_ventas[[#This Row],[Order Date]]</f>
        <v>1469</v>
      </c>
      <c r="J1701" t="str">
        <f>UPPER(Master_ventas[[#This Row],[Product Name]])</f>
        <v>MOUSE</v>
      </c>
      <c r="K1701" t="str">
        <f>UPPER(Master_ventas[[#This Row],[Category]])</f>
        <v>ACCESSORIES</v>
      </c>
      <c r="L1701">
        <f>YEAR(Master_ventas[[#This Row],[Order Date]])</f>
        <v>2022</v>
      </c>
      <c r="M1701" t="str">
        <f>CONCATENATE(LEFT(Master_ventas[[#This Row],[ProdUpper]],3),RIGHT(Master_ventas[[#This Row],[Ext-Year]],2),"-",MID(Master_ventas[[#This Row],[Category]],1,1))</f>
        <v>MOU22-A</v>
      </c>
      <c r="N1701" t="str">
        <f>MID(Master_ventas[[#This Row],[ProdUpper]],1,3)</f>
        <v>MOU</v>
      </c>
      <c r="O1701" t="str">
        <f>UPPER(IF(Master_ventas[[#This Row],[Profit]]&gt;500,"High","Std"))</f>
        <v>STD</v>
      </c>
      <c r="P1701">
        <v>1700</v>
      </c>
    </row>
    <row r="1702" spans="1:16" x14ac:dyDescent="0.3">
      <c r="A1702" s="1">
        <v>45426</v>
      </c>
      <c r="B1702" t="s">
        <v>19</v>
      </c>
      <c r="C1702" t="s">
        <v>14</v>
      </c>
      <c r="D1702" t="s">
        <v>16</v>
      </c>
      <c r="E1702">
        <v>4</v>
      </c>
      <c r="F1702" s="3">
        <v>2580</v>
      </c>
      <c r="G1702" s="2">
        <v>602.5</v>
      </c>
      <c r="H1702">
        <f>Master_ventas[[#This Row],[Profit]]/Master_ventas[[#This Row],[Sales]]</f>
        <v>0.23352713178294573</v>
      </c>
      <c r="I1702">
        <f ca="1">Referencia_Hoy-Master_ventas[[#This Row],[Order Date]]</f>
        <v>897</v>
      </c>
      <c r="J1702" t="str">
        <f>UPPER(Master_ventas[[#This Row],[Product Name]])</f>
        <v>SMARTWATCH</v>
      </c>
      <c r="K1702" t="str">
        <f>UPPER(Master_ventas[[#This Row],[Category]])</f>
        <v>ELECTRONICS</v>
      </c>
      <c r="L1702">
        <f>YEAR(Master_ventas[[#This Row],[Order Date]])</f>
        <v>2024</v>
      </c>
      <c r="M1702" t="str">
        <f>CONCATENATE(LEFT(Master_ventas[[#This Row],[ProdUpper]],3),RIGHT(Master_ventas[[#This Row],[Ext-Year]],2),"-",MID(Master_ventas[[#This Row],[Category]],1,1))</f>
        <v>SMA24-E</v>
      </c>
      <c r="N1702" t="str">
        <f>MID(Master_ventas[[#This Row],[ProdUpper]],1,3)</f>
        <v>SMA</v>
      </c>
      <c r="O1702" t="str">
        <f>UPPER(IF(Master_ventas[[#This Row],[Profit]]&gt;500,"High","Std"))</f>
        <v>HIGH</v>
      </c>
      <c r="P1702">
        <v>1701</v>
      </c>
    </row>
    <row r="1703" spans="1:16" x14ac:dyDescent="0.3">
      <c r="A1703" s="1">
        <v>45308</v>
      </c>
      <c r="B1703" t="s">
        <v>22</v>
      </c>
      <c r="C1703" t="s">
        <v>11</v>
      </c>
      <c r="D1703" t="s">
        <v>16</v>
      </c>
      <c r="E1703">
        <v>5</v>
      </c>
      <c r="F1703" s="3">
        <v>2675</v>
      </c>
      <c r="G1703" s="2">
        <v>671.6</v>
      </c>
      <c r="H1703">
        <f>Master_ventas[[#This Row],[Profit]]/Master_ventas[[#This Row],[Sales]]</f>
        <v>0.25106542056074765</v>
      </c>
      <c r="I1703">
        <f ca="1">Referencia_Hoy-Master_ventas[[#This Row],[Order Date]]</f>
        <v>1015</v>
      </c>
      <c r="J1703" t="str">
        <f>UPPER(Master_ventas[[#This Row],[Product Name]])</f>
        <v>KEYBOARD</v>
      </c>
      <c r="K1703" t="str">
        <f>UPPER(Master_ventas[[#This Row],[Category]])</f>
        <v>ACCESSORIES</v>
      </c>
      <c r="L1703">
        <f>YEAR(Master_ventas[[#This Row],[Order Date]])</f>
        <v>2024</v>
      </c>
      <c r="M1703" t="str">
        <f>CONCATENATE(LEFT(Master_ventas[[#This Row],[ProdUpper]],3),RIGHT(Master_ventas[[#This Row],[Ext-Year]],2),"-",MID(Master_ventas[[#This Row],[Category]],1,1))</f>
        <v>KEY24-A</v>
      </c>
      <c r="N1703" t="str">
        <f>MID(Master_ventas[[#This Row],[ProdUpper]],1,3)</f>
        <v>KEY</v>
      </c>
      <c r="O1703" t="str">
        <f>UPPER(IF(Master_ventas[[#This Row],[Profit]]&gt;500,"High","Std"))</f>
        <v>HIGH</v>
      </c>
      <c r="P1703">
        <v>1702</v>
      </c>
    </row>
    <row r="1704" spans="1:16" x14ac:dyDescent="0.3">
      <c r="A1704" s="1">
        <v>45503</v>
      </c>
      <c r="B1704" t="s">
        <v>7</v>
      </c>
      <c r="C1704" t="s">
        <v>8</v>
      </c>
      <c r="D1704" t="s">
        <v>12</v>
      </c>
      <c r="E1704">
        <v>4</v>
      </c>
      <c r="F1704" s="3">
        <v>2396</v>
      </c>
      <c r="G1704" s="2">
        <v>608.5</v>
      </c>
      <c r="H1704">
        <f>Master_ventas[[#This Row],[Profit]]/Master_ventas[[#This Row],[Sales]]</f>
        <v>0.25396494156928212</v>
      </c>
      <c r="I1704">
        <f ca="1">Referencia_Hoy-Master_ventas[[#This Row],[Order Date]]</f>
        <v>820</v>
      </c>
      <c r="J1704" t="str">
        <f>UPPER(Master_ventas[[#This Row],[Product Name]])</f>
        <v>PRINTER</v>
      </c>
      <c r="K1704" t="str">
        <f>UPPER(Master_ventas[[#This Row],[Category]])</f>
        <v>OFFICE</v>
      </c>
      <c r="L1704">
        <f>YEAR(Master_ventas[[#This Row],[Order Date]])</f>
        <v>2024</v>
      </c>
      <c r="M1704" t="str">
        <f>CONCATENATE(LEFT(Master_ventas[[#This Row],[ProdUpper]],3),RIGHT(Master_ventas[[#This Row],[Ext-Year]],2),"-",MID(Master_ventas[[#This Row],[Category]],1,1))</f>
        <v>PRI24-O</v>
      </c>
      <c r="N1704" t="str">
        <f>MID(Master_ventas[[#This Row],[ProdUpper]],1,3)</f>
        <v>PRI</v>
      </c>
      <c r="O1704" t="str">
        <f>UPPER(IF(Master_ventas[[#This Row],[Profit]]&gt;500,"High","Std"))</f>
        <v>HIGH</v>
      </c>
      <c r="P1704">
        <v>1703</v>
      </c>
    </row>
    <row r="1705" spans="1:16" x14ac:dyDescent="0.3">
      <c r="A1705" s="1">
        <v>45565</v>
      </c>
      <c r="B1705" t="s">
        <v>23</v>
      </c>
      <c r="C1705" t="s">
        <v>14</v>
      </c>
      <c r="D1705" t="s">
        <v>16</v>
      </c>
      <c r="E1705">
        <v>5</v>
      </c>
      <c r="F1705" s="3">
        <v>1600</v>
      </c>
      <c r="G1705" s="2">
        <v>242.25</v>
      </c>
      <c r="H1705">
        <f>Master_ventas[[#This Row],[Profit]]/Master_ventas[[#This Row],[Sales]]</f>
        <v>0.15140624999999999</v>
      </c>
      <c r="I1705">
        <f ca="1">Referencia_Hoy-Master_ventas[[#This Row],[Order Date]]</f>
        <v>758</v>
      </c>
      <c r="J1705" t="str">
        <f>UPPER(Master_ventas[[#This Row],[Product Name]])</f>
        <v>LAPTOP</v>
      </c>
      <c r="K1705" t="str">
        <f>UPPER(Master_ventas[[#This Row],[Category]])</f>
        <v>ELECTRONICS</v>
      </c>
      <c r="L1705">
        <f>YEAR(Master_ventas[[#This Row],[Order Date]])</f>
        <v>2024</v>
      </c>
      <c r="M1705" t="str">
        <f>CONCATENATE(LEFT(Master_ventas[[#This Row],[ProdUpper]],3),RIGHT(Master_ventas[[#This Row],[Ext-Year]],2),"-",MID(Master_ventas[[#This Row],[Category]],1,1))</f>
        <v>LAP24-E</v>
      </c>
      <c r="N1705" t="str">
        <f>MID(Master_ventas[[#This Row],[ProdUpper]],1,3)</f>
        <v>LAP</v>
      </c>
      <c r="O1705" t="str">
        <f>UPPER(IF(Master_ventas[[#This Row],[Profit]]&gt;500,"High","Std"))</f>
        <v>STD</v>
      </c>
      <c r="P1705">
        <v>1704</v>
      </c>
    </row>
    <row r="1706" spans="1:16" x14ac:dyDescent="0.3">
      <c r="A1706" s="1">
        <v>45178</v>
      </c>
      <c r="B1706" t="s">
        <v>19</v>
      </c>
      <c r="C1706" t="s">
        <v>14</v>
      </c>
      <c r="D1706" t="s">
        <v>9</v>
      </c>
      <c r="E1706">
        <v>4</v>
      </c>
      <c r="F1706" s="3">
        <v>304</v>
      </c>
      <c r="G1706" s="2">
        <v>34.729999999999997</v>
      </c>
      <c r="H1706">
        <f>Master_ventas[[#This Row],[Profit]]/Master_ventas[[#This Row],[Sales]]</f>
        <v>0.11424342105263156</v>
      </c>
      <c r="I1706">
        <f ca="1">Referencia_Hoy-Master_ventas[[#This Row],[Order Date]]</f>
        <v>1145</v>
      </c>
      <c r="J1706" t="str">
        <f>UPPER(Master_ventas[[#This Row],[Product Name]])</f>
        <v>SMARTWATCH</v>
      </c>
      <c r="K1706" t="str">
        <f>UPPER(Master_ventas[[#This Row],[Category]])</f>
        <v>ELECTRONICS</v>
      </c>
      <c r="L1706">
        <f>YEAR(Master_ventas[[#This Row],[Order Date]])</f>
        <v>2023</v>
      </c>
      <c r="M1706" t="str">
        <f>CONCATENATE(LEFT(Master_ventas[[#This Row],[ProdUpper]],3),RIGHT(Master_ventas[[#This Row],[Ext-Year]],2),"-",MID(Master_ventas[[#This Row],[Category]],1,1))</f>
        <v>SMA23-E</v>
      </c>
      <c r="N1706" t="str">
        <f>MID(Master_ventas[[#This Row],[ProdUpper]],1,3)</f>
        <v>SMA</v>
      </c>
      <c r="O1706" t="str">
        <f>UPPER(IF(Master_ventas[[#This Row],[Profit]]&gt;500,"High","Std"))</f>
        <v>STD</v>
      </c>
      <c r="P1706">
        <v>1705</v>
      </c>
    </row>
    <row r="1707" spans="1:16" x14ac:dyDescent="0.3">
      <c r="A1707" s="1">
        <v>45436</v>
      </c>
      <c r="B1707" t="s">
        <v>22</v>
      </c>
      <c r="C1707" t="s">
        <v>11</v>
      </c>
      <c r="D1707" t="s">
        <v>12</v>
      </c>
      <c r="E1707">
        <v>9</v>
      </c>
      <c r="F1707" s="3">
        <v>2070</v>
      </c>
      <c r="G1707" s="2">
        <v>457.39</v>
      </c>
      <c r="H1707">
        <f>Master_ventas[[#This Row],[Profit]]/Master_ventas[[#This Row],[Sales]]</f>
        <v>0.22096135265700481</v>
      </c>
      <c r="I1707">
        <f ca="1">Referencia_Hoy-Master_ventas[[#This Row],[Order Date]]</f>
        <v>887</v>
      </c>
      <c r="J1707" t="str">
        <f>UPPER(Master_ventas[[#This Row],[Product Name]])</f>
        <v>KEYBOARD</v>
      </c>
      <c r="K1707" t="str">
        <f>UPPER(Master_ventas[[#This Row],[Category]])</f>
        <v>ACCESSORIES</v>
      </c>
      <c r="L1707">
        <f>YEAR(Master_ventas[[#This Row],[Order Date]])</f>
        <v>2024</v>
      </c>
      <c r="M1707" t="str">
        <f>CONCATENATE(LEFT(Master_ventas[[#This Row],[ProdUpper]],3),RIGHT(Master_ventas[[#This Row],[Ext-Year]],2),"-",MID(Master_ventas[[#This Row],[Category]],1,1))</f>
        <v>KEY24-A</v>
      </c>
      <c r="N1707" t="str">
        <f>MID(Master_ventas[[#This Row],[ProdUpper]],1,3)</f>
        <v>KEY</v>
      </c>
      <c r="O1707" t="str">
        <f>UPPER(IF(Master_ventas[[#This Row],[Profit]]&gt;500,"High","Std"))</f>
        <v>STD</v>
      </c>
      <c r="P1707">
        <v>1706</v>
      </c>
    </row>
    <row r="1708" spans="1:16" x14ac:dyDescent="0.3">
      <c r="A1708" s="1">
        <v>44816</v>
      </c>
      <c r="B1708" t="s">
        <v>7</v>
      </c>
      <c r="C1708" t="s">
        <v>8</v>
      </c>
      <c r="D1708" t="s">
        <v>9</v>
      </c>
      <c r="E1708">
        <v>5</v>
      </c>
      <c r="F1708" s="3">
        <v>1230</v>
      </c>
      <c r="G1708" s="2">
        <v>158.22999999999999</v>
      </c>
      <c r="H1708">
        <f>Master_ventas[[#This Row],[Profit]]/Master_ventas[[#This Row],[Sales]]</f>
        <v>0.12864227642276421</v>
      </c>
      <c r="I1708">
        <f ca="1">Referencia_Hoy-Master_ventas[[#This Row],[Order Date]]</f>
        <v>1507</v>
      </c>
      <c r="J1708" t="str">
        <f>UPPER(Master_ventas[[#This Row],[Product Name]])</f>
        <v>PRINTER</v>
      </c>
      <c r="K1708" t="str">
        <f>UPPER(Master_ventas[[#This Row],[Category]])</f>
        <v>OFFICE</v>
      </c>
      <c r="L1708">
        <f>YEAR(Master_ventas[[#This Row],[Order Date]])</f>
        <v>2022</v>
      </c>
      <c r="M1708" t="str">
        <f>CONCATENATE(LEFT(Master_ventas[[#This Row],[ProdUpper]],3),RIGHT(Master_ventas[[#This Row],[Ext-Year]],2),"-",MID(Master_ventas[[#This Row],[Category]],1,1))</f>
        <v>PRI22-O</v>
      </c>
      <c r="N1708" t="str">
        <f>MID(Master_ventas[[#This Row],[ProdUpper]],1,3)</f>
        <v>PRI</v>
      </c>
      <c r="O1708" t="str">
        <f>UPPER(IF(Master_ventas[[#This Row],[Profit]]&gt;500,"High","Std"))</f>
        <v>STD</v>
      </c>
      <c r="P1708">
        <v>1707</v>
      </c>
    </row>
    <row r="1709" spans="1:16" x14ac:dyDescent="0.3">
      <c r="A1709" s="1">
        <v>45075</v>
      </c>
      <c r="B1709" t="s">
        <v>17</v>
      </c>
      <c r="C1709" t="s">
        <v>14</v>
      </c>
      <c r="D1709" t="s">
        <v>15</v>
      </c>
      <c r="E1709">
        <v>6</v>
      </c>
      <c r="F1709" s="3">
        <v>6234</v>
      </c>
      <c r="G1709" s="2">
        <v>758.78</v>
      </c>
      <c r="H1709">
        <f>Master_ventas[[#This Row],[Profit]]/Master_ventas[[#This Row],[Sales]]</f>
        <v>0.1217163939685595</v>
      </c>
      <c r="I1709">
        <f ca="1">Referencia_Hoy-Master_ventas[[#This Row],[Order Date]]</f>
        <v>1248</v>
      </c>
      <c r="J1709" t="str">
        <f>UPPER(Master_ventas[[#This Row],[Product Name]])</f>
        <v>CAMERA</v>
      </c>
      <c r="K1709" t="str">
        <f>UPPER(Master_ventas[[#This Row],[Category]])</f>
        <v>ELECTRONICS</v>
      </c>
      <c r="L1709">
        <f>YEAR(Master_ventas[[#This Row],[Order Date]])</f>
        <v>2023</v>
      </c>
      <c r="M1709" t="str">
        <f>CONCATENATE(LEFT(Master_ventas[[#This Row],[ProdUpper]],3),RIGHT(Master_ventas[[#This Row],[Ext-Year]],2),"-",MID(Master_ventas[[#This Row],[Category]],1,1))</f>
        <v>CAM23-E</v>
      </c>
      <c r="N1709" t="str">
        <f>MID(Master_ventas[[#This Row],[ProdUpper]],1,3)</f>
        <v>CAM</v>
      </c>
      <c r="O1709" t="str">
        <f>UPPER(IF(Master_ventas[[#This Row],[Profit]]&gt;500,"High","Std"))</f>
        <v>HIGH</v>
      </c>
      <c r="P1709">
        <v>1708</v>
      </c>
    </row>
    <row r="1710" spans="1:16" x14ac:dyDescent="0.3">
      <c r="A1710" s="1">
        <v>45318</v>
      </c>
      <c r="B1710" t="s">
        <v>18</v>
      </c>
      <c r="C1710" t="s">
        <v>11</v>
      </c>
      <c r="D1710" t="s">
        <v>15</v>
      </c>
      <c r="E1710">
        <v>2</v>
      </c>
      <c r="F1710" s="3">
        <v>396</v>
      </c>
      <c r="G1710" s="2">
        <v>46.33</v>
      </c>
      <c r="H1710">
        <f>Master_ventas[[#This Row],[Profit]]/Master_ventas[[#This Row],[Sales]]</f>
        <v>0.11699494949494949</v>
      </c>
      <c r="I1710">
        <f ca="1">Referencia_Hoy-Master_ventas[[#This Row],[Order Date]]</f>
        <v>1005</v>
      </c>
      <c r="J1710" t="str">
        <f>UPPER(Master_ventas[[#This Row],[Product Name]])</f>
        <v>HEADPHONES</v>
      </c>
      <c r="K1710" t="str">
        <f>UPPER(Master_ventas[[#This Row],[Category]])</f>
        <v>ACCESSORIES</v>
      </c>
      <c r="L1710">
        <f>YEAR(Master_ventas[[#This Row],[Order Date]])</f>
        <v>2024</v>
      </c>
      <c r="M1710" t="str">
        <f>CONCATENATE(LEFT(Master_ventas[[#This Row],[ProdUpper]],3),RIGHT(Master_ventas[[#This Row],[Ext-Year]],2),"-",MID(Master_ventas[[#This Row],[Category]],1,1))</f>
        <v>HEA24-A</v>
      </c>
      <c r="N1710" t="str">
        <f>MID(Master_ventas[[#This Row],[ProdUpper]],1,3)</f>
        <v>HEA</v>
      </c>
      <c r="O1710" t="str">
        <f>UPPER(IF(Master_ventas[[#This Row],[Profit]]&gt;500,"High","Std"))</f>
        <v>STD</v>
      </c>
      <c r="P1710">
        <v>1709</v>
      </c>
    </row>
    <row r="1711" spans="1:16" x14ac:dyDescent="0.3">
      <c r="A1711" s="1">
        <v>45155</v>
      </c>
      <c r="B1711" t="s">
        <v>10</v>
      </c>
      <c r="C1711" t="s">
        <v>11</v>
      </c>
      <c r="D1711" t="s">
        <v>12</v>
      </c>
      <c r="E1711">
        <v>9</v>
      </c>
      <c r="F1711" s="3">
        <v>2349</v>
      </c>
      <c r="G1711" s="2">
        <v>244.18</v>
      </c>
      <c r="H1711">
        <f>Master_ventas[[#This Row],[Profit]]/Master_ventas[[#This Row],[Sales]]</f>
        <v>0.10395061728395062</v>
      </c>
      <c r="I1711">
        <f ca="1">Referencia_Hoy-Master_ventas[[#This Row],[Order Date]]</f>
        <v>1168</v>
      </c>
      <c r="J1711" t="str">
        <f>UPPER(Master_ventas[[#This Row],[Product Name]])</f>
        <v>MOUSE</v>
      </c>
      <c r="K1711" t="str">
        <f>UPPER(Master_ventas[[#This Row],[Category]])</f>
        <v>ACCESSORIES</v>
      </c>
      <c r="L1711">
        <f>YEAR(Master_ventas[[#This Row],[Order Date]])</f>
        <v>2023</v>
      </c>
      <c r="M1711" t="str">
        <f>CONCATENATE(LEFT(Master_ventas[[#This Row],[ProdUpper]],3),RIGHT(Master_ventas[[#This Row],[Ext-Year]],2),"-",MID(Master_ventas[[#This Row],[Category]],1,1))</f>
        <v>MOU23-A</v>
      </c>
      <c r="N1711" t="str">
        <f>MID(Master_ventas[[#This Row],[ProdUpper]],1,3)</f>
        <v>MOU</v>
      </c>
      <c r="O1711" t="str">
        <f>UPPER(IF(Master_ventas[[#This Row],[Profit]]&gt;500,"High","Std"))</f>
        <v>STD</v>
      </c>
      <c r="P1711">
        <v>1710</v>
      </c>
    </row>
    <row r="1712" spans="1:16" x14ac:dyDescent="0.3">
      <c r="A1712" s="1">
        <v>45122</v>
      </c>
      <c r="B1712" t="s">
        <v>18</v>
      </c>
      <c r="C1712" t="s">
        <v>11</v>
      </c>
      <c r="D1712" t="s">
        <v>9</v>
      </c>
      <c r="E1712">
        <v>9</v>
      </c>
      <c r="F1712" s="3">
        <v>5949</v>
      </c>
      <c r="G1712" s="2">
        <v>626.91999999999996</v>
      </c>
      <c r="H1712">
        <f>Master_ventas[[#This Row],[Profit]]/Master_ventas[[#This Row],[Sales]]</f>
        <v>0.10538241721297696</v>
      </c>
      <c r="I1712">
        <f ca="1">Referencia_Hoy-Master_ventas[[#This Row],[Order Date]]</f>
        <v>1201</v>
      </c>
      <c r="J1712" t="str">
        <f>UPPER(Master_ventas[[#This Row],[Product Name]])</f>
        <v>HEADPHONES</v>
      </c>
      <c r="K1712" t="str">
        <f>UPPER(Master_ventas[[#This Row],[Category]])</f>
        <v>ACCESSORIES</v>
      </c>
      <c r="L1712">
        <f>YEAR(Master_ventas[[#This Row],[Order Date]])</f>
        <v>2023</v>
      </c>
      <c r="M1712" t="str">
        <f>CONCATENATE(LEFT(Master_ventas[[#This Row],[ProdUpper]],3),RIGHT(Master_ventas[[#This Row],[Ext-Year]],2),"-",MID(Master_ventas[[#This Row],[Category]],1,1))</f>
        <v>HEA23-A</v>
      </c>
      <c r="N1712" t="str">
        <f>MID(Master_ventas[[#This Row],[ProdUpper]],1,3)</f>
        <v>HEA</v>
      </c>
      <c r="O1712" t="str">
        <f>UPPER(IF(Master_ventas[[#This Row],[Profit]]&gt;500,"High","Std"))</f>
        <v>HIGH</v>
      </c>
      <c r="P1712">
        <v>1711</v>
      </c>
    </row>
    <row r="1713" spans="1:16" x14ac:dyDescent="0.3">
      <c r="A1713" s="1">
        <v>44576</v>
      </c>
      <c r="B1713" t="s">
        <v>7</v>
      </c>
      <c r="C1713" t="s">
        <v>8</v>
      </c>
      <c r="D1713" t="s">
        <v>12</v>
      </c>
      <c r="E1713">
        <v>7</v>
      </c>
      <c r="F1713" s="3">
        <v>5957</v>
      </c>
      <c r="G1713" s="2">
        <v>1433.85</v>
      </c>
      <c r="H1713">
        <f>Master_ventas[[#This Row],[Profit]]/Master_ventas[[#This Row],[Sales]]</f>
        <v>0.24070001678697328</v>
      </c>
      <c r="I1713">
        <f ca="1">Referencia_Hoy-Master_ventas[[#This Row],[Order Date]]</f>
        <v>1747</v>
      </c>
      <c r="J1713" t="str">
        <f>UPPER(Master_ventas[[#This Row],[Product Name]])</f>
        <v>PRINTER</v>
      </c>
      <c r="K1713" t="str">
        <f>UPPER(Master_ventas[[#This Row],[Category]])</f>
        <v>OFFICE</v>
      </c>
      <c r="L1713">
        <f>YEAR(Master_ventas[[#This Row],[Order Date]])</f>
        <v>2022</v>
      </c>
      <c r="M1713" t="str">
        <f>CONCATENATE(LEFT(Master_ventas[[#This Row],[ProdUpper]],3),RIGHT(Master_ventas[[#This Row],[Ext-Year]],2),"-",MID(Master_ventas[[#This Row],[Category]],1,1))</f>
        <v>PRI22-O</v>
      </c>
      <c r="N1713" t="str">
        <f>MID(Master_ventas[[#This Row],[ProdUpper]],1,3)</f>
        <v>PRI</v>
      </c>
      <c r="O1713" t="str">
        <f>UPPER(IF(Master_ventas[[#This Row],[Profit]]&gt;500,"High","Std"))</f>
        <v>HIGH</v>
      </c>
      <c r="P1713">
        <v>1712</v>
      </c>
    </row>
    <row r="1714" spans="1:16" x14ac:dyDescent="0.3">
      <c r="A1714" s="1">
        <v>45630</v>
      </c>
      <c r="B1714" t="s">
        <v>18</v>
      </c>
      <c r="C1714" t="s">
        <v>11</v>
      </c>
      <c r="D1714" t="s">
        <v>12</v>
      </c>
      <c r="E1714">
        <v>3</v>
      </c>
      <c r="F1714" s="3">
        <v>1989</v>
      </c>
      <c r="G1714" s="2">
        <v>299.79000000000002</v>
      </c>
      <c r="H1714">
        <f>Master_ventas[[#This Row],[Profit]]/Master_ventas[[#This Row],[Sales]]</f>
        <v>0.1507239819004525</v>
      </c>
      <c r="I1714">
        <f ca="1">Referencia_Hoy-Master_ventas[[#This Row],[Order Date]]</f>
        <v>693</v>
      </c>
      <c r="J1714" t="str">
        <f>UPPER(Master_ventas[[#This Row],[Product Name]])</f>
        <v>HEADPHONES</v>
      </c>
      <c r="K1714" t="str">
        <f>UPPER(Master_ventas[[#This Row],[Category]])</f>
        <v>ACCESSORIES</v>
      </c>
      <c r="L1714">
        <f>YEAR(Master_ventas[[#This Row],[Order Date]])</f>
        <v>2024</v>
      </c>
      <c r="M1714" t="str">
        <f>CONCATENATE(LEFT(Master_ventas[[#This Row],[ProdUpper]],3),RIGHT(Master_ventas[[#This Row],[Ext-Year]],2),"-",MID(Master_ventas[[#This Row],[Category]],1,1))</f>
        <v>HEA24-A</v>
      </c>
      <c r="N1714" t="str">
        <f>MID(Master_ventas[[#This Row],[ProdUpper]],1,3)</f>
        <v>HEA</v>
      </c>
      <c r="O1714" t="str">
        <f>UPPER(IF(Master_ventas[[#This Row],[Profit]]&gt;500,"High","Std"))</f>
        <v>STD</v>
      </c>
      <c r="P1714">
        <v>1713</v>
      </c>
    </row>
    <row r="1715" spans="1:16" x14ac:dyDescent="0.3">
      <c r="A1715" s="1">
        <v>45615</v>
      </c>
      <c r="B1715" t="s">
        <v>10</v>
      </c>
      <c r="C1715" t="s">
        <v>11</v>
      </c>
      <c r="D1715" t="s">
        <v>15</v>
      </c>
      <c r="E1715">
        <v>1</v>
      </c>
      <c r="F1715" s="3">
        <v>1138</v>
      </c>
      <c r="G1715" s="2">
        <v>243.36</v>
      </c>
      <c r="H1715">
        <f>Master_ventas[[#This Row],[Profit]]/Master_ventas[[#This Row],[Sales]]</f>
        <v>0.21384885764499123</v>
      </c>
      <c r="I1715">
        <f ca="1">Referencia_Hoy-Master_ventas[[#This Row],[Order Date]]</f>
        <v>708</v>
      </c>
      <c r="J1715" t="str">
        <f>UPPER(Master_ventas[[#This Row],[Product Name]])</f>
        <v>MOUSE</v>
      </c>
      <c r="K1715" t="str">
        <f>UPPER(Master_ventas[[#This Row],[Category]])</f>
        <v>ACCESSORIES</v>
      </c>
      <c r="L1715">
        <f>YEAR(Master_ventas[[#This Row],[Order Date]])</f>
        <v>2024</v>
      </c>
      <c r="M1715" t="str">
        <f>CONCATENATE(LEFT(Master_ventas[[#This Row],[ProdUpper]],3),RIGHT(Master_ventas[[#This Row],[Ext-Year]],2),"-",MID(Master_ventas[[#This Row],[Category]],1,1))</f>
        <v>MOU24-A</v>
      </c>
      <c r="N1715" t="str">
        <f>MID(Master_ventas[[#This Row],[ProdUpper]],1,3)</f>
        <v>MOU</v>
      </c>
      <c r="O1715" t="str">
        <f>UPPER(IF(Master_ventas[[#This Row],[Profit]]&gt;500,"High","Std"))</f>
        <v>STD</v>
      </c>
      <c r="P1715">
        <v>1714</v>
      </c>
    </row>
    <row r="1716" spans="1:16" x14ac:dyDescent="0.3">
      <c r="A1716" s="1">
        <v>44666</v>
      </c>
      <c r="B1716" t="s">
        <v>13</v>
      </c>
      <c r="C1716" t="s">
        <v>14</v>
      </c>
      <c r="D1716" t="s">
        <v>16</v>
      </c>
      <c r="E1716">
        <v>9</v>
      </c>
      <c r="F1716" s="3">
        <v>3321</v>
      </c>
      <c r="G1716" s="2">
        <v>689.64</v>
      </c>
      <c r="H1716">
        <f>Master_ventas[[#This Row],[Profit]]/Master_ventas[[#This Row],[Sales]]</f>
        <v>0.20766034327009936</v>
      </c>
      <c r="I1716">
        <f ca="1">Referencia_Hoy-Master_ventas[[#This Row],[Order Date]]</f>
        <v>1657</v>
      </c>
      <c r="J1716" t="str">
        <f>UPPER(Master_ventas[[#This Row],[Product Name]])</f>
        <v>TABLET</v>
      </c>
      <c r="K1716" t="str">
        <f>UPPER(Master_ventas[[#This Row],[Category]])</f>
        <v>ELECTRONICS</v>
      </c>
      <c r="L1716">
        <f>YEAR(Master_ventas[[#This Row],[Order Date]])</f>
        <v>2022</v>
      </c>
      <c r="M1716" t="str">
        <f>CONCATENATE(LEFT(Master_ventas[[#This Row],[ProdUpper]],3),RIGHT(Master_ventas[[#This Row],[Ext-Year]],2),"-",MID(Master_ventas[[#This Row],[Category]],1,1))</f>
        <v>TAB22-E</v>
      </c>
      <c r="N1716" t="str">
        <f>MID(Master_ventas[[#This Row],[ProdUpper]],1,3)</f>
        <v>TAB</v>
      </c>
      <c r="O1716" t="str">
        <f>UPPER(IF(Master_ventas[[#This Row],[Profit]]&gt;500,"High","Std"))</f>
        <v>HIGH</v>
      </c>
      <c r="P1716">
        <v>1715</v>
      </c>
    </row>
    <row r="1717" spans="1:16" x14ac:dyDescent="0.3">
      <c r="A1717" s="1">
        <v>45202</v>
      </c>
      <c r="B1717" t="s">
        <v>17</v>
      </c>
      <c r="C1717" t="s">
        <v>14</v>
      </c>
      <c r="D1717" t="s">
        <v>15</v>
      </c>
      <c r="E1717">
        <v>4</v>
      </c>
      <c r="F1717" s="3">
        <v>4480</v>
      </c>
      <c r="G1717" s="2">
        <v>592.82000000000005</v>
      </c>
      <c r="H1717">
        <f>Master_ventas[[#This Row],[Profit]]/Master_ventas[[#This Row],[Sales]]</f>
        <v>0.13232589285714286</v>
      </c>
      <c r="I1717">
        <f ca="1">Referencia_Hoy-Master_ventas[[#This Row],[Order Date]]</f>
        <v>1121</v>
      </c>
      <c r="J1717" t="str">
        <f>UPPER(Master_ventas[[#This Row],[Product Name]])</f>
        <v>CAMERA</v>
      </c>
      <c r="K1717" t="str">
        <f>UPPER(Master_ventas[[#This Row],[Category]])</f>
        <v>ELECTRONICS</v>
      </c>
      <c r="L1717">
        <f>YEAR(Master_ventas[[#This Row],[Order Date]])</f>
        <v>2023</v>
      </c>
      <c r="M1717" t="str">
        <f>CONCATENATE(LEFT(Master_ventas[[#This Row],[ProdUpper]],3),RIGHT(Master_ventas[[#This Row],[Ext-Year]],2),"-",MID(Master_ventas[[#This Row],[Category]],1,1))</f>
        <v>CAM23-E</v>
      </c>
      <c r="N1717" t="str">
        <f>MID(Master_ventas[[#This Row],[ProdUpper]],1,3)</f>
        <v>CAM</v>
      </c>
      <c r="O1717" t="str">
        <f>UPPER(IF(Master_ventas[[#This Row],[Profit]]&gt;500,"High","Std"))</f>
        <v>HIGH</v>
      </c>
      <c r="P1717">
        <v>1716</v>
      </c>
    </row>
    <row r="1718" spans="1:16" x14ac:dyDescent="0.3">
      <c r="A1718" s="1">
        <v>44971</v>
      </c>
      <c r="B1718" t="s">
        <v>19</v>
      </c>
      <c r="C1718" t="s">
        <v>14</v>
      </c>
      <c r="D1718" t="s">
        <v>12</v>
      </c>
      <c r="E1718">
        <v>3</v>
      </c>
      <c r="F1718" s="3">
        <v>1533</v>
      </c>
      <c r="G1718" s="2">
        <v>440.88</v>
      </c>
      <c r="H1718">
        <f>Master_ventas[[#This Row],[Profit]]/Master_ventas[[#This Row],[Sales]]</f>
        <v>0.28759295499021525</v>
      </c>
      <c r="I1718">
        <f ca="1">Referencia_Hoy-Master_ventas[[#This Row],[Order Date]]</f>
        <v>1352</v>
      </c>
      <c r="J1718" t="str">
        <f>UPPER(Master_ventas[[#This Row],[Product Name]])</f>
        <v>SMARTWATCH</v>
      </c>
      <c r="K1718" t="str">
        <f>UPPER(Master_ventas[[#This Row],[Category]])</f>
        <v>ELECTRONICS</v>
      </c>
      <c r="L1718">
        <f>YEAR(Master_ventas[[#This Row],[Order Date]])</f>
        <v>2023</v>
      </c>
      <c r="M1718" t="str">
        <f>CONCATENATE(LEFT(Master_ventas[[#This Row],[ProdUpper]],3),RIGHT(Master_ventas[[#This Row],[Ext-Year]],2),"-",MID(Master_ventas[[#This Row],[Category]],1,1))</f>
        <v>SMA23-E</v>
      </c>
      <c r="N1718" t="str">
        <f>MID(Master_ventas[[#This Row],[ProdUpper]],1,3)</f>
        <v>SMA</v>
      </c>
      <c r="O1718" t="str">
        <f>UPPER(IF(Master_ventas[[#This Row],[Profit]]&gt;500,"High","Std"))</f>
        <v>STD</v>
      </c>
      <c r="P1718">
        <v>1717</v>
      </c>
    </row>
    <row r="1719" spans="1:16" x14ac:dyDescent="0.3">
      <c r="A1719" s="1">
        <v>45332</v>
      </c>
      <c r="B1719" t="s">
        <v>10</v>
      </c>
      <c r="C1719" t="s">
        <v>11</v>
      </c>
      <c r="D1719" t="s">
        <v>12</v>
      </c>
      <c r="E1719">
        <v>1</v>
      </c>
      <c r="F1719" s="3">
        <v>109</v>
      </c>
      <c r="G1719" s="2">
        <v>10.35</v>
      </c>
      <c r="H1719">
        <f>Master_ventas[[#This Row],[Profit]]/Master_ventas[[#This Row],[Sales]]</f>
        <v>9.4954128440366964E-2</v>
      </c>
      <c r="I1719">
        <f ca="1">Referencia_Hoy-Master_ventas[[#This Row],[Order Date]]</f>
        <v>991</v>
      </c>
      <c r="J1719" t="str">
        <f>UPPER(Master_ventas[[#This Row],[Product Name]])</f>
        <v>MOUSE</v>
      </c>
      <c r="K1719" t="str">
        <f>UPPER(Master_ventas[[#This Row],[Category]])</f>
        <v>ACCESSORIES</v>
      </c>
      <c r="L1719">
        <f>YEAR(Master_ventas[[#This Row],[Order Date]])</f>
        <v>2024</v>
      </c>
      <c r="M1719" t="str">
        <f>CONCATENATE(LEFT(Master_ventas[[#This Row],[ProdUpper]],3),RIGHT(Master_ventas[[#This Row],[Ext-Year]],2),"-",MID(Master_ventas[[#This Row],[Category]],1,1))</f>
        <v>MOU24-A</v>
      </c>
      <c r="N1719" t="str">
        <f>MID(Master_ventas[[#This Row],[ProdUpper]],1,3)</f>
        <v>MOU</v>
      </c>
      <c r="O1719" t="str">
        <f>UPPER(IF(Master_ventas[[#This Row],[Profit]]&gt;500,"High","Std"))</f>
        <v>STD</v>
      </c>
      <c r="P1719">
        <v>1718</v>
      </c>
    </row>
    <row r="1720" spans="1:16" x14ac:dyDescent="0.3">
      <c r="A1720" s="1">
        <v>45389</v>
      </c>
      <c r="B1720" t="s">
        <v>21</v>
      </c>
      <c r="C1720" t="s">
        <v>14</v>
      </c>
      <c r="D1720" t="s">
        <v>15</v>
      </c>
      <c r="E1720">
        <v>4</v>
      </c>
      <c r="F1720" s="3">
        <v>2380</v>
      </c>
      <c r="G1720" s="2">
        <v>594.86</v>
      </c>
      <c r="H1720">
        <f>Master_ventas[[#This Row],[Profit]]/Master_ventas[[#This Row],[Sales]]</f>
        <v>0.24994117647058825</v>
      </c>
      <c r="I1720">
        <f ca="1">Referencia_Hoy-Master_ventas[[#This Row],[Order Date]]</f>
        <v>934</v>
      </c>
      <c r="J1720" t="str">
        <f>UPPER(Master_ventas[[#This Row],[Product Name]])</f>
        <v>SMARTPHONE</v>
      </c>
      <c r="K1720" t="str">
        <f>UPPER(Master_ventas[[#This Row],[Category]])</f>
        <v>ELECTRONICS</v>
      </c>
      <c r="L1720">
        <f>YEAR(Master_ventas[[#This Row],[Order Date]])</f>
        <v>2024</v>
      </c>
      <c r="M1720" t="str">
        <f>CONCATENATE(LEFT(Master_ventas[[#This Row],[ProdUpper]],3),RIGHT(Master_ventas[[#This Row],[Ext-Year]],2),"-",MID(Master_ventas[[#This Row],[Category]],1,1))</f>
        <v>SMA24-E</v>
      </c>
      <c r="N1720" t="str">
        <f>MID(Master_ventas[[#This Row],[ProdUpper]],1,3)</f>
        <v>SMA</v>
      </c>
      <c r="O1720" t="str">
        <f>UPPER(IF(Master_ventas[[#This Row],[Profit]]&gt;500,"High","Std"))</f>
        <v>HIGH</v>
      </c>
      <c r="P1720">
        <v>1719</v>
      </c>
    </row>
    <row r="1721" spans="1:16" x14ac:dyDescent="0.3">
      <c r="A1721" s="1">
        <v>44795</v>
      </c>
      <c r="B1721" t="s">
        <v>7</v>
      </c>
      <c r="C1721" t="s">
        <v>8</v>
      </c>
      <c r="D1721" t="s">
        <v>15</v>
      </c>
      <c r="E1721">
        <v>8</v>
      </c>
      <c r="F1721" s="3">
        <v>2592</v>
      </c>
      <c r="G1721" s="2">
        <v>432.37</v>
      </c>
      <c r="H1721">
        <f>Master_ventas[[#This Row],[Profit]]/Master_ventas[[#This Row],[Sales]]</f>
        <v>0.16680941358024692</v>
      </c>
      <c r="I1721">
        <f ca="1">Referencia_Hoy-Master_ventas[[#This Row],[Order Date]]</f>
        <v>1528</v>
      </c>
      <c r="J1721" t="str">
        <f>UPPER(Master_ventas[[#This Row],[Product Name]])</f>
        <v>PRINTER</v>
      </c>
      <c r="K1721" t="str">
        <f>UPPER(Master_ventas[[#This Row],[Category]])</f>
        <v>OFFICE</v>
      </c>
      <c r="L1721">
        <f>YEAR(Master_ventas[[#This Row],[Order Date]])</f>
        <v>2022</v>
      </c>
      <c r="M1721" t="str">
        <f>CONCATENATE(LEFT(Master_ventas[[#This Row],[ProdUpper]],3),RIGHT(Master_ventas[[#This Row],[Ext-Year]],2),"-",MID(Master_ventas[[#This Row],[Category]],1,1))</f>
        <v>PRI22-O</v>
      </c>
      <c r="N1721" t="str">
        <f>MID(Master_ventas[[#This Row],[ProdUpper]],1,3)</f>
        <v>PRI</v>
      </c>
      <c r="O1721" t="str">
        <f>UPPER(IF(Master_ventas[[#This Row],[Profit]]&gt;500,"High","Std"))</f>
        <v>STD</v>
      </c>
      <c r="P1721">
        <v>1720</v>
      </c>
    </row>
    <row r="1722" spans="1:16" x14ac:dyDescent="0.3">
      <c r="A1722" s="1">
        <v>45268</v>
      </c>
      <c r="B1722" t="s">
        <v>23</v>
      </c>
      <c r="C1722" t="s">
        <v>14</v>
      </c>
      <c r="D1722" t="s">
        <v>12</v>
      </c>
      <c r="E1722">
        <v>6</v>
      </c>
      <c r="F1722" s="3">
        <v>5112</v>
      </c>
      <c r="G1722" s="2">
        <v>1289.47</v>
      </c>
      <c r="H1722">
        <f>Master_ventas[[#This Row],[Profit]]/Master_ventas[[#This Row],[Sales]]</f>
        <v>0.25224374021909235</v>
      </c>
      <c r="I1722">
        <f ca="1">Referencia_Hoy-Master_ventas[[#This Row],[Order Date]]</f>
        <v>1055</v>
      </c>
      <c r="J1722" t="str">
        <f>UPPER(Master_ventas[[#This Row],[Product Name]])</f>
        <v>LAPTOP</v>
      </c>
      <c r="K1722" t="str">
        <f>UPPER(Master_ventas[[#This Row],[Category]])</f>
        <v>ELECTRONICS</v>
      </c>
      <c r="L1722">
        <f>YEAR(Master_ventas[[#This Row],[Order Date]])</f>
        <v>2023</v>
      </c>
      <c r="M1722" t="str">
        <f>CONCATENATE(LEFT(Master_ventas[[#This Row],[ProdUpper]],3),RIGHT(Master_ventas[[#This Row],[Ext-Year]],2),"-",MID(Master_ventas[[#This Row],[Category]],1,1))</f>
        <v>LAP23-E</v>
      </c>
      <c r="N1722" t="str">
        <f>MID(Master_ventas[[#This Row],[ProdUpper]],1,3)</f>
        <v>LAP</v>
      </c>
      <c r="O1722" t="str">
        <f>UPPER(IF(Master_ventas[[#This Row],[Profit]]&gt;500,"High","Std"))</f>
        <v>HIGH</v>
      </c>
      <c r="P1722">
        <v>1721</v>
      </c>
    </row>
    <row r="1723" spans="1:16" x14ac:dyDescent="0.3">
      <c r="A1723" s="1">
        <v>45018</v>
      </c>
      <c r="B1723" t="s">
        <v>19</v>
      </c>
      <c r="C1723" t="s">
        <v>14</v>
      </c>
      <c r="D1723" t="s">
        <v>9</v>
      </c>
      <c r="E1723">
        <v>8</v>
      </c>
      <c r="F1723" s="3">
        <v>9392</v>
      </c>
      <c r="G1723" s="2">
        <v>1753.08</v>
      </c>
      <c r="H1723">
        <f>Master_ventas[[#This Row],[Profit]]/Master_ventas[[#This Row],[Sales]]</f>
        <v>0.18665672913117545</v>
      </c>
      <c r="I1723">
        <f ca="1">Referencia_Hoy-Master_ventas[[#This Row],[Order Date]]</f>
        <v>1305</v>
      </c>
      <c r="J1723" t="str">
        <f>UPPER(Master_ventas[[#This Row],[Product Name]])</f>
        <v>SMARTWATCH</v>
      </c>
      <c r="K1723" t="str">
        <f>UPPER(Master_ventas[[#This Row],[Category]])</f>
        <v>ELECTRONICS</v>
      </c>
      <c r="L1723">
        <f>YEAR(Master_ventas[[#This Row],[Order Date]])</f>
        <v>2023</v>
      </c>
      <c r="M1723" t="str">
        <f>CONCATENATE(LEFT(Master_ventas[[#This Row],[ProdUpper]],3),RIGHT(Master_ventas[[#This Row],[Ext-Year]],2),"-",MID(Master_ventas[[#This Row],[Category]],1,1))</f>
        <v>SMA23-E</v>
      </c>
      <c r="N1723" t="str">
        <f>MID(Master_ventas[[#This Row],[ProdUpper]],1,3)</f>
        <v>SMA</v>
      </c>
      <c r="O1723" t="str">
        <f>UPPER(IF(Master_ventas[[#This Row],[Profit]]&gt;500,"High","Std"))</f>
        <v>HIGH</v>
      </c>
      <c r="P1723">
        <v>1722</v>
      </c>
    </row>
    <row r="1724" spans="1:16" x14ac:dyDescent="0.3">
      <c r="A1724" s="1">
        <v>45586</v>
      </c>
      <c r="B1724" t="s">
        <v>23</v>
      </c>
      <c r="C1724" t="s">
        <v>14</v>
      </c>
      <c r="D1724" t="s">
        <v>16</v>
      </c>
      <c r="E1724">
        <v>2</v>
      </c>
      <c r="F1724" s="3">
        <v>2386</v>
      </c>
      <c r="G1724" s="2">
        <v>381.83</v>
      </c>
      <c r="H1724">
        <f>Master_ventas[[#This Row],[Profit]]/Master_ventas[[#This Row],[Sales]]</f>
        <v>0.16002933780385581</v>
      </c>
      <c r="I1724">
        <f ca="1">Referencia_Hoy-Master_ventas[[#This Row],[Order Date]]</f>
        <v>737</v>
      </c>
      <c r="J1724" t="str">
        <f>UPPER(Master_ventas[[#This Row],[Product Name]])</f>
        <v>LAPTOP</v>
      </c>
      <c r="K1724" t="str">
        <f>UPPER(Master_ventas[[#This Row],[Category]])</f>
        <v>ELECTRONICS</v>
      </c>
      <c r="L1724">
        <f>YEAR(Master_ventas[[#This Row],[Order Date]])</f>
        <v>2024</v>
      </c>
      <c r="M1724" t="str">
        <f>CONCATENATE(LEFT(Master_ventas[[#This Row],[ProdUpper]],3),RIGHT(Master_ventas[[#This Row],[Ext-Year]],2),"-",MID(Master_ventas[[#This Row],[Category]],1,1))</f>
        <v>LAP24-E</v>
      </c>
      <c r="N1724" t="str">
        <f>MID(Master_ventas[[#This Row],[ProdUpper]],1,3)</f>
        <v>LAP</v>
      </c>
      <c r="O1724" t="str">
        <f>UPPER(IF(Master_ventas[[#This Row],[Profit]]&gt;500,"High","Std"))</f>
        <v>STD</v>
      </c>
      <c r="P1724">
        <v>1723</v>
      </c>
    </row>
    <row r="1725" spans="1:16" x14ac:dyDescent="0.3">
      <c r="A1725" s="1">
        <v>45629</v>
      </c>
      <c r="B1725" t="s">
        <v>19</v>
      </c>
      <c r="C1725" t="s">
        <v>14</v>
      </c>
      <c r="D1725" t="s">
        <v>15</v>
      </c>
      <c r="E1725">
        <v>5</v>
      </c>
      <c r="F1725" s="3">
        <v>465</v>
      </c>
      <c r="G1725" s="2">
        <v>71.23</v>
      </c>
      <c r="H1725">
        <f>Master_ventas[[#This Row],[Profit]]/Master_ventas[[#This Row],[Sales]]</f>
        <v>0.15318279569892473</v>
      </c>
      <c r="I1725">
        <f ca="1">Referencia_Hoy-Master_ventas[[#This Row],[Order Date]]</f>
        <v>694</v>
      </c>
      <c r="J1725" t="str">
        <f>UPPER(Master_ventas[[#This Row],[Product Name]])</f>
        <v>SMARTWATCH</v>
      </c>
      <c r="K1725" t="str">
        <f>UPPER(Master_ventas[[#This Row],[Category]])</f>
        <v>ELECTRONICS</v>
      </c>
      <c r="L1725">
        <f>YEAR(Master_ventas[[#This Row],[Order Date]])</f>
        <v>2024</v>
      </c>
      <c r="M1725" t="str">
        <f>CONCATENATE(LEFT(Master_ventas[[#This Row],[ProdUpper]],3),RIGHT(Master_ventas[[#This Row],[Ext-Year]],2),"-",MID(Master_ventas[[#This Row],[Category]],1,1))</f>
        <v>SMA24-E</v>
      </c>
      <c r="N1725" t="str">
        <f>MID(Master_ventas[[#This Row],[ProdUpper]],1,3)</f>
        <v>SMA</v>
      </c>
      <c r="O1725" t="str">
        <f>UPPER(IF(Master_ventas[[#This Row],[Profit]]&gt;500,"High","Std"))</f>
        <v>STD</v>
      </c>
      <c r="P1725">
        <v>1724</v>
      </c>
    </row>
    <row r="1726" spans="1:16" x14ac:dyDescent="0.3">
      <c r="A1726" s="1">
        <v>45035</v>
      </c>
      <c r="B1726" t="s">
        <v>21</v>
      </c>
      <c r="C1726" t="s">
        <v>14</v>
      </c>
      <c r="D1726" t="s">
        <v>16</v>
      </c>
      <c r="E1726">
        <v>2</v>
      </c>
      <c r="F1726" s="3">
        <v>604</v>
      </c>
      <c r="G1726" s="2">
        <v>102.52</v>
      </c>
      <c r="H1726">
        <f>Master_ventas[[#This Row],[Profit]]/Master_ventas[[#This Row],[Sales]]</f>
        <v>0.16973509933774833</v>
      </c>
      <c r="I1726">
        <f ca="1">Referencia_Hoy-Master_ventas[[#This Row],[Order Date]]</f>
        <v>1288</v>
      </c>
      <c r="J1726" t="str">
        <f>UPPER(Master_ventas[[#This Row],[Product Name]])</f>
        <v>SMARTPHONE</v>
      </c>
      <c r="K1726" t="str">
        <f>UPPER(Master_ventas[[#This Row],[Category]])</f>
        <v>ELECTRONICS</v>
      </c>
      <c r="L1726">
        <f>YEAR(Master_ventas[[#This Row],[Order Date]])</f>
        <v>2023</v>
      </c>
      <c r="M1726" t="str">
        <f>CONCATENATE(LEFT(Master_ventas[[#This Row],[ProdUpper]],3),RIGHT(Master_ventas[[#This Row],[Ext-Year]],2),"-",MID(Master_ventas[[#This Row],[Category]],1,1))</f>
        <v>SMA23-E</v>
      </c>
      <c r="N1726" t="str">
        <f>MID(Master_ventas[[#This Row],[ProdUpper]],1,3)</f>
        <v>SMA</v>
      </c>
      <c r="O1726" t="str">
        <f>UPPER(IF(Master_ventas[[#This Row],[Profit]]&gt;500,"High","Std"))</f>
        <v>STD</v>
      </c>
      <c r="P1726">
        <v>1725</v>
      </c>
    </row>
    <row r="1727" spans="1:16" x14ac:dyDescent="0.3">
      <c r="A1727" s="1">
        <v>44836</v>
      </c>
      <c r="B1727" t="s">
        <v>19</v>
      </c>
      <c r="C1727" t="s">
        <v>14</v>
      </c>
      <c r="D1727" t="s">
        <v>12</v>
      </c>
      <c r="E1727">
        <v>2</v>
      </c>
      <c r="F1727" s="3">
        <v>2216</v>
      </c>
      <c r="G1727" s="2">
        <v>650.27</v>
      </c>
      <c r="H1727">
        <f>Master_ventas[[#This Row],[Profit]]/Master_ventas[[#This Row],[Sales]]</f>
        <v>0.29344314079422384</v>
      </c>
      <c r="I1727">
        <f ca="1">Referencia_Hoy-Master_ventas[[#This Row],[Order Date]]</f>
        <v>1487</v>
      </c>
      <c r="J1727" t="str">
        <f>UPPER(Master_ventas[[#This Row],[Product Name]])</f>
        <v>SMARTWATCH</v>
      </c>
      <c r="K1727" t="str">
        <f>UPPER(Master_ventas[[#This Row],[Category]])</f>
        <v>ELECTRONICS</v>
      </c>
      <c r="L1727">
        <f>YEAR(Master_ventas[[#This Row],[Order Date]])</f>
        <v>2022</v>
      </c>
      <c r="M1727" t="str">
        <f>CONCATENATE(LEFT(Master_ventas[[#This Row],[ProdUpper]],3),RIGHT(Master_ventas[[#This Row],[Ext-Year]],2),"-",MID(Master_ventas[[#This Row],[Category]],1,1))</f>
        <v>SMA22-E</v>
      </c>
      <c r="N1727" t="str">
        <f>MID(Master_ventas[[#This Row],[ProdUpper]],1,3)</f>
        <v>SMA</v>
      </c>
      <c r="O1727" t="str">
        <f>UPPER(IF(Master_ventas[[#This Row],[Profit]]&gt;500,"High","Std"))</f>
        <v>HIGH</v>
      </c>
      <c r="P1727">
        <v>1726</v>
      </c>
    </row>
    <row r="1728" spans="1:16" x14ac:dyDescent="0.3">
      <c r="A1728" s="1">
        <v>45083</v>
      </c>
      <c r="B1728" t="s">
        <v>10</v>
      </c>
      <c r="C1728" t="s">
        <v>11</v>
      </c>
      <c r="D1728" t="s">
        <v>12</v>
      </c>
      <c r="E1728">
        <v>4</v>
      </c>
      <c r="F1728" s="3">
        <v>1168</v>
      </c>
      <c r="G1728" s="2">
        <v>220.22</v>
      </c>
      <c r="H1728">
        <f>Master_ventas[[#This Row],[Profit]]/Master_ventas[[#This Row],[Sales]]</f>
        <v>0.18854452054794521</v>
      </c>
      <c r="I1728">
        <f ca="1">Referencia_Hoy-Master_ventas[[#This Row],[Order Date]]</f>
        <v>1240</v>
      </c>
      <c r="J1728" t="str">
        <f>UPPER(Master_ventas[[#This Row],[Product Name]])</f>
        <v>MOUSE</v>
      </c>
      <c r="K1728" t="str">
        <f>UPPER(Master_ventas[[#This Row],[Category]])</f>
        <v>ACCESSORIES</v>
      </c>
      <c r="L1728">
        <f>YEAR(Master_ventas[[#This Row],[Order Date]])</f>
        <v>2023</v>
      </c>
      <c r="M1728" t="str">
        <f>CONCATENATE(LEFT(Master_ventas[[#This Row],[ProdUpper]],3),RIGHT(Master_ventas[[#This Row],[Ext-Year]],2),"-",MID(Master_ventas[[#This Row],[Category]],1,1))</f>
        <v>MOU23-A</v>
      </c>
      <c r="N1728" t="str">
        <f>MID(Master_ventas[[#This Row],[ProdUpper]],1,3)</f>
        <v>MOU</v>
      </c>
      <c r="O1728" t="str">
        <f>UPPER(IF(Master_ventas[[#This Row],[Profit]]&gt;500,"High","Std"))</f>
        <v>STD</v>
      </c>
      <c r="P1728">
        <v>1727</v>
      </c>
    </row>
    <row r="1729" spans="1:16" x14ac:dyDescent="0.3">
      <c r="A1729" s="1">
        <v>44587</v>
      </c>
      <c r="B1729" t="s">
        <v>20</v>
      </c>
      <c r="C1729" t="s">
        <v>11</v>
      </c>
      <c r="D1729" t="s">
        <v>15</v>
      </c>
      <c r="E1729">
        <v>7</v>
      </c>
      <c r="F1729" s="3">
        <v>4088</v>
      </c>
      <c r="G1729" s="2">
        <v>230.43</v>
      </c>
      <c r="H1729">
        <f>Master_ventas[[#This Row],[Profit]]/Master_ventas[[#This Row],[Sales]]</f>
        <v>5.6367416829745595E-2</v>
      </c>
      <c r="I1729">
        <f ca="1">Referencia_Hoy-Master_ventas[[#This Row],[Order Date]]</f>
        <v>1736</v>
      </c>
      <c r="J1729" t="str">
        <f>UPPER(Master_ventas[[#This Row],[Product Name]])</f>
        <v>MONITOR</v>
      </c>
      <c r="K1729" t="str">
        <f>UPPER(Master_ventas[[#This Row],[Category]])</f>
        <v>ACCESSORIES</v>
      </c>
      <c r="L1729">
        <f>YEAR(Master_ventas[[#This Row],[Order Date]])</f>
        <v>2022</v>
      </c>
      <c r="M1729" t="str">
        <f>CONCATENATE(LEFT(Master_ventas[[#This Row],[ProdUpper]],3),RIGHT(Master_ventas[[#This Row],[Ext-Year]],2),"-",MID(Master_ventas[[#This Row],[Category]],1,1))</f>
        <v>MON22-A</v>
      </c>
      <c r="N1729" t="str">
        <f>MID(Master_ventas[[#This Row],[ProdUpper]],1,3)</f>
        <v>MON</v>
      </c>
      <c r="O1729" t="str">
        <f>UPPER(IF(Master_ventas[[#This Row],[Profit]]&gt;500,"High","Std"))</f>
        <v>STD</v>
      </c>
      <c r="P1729">
        <v>1728</v>
      </c>
    </row>
    <row r="1730" spans="1:16" x14ac:dyDescent="0.3">
      <c r="A1730" s="1">
        <v>44616</v>
      </c>
      <c r="B1730" t="s">
        <v>22</v>
      </c>
      <c r="C1730" t="s">
        <v>11</v>
      </c>
      <c r="D1730" t="s">
        <v>16</v>
      </c>
      <c r="E1730">
        <v>7</v>
      </c>
      <c r="F1730" s="3">
        <v>2597</v>
      </c>
      <c r="G1730" s="2">
        <v>152.09</v>
      </c>
      <c r="H1730">
        <f>Master_ventas[[#This Row],[Profit]]/Master_ventas[[#This Row],[Sales]]</f>
        <v>5.8563727377743555E-2</v>
      </c>
      <c r="I1730">
        <f ca="1">Referencia_Hoy-Master_ventas[[#This Row],[Order Date]]</f>
        <v>1707</v>
      </c>
      <c r="J1730" t="str">
        <f>UPPER(Master_ventas[[#This Row],[Product Name]])</f>
        <v>KEYBOARD</v>
      </c>
      <c r="K1730" t="str">
        <f>UPPER(Master_ventas[[#This Row],[Category]])</f>
        <v>ACCESSORIES</v>
      </c>
      <c r="L1730">
        <f>YEAR(Master_ventas[[#This Row],[Order Date]])</f>
        <v>2022</v>
      </c>
      <c r="M1730" t="str">
        <f>CONCATENATE(LEFT(Master_ventas[[#This Row],[ProdUpper]],3),RIGHT(Master_ventas[[#This Row],[Ext-Year]],2),"-",MID(Master_ventas[[#This Row],[Category]],1,1))</f>
        <v>KEY22-A</v>
      </c>
      <c r="N1730" t="str">
        <f>MID(Master_ventas[[#This Row],[ProdUpper]],1,3)</f>
        <v>KEY</v>
      </c>
      <c r="O1730" t="str">
        <f>UPPER(IF(Master_ventas[[#This Row],[Profit]]&gt;500,"High","Std"))</f>
        <v>STD</v>
      </c>
      <c r="P1730">
        <v>1729</v>
      </c>
    </row>
    <row r="1731" spans="1:16" x14ac:dyDescent="0.3">
      <c r="A1731" s="1">
        <v>45160</v>
      </c>
      <c r="B1731" t="s">
        <v>19</v>
      </c>
      <c r="C1731" t="s">
        <v>14</v>
      </c>
      <c r="D1731" t="s">
        <v>16</v>
      </c>
      <c r="E1731">
        <v>3</v>
      </c>
      <c r="F1731" s="3">
        <v>2151</v>
      </c>
      <c r="G1731" s="2">
        <v>322.02999999999997</v>
      </c>
      <c r="H1731">
        <f>Master_ventas[[#This Row],[Profit]]/Master_ventas[[#This Row],[Sales]]</f>
        <v>0.14971176197117619</v>
      </c>
      <c r="I1731">
        <f ca="1">Referencia_Hoy-Master_ventas[[#This Row],[Order Date]]</f>
        <v>1163</v>
      </c>
      <c r="J1731" t="str">
        <f>UPPER(Master_ventas[[#This Row],[Product Name]])</f>
        <v>SMARTWATCH</v>
      </c>
      <c r="K1731" t="str">
        <f>UPPER(Master_ventas[[#This Row],[Category]])</f>
        <v>ELECTRONICS</v>
      </c>
      <c r="L1731">
        <f>YEAR(Master_ventas[[#This Row],[Order Date]])</f>
        <v>2023</v>
      </c>
      <c r="M1731" t="str">
        <f>CONCATENATE(LEFT(Master_ventas[[#This Row],[ProdUpper]],3),RIGHT(Master_ventas[[#This Row],[Ext-Year]],2),"-",MID(Master_ventas[[#This Row],[Category]],1,1))</f>
        <v>SMA23-E</v>
      </c>
      <c r="N1731" t="str">
        <f>MID(Master_ventas[[#This Row],[ProdUpper]],1,3)</f>
        <v>SMA</v>
      </c>
      <c r="O1731" t="str">
        <f>UPPER(IF(Master_ventas[[#This Row],[Profit]]&gt;500,"High","Std"))</f>
        <v>STD</v>
      </c>
      <c r="P1731">
        <v>1730</v>
      </c>
    </row>
    <row r="1732" spans="1:16" x14ac:dyDescent="0.3">
      <c r="A1732" s="1">
        <v>45543</v>
      </c>
      <c r="B1732" t="s">
        <v>23</v>
      </c>
      <c r="C1732" t="s">
        <v>14</v>
      </c>
      <c r="D1732" t="s">
        <v>12</v>
      </c>
      <c r="E1732">
        <v>6</v>
      </c>
      <c r="F1732" s="3">
        <v>462</v>
      </c>
      <c r="G1732" s="2">
        <v>71.22</v>
      </c>
      <c r="H1732">
        <f>Master_ventas[[#This Row],[Profit]]/Master_ventas[[#This Row],[Sales]]</f>
        <v>0.15415584415584416</v>
      </c>
      <c r="I1732">
        <f ca="1">Referencia_Hoy-Master_ventas[[#This Row],[Order Date]]</f>
        <v>780</v>
      </c>
      <c r="J1732" t="str">
        <f>UPPER(Master_ventas[[#This Row],[Product Name]])</f>
        <v>LAPTOP</v>
      </c>
      <c r="K1732" t="str">
        <f>UPPER(Master_ventas[[#This Row],[Category]])</f>
        <v>ELECTRONICS</v>
      </c>
      <c r="L1732">
        <f>YEAR(Master_ventas[[#This Row],[Order Date]])</f>
        <v>2024</v>
      </c>
      <c r="M1732" t="str">
        <f>CONCATENATE(LEFT(Master_ventas[[#This Row],[ProdUpper]],3),RIGHT(Master_ventas[[#This Row],[Ext-Year]],2),"-",MID(Master_ventas[[#This Row],[Category]],1,1))</f>
        <v>LAP24-E</v>
      </c>
      <c r="N1732" t="str">
        <f>MID(Master_ventas[[#This Row],[ProdUpper]],1,3)</f>
        <v>LAP</v>
      </c>
      <c r="O1732" t="str">
        <f>UPPER(IF(Master_ventas[[#This Row],[Profit]]&gt;500,"High","Std"))</f>
        <v>STD</v>
      </c>
      <c r="P1732">
        <v>1731</v>
      </c>
    </row>
    <row r="1733" spans="1:16" x14ac:dyDescent="0.3">
      <c r="A1733" s="1">
        <v>44857</v>
      </c>
      <c r="B1733" t="s">
        <v>10</v>
      </c>
      <c r="C1733" t="s">
        <v>11</v>
      </c>
      <c r="D1733" t="s">
        <v>9</v>
      </c>
      <c r="E1733">
        <v>7</v>
      </c>
      <c r="F1733" s="3">
        <v>5957</v>
      </c>
      <c r="G1733" s="2">
        <v>1077.8599999999999</v>
      </c>
      <c r="H1733">
        <f>Master_ventas[[#This Row],[Profit]]/Master_ventas[[#This Row],[Sales]]</f>
        <v>0.18094007050528788</v>
      </c>
      <c r="I1733">
        <f ca="1">Referencia_Hoy-Master_ventas[[#This Row],[Order Date]]</f>
        <v>1466</v>
      </c>
      <c r="J1733" t="str">
        <f>UPPER(Master_ventas[[#This Row],[Product Name]])</f>
        <v>MOUSE</v>
      </c>
      <c r="K1733" t="str">
        <f>UPPER(Master_ventas[[#This Row],[Category]])</f>
        <v>ACCESSORIES</v>
      </c>
      <c r="L1733">
        <f>YEAR(Master_ventas[[#This Row],[Order Date]])</f>
        <v>2022</v>
      </c>
      <c r="M1733" t="str">
        <f>CONCATENATE(LEFT(Master_ventas[[#This Row],[ProdUpper]],3),RIGHT(Master_ventas[[#This Row],[Ext-Year]],2),"-",MID(Master_ventas[[#This Row],[Category]],1,1))</f>
        <v>MOU22-A</v>
      </c>
      <c r="N1733" t="str">
        <f>MID(Master_ventas[[#This Row],[ProdUpper]],1,3)</f>
        <v>MOU</v>
      </c>
      <c r="O1733" t="str">
        <f>UPPER(IF(Master_ventas[[#This Row],[Profit]]&gt;500,"High","Std"))</f>
        <v>HIGH</v>
      </c>
      <c r="P1733">
        <v>1732</v>
      </c>
    </row>
    <row r="1734" spans="1:16" x14ac:dyDescent="0.3">
      <c r="A1734" s="1">
        <v>45273</v>
      </c>
      <c r="B1734" t="s">
        <v>21</v>
      </c>
      <c r="C1734" t="s">
        <v>14</v>
      </c>
      <c r="D1734" t="s">
        <v>16</v>
      </c>
      <c r="E1734">
        <v>6</v>
      </c>
      <c r="F1734" s="3">
        <v>6978</v>
      </c>
      <c r="G1734" s="2">
        <v>2028.63</v>
      </c>
      <c r="H1734">
        <f>Master_ventas[[#This Row],[Profit]]/Master_ventas[[#This Row],[Sales]]</f>
        <v>0.29071797076526229</v>
      </c>
      <c r="I1734">
        <f ca="1">Referencia_Hoy-Master_ventas[[#This Row],[Order Date]]</f>
        <v>1050</v>
      </c>
      <c r="J1734" t="str">
        <f>UPPER(Master_ventas[[#This Row],[Product Name]])</f>
        <v>SMARTPHONE</v>
      </c>
      <c r="K1734" t="str">
        <f>UPPER(Master_ventas[[#This Row],[Category]])</f>
        <v>ELECTRONICS</v>
      </c>
      <c r="L1734">
        <f>YEAR(Master_ventas[[#This Row],[Order Date]])</f>
        <v>2023</v>
      </c>
      <c r="M1734" t="str">
        <f>CONCATENATE(LEFT(Master_ventas[[#This Row],[ProdUpper]],3),RIGHT(Master_ventas[[#This Row],[Ext-Year]],2),"-",MID(Master_ventas[[#This Row],[Category]],1,1))</f>
        <v>SMA23-E</v>
      </c>
      <c r="N1734" t="str">
        <f>MID(Master_ventas[[#This Row],[ProdUpper]],1,3)</f>
        <v>SMA</v>
      </c>
      <c r="O1734" t="str">
        <f>UPPER(IF(Master_ventas[[#This Row],[Profit]]&gt;500,"High","Std"))</f>
        <v>HIGH</v>
      </c>
      <c r="P1734">
        <v>1733</v>
      </c>
    </row>
    <row r="1735" spans="1:16" x14ac:dyDescent="0.3">
      <c r="A1735" s="1">
        <v>45585</v>
      </c>
      <c r="B1735" t="s">
        <v>18</v>
      </c>
      <c r="C1735" t="s">
        <v>11</v>
      </c>
      <c r="D1735" t="s">
        <v>15</v>
      </c>
      <c r="E1735">
        <v>1</v>
      </c>
      <c r="F1735" s="3">
        <v>282</v>
      </c>
      <c r="G1735" s="2">
        <v>72.5</v>
      </c>
      <c r="H1735">
        <f>Master_ventas[[#This Row],[Profit]]/Master_ventas[[#This Row],[Sales]]</f>
        <v>0.25709219858156029</v>
      </c>
      <c r="I1735">
        <f ca="1">Referencia_Hoy-Master_ventas[[#This Row],[Order Date]]</f>
        <v>738</v>
      </c>
      <c r="J1735" t="str">
        <f>UPPER(Master_ventas[[#This Row],[Product Name]])</f>
        <v>HEADPHONES</v>
      </c>
      <c r="K1735" t="str">
        <f>UPPER(Master_ventas[[#This Row],[Category]])</f>
        <v>ACCESSORIES</v>
      </c>
      <c r="L1735">
        <f>YEAR(Master_ventas[[#This Row],[Order Date]])</f>
        <v>2024</v>
      </c>
      <c r="M1735" t="str">
        <f>CONCATENATE(LEFT(Master_ventas[[#This Row],[ProdUpper]],3),RIGHT(Master_ventas[[#This Row],[Ext-Year]],2),"-",MID(Master_ventas[[#This Row],[Category]],1,1))</f>
        <v>HEA24-A</v>
      </c>
      <c r="N1735" t="str">
        <f>MID(Master_ventas[[#This Row],[ProdUpper]],1,3)</f>
        <v>HEA</v>
      </c>
      <c r="O1735" t="str">
        <f>UPPER(IF(Master_ventas[[#This Row],[Profit]]&gt;500,"High","Std"))</f>
        <v>STD</v>
      </c>
      <c r="P1735">
        <v>1734</v>
      </c>
    </row>
    <row r="1736" spans="1:16" x14ac:dyDescent="0.3">
      <c r="A1736" s="1">
        <v>45265</v>
      </c>
      <c r="B1736" t="s">
        <v>17</v>
      </c>
      <c r="C1736" t="s">
        <v>14</v>
      </c>
      <c r="D1736" t="s">
        <v>12</v>
      </c>
      <c r="E1736">
        <v>1</v>
      </c>
      <c r="F1736" s="3">
        <v>157</v>
      </c>
      <c r="G1736" s="2">
        <v>27.65</v>
      </c>
      <c r="H1736">
        <f>Master_ventas[[#This Row],[Profit]]/Master_ventas[[#This Row],[Sales]]</f>
        <v>0.17611464968152865</v>
      </c>
      <c r="I1736">
        <f ca="1">Referencia_Hoy-Master_ventas[[#This Row],[Order Date]]</f>
        <v>1058</v>
      </c>
      <c r="J1736" t="str">
        <f>UPPER(Master_ventas[[#This Row],[Product Name]])</f>
        <v>CAMERA</v>
      </c>
      <c r="K1736" t="str">
        <f>UPPER(Master_ventas[[#This Row],[Category]])</f>
        <v>ELECTRONICS</v>
      </c>
      <c r="L1736">
        <f>YEAR(Master_ventas[[#This Row],[Order Date]])</f>
        <v>2023</v>
      </c>
      <c r="M1736" t="str">
        <f>CONCATENATE(LEFT(Master_ventas[[#This Row],[ProdUpper]],3),RIGHT(Master_ventas[[#This Row],[Ext-Year]],2),"-",MID(Master_ventas[[#This Row],[Category]],1,1))</f>
        <v>CAM23-E</v>
      </c>
      <c r="N1736" t="str">
        <f>MID(Master_ventas[[#This Row],[ProdUpper]],1,3)</f>
        <v>CAM</v>
      </c>
      <c r="O1736" t="str">
        <f>UPPER(IF(Master_ventas[[#This Row],[Profit]]&gt;500,"High","Std"))</f>
        <v>STD</v>
      </c>
      <c r="P1736">
        <v>1735</v>
      </c>
    </row>
    <row r="1737" spans="1:16" x14ac:dyDescent="0.3">
      <c r="A1737" s="1">
        <v>45121</v>
      </c>
      <c r="B1737" t="s">
        <v>20</v>
      </c>
      <c r="C1737" t="s">
        <v>11</v>
      </c>
      <c r="D1737" t="s">
        <v>9</v>
      </c>
      <c r="E1737">
        <v>8</v>
      </c>
      <c r="F1737" s="3">
        <v>3304</v>
      </c>
      <c r="G1737" s="2">
        <v>404.33</v>
      </c>
      <c r="H1737">
        <f>Master_ventas[[#This Row],[Profit]]/Master_ventas[[#This Row],[Sales]]</f>
        <v>0.12237590799031477</v>
      </c>
      <c r="I1737">
        <f ca="1">Referencia_Hoy-Master_ventas[[#This Row],[Order Date]]</f>
        <v>1202</v>
      </c>
      <c r="J1737" t="str">
        <f>UPPER(Master_ventas[[#This Row],[Product Name]])</f>
        <v>MONITOR</v>
      </c>
      <c r="K1737" t="str">
        <f>UPPER(Master_ventas[[#This Row],[Category]])</f>
        <v>ACCESSORIES</v>
      </c>
      <c r="L1737">
        <f>YEAR(Master_ventas[[#This Row],[Order Date]])</f>
        <v>2023</v>
      </c>
      <c r="M1737" t="str">
        <f>CONCATENATE(LEFT(Master_ventas[[#This Row],[ProdUpper]],3),RIGHT(Master_ventas[[#This Row],[Ext-Year]],2),"-",MID(Master_ventas[[#This Row],[Category]],1,1))</f>
        <v>MON23-A</v>
      </c>
      <c r="N1737" t="str">
        <f>MID(Master_ventas[[#This Row],[ProdUpper]],1,3)</f>
        <v>MON</v>
      </c>
      <c r="O1737" t="str">
        <f>UPPER(IF(Master_ventas[[#This Row],[Profit]]&gt;500,"High","Std"))</f>
        <v>STD</v>
      </c>
      <c r="P1737">
        <v>1736</v>
      </c>
    </row>
    <row r="1738" spans="1:16" x14ac:dyDescent="0.3">
      <c r="A1738" s="1">
        <v>44605</v>
      </c>
      <c r="B1738" t="s">
        <v>18</v>
      </c>
      <c r="C1738" t="s">
        <v>11</v>
      </c>
      <c r="D1738" t="s">
        <v>9</v>
      </c>
      <c r="E1738">
        <v>3</v>
      </c>
      <c r="F1738" s="3">
        <v>3051</v>
      </c>
      <c r="G1738" s="2">
        <v>201.26</v>
      </c>
      <c r="H1738">
        <f>Master_ventas[[#This Row],[Profit]]/Master_ventas[[#This Row],[Sales]]</f>
        <v>6.5965257292690913E-2</v>
      </c>
      <c r="I1738">
        <f ca="1">Referencia_Hoy-Master_ventas[[#This Row],[Order Date]]</f>
        <v>1718</v>
      </c>
      <c r="J1738" t="str">
        <f>UPPER(Master_ventas[[#This Row],[Product Name]])</f>
        <v>HEADPHONES</v>
      </c>
      <c r="K1738" t="str">
        <f>UPPER(Master_ventas[[#This Row],[Category]])</f>
        <v>ACCESSORIES</v>
      </c>
      <c r="L1738">
        <f>YEAR(Master_ventas[[#This Row],[Order Date]])</f>
        <v>2022</v>
      </c>
      <c r="M1738" t="str">
        <f>CONCATENATE(LEFT(Master_ventas[[#This Row],[ProdUpper]],3),RIGHT(Master_ventas[[#This Row],[Ext-Year]],2),"-",MID(Master_ventas[[#This Row],[Category]],1,1))</f>
        <v>HEA22-A</v>
      </c>
      <c r="N1738" t="str">
        <f>MID(Master_ventas[[#This Row],[ProdUpper]],1,3)</f>
        <v>HEA</v>
      </c>
      <c r="O1738" t="str">
        <f>UPPER(IF(Master_ventas[[#This Row],[Profit]]&gt;500,"High","Std"))</f>
        <v>STD</v>
      </c>
      <c r="P1738">
        <v>1737</v>
      </c>
    </row>
    <row r="1739" spans="1:16" x14ac:dyDescent="0.3">
      <c r="A1739" s="1">
        <v>45459</v>
      </c>
      <c r="B1739" t="s">
        <v>10</v>
      </c>
      <c r="C1739" t="s">
        <v>11</v>
      </c>
      <c r="D1739" t="s">
        <v>12</v>
      </c>
      <c r="E1739">
        <v>9</v>
      </c>
      <c r="F1739" s="3">
        <v>8082</v>
      </c>
      <c r="G1739" s="2">
        <v>1783.55</v>
      </c>
      <c r="H1739">
        <f>Master_ventas[[#This Row],[Profit]]/Master_ventas[[#This Row],[Sales]]</f>
        <v>0.22068176194011382</v>
      </c>
      <c r="I1739">
        <f ca="1">Referencia_Hoy-Master_ventas[[#This Row],[Order Date]]</f>
        <v>864</v>
      </c>
      <c r="J1739" t="str">
        <f>UPPER(Master_ventas[[#This Row],[Product Name]])</f>
        <v>MOUSE</v>
      </c>
      <c r="K1739" t="str">
        <f>UPPER(Master_ventas[[#This Row],[Category]])</f>
        <v>ACCESSORIES</v>
      </c>
      <c r="L1739">
        <f>YEAR(Master_ventas[[#This Row],[Order Date]])</f>
        <v>2024</v>
      </c>
      <c r="M1739" t="str">
        <f>CONCATENATE(LEFT(Master_ventas[[#This Row],[ProdUpper]],3),RIGHT(Master_ventas[[#This Row],[Ext-Year]],2),"-",MID(Master_ventas[[#This Row],[Category]],1,1))</f>
        <v>MOU24-A</v>
      </c>
      <c r="N1739" t="str">
        <f>MID(Master_ventas[[#This Row],[ProdUpper]],1,3)</f>
        <v>MOU</v>
      </c>
      <c r="O1739" t="str">
        <f>UPPER(IF(Master_ventas[[#This Row],[Profit]]&gt;500,"High","Std"))</f>
        <v>HIGH</v>
      </c>
      <c r="P1739">
        <v>1738</v>
      </c>
    </row>
    <row r="1740" spans="1:16" x14ac:dyDescent="0.3">
      <c r="A1740" s="1">
        <v>45579</v>
      </c>
      <c r="B1740" t="s">
        <v>23</v>
      </c>
      <c r="C1740" t="s">
        <v>14</v>
      </c>
      <c r="D1740" t="s">
        <v>16</v>
      </c>
      <c r="E1740">
        <v>3</v>
      </c>
      <c r="F1740" s="3">
        <v>510</v>
      </c>
      <c r="G1740" s="2">
        <v>110.38</v>
      </c>
      <c r="H1740">
        <f>Master_ventas[[#This Row],[Profit]]/Master_ventas[[#This Row],[Sales]]</f>
        <v>0.21643137254901959</v>
      </c>
      <c r="I1740">
        <f ca="1">Referencia_Hoy-Master_ventas[[#This Row],[Order Date]]</f>
        <v>744</v>
      </c>
      <c r="J1740" t="str">
        <f>UPPER(Master_ventas[[#This Row],[Product Name]])</f>
        <v>LAPTOP</v>
      </c>
      <c r="K1740" t="str">
        <f>UPPER(Master_ventas[[#This Row],[Category]])</f>
        <v>ELECTRONICS</v>
      </c>
      <c r="L1740">
        <f>YEAR(Master_ventas[[#This Row],[Order Date]])</f>
        <v>2024</v>
      </c>
      <c r="M1740" t="str">
        <f>CONCATENATE(LEFT(Master_ventas[[#This Row],[ProdUpper]],3),RIGHT(Master_ventas[[#This Row],[Ext-Year]],2),"-",MID(Master_ventas[[#This Row],[Category]],1,1))</f>
        <v>LAP24-E</v>
      </c>
      <c r="N1740" t="str">
        <f>MID(Master_ventas[[#This Row],[ProdUpper]],1,3)</f>
        <v>LAP</v>
      </c>
      <c r="O1740" t="str">
        <f>UPPER(IF(Master_ventas[[#This Row],[Profit]]&gt;500,"High","Std"))</f>
        <v>STD</v>
      </c>
      <c r="P1740">
        <v>1739</v>
      </c>
    </row>
    <row r="1741" spans="1:16" x14ac:dyDescent="0.3">
      <c r="A1741" s="1">
        <v>45402</v>
      </c>
      <c r="B1741" t="s">
        <v>13</v>
      </c>
      <c r="C1741" t="s">
        <v>14</v>
      </c>
      <c r="D1741" t="s">
        <v>12</v>
      </c>
      <c r="E1741">
        <v>8</v>
      </c>
      <c r="F1741" s="3">
        <v>3976</v>
      </c>
      <c r="G1741" s="2">
        <v>1170.3599999999999</v>
      </c>
      <c r="H1741">
        <f>Master_ventas[[#This Row],[Profit]]/Master_ventas[[#This Row],[Sales]]</f>
        <v>0.29435613682092554</v>
      </c>
      <c r="I1741">
        <f ca="1">Referencia_Hoy-Master_ventas[[#This Row],[Order Date]]</f>
        <v>921</v>
      </c>
      <c r="J1741" t="str">
        <f>UPPER(Master_ventas[[#This Row],[Product Name]])</f>
        <v>TABLET</v>
      </c>
      <c r="K1741" t="str">
        <f>UPPER(Master_ventas[[#This Row],[Category]])</f>
        <v>ELECTRONICS</v>
      </c>
      <c r="L1741">
        <f>YEAR(Master_ventas[[#This Row],[Order Date]])</f>
        <v>2024</v>
      </c>
      <c r="M1741" t="str">
        <f>CONCATENATE(LEFT(Master_ventas[[#This Row],[ProdUpper]],3),RIGHT(Master_ventas[[#This Row],[Ext-Year]],2),"-",MID(Master_ventas[[#This Row],[Category]],1,1))</f>
        <v>TAB24-E</v>
      </c>
      <c r="N1741" t="str">
        <f>MID(Master_ventas[[#This Row],[ProdUpper]],1,3)</f>
        <v>TAB</v>
      </c>
      <c r="O1741" t="str">
        <f>UPPER(IF(Master_ventas[[#This Row],[Profit]]&gt;500,"High","Std"))</f>
        <v>HIGH</v>
      </c>
      <c r="P1741">
        <v>1740</v>
      </c>
    </row>
    <row r="1742" spans="1:16" x14ac:dyDescent="0.3">
      <c r="A1742" s="1">
        <v>45286</v>
      </c>
      <c r="B1742" t="s">
        <v>21</v>
      </c>
      <c r="C1742" t="s">
        <v>14</v>
      </c>
      <c r="D1742" t="s">
        <v>12</v>
      </c>
      <c r="E1742">
        <v>9</v>
      </c>
      <c r="F1742" s="3">
        <v>828</v>
      </c>
      <c r="G1742" s="2">
        <v>59.99</v>
      </c>
      <c r="H1742">
        <f>Master_ventas[[#This Row],[Profit]]/Master_ventas[[#This Row],[Sales]]</f>
        <v>7.2451690821256035E-2</v>
      </c>
      <c r="I1742">
        <f ca="1">Referencia_Hoy-Master_ventas[[#This Row],[Order Date]]</f>
        <v>1037</v>
      </c>
      <c r="J1742" t="str">
        <f>UPPER(Master_ventas[[#This Row],[Product Name]])</f>
        <v>SMARTPHONE</v>
      </c>
      <c r="K1742" t="str">
        <f>UPPER(Master_ventas[[#This Row],[Category]])</f>
        <v>ELECTRONICS</v>
      </c>
      <c r="L1742">
        <f>YEAR(Master_ventas[[#This Row],[Order Date]])</f>
        <v>2023</v>
      </c>
      <c r="M1742" t="str">
        <f>CONCATENATE(LEFT(Master_ventas[[#This Row],[ProdUpper]],3),RIGHT(Master_ventas[[#This Row],[Ext-Year]],2),"-",MID(Master_ventas[[#This Row],[Category]],1,1))</f>
        <v>SMA23-E</v>
      </c>
      <c r="N1742" t="str">
        <f>MID(Master_ventas[[#This Row],[ProdUpper]],1,3)</f>
        <v>SMA</v>
      </c>
      <c r="O1742" t="str">
        <f>UPPER(IF(Master_ventas[[#This Row],[Profit]]&gt;500,"High","Std"))</f>
        <v>STD</v>
      </c>
      <c r="P1742">
        <v>1741</v>
      </c>
    </row>
    <row r="1743" spans="1:16" x14ac:dyDescent="0.3">
      <c r="A1743" s="1">
        <v>45021</v>
      </c>
      <c r="B1743" t="s">
        <v>18</v>
      </c>
      <c r="C1743" t="s">
        <v>11</v>
      </c>
      <c r="D1743" t="s">
        <v>16</v>
      </c>
      <c r="E1743">
        <v>7</v>
      </c>
      <c r="F1743" s="3">
        <v>2457</v>
      </c>
      <c r="G1743" s="2">
        <v>388.11</v>
      </c>
      <c r="H1743">
        <f>Master_ventas[[#This Row],[Profit]]/Master_ventas[[#This Row],[Sales]]</f>
        <v>0.15796092796092798</v>
      </c>
      <c r="I1743">
        <f ca="1">Referencia_Hoy-Master_ventas[[#This Row],[Order Date]]</f>
        <v>1302</v>
      </c>
      <c r="J1743" t="str">
        <f>UPPER(Master_ventas[[#This Row],[Product Name]])</f>
        <v>HEADPHONES</v>
      </c>
      <c r="K1743" t="str">
        <f>UPPER(Master_ventas[[#This Row],[Category]])</f>
        <v>ACCESSORIES</v>
      </c>
      <c r="L1743">
        <f>YEAR(Master_ventas[[#This Row],[Order Date]])</f>
        <v>2023</v>
      </c>
      <c r="M1743" t="str">
        <f>CONCATENATE(LEFT(Master_ventas[[#This Row],[ProdUpper]],3),RIGHT(Master_ventas[[#This Row],[Ext-Year]],2),"-",MID(Master_ventas[[#This Row],[Category]],1,1))</f>
        <v>HEA23-A</v>
      </c>
      <c r="N1743" t="str">
        <f>MID(Master_ventas[[#This Row],[ProdUpper]],1,3)</f>
        <v>HEA</v>
      </c>
      <c r="O1743" t="str">
        <f>UPPER(IF(Master_ventas[[#This Row],[Profit]]&gt;500,"High","Std"))</f>
        <v>STD</v>
      </c>
      <c r="P1743">
        <v>1742</v>
      </c>
    </row>
    <row r="1744" spans="1:16" x14ac:dyDescent="0.3">
      <c r="A1744" s="1">
        <v>45140</v>
      </c>
      <c r="B1744" t="s">
        <v>17</v>
      </c>
      <c r="C1744" t="s">
        <v>14</v>
      </c>
      <c r="D1744" t="s">
        <v>9</v>
      </c>
      <c r="E1744">
        <v>4</v>
      </c>
      <c r="F1744" s="3">
        <v>3924</v>
      </c>
      <c r="G1744" s="2">
        <v>298.07</v>
      </c>
      <c r="H1744">
        <f>Master_ventas[[#This Row],[Profit]]/Master_ventas[[#This Row],[Sales]]</f>
        <v>7.5960754332313959E-2</v>
      </c>
      <c r="I1744">
        <f ca="1">Referencia_Hoy-Master_ventas[[#This Row],[Order Date]]</f>
        <v>1183</v>
      </c>
      <c r="J1744" t="str">
        <f>UPPER(Master_ventas[[#This Row],[Product Name]])</f>
        <v>CAMERA</v>
      </c>
      <c r="K1744" t="str">
        <f>UPPER(Master_ventas[[#This Row],[Category]])</f>
        <v>ELECTRONICS</v>
      </c>
      <c r="L1744">
        <f>YEAR(Master_ventas[[#This Row],[Order Date]])</f>
        <v>2023</v>
      </c>
      <c r="M1744" t="str">
        <f>CONCATENATE(LEFT(Master_ventas[[#This Row],[ProdUpper]],3),RIGHT(Master_ventas[[#This Row],[Ext-Year]],2),"-",MID(Master_ventas[[#This Row],[Category]],1,1))</f>
        <v>CAM23-E</v>
      </c>
      <c r="N1744" t="str">
        <f>MID(Master_ventas[[#This Row],[ProdUpper]],1,3)</f>
        <v>CAM</v>
      </c>
      <c r="O1744" t="str">
        <f>UPPER(IF(Master_ventas[[#This Row],[Profit]]&gt;500,"High","Std"))</f>
        <v>STD</v>
      </c>
      <c r="P1744">
        <v>1743</v>
      </c>
    </row>
    <row r="1745" spans="1:16" x14ac:dyDescent="0.3">
      <c r="A1745" s="1">
        <v>44895</v>
      </c>
      <c r="B1745" t="s">
        <v>18</v>
      </c>
      <c r="C1745" t="s">
        <v>11</v>
      </c>
      <c r="D1745" t="s">
        <v>16</v>
      </c>
      <c r="E1745">
        <v>2</v>
      </c>
      <c r="F1745" s="3">
        <v>2018</v>
      </c>
      <c r="G1745" s="2">
        <v>227.75</v>
      </c>
      <c r="H1745">
        <f>Master_ventas[[#This Row],[Profit]]/Master_ventas[[#This Row],[Sales]]</f>
        <v>0.11285926660059464</v>
      </c>
      <c r="I1745">
        <f ca="1">Referencia_Hoy-Master_ventas[[#This Row],[Order Date]]</f>
        <v>1428</v>
      </c>
      <c r="J1745" t="str">
        <f>UPPER(Master_ventas[[#This Row],[Product Name]])</f>
        <v>HEADPHONES</v>
      </c>
      <c r="K1745" t="str">
        <f>UPPER(Master_ventas[[#This Row],[Category]])</f>
        <v>ACCESSORIES</v>
      </c>
      <c r="L1745">
        <f>YEAR(Master_ventas[[#This Row],[Order Date]])</f>
        <v>2022</v>
      </c>
      <c r="M1745" t="str">
        <f>CONCATENATE(LEFT(Master_ventas[[#This Row],[ProdUpper]],3),RIGHT(Master_ventas[[#This Row],[Ext-Year]],2),"-",MID(Master_ventas[[#This Row],[Category]],1,1))</f>
        <v>HEA22-A</v>
      </c>
      <c r="N1745" t="str">
        <f>MID(Master_ventas[[#This Row],[ProdUpper]],1,3)</f>
        <v>HEA</v>
      </c>
      <c r="O1745" t="str">
        <f>UPPER(IF(Master_ventas[[#This Row],[Profit]]&gt;500,"High","Std"))</f>
        <v>STD</v>
      </c>
      <c r="P1745">
        <v>1744</v>
      </c>
    </row>
    <row r="1746" spans="1:16" x14ac:dyDescent="0.3">
      <c r="A1746" s="1">
        <v>45543</v>
      </c>
      <c r="B1746" t="s">
        <v>20</v>
      </c>
      <c r="C1746" t="s">
        <v>11</v>
      </c>
      <c r="D1746" t="s">
        <v>16</v>
      </c>
      <c r="E1746">
        <v>3</v>
      </c>
      <c r="F1746" s="3">
        <v>2043</v>
      </c>
      <c r="G1746" s="2">
        <v>479.9</v>
      </c>
      <c r="H1746">
        <f>Master_ventas[[#This Row],[Profit]]/Master_ventas[[#This Row],[Sales]]</f>
        <v>0.23489965736661772</v>
      </c>
      <c r="I1746">
        <f ca="1">Referencia_Hoy-Master_ventas[[#This Row],[Order Date]]</f>
        <v>780</v>
      </c>
      <c r="J1746" t="str">
        <f>UPPER(Master_ventas[[#This Row],[Product Name]])</f>
        <v>MONITOR</v>
      </c>
      <c r="K1746" t="str">
        <f>UPPER(Master_ventas[[#This Row],[Category]])</f>
        <v>ACCESSORIES</v>
      </c>
      <c r="L1746">
        <f>YEAR(Master_ventas[[#This Row],[Order Date]])</f>
        <v>2024</v>
      </c>
      <c r="M1746" t="str">
        <f>CONCATENATE(LEFT(Master_ventas[[#This Row],[ProdUpper]],3),RIGHT(Master_ventas[[#This Row],[Ext-Year]],2),"-",MID(Master_ventas[[#This Row],[Category]],1,1))</f>
        <v>MON24-A</v>
      </c>
      <c r="N1746" t="str">
        <f>MID(Master_ventas[[#This Row],[ProdUpper]],1,3)</f>
        <v>MON</v>
      </c>
      <c r="O1746" t="str">
        <f>UPPER(IF(Master_ventas[[#This Row],[Profit]]&gt;500,"High","Std"))</f>
        <v>STD</v>
      </c>
      <c r="P1746">
        <v>1745</v>
      </c>
    </row>
    <row r="1747" spans="1:16" x14ac:dyDescent="0.3">
      <c r="A1747" s="1">
        <v>45450</v>
      </c>
      <c r="B1747" t="s">
        <v>7</v>
      </c>
      <c r="C1747" t="s">
        <v>8</v>
      </c>
      <c r="D1747" t="s">
        <v>16</v>
      </c>
      <c r="E1747">
        <v>5</v>
      </c>
      <c r="F1747" s="3">
        <v>1035</v>
      </c>
      <c r="G1747" s="2">
        <v>187.12</v>
      </c>
      <c r="H1747">
        <f>Master_ventas[[#This Row],[Profit]]/Master_ventas[[#This Row],[Sales]]</f>
        <v>0.18079227053140098</v>
      </c>
      <c r="I1747">
        <f ca="1">Referencia_Hoy-Master_ventas[[#This Row],[Order Date]]</f>
        <v>873</v>
      </c>
      <c r="J1747" t="str">
        <f>UPPER(Master_ventas[[#This Row],[Product Name]])</f>
        <v>PRINTER</v>
      </c>
      <c r="K1747" t="str">
        <f>UPPER(Master_ventas[[#This Row],[Category]])</f>
        <v>OFFICE</v>
      </c>
      <c r="L1747">
        <f>YEAR(Master_ventas[[#This Row],[Order Date]])</f>
        <v>2024</v>
      </c>
      <c r="M1747" t="str">
        <f>CONCATENATE(LEFT(Master_ventas[[#This Row],[ProdUpper]],3),RIGHT(Master_ventas[[#This Row],[Ext-Year]],2),"-",MID(Master_ventas[[#This Row],[Category]],1,1))</f>
        <v>PRI24-O</v>
      </c>
      <c r="N1747" t="str">
        <f>MID(Master_ventas[[#This Row],[ProdUpper]],1,3)</f>
        <v>PRI</v>
      </c>
      <c r="O1747" t="str">
        <f>UPPER(IF(Master_ventas[[#This Row],[Profit]]&gt;500,"High","Std"))</f>
        <v>STD</v>
      </c>
      <c r="P1747">
        <v>1746</v>
      </c>
    </row>
    <row r="1748" spans="1:16" x14ac:dyDescent="0.3">
      <c r="A1748" s="1">
        <v>45150</v>
      </c>
      <c r="B1748" t="s">
        <v>19</v>
      </c>
      <c r="C1748" t="s">
        <v>14</v>
      </c>
      <c r="D1748" t="s">
        <v>9</v>
      </c>
      <c r="E1748">
        <v>6</v>
      </c>
      <c r="F1748" s="3">
        <v>2724</v>
      </c>
      <c r="G1748" s="2">
        <v>675.53</v>
      </c>
      <c r="H1748">
        <f>Master_ventas[[#This Row],[Profit]]/Master_ventas[[#This Row],[Sales]]</f>
        <v>0.24799192364170336</v>
      </c>
      <c r="I1748">
        <f ca="1">Referencia_Hoy-Master_ventas[[#This Row],[Order Date]]</f>
        <v>1173</v>
      </c>
      <c r="J1748" t="str">
        <f>UPPER(Master_ventas[[#This Row],[Product Name]])</f>
        <v>SMARTWATCH</v>
      </c>
      <c r="K1748" t="str">
        <f>UPPER(Master_ventas[[#This Row],[Category]])</f>
        <v>ELECTRONICS</v>
      </c>
      <c r="L1748">
        <f>YEAR(Master_ventas[[#This Row],[Order Date]])</f>
        <v>2023</v>
      </c>
      <c r="M1748" t="str">
        <f>CONCATENATE(LEFT(Master_ventas[[#This Row],[ProdUpper]],3),RIGHT(Master_ventas[[#This Row],[Ext-Year]],2),"-",MID(Master_ventas[[#This Row],[Category]],1,1))</f>
        <v>SMA23-E</v>
      </c>
      <c r="N1748" t="str">
        <f>MID(Master_ventas[[#This Row],[ProdUpper]],1,3)</f>
        <v>SMA</v>
      </c>
      <c r="O1748" t="str">
        <f>UPPER(IF(Master_ventas[[#This Row],[Profit]]&gt;500,"High","Std"))</f>
        <v>HIGH</v>
      </c>
      <c r="P1748">
        <v>1747</v>
      </c>
    </row>
    <row r="1749" spans="1:16" x14ac:dyDescent="0.3">
      <c r="A1749" s="1">
        <v>45048</v>
      </c>
      <c r="B1749" t="s">
        <v>17</v>
      </c>
      <c r="C1749" t="s">
        <v>14</v>
      </c>
      <c r="D1749" t="s">
        <v>12</v>
      </c>
      <c r="E1749">
        <v>1</v>
      </c>
      <c r="F1749" s="3">
        <v>1120</v>
      </c>
      <c r="G1749" s="2">
        <v>127.32</v>
      </c>
      <c r="H1749">
        <f>Master_ventas[[#This Row],[Profit]]/Master_ventas[[#This Row],[Sales]]</f>
        <v>0.11367857142857142</v>
      </c>
      <c r="I1749">
        <f ca="1">Referencia_Hoy-Master_ventas[[#This Row],[Order Date]]</f>
        <v>1275</v>
      </c>
      <c r="J1749" t="str">
        <f>UPPER(Master_ventas[[#This Row],[Product Name]])</f>
        <v>CAMERA</v>
      </c>
      <c r="K1749" t="str">
        <f>UPPER(Master_ventas[[#This Row],[Category]])</f>
        <v>ELECTRONICS</v>
      </c>
      <c r="L1749">
        <f>YEAR(Master_ventas[[#This Row],[Order Date]])</f>
        <v>2023</v>
      </c>
      <c r="M1749" t="str">
        <f>CONCATENATE(LEFT(Master_ventas[[#This Row],[ProdUpper]],3),RIGHT(Master_ventas[[#This Row],[Ext-Year]],2),"-",MID(Master_ventas[[#This Row],[Category]],1,1))</f>
        <v>CAM23-E</v>
      </c>
      <c r="N1749" t="str">
        <f>MID(Master_ventas[[#This Row],[ProdUpper]],1,3)</f>
        <v>CAM</v>
      </c>
      <c r="O1749" t="str">
        <f>UPPER(IF(Master_ventas[[#This Row],[Profit]]&gt;500,"High","Std"))</f>
        <v>STD</v>
      </c>
      <c r="P1749">
        <v>1748</v>
      </c>
    </row>
    <row r="1750" spans="1:16" x14ac:dyDescent="0.3">
      <c r="A1750" s="1">
        <v>45591</v>
      </c>
      <c r="B1750" t="s">
        <v>20</v>
      </c>
      <c r="C1750" t="s">
        <v>11</v>
      </c>
      <c r="D1750" t="s">
        <v>9</v>
      </c>
      <c r="E1750">
        <v>6</v>
      </c>
      <c r="F1750" s="3">
        <v>3438</v>
      </c>
      <c r="G1750" s="2">
        <v>631.95000000000005</v>
      </c>
      <c r="H1750">
        <f>Master_ventas[[#This Row],[Profit]]/Master_ventas[[#This Row],[Sales]]</f>
        <v>0.18381326352530541</v>
      </c>
      <c r="I1750">
        <f ca="1">Referencia_Hoy-Master_ventas[[#This Row],[Order Date]]</f>
        <v>732</v>
      </c>
      <c r="J1750" t="str">
        <f>UPPER(Master_ventas[[#This Row],[Product Name]])</f>
        <v>MONITOR</v>
      </c>
      <c r="K1750" t="str">
        <f>UPPER(Master_ventas[[#This Row],[Category]])</f>
        <v>ACCESSORIES</v>
      </c>
      <c r="L1750">
        <f>YEAR(Master_ventas[[#This Row],[Order Date]])</f>
        <v>2024</v>
      </c>
      <c r="M1750" t="str">
        <f>CONCATENATE(LEFT(Master_ventas[[#This Row],[ProdUpper]],3),RIGHT(Master_ventas[[#This Row],[Ext-Year]],2),"-",MID(Master_ventas[[#This Row],[Category]],1,1))</f>
        <v>MON24-A</v>
      </c>
      <c r="N1750" t="str">
        <f>MID(Master_ventas[[#This Row],[ProdUpper]],1,3)</f>
        <v>MON</v>
      </c>
      <c r="O1750" t="str">
        <f>UPPER(IF(Master_ventas[[#This Row],[Profit]]&gt;500,"High","Std"))</f>
        <v>HIGH</v>
      </c>
      <c r="P1750">
        <v>1749</v>
      </c>
    </row>
    <row r="1751" spans="1:16" x14ac:dyDescent="0.3">
      <c r="A1751" s="1">
        <v>44831</v>
      </c>
      <c r="B1751" t="s">
        <v>19</v>
      </c>
      <c r="C1751" t="s">
        <v>14</v>
      </c>
      <c r="D1751" t="s">
        <v>16</v>
      </c>
      <c r="E1751">
        <v>5</v>
      </c>
      <c r="F1751" s="3">
        <v>3170</v>
      </c>
      <c r="G1751" s="2">
        <v>379.27</v>
      </c>
      <c r="H1751">
        <f>Master_ventas[[#This Row],[Profit]]/Master_ventas[[#This Row],[Sales]]</f>
        <v>0.11964353312302839</v>
      </c>
      <c r="I1751">
        <f ca="1">Referencia_Hoy-Master_ventas[[#This Row],[Order Date]]</f>
        <v>1492</v>
      </c>
      <c r="J1751" t="str">
        <f>UPPER(Master_ventas[[#This Row],[Product Name]])</f>
        <v>SMARTWATCH</v>
      </c>
      <c r="K1751" t="str">
        <f>UPPER(Master_ventas[[#This Row],[Category]])</f>
        <v>ELECTRONICS</v>
      </c>
      <c r="L1751">
        <f>YEAR(Master_ventas[[#This Row],[Order Date]])</f>
        <v>2022</v>
      </c>
      <c r="M1751" t="str">
        <f>CONCATENATE(LEFT(Master_ventas[[#This Row],[ProdUpper]],3),RIGHT(Master_ventas[[#This Row],[Ext-Year]],2),"-",MID(Master_ventas[[#This Row],[Category]],1,1))</f>
        <v>SMA22-E</v>
      </c>
      <c r="N1751" t="str">
        <f>MID(Master_ventas[[#This Row],[ProdUpper]],1,3)</f>
        <v>SMA</v>
      </c>
      <c r="O1751" t="str">
        <f>UPPER(IF(Master_ventas[[#This Row],[Profit]]&gt;500,"High","Std"))</f>
        <v>STD</v>
      </c>
      <c r="P1751">
        <v>1750</v>
      </c>
    </row>
    <row r="1752" spans="1:16" x14ac:dyDescent="0.3">
      <c r="A1752" s="1">
        <v>45102</v>
      </c>
      <c r="B1752" t="s">
        <v>19</v>
      </c>
      <c r="C1752" t="s">
        <v>14</v>
      </c>
      <c r="D1752" t="s">
        <v>12</v>
      </c>
      <c r="E1752">
        <v>4</v>
      </c>
      <c r="F1752" s="3">
        <v>660</v>
      </c>
      <c r="G1752" s="2">
        <v>83.96</v>
      </c>
      <c r="H1752">
        <f>Master_ventas[[#This Row],[Profit]]/Master_ventas[[#This Row],[Sales]]</f>
        <v>0.12721212121212119</v>
      </c>
      <c r="I1752">
        <f ca="1">Referencia_Hoy-Master_ventas[[#This Row],[Order Date]]</f>
        <v>1221</v>
      </c>
      <c r="J1752" t="str">
        <f>UPPER(Master_ventas[[#This Row],[Product Name]])</f>
        <v>SMARTWATCH</v>
      </c>
      <c r="K1752" t="str">
        <f>UPPER(Master_ventas[[#This Row],[Category]])</f>
        <v>ELECTRONICS</v>
      </c>
      <c r="L1752">
        <f>YEAR(Master_ventas[[#This Row],[Order Date]])</f>
        <v>2023</v>
      </c>
      <c r="M1752" t="str">
        <f>CONCATENATE(LEFT(Master_ventas[[#This Row],[ProdUpper]],3),RIGHT(Master_ventas[[#This Row],[Ext-Year]],2),"-",MID(Master_ventas[[#This Row],[Category]],1,1))</f>
        <v>SMA23-E</v>
      </c>
      <c r="N1752" t="str">
        <f>MID(Master_ventas[[#This Row],[ProdUpper]],1,3)</f>
        <v>SMA</v>
      </c>
      <c r="O1752" t="str">
        <f>UPPER(IF(Master_ventas[[#This Row],[Profit]]&gt;500,"High","Std"))</f>
        <v>STD</v>
      </c>
      <c r="P1752">
        <v>1751</v>
      </c>
    </row>
    <row r="1753" spans="1:16" x14ac:dyDescent="0.3">
      <c r="A1753" s="1">
        <v>44870</v>
      </c>
      <c r="B1753" t="s">
        <v>13</v>
      </c>
      <c r="C1753" t="s">
        <v>14</v>
      </c>
      <c r="D1753" t="s">
        <v>12</v>
      </c>
      <c r="E1753">
        <v>7</v>
      </c>
      <c r="F1753" s="3">
        <v>4669</v>
      </c>
      <c r="G1753" s="2">
        <v>1088.1500000000001</v>
      </c>
      <c r="H1753">
        <f>Master_ventas[[#This Row],[Profit]]/Master_ventas[[#This Row],[Sales]]</f>
        <v>0.23305847076461772</v>
      </c>
      <c r="I1753">
        <f ca="1">Referencia_Hoy-Master_ventas[[#This Row],[Order Date]]</f>
        <v>1453</v>
      </c>
      <c r="J1753" t="str">
        <f>UPPER(Master_ventas[[#This Row],[Product Name]])</f>
        <v>TABLET</v>
      </c>
      <c r="K1753" t="str">
        <f>UPPER(Master_ventas[[#This Row],[Category]])</f>
        <v>ELECTRONICS</v>
      </c>
      <c r="L1753">
        <f>YEAR(Master_ventas[[#This Row],[Order Date]])</f>
        <v>2022</v>
      </c>
      <c r="M1753" t="str">
        <f>CONCATENATE(LEFT(Master_ventas[[#This Row],[ProdUpper]],3),RIGHT(Master_ventas[[#This Row],[Ext-Year]],2),"-",MID(Master_ventas[[#This Row],[Category]],1,1))</f>
        <v>TAB22-E</v>
      </c>
      <c r="N1753" t="str">
        <f>MID(Master_ventas[[#This Row],[ProdUpper]],1,3)</f>
        <v>TAB</v>
      </c>
      <c r="O1753" t="str">
        <f>UPPER(IF(Master_ventas[[#This Row],[Profit]]&gt;500,"High","Std"))</f>
        <v>HIGH</v>
      </c>
      <c r="P1753">
        <v>1752</v>
      </c>
    </row>
    <row r="1754" spans="1:16" x14ac:dyDescent="0.3">
      <c r="A1754" s="1">
        <v>44785</v>
      </c>
      <c r="B1754" t="s">
        <v>19</v>
      </c>
      <c r="C1754" t="s">
        <v>14</v>
      </c>
      <c r="D1754" t="s">
        <v>16</v>
      </c>
      <c r="E1754">
        <v>5</v>
      </c>
      <c r="F1754" s="3">
        <v>1045</v>
      </c>
      <c r="G1754" s="2">
        <v>89</v>
      </c>
      <c r="H1754">
        <f>Master_ventas[[#This Row],[Profit]]/Master_ventas[[#This Row],[Sales]]</f>
        <v>8.5167464114832531E-2</v>
      </c>
      <c r="I1754">
        <f ca="1">Referencia_Hoy-Master_ventas[[#This Row],[Order Date]]</f>
        <v>1538</v>
      </c>
      <c r="J1754" t="str">
        <f>UPPER(Master_ventas[[#This Row],[Product Name]])</f>
        <v>SMARTWATCH</v>
      </c>
      <c r="K1754" t="str">
        <f>UPPER(Master_ventas[[#This Row],[Category]])</f>
        <v>ELECTRONICS</v>
      </c>
      <c r="L1754">
        <f>YEAR(Master_ventas[[#This Row],[Order Date]])</f>
        <v>2022</v>
      </c>
      <c r="M1754" t="str">
        <f>CONCATENATE(LEFT(Master_ventas[[#This Row],[ProdUpper]],3),RIGHT(Master_ventas[[#This Row],[Ext-Year]],2),"-",MID(Master_ventas[[#This Row],[Category]],1,1))</f>
        <v>SMA22-E</v>
      </c>
      <c r="N1754" t="str">
        <f>MID(Master_ventas[[#This Row],[ProdUpper]],1,3)</f>
        <v>SMA</v>
      </c>
      <c r="O1754" t="str">
        <f>UPPER(IF(Master_ventas[[#This Row],[Profit]]&gt;500,"High","Std"))</f>
        <v>STD</v>
      </c>
      <c r="P1754">
        <v>1753</v>
      </c>
    </row>
    <row r="1755" spans="1:16" x14ac:dyDescent="0.3">
      <c r="A1755" s="1">
        <v>44619</v>
      </c>
      <c r="B1755" t="s">
        <v>22</v>
      </c>
      <c r="C1755" t="s">
        <v>11</v>
      </c>
      <c r="D1755" t="s">
        <v>9</v>
      </c>
      <c r="E1755">
        <v>4</v>
      </c>
      <c r="F1755" s="3">
        <v>2724</v>
      </c>
      <c r="G1755" s="2">
        <v>229.47</v>
      </c>
      <c r="H1755">
        <f>Master_ventas[[#This Row],[Profit]]/Master_ventas[[#This Row],[Sales]]</f>
        <v>8.4240088105726876E-2</v>
      </c>
      <c r="I1755">
        <f ca="1">Referencia_Hoy-Master_ventas[[#This Row],[Order Date]]</f>
        <v>1704</v>
      </c>
      <c r="J1755" t="str">
        <f>UPPER(Master_ventas[[#This Row],[Product Name]])</f>
        <v>KEYBOARD</v>
      </c>
      <c r="K1755" t="str">
        <f>UPPER(Master_ventas[[#This Row],[Category]])</f>
        <v>ACCESSORIES</v>
      </c>
      <c r="L1755">
        <f>YEAR(Master_ventas[[#This Row],[Order Date]])</f>
        <v>2022</v>
      </c>
      <c r="M1755" t="str">
        <f>CONCATENATE(LEFT(Master_ventas[[#This Row],[ProdUpper]],3),RIGHT(Master_ventas[[#This Row],[Ext-Year]],2),"-",MID(Master_ventas[[#This Row],[Category]],1,1))</f>
        <v>KEY22-A</v>
      </c>
      <c r="N1755" t="str">
        <f>MID(Master_ventas[[#This Row],[ProdUpper]],1,3)</f>
        <v>KEY</v>
      </c>
      <c r="O1755" t="str">
        <f>UPPER(IF(Master_ventas[[#This Row],[Profit]]&gt;500,"High","Std"))</f>
        <v>STD</v>
      </c>
      <c r="P1755">
        <v>1754</v>
      </c>
    </row>
    <row r="1756" spans="1:16" x14ac:dyDescent="0.3">
      <c r="A1756" s="1">
        <v>45183</v>
      </c>
      <c r="B1756" t="s">
        <v>18</v>
      </c>
      <c r="C1756" t="s">
        <v>11</v>
      </c>
      <c r="D1756" t="s">
        <v>16</v>
      </c>
      <c r="E1756">
        <v>8</v>
      </c>
      <c r="F1756" s="3">
        <v>5312</v>
      </c>
      <c r="G1756" s="2">
        <v>1583</v>
      </c>
      <c r="H1756">
        <f>Master_ventas[[#This Row],[Profit]]/Master_ventas[[#This Row],[Sales]]</f>
        <v>0.29800451807228917</v>
      </c>
      <c r="I1756">
        <f ca="1">Referencia_Hoy-Master_ventas[[#This Row],[Order Date]]</f>
        <v>1140</v>
      </c>
      <c r="J1756" t="str">
        <f>UPPER(Master_ventas[[#This Row],[Product Name]])</f>
        <v>HEADPHONES</v>
      </c>
      <c r="K1756" t="str">
        <f>UPPER(Master_ventas[[#This Row],[Category]])</f>
        <v>ACCESSORIES</v>
      </c>
      <c r="L1756">
        <f>YEAR(Master_ventas[[#This Row],[Order Date]])</f>
        <v>2023</v>
      </c>
      <c r="M1756" t="str">
        <f>CONCATENATE(LEFT(Master_ventas[[#This Row],[ProdUpper]],3),RIGHT(Master_ventas[[#This Row],[Ext-Year]],2),"-",MID(Master_ventas[[#This Row],[Category]],1,1))</f>
        <v>HEA23-A</v>
      </c>
      <c r="N1756" t="str">
        <f>MID(Master_ventas[[#This Row],[ProdUpper]],1,3)</f>
        <v>HEA</v>
      </c>
      <c r="O1756" t="str">
        <f>UPPER(IF(Master_ventas[[#This Row],[Profit]]&gt;500,"High","Std"))</f>
        <v>HIGH</v>
      </c>
      <c r="P1756">
        <v>1755</v>
      </c>
    </row>
    <row r="1757" spans="1:16" x14ac:dyDescent="0.3">
      <c r="A1757" s="1">
        <v>45619</v>
      </c>
      <c r="B1757" t="s">
        <v>13</v>
      </c>
      <c r="C1757" t="s">
        <v>14</v>
      </c>
      <c r="D1757" t="s">
        <v>16</v>
      </c>
      <c r="E1757">
        <v>4</v>
      </c>
      <c r="F1757" s="3">
        <v>4252</v>
      </c>
      <c r="G1757" s="2">
        <v>445.18</v>
      </c>
      <c r="H1757">
        <f>Master_ventas[[#This Row],[Profit]]/Master_ventas[[#This Row],[Sales]]</f>
        <v>0.10469896519285042</v>
      </c>
      <c r="I1757">
        <f ca="1">Referencia_Hoy-Master_ventas[[#This Row],[Order Date]]</f>
        <v>704</v>
      </c>
      <c r="J1757" t="str">
        <f>UPPER(Master_ventas[[#This Row],[Product Name]])</f>
        <v>TABLET</v>
      </c>
      <c r="K1757" t="str">
        <f>UPPER(Master_ventas[[#This Row],[Category]])</f>
        <v>ELECTRONICS</v>
      </c>
      <c r="L1757">
        <f>YEAR(Master_ventas[[#This Row],[Order Date]])</f>
        <v>2024</v>
      </c>
      <c r="M1757" t="str">
        <f>CONCATENATE(LEFT(Master_ventas[[#This Row],[ProdUpper]],3),RIGHT(Master_ventas[[#This Row],[Ext-Year]],2),"-",MID(Master_ventas[[#This Row],[Category]],1,1))</f>
        <v>TAB24-E</v>
      </c>
      <c r="N1757" t="str">
        <f>MID(Master_ventas[[#This Row],[ProdUpper]],1,3)</f>
        <v>TAB</v>
      </c>
      <c r="O1757" t="str">
        <f>UPPER(IF(Master_ventas[[#This Row],[Profit]]&gt;500,"High","Std"))</f>
        <v>STD</v>
      </c>
      <c r="P1757">
        <v>1756</v>
      </c>
    </row>
    <row r="1758" spans="1:16" x14ac:dyDescent="0.3">
      <c r="A1758" s="1">
        <v>45574</v>
      </c>
      <c r="B1758" t="s">
        <v>7</v>
      </c>
      <c r="C1758" t="s">
        <v>8</v>
      </c>
      <c r="D1758" t="s">
        <v>12</v>
      </c>
      <c r="E1758">
        <v>7</v>
      </c>
      <c r="F1758" s="3">
        <v>8057</v>
      </c>
      <c r="G1758" s="2">
        <v>1652.27</v>
      </c>
      <c r="H1758">
        <f>Master_ventas[[#This Row],[Profit]]/Master_ventas[[#This Row],[Sales]]</f>
        <v>0.20507260767034877</v>
      </c>
      <c r="I1758">
        <f ca="1">Referencia_Hoy-Master_ventas[[#This Row],[Order Date]]</f>
        <v>749</v>
      </c>
      <c r="J1758" t="str">
        <f>UPPER(Master_ventas[[#This Row],[Product Name]])</f>
        <v>PRINTER</v>
      </c>
      <c r="K1758" t="str">
        <f>UPPER(Master_ventas[[#This Row],[Category]])</f>
        <v>OFFICE</v>
      </c>
      <c r="L1758">
        <f>YEAR(Master_ventas[[#This Row],[Order Date]])</f>
        <v>2024</v>
      </c>
      <c r="M1758" t="str">
        <f>CONCATENATE(LEFT(Master_ventas[[#This Row],[ProdUpper]],3),RIGHT(Master_ventas[[#This Row],[Ext-Year]],2),"-",MID(Master_ventas[[#This Row],[Category]],1,1))</f>
        <v>PRI24-O</v>
      </c>
      <c r="N1758" t="str">
        <f>MID(Master_ventas[[#This Row],[ProdUpper]],1,3)</f>
        <v>PRI</v>
      </c>
      <c r="O1758" t="str">
        <f>UPPER(IF(Master_ventas[[#This Row],[Profit]]&gt;500,"High","Std"))</f>
        <v>HIGH</v>
      </c>
      <c r="P1758">
        <v>1757</v>
      </c>
    </row>
    <row r="1759" spans="1:16" x14ac:dyDescent="0.3">
      <c r="A1759" s="1">
        <v>45097</v>
      </c>
      <c r="B1759" t="s">
        <v>22</v>
      </c>
      <c r="C1759" t="s">
        <v>11</v>
      </c>
      <c r="D1759" t="s">
        <v>15</v>
      </c>
      <c r="E1759">
        <v>7</v>
      </c>
      <c r="F1759" s="3">
        <v>2023</v>
      </c>
      <c r="G1759" s="2">
        <v>274.25</v>
      </c>
      <c r="H1759">
        <f>Master_ventas[[#This Row],[Profit]]/Master_ventas[[#This Row],[Sales]]</f>
        <v>0.13556599110232329</v>
      </c>
      <c r="I1759">
        <f ca="1">Referencia_Hoy-Master_ventas[[#This Row],[Order Date]]</f>
        <v>1226</v>
      </c>
      <c r="J1759" t="str">
        <f>UPPER(Master_ventas[[#This Row],[Product Name]])</f>
        <v>KEYBOARD</v>
      </c>
      <c r="K1759" t="str">
        <f>UPPER(Master_ventas[[#This Row],[Category]])</f>
        <v>ACCESSORIES</v>
      </c>
      <c r="L1759">
        <f>YEAR(Master_ventas[[#This Row],[Order Date]])</f>
        <v>2023</v>
      </c>
      <c r="M1759" t="str">
        <f>CONCATENATE(LEFT(Master_ventas[[#This Row],[ProdUpper]],3),RIGHT(Master_ventas[[#This Row],[Ext-Year]],2),"-",MID(Master_ventas[[#This Row],[Category]],1,1))</f>
        <v>KEY23-A</v>
      </c>
      <c r="N1759" t="str">
        <f>MID(Master_ventas[[#This Row],[ProdUpper]],1,3)</f>
        <v>KEY</v>
      </c>
      <c r="O1759" t="str">
        <f>UPPER(IF(Master_ventas[[#This Row],[Profit]]&gt;500,"High","Std"))</f>
        <v>STD</v>
      </c>
      <c r="P1759">
        <v>1758</v>
      </c>
    </row>
    <row r="1760" spans="1:16" x14ac:dyDescent="0.3">
      <c r="A1760" s="1">
        <v>45367</v>
      </c>
      <c r="B1760" t="s">
        <v>20</v>
      </c>
      <c r="C1760" t="s">
        <v>11</v>
      </c>
      <c r="D1760" t="s">
        <v>15</v>
      </c>
      <c r="E1760">
        <v>8</v>
      </c>
      <c r="F1760" s="3">
        <v>9416</v>
      </c>
      <c r="G1760" s="2">
        <v>2125.54</v>
      </c>
      <c r="H1760">
        <f>Master_ventas[[#This Row],[Profit]]/Master_ventas[[#This Row],[Sales]]</f>
        <v>0.22573704333050126</v>
      </c>
      <c r="I1760">
        <f ca="1">Referencia_Hoy-Master_ventas[[#This Row],[Order Date]]</f>
        <v>956</v>
      </c>
      <c r="J1760" t="str">
        <f>UPPER(Master_ventas[[#This Row],[Product Name]])</f>
        <v>MONITOR</v>
      </c>
      <c r="K1760" t="str">
        <f>UPPER(Master_ventas[[#This Row],[Category]])</f>
        <v>ACCESSORIES</v>
      </c>
      <c r="L1760">
        <f>YEAR(Master_ventas[[#This Row],[Order Date]])</f>
        <v>2024</v>
      </c>
      <c r="M1760" t="str">
        <f>CONCATENATE(LEFT(Master_ventas[[#This Row],[ProdUpper]],3),RIGHT(Master_ventas[[#This Row],[Ext-Year]],2),"-",MID(Master_ventas[[#This Row],[Category]],1,1))</f>
        <v>MON24-A</v>
      </c>
      <c r="N1760" t="str">
        <f>MID(Master_ventas[[#This Row],[ProdUpper]],1,3)</f>
        <v>MON</v>
      </c>
      <c r="O1760" t="str">
        <f>UPPER(IF(Master_ventas[[#This Row],[Profit]]&gt;500,"High","Std"))</f>
        <v>HIGH</v>
      </c>
      <c r="P1760">
        <v>1759</v>
      </c>
    </row>
    <row r="1761" spans="1:16" x14ac:dyDescent="0.3">
      <c r="A1761" s="1">
        <v>45257</v>
      </c>
      <c r="B1761" t="s">
        <v>20</v>
      </c>
      <c r="C1761" t="s">
        <v>11</v>
      </c>
      <c r="D1761" t="s">
        <v>12</v>
      </c>
      <c r="E1761">
        <v>8</v>
      </c>
      <c r="F1761" s="3">
        <v>7560</v>
      </c>
      <c r="G1761" s="2">
        <v>494.34</v>
      </c>
      <c r="H1761">
        <f>Master_ventas[[#This Row],[Profit]]/Master_ventas[[#This Row],[Sales]]</f>
        <v>6.5388888888888885E-2</v>
      </c>
      <c r="I1761">
        <f ca="1">Referencia_Hoy-Master_ventas[[#This Row],[Order Date]]</f>
        <v>1066</v>
      </c>
      <c r="J1761" t="str">
        <f>UPPER(Master_ventas[[#This Row],[Product Name]])</f>
        <v>MONITOR</v>
      </c>
      <c r="K1761" t="str">
        <f>UPPER(Master_ventas[[#This Row],[Category]])</f>
        <v>ACCESSORIES</v>
      </c>
      <c r="L1761">
        <f>YEAR(Master_ventas[[#This Row],[Order Date]])</f>
        <v>2023</v>
      </c>
      <c r="M1761" t="str">
        <f>CONCATENATE(LEFT(Master_ventas[[#This Row],[ProdUpper]],3),RIGHT(Master_ventas[[#This Row],[Ext-Year]],2),"-",MID(Master_ventas[[#This Row],[Category]],1,1))</f>
        <v>MON23-A</v>
      </c>
      <c r="N1761" t="str">
        <f>MID(Master_ventas[[#This Row],[ProdUpper]],1,3)</f>
        <v>MON</v>
      </c>
      <c r="O1761" t="str">
        <f>UPPER(IF(Master_ventas[[#This Row],[Profit]]&gt;500,"High","Std"))</f>
        <v>STD</v>
      </c>
      <c r="P1761">
        <v>1760</v>
      </c>
    </row>
    <row r="1762" spans="1:16" x14ac:dyDescent="0.3">
      <c r="A1762" s="1">
        <v>44934</v>
      </c>
      <c r="B1762" t="s">
        <v>20</v>
      </c>
      <c r="C1762" t="s">
        <v>11</v>
      </c>
      <c r="D1762" t="s">
        <v>16</v>
      </c>
      <c r="E1762">
        <v>2</v>
      </c>
      <c r="F1762" s="3">
        <v>828</v>
      </c>
      <c r="G1762" s="2">
        <v>50.07</v>
      </c>
      <c r="H1762">
        <f>Master_ventas[[#This Row],[Profit]]/Master_ventas[[#This Row],[Sales]]</f>
        <v>6.0471014492753626E-2</v>
      </c>
      <c r="I1762">
        <f ca="1">Referencia_Hoy-Master_ventas[[#This Row],[Order Date]]</f>
        <v>1389</v>
      </c>
      <c r="J1762" t="str">
        <f>UPPER(Master_ventas[[#This Row],[Product Name]])</f>
        <v>MONITOR</v>
      </c>
      <c r="K1762" t="str">
        <f>UPPER(Master_ventas[[#This Row],[Category]])</f>
        <v>ACCESSORIES</v>
      </c>
      <c r="L1762">
        <f>YEAR(Master_ventas[[#This Row],[Order Date]])</f>
        <v>2023</v>
      </c>
      <c r="M1762" t="str">
        <f>CONCATENATE(LEFT(Master_ventas[[#This Row],[ProdUpper]],3),RIGHT(Master_ventas[[#This Row],[Ext-Year]],2),"-",MID(Master_ventas[[#This Row],[Category]],1,1))</f>
        <v>MON23-A</v>
      </c>
      <c r="N1762" t="str">
        <f>MID(Master_ventas[[#This Row],[ProdUpper]],1,3)</f>
        <v>MON</v>
      </c>
      <c r="O1762" t="str">
        <f>UPPER(IF(Master_ventas[[#This Row],[Profit]]&gt;500,"High","Std"))</f>
        <v>STD</v>
      </c>
      <c r="P1762">
        <v>1761</v>
      </c>
    </row>
    <row r="1763" spans="1:16" x14ac:dyDescent="0.3">
      <c r="A1763" s="1">
        <v>45267</v>
      </c>
      <c r="B1763" t="s">
        <v>10</v>
      </c>
      <c r="C1763" t="s">
        <v>11</v>
      </c>
      <c r="D1763" t="s">
        <v>16</v>
      </c>
      <c r="E1763">
        <v>1</v>
      </c>
      <c r="F1763" s="3">
        <v>527</v>
      </c>
      <c r="G1763" s="2">
        <v>27.45</v>
      </c>
      <c r="H1763">
        <f>Master_ventas[[#This Row],[Profit]]/Master_ventas[[#This Row],[Sales]]</f>
        <v>5.208728652751423E-2</v>
      </c>
      <c r="I1763">
        <f ca="1">Referencia_Hoy-Master_ventas[[#This Row],[Order Date]]</f>
        <v>1056</v>
      </c>
      <c r="J1763" t="str">
        <f>UPPER(Master_ventas[[#This Row],[Product Name]])</f>
        <v>MOUSE</v>
      </c>
      <c r="K1763" t="str">
        <f>UPPER(Master_ventas[[#This Row],[Category]])</f>
        <v>ACCESSORIES</v>
      </c>
      <c r="L1763">
        <f>YEAR(Master_ventas[[#This Row],[Order Date]])</f>
        <v>2023</v>
      </c>
      <c r="M1763" t="str">
        <f>CONCATENATE(LEFT(Master_ventas[[#This Row],[ProdUpper]],3),RIGHT(Master_ventas[[#This Row],[Ext-Year]],2),"-",MID(Master_ventas[[#This Row],[Category]],1,1))</f>
        <v>MOU23-A</v>
      </c>
      <c r="N1763" t="str">
        <f>MID(Master_ventas[[#This Row],[ProdUpper]],1,3)</f>
        <v>MOU</v>
      </c>
      <c r="O1763" t="str">
        <f>UPPER(IF(Master_ventas[[#This Row],[Profit]]&gt;500,"High","Std"))</f>
        <v>STD</v>
      </c>
      <c r="P1763">
        <v>1762</v>
      </c>
    </row>
    <row r="1764" spans="1:16" x14ac:dyDescent="0.3">
      <c r="A1764" s="1">
        <v>44815</v>
      </c>
      <c r="B1764" t="s">
        <v>22</v>
      </c>
      <c r="C1764" t="s">
        <v>11</v>
      </c>
      <c r="D1764" t="s">
        <v>9</v>
      </c>
      <c r="E1764">
        <v>2</v>
      </c>
      <c r="F1764" s="3">
        <v>1160</v>
      </c>
      <c r="G1764" s="2">
        <v>206.49</v>
      </c>
      <c r="H1764">
        <f>Master_ventas[[#This Row],[Profit]]/Master_ventas[[#This Row],[Sales]]</f>
        <v>0.17800862068965517</v>
      </c>
      <c r="I1764">
        <f ca="1">Referencia_Hoy-Master_ventas[[#This Row],[Order Date]]</f>
        <v>1508</v>
      </c>
      <c r="J1764" t="str">
        <f>UPPER(Master_ventas[[#This Row],[Product Name]])</f>
        <v>KEYBOARD</v>
      </c>
      <c r="K1764" t="str">
        <f>UPPER(Master_ventas[[#This Row],[Category]])</f>
        <v>ACCESSORIES</v>
      </c>
      <c r="L1764">
        <f>YEAR(Master_ventas[[#This Row],[Order Date]])</f>
        <v>2022</v>
      </c>
      <c r="M1764" t="str">
        <f>CONCATENATE(LEFT(Master_ventas[[#This Row],[ProdUpper]],3),RIGHT(Master_ventas[[#This Row],[Ext-Year]],2),"-",MID(Master_ventas[[#This Row],[Category]],1,1))</f>
        <v>KEY22-A</v>
      </c>
      <c r="N1764" t="str">
        <f>MID(Master_ventas[[#This Row],[ProdUpper]],1,3)</f>
        <v>KEY</v>
      </c>
      <c r="O1764" t="str">
        <f>UPPER(IF(Master_ventas[[#This Row],[Profit]]&gt;500,"High","Std"))</f>
        <v>STD</v>
      </c>
      <c r="P1764">
        <v>1763</v>
      </c>
    </row>
    <row r="1765" spans="1:16" x14ac:dyDescent="0.3">
      <c r="A1765" s="1">
        <v>44649</v>
      </c>
      <c r="B1765" t="s">
        <v>10</v>
      </c>
      <c r="C1765" t="s">
        <v>11</v>
      </c>
      <c r="D1765" t="s">
        <v>16</v>
      </c>
      <c r="E1765">
        <v>5</v>
      </c>
      <c r="F1765" s="3">
        <v>5430</v>
      </c>
      <c r="G1765" s="2">
        <v>310.86</v>
      </c>
      <c r="H1765">
        <f>Master_ventas[[#This Row],[Profit]]/Master_ventas[[#This Row],[Sales]]</f>
        <v>5.7248618784530386E-2</v>
      </c>
      <c r="I1765">
        <f ca="1">Referencia_Hoy-Master_ventas[[#This Row],[Order Date]]</f>
        <v>1674</v>
      </c>
      <c r="J1765" t="str">
        <f>UPPER(Master_ventas[[#This Row],[Product Name]])</f>
        <v>MOUSE</v>
      </c>
      <c r="K1765" t="str">
        <f>UPPER(Master_ventas[[#This Row],[Category]])</f>
        <v>ACCESSORIES</v>
      </c>
      <c r="L1765">
        <f>YEAR(Master_ventas[[#This Row],[Order Date]])</f>
        <v>2022</v>
      </c>
      <c r="M1765" t="str">
        <f>CONCATENATE(LEFT(Master_ventas[[#This Row],[ProdUpper]],3),RIGHT(Master_ventas[[#This Row],[Ext-Year]],2),"-",MID(Master_ventas[[#This Row],[Category]],1,1))</f>
        <v>MOU22-A</v>
      </c>
      <c r="N1765" t="str">
        <f>MID(Master_ventas[[#This Row],[ProdUpper]],1,3)</f>
        <v>MOU</v>
      </c>
      <c r="O1765" t="str">
        <f>UPPER(IF(Master_ventas[[#This Row],[Profit]]&gt;500,"High","Std"))</f>
        <v>STD</v>
      </c>
      <c r="P1765">
        <v>1764</v>
      </c>
    </row>
    <row r="1766" spans="1:16" x14ac:dyDescent="0.3">
      <c r="A1766" s="1">
        <v>45306</v>
      </c>
      <c r="B1766" t="s">
        <v>13</v>
      </c>
      <c r="C1766" t="s">
        <v>14</v>
      </c>
      <c r="D1766" t="s">
        <v>15</v>
      </c>
      <c r="E1766">
        <v>7</v>
      </c>
      <c r="F1766" s="3">
        <v>6874</v>
      </c>
      <c r="G1766" s="2">
        <v>454.53</v>
      </c>
      <c r="H1766">
        <f>Master_ventas[[#This Row],[Profit]]/Master_ventas[[#This Row],[Sales]]</f>
        <v>6.6123072446901368E-2</v>
      </c>
      <c r="I1766">
        <f ca="1">Referencia_Hoy-Master_ventas[[#This Row],[Order Date]]</f>
        <v>1017</v>
      </c>
      <c r="J1766" t="str">
        <f>UPPER(Master_ventas[[#This Row],[Product Name]])</f>
        <v>TABLET</v>
      </c>
      <c r="K1766" t="str">
        <f>UPPER(Master_ventas[[#This Row],[Category]])</f>
        <v>ELECTRONICS</v>
      </c>
      <c r="L1766">
        <f>YEAR(Master_ventas[[#This Row],[Order Date]])</f>
        <v>2024</v>
      </c>
      <c r="M1766" t="str">
        <f>CONCATENATE(LEFT(Master_ventas[[#This Row],[ProdUpper]],3),RIGHT(Master_ventas[[#This Row],[Ext-Year]],2),"-",MID(Master_ventas[[#This Row],[Category]],1,1))</f>
        <v>TAB24-E</v>
      </c>
      <c r="N1766" t="str">
        <f>MID(Master_ventas[[#This Row],[ProdUpper]],1,3)</f>
        <v>TAB</v>
      </c>
      <c r="O1766" t="str">
        <f>UPPER(IF(Master_ventas[[#This Row],[Profit]]&gt;500,"High","Std"))</f>
        <v>STD</v>
      </c>
      <c r="P1766">
        <v>1765</v>
      </c>
    </row>
    <row r="1767" spans="1:16" x14ac:dyDescent="0.3">
      <c r="A1767" s="1">
        <v>45119</v>
      </c>
      <c r="B1767" t="s">
        <v>7</v>
      </c>
      <c r="C1767" t="s">
        <v>8</v>
      </c>
      <c r="D1767" t="s">
        <v>12</v>
      </c>
      <c r="E1767">
        <v>8</v>
      </c>
      <c r="F1767" s="3">
        <v>8952</v>
      </c>
      <c r="G1767" s="2">
        <v>1825.37</v>
      </c>
      <c r="H1767">
        <f>Master_ventas[[#This Row],[Profit]]/Master_ventas[[#This Row],[Sales]]</f>
        <v>0.20390638963360141</v>
      </c>
      <c r="I1767">
        <f ca="1">Referencia_Hoy-Master_ventas[[#This Row],[Order Date]]</f>
        <v>1204</v>
      </c>
      <c r="J1767" t="str">
        <f>UPPER(Master_ventas[[#This Row],[Product Name]])</f>
        <v>PRINTER</v>
      </c>
      <c r="K1767" t="str">
        <f>UPPER(Master_ventas[[#This Row],[Category]])</f>
        <v>OFFICE</v>
      </c>
      <c r="L1767">
        <f>YEAR(Master_ventas[[#This Row],[Order Date]])</f>
        <v>2023</v>
      </c>
      <c r="M1767" t="str">
        <f>CONCATENATE(LEFT(Master_ventas[[#This Row],[ProdUpper]],3),RIGHT(Master_ventas[[#This Row],[Ext-Year]],2),"-",MID(Master_ventas[[#This Row],[Category]],1,1))</f>
        <v>PRI23-O</v>
      </c>
      <c r="N1767" t="str">
        <f>MID(Master_ventas[[#This Row],[ProdUpper]],1,3)</f>
        <v>PRI</v>
      </c>
      <c r="O1767" t="str">
        <f>UPPER(IF(Master_ventas[[#This Row],[Profit]]&gt;500,"High","Std"))</f>
        <v>HIGH</v>
      </c>
      <c r="P1767">
        <v>1766</v>
      </c>
    </row>
    <row r="1768" spans="1:16" x14ac:dyDescent="0.3">
      <c r="A1768" s="1">
        <v>44718</v>
      </c>
      <c r="B1768" t="s">
        <v>10</v>
      </c>
      <c r="C1768" t="s">
        <v>11</v>
      </c>
      <c r="D1768" t="s">
        <v>12</v>
      </c>
      <c r="E1768">
        <v>8</v>
      </c>
      <c r="F1768" s="3">
        <v>416</v>
      </c>
      <c r="G1768" s="2">
        <v>67.81</v>
      </c>
      <c r="H1768">
        <f>Master_ventas[[#This Row],[Profit]]/Master_ventas[[#This Row],[Sales]]</f>
        <v>0.16300480769230768</v>
      </c>
      <c r="I1768">
        <f ca="1">Referencia_Hoy-Master_ventas[[#This Row],[Order Date]]</f>
        <v>1605</v>
      </c>
      <c r="J1768" t="str">
        <f>UPPER(Master_ventas[[#This Row],[Product Name]])</f>
        <v>MOUSE</v>
      </c>
      <c r="K1768" t="str">
        <f>UPPER(Master_ventas[[#This Row],[Category]])</f>
        <v>ACCESSORIES</v>
      </c>
      <c r="L1768">
        <f>YEAR(Master_ventas[[#This Row],[Order Date]])</f>
        <v>2022</v>
      </c>
      <c r="M1768" t="str">
        <f>CONCATENATE(LEFT(Master_ventas[[#This Row],[ProdUpper]],3),RIGHT(Master_ventas[[#This Row],[Ext-Year]],2),"-",MID(Master_ventas[[#This Row],[Category]],1,1))</f>
        <v>MOU22-A</v>
      </c>
      <c r="N1768" t="str">
        <f>MID(Master_ventas[[#This Row],[ProdUpper]],1,3)</f>
        <v>MOU</v>
      </c>
      <c r="O1768" t="str">
        <f>UPPER(IF(Master_ventas[[#This Row],[Profit]]&gt;500,"High","Std"))</f>
        <v>STD</v>
      </c>
      <c r="P1768">
        <v>1767</v>
      </c>
    </row>
    <row r="1769" spans="1:16" x14ac:dyDescent="0.3">
      <c r="A1769" s="1">
        <v>45248</v>
      </c>
      <c r="B1769" t="s">
        <v>21</v>
      </c>
      <c r="C1769" t="s">
        <v>14</v>
      </c>
      <c r="D1769" t="s">
        <v>15</v>
      </c>
      <c r="E1769">
        <v>3</v>
      </c>
      <c r="F1769" s="3">
        <v>1680</v>
      </c>
      <c r="G1769" s="2">
        <v>140.27000000000001</v>
      </c>
      <c r="H1769">
        <f>Master_ventas[[#This Row],[Profit]]/Master_ventas[[#This Row],[Sales]]</f>
        <v>8.3494047619047621E-2</v>
      </c>
      <c r="I1769">
        <f ca="1">Referencia_Hoy-Master_ventas[[#This Row],[Order Date]]</f>
        <v>1075</v>
      </c>
      <c r="J1769" t="str">
        <f>UPPER(Master_ventas[[#This Row],[Product Name]])</f>
        <v>SMARTPHONE</v>
      </c>
      <c r="K1769" t="str">
        <f>UPPER(Master_ventas[[#This Row],[Category]])</f>
        <v>ELECTRONICS</v>
      </c>
      <c r="L1769">
        <f>YEAR(Master_ventas[[#This Row],[Order Date]])</f>
        <v>2023</v>
      </c>
      <c r="M1769" t="str">
        <f>CONCATENATE(LEFT(Master_ventas[[#This Row],[ProdUpper]],3),RIGHT(Master_ventas[[#This Row],[Ext-Year]],2),"-",MID(Master_ventas[[#This Row],[Category]],1,1))</f>
        <v>SMA23-E</v>
      </c>
      <c r="N1769" t="str">
        <f>MID(Master_ventas[[#This Row],[ProdUpper]],1,3)</f>
        <v>SMA</v>
      </c>
      <c r="O1769" t="str">
        <f>UPPER(IF(Master_ventas[[#This Row],[Profit]]&gt;500,"High","Std"))</f>
        <v>STD</v>
      </c>
      <c r="P1769">
        <v>1768</v>
      </c>
    </row>
    <row r="1770" spans="1:16" x14ac:dyDescent="0.3">
      <c r="A1770" s="1">
        <v>44800</v>
      </c>
      <c r="B1770" t="s">
        <v>10</v>
      </c>
      <c r="C1770" t="s">
        <v>11</v>
      </c>
      <c r="D1770" t="s">
        <v>15</v>
      </c>
      <c r="E1770">
        <v>7</v>
      </c>
      <c r="F1770" s="3">
        <v>4340</v>
      </c>
      <c r="G1770" s="2">
        <v>383.9</v>
      </c>
      <c r="H1770">
        <f>Master_ventas[[#This Row],[Profit]]/Master_ventas[[#This Row],[Sales]]</f>
        <v>8.8456221198156673E-2</v>
      </c>
      <c r="I1770">
        <f ca="1">Referencia_Hoy-Master_ventas[[#This Row],[Order Date]]</f>
        <v>1523</v>
      </c>
      <c r="J1770" t="str">
        <f>UPPER(Master_ventas[[#This Row],[Product Name]])</f>
        <v>MOUSE</v>
      </c>
      <c r="K1770" t="str">
        <f>UPPER(Master_ventas[[#This Row],[Category]])</f>
        <v>ACCESSORIES</v>
      </c>
      <c r="L1770">
        <f>YEAR(Master_ventas[[#This Row],[Order Date]])</f>
        <v>2022</v>
      </c>
      <c r="M1770" t="str">
        <f>CONCATENATE(LEFT(Master_ventas[[#This Row],[ProdUpper]],3),RIGHT(Master_ventas[[#This Row],[Ext-Year]],2),"-",MID(Master_ventas[[#This Row],[Category]],1,1))</f>
        <v>MOU22-A</v>
      </c>
      <c r="N1770" t="str">
        <f>MID(Master_ventas[[#This Row],[ProdUpper]],1,3)</f>
        <v>MOU</v>
      </c>
      <c r="O1770" t="str">
        <f>UPPER(IF(Master_ventas[[#This Row],[Profit]]&gt;500,"High","Std"))</f>
        <v>STD</v>
      </c>
      <c r="P1770">
        <v>1769</v>
      </c>
    </row>
    <row r="1771" spans="1:16" x14ac:dyDescent="0.3">
      <c r="A1771" s="1">
        <v>44577</v>
      </c>
      <c r="B1771" t="s">
        <v>23</v>
      </c>
      <c r="C1771" t="s">
        <v>14</v>
      </c>
      <c r="D1771" t="s">
        <v>16</v>
      </c>
      <c r="E1771">
        <v>9</v>
      </c>
      <c r="F1771" s="3">
        <v>7650</v>
      </c>
      <c r="G1771" s="2">
        <v>2130.8200000000002</v>
      </c>
      <c r="H1771">
        <f>Master_ventas[[#This Row],[Profit]]/Master_ventas[[#This Row],[Sales]]</f>
        <v>0.27853856209150329</v>
      </c>
      <c r="I1771">
        <f ca="1">Referencia_Hoy-Master_ventas[[#This Row],[Order Date]]</f>
        <v>1746</v>
      </c>
      <c r="J1771" t="str">
        <f>UPPER(Master_ventas[[#This Row],[Product Name]])</f>
        <v>LAPTOP</v>
      </c>
      <c r="K1771" t="str">
        <f>UPPER(Master_ventas[[#This Row],[Category]])</f>
        <v>ELECTRONICS</v>
      </c>
      <c r="L1771">
        <f>YEAR(Master_ventas[[#This Row],[Order Date]])</f>
        <v>2022</v>
      </c>
      <c r="M1771" t="str">
        <f>CONCATENATE(LEFT(Master_ventas[[#This Row],[ProdUpper]],3),RIGHT(Master_ventas[[#This Row],[Ext-Year]],2),"-",MID(Master_ventas[[#This Row],[Category]],1,1))</f>
        <v>LAP22-E</v>
      </c>
      <c r="N1771" t="str">
        <f>MID(Master_ventas[[#This Row],[ProdUpper]],1,3)</f>
        <v>LAP</v>
      </c>
      <c r="O1771" t="str">
        <f>UPPER(IF(Master_ventas[[#This Row],[Profit]]&gt;500,"High","Std"))</f>
        <v>HIGH</v>
      </c>
      <c r="P1771">
        <v>1770</v>
      </c>
    </row>
    <row r="1772" spans="1:16" x14ac:dyDescent="0.3">
      <c r="A1772" s="1">
        <v>45385</v>
      </c>
      <c r="B1772" t="s">
        <v>19</v>
      </c>
      <c r="C1772" t="s">
        <v>14</v>
      </c>
      <c r="D1772" t="s">
        <v>16</v>
      </c>
      <c r="E1772">
        <v>8</v>
      </c>
      <c r="F1772" s="3">
        <v>6328</v>
      </c>
      <c r="G1772" s="2">
        <v>412.76</v>
      </c>
      <c r="H1772">
        <f>Master_ventas[[#This Row],[Profit]]/Master_ventas[[#This Row],[Sales]]</f>
        <v>6.52275600505689E-2</v>
      </c>
      <c r="I1772">
        <f ca="1">Referencia_Hoy-Master_ventas[[#This Row],[Order Date]]</f>
        <v>938</v>
      </c>
      <c r="J1772" t="str">
        <f>UPPER(Master_ventas[[#This Row],[Product Name]])</f>
        <v>SMARTWATCH</v>
      </c>
      <c r="K1772" t="str">
        <f>UPPER(Master_ventas[[#This Row],[Category]])</f>
        <v>ELECTRONICS</v>
      </c>
      <c r="L1772">
        <f>YEAR(Master_ventas[[#This Row],[Order Date]])</f>
        <v>2024</v>
      </c>
      <c r="M1772" t="str">
        <f>CONCATENATE(LEFT(Master_ventas[[#This Row],[ProdUpper]],3),RIGHT(Master_ventas[[#This Row],[Ext-Year]],2),"-",MID(Master_ventas[[#This Row],[Category]],1,1))</f>
        <v>SMA24-E</v>
      </c>
      <c r="N1772" t="str">
        <f>MID(Master_ventas[[#This Row],[ProdUpper]],1,3)</f>
        <v>SMA</v>
      </c>
      <c r="O1772" t="str">
        <f>UPPER(IF(Master_ventas[[#This Row],[Profit]]&gt;500,"High","Std"))</f>
        <v>STD</v>
      </c>
      <c r="P1772">
        <v>1771</v>
      </c>
    </row>
    <row r="1773" spans="1:16" x14ac:dyDescent="0.3">
      <c r="A1773" s="1">
        <v>44792</v>
      </c>
      <c r="B1773" t="s">
        <v>22</v>
      </c>
      <c r="C1773" t="s">
        <v>11</v>
      </c>
      <c r="D1773" t="s">
        <v>16</v>
      </c>
      <c r="E1773">
        <v>2</v>
      </c>
      <c r="F1773" s="3">
        <v>1312</v>
      </c>
      <c r="G1773" s="2">
        <v>344</v>
      </c>
      <c r="H1773">
        <f>Master_ventas[[#This Row],[Profit]]/Master_ventas[[#This Row],[Sales]]</f>
        <v>0.26219512195121952</v>
      </c>
      <c r="I1773">
        <f ca="1">Referencia_Hoy-Master_ventas[[#This Row],[Order Date]]</f>
        <v>1531</v>
      </c>
      <c r="J1773" t="str">
        <f>UPPER(Master_ventas[[#This Row],[Product Name]])</f>
        <v>KEYBOARD</v>
      </c>
      <c r="K1773" t="str">
        <f>UPPER(Master_ventas[[#This Row],[Category]])</f>
        <v>ACCESSORIES</v>
      </c>
      <c r="L1773">
        <f>YEAR(Master_ventas[[#This Row],[Order Date]])</f>
        <v>2022</v>
      </c>
      <c r="M1773" t="str">
        <f>CONCATENATE(LEFT(Master_ventas[[#This Row],[ProdUpper]],3),RIGHT(Master_ventas[[#This Row],[Ext-Year]],2),"-",MID(Master_ventas[[#This Row],[Category]],1,1))</f>
        <v>KEY22-A</v>
      </c>
      <c r="N1773" t="str">
        <f>MID(Master_ventas[[#This Row],[ProdUpper]],1,3)</f>
        <v>KEY</v>
      </c>
      <c r="O1773" t="str">
        <f>UPPER(IF(Master_ventas[[#This Row],[Profit]]&gt;500,"High","Std"))</f>
        <v>STD</v>
      </c>
      <c r="P1773">
        <v>1772</v>
      </c>
    </row>
    <row r="1774" spans="1:16" x14ac:dyDescent="0.3">
      <c r="A1774" s="1">
        <v>44582</v>
      </c>
      <c r="B1774" t="s">
        <v>17</v>
      </c>
      <c r="C1774" t="s">
        <v>14</v>
      </c>
      <c r="D1774" t="s">
        <v>12</v>
      </c>
      <c r="E1774">
        <v>9</v>
      </c>
      <c r="F1774" s="3">
        <v>8055</v>
      </c>
      <c r="G1774" s="2">
        <v>2300.17</v>
      </c>
      <c r="H1774">
        <f>Master_ventas[[#This Row],[Profit]]/Master_ventas[[#This Row],[Sales]]</f>
        <v>0.28555803848541278</v>
      </c>
      <c r="I1774">
        <f ca="1">Referencia_Hoy-Master_ventas[[#This Row],[Order Date]]</f>
        <v>1741</v>
      </c>
      <c r="J1774" t="str">
        <f>UPPER(Master_ventas[[#This Row],[Product Name]])</f>
        <v>CAMERA</v>
      </c>
      <c r="K1774" t="str">
        <f>UPPER(Master_ventas[[#This Row],[Category]])</f>
        <v>ELECTRONICS</v>
      </c>
      <c r="L1774">
        <f>YEAR(Master_ventas[[#This Row],[Order Date]])</f>
        <v>2022</v>
      </c>
      <c r="M1774" t="str">
        <f>CONCATENATE(LEFT(Master_ventas[[#This Row],[ProdUpper]],3),RIGHT(Master_ventas[[#This Row],[Ext-Year]],2),"-",MID(Master_ventas[[#This Row],[Category]],1,1))</f>
        <v>CAM22-E</v>
      </c>
      <c r="N1774" t="str">
        <f>MID(Master_ventas[[#This Row],[ProdUpper]],1,3)</f>
        <v>CAM</v>
      </c>
      <c r="O1774" t="str">
        <f>UPPER(IF(Master_ventas[[#This Row],[Profit]]&gt;500,"High","Std"))</f>
        <v>HIGH</v>
      </c>
      <c r="P1774">
        <v>1773</v>
      </c>
    </row>
    <row r="1775" spans="1:16" x14ac:dyDescent="0.3">
      <c r="A1775" s="1">
        <v>44639</v>
      </c>
      <c r="B1775" t="s">
        <v>17</v>
      </c>
      <c r="C1775" t="s">
        <v>14</v>
      </c>
      <c r="D1775" t="s">
        <v>15</v>
      </c>
      <c r="E1775">
        <v>2</v>
      </c>
      <c r="F1775" s="3">
        <v>840</v>
      </c>
      <c r="G1775" s="2">
        <v>153.61000000000001</v>
      </c>
      <c r="H1775">
        <f>Master_ventas[[#This Row],[Profit]]/Master_ventas[[#This Row],[Sales]]</f>
        <v>0.18286904761904763</v>
      </c>
      <c r="I1775">
        <f ca="1">Referencia_Hoy-Master_ventas[[#This Row],[Order Date]]</f>
        <v>1684</v>
      </c>
      <c r="J1775" t="str">
        <f>UPPER(Master_ventas[[#This Row],[Product Name]])</f>
        <v>CAMERA</v>
      </c>
      <c r="K1775" t="str">
        <f>UPPER(Master_ventas[[#This Row],[Category]])</f>
        <v>ELECTRONICS</v>
      </c>
      <c r="L1775">
        <f>YEAR(Master_ventas[[#This Row],[Order Date]])</f>
        <v>2022</v>
      </c>
      <c r="M1775" t="str">
        <f>CONCATENATE(LEFT(Master_ventas[[#This Row],[ProdUpper]],3),RIGHT(Master_ventas[[#This Row],[Ext-Year]],2),"-",MID(Master_ventas[[#This Row],[Category]],1,1))</f>
        <v>CAM22-E</v>
      </c>
      <c r="N1775" t="str">
        <f>MID(Master_ventas[[#This Row],[ProdUpper]],1,3)</f>
        <v>CAM</v>
      </c>
      <c r="O1775" t="str">
        <f>UPPER(IF(Master_ventas[[#This Row],[Profit]]&gt;500,"High","Std"))</f>
        <v>STD</v>
      </c>
      <c r="P1775">
        <v>1774</v>
      </c>
    </row>
    <row r="1776" spans="1:16" x14ac:dyDescent="0.3">
      <c r="A1776" s="1">
        <v>45001</v>
      </c>
      <c r="B1776" t="s">
        <v>13</v>
      </c>
      <c r="C1776" t="s">
        <v>14</v>
      </c>
      <c r="D1776" t="s">
        <v>15</v>
      </c>
      <c r="E1776">
        <v>9</v>
      </c>
      <c r="F1776" s="3">
        <v>9423</v>
      </c>
      <c r="G1776" s="2">
        <v>2794.89</v>
      </c>
      <c r="H1776">
        <f>Master_ventas[[#This Row],[Profit]]/Master_ventas[[#This Row],[Sales]]</f>
        <v>0.29660299267749124</v>
      </c>
      <c r="I1776">
        <f ca="1">Referencia_Hoy-Master_ventas[[#This Row],[Order Date]]</f>
        <v>1322</v>
      </c>
      <c r="J1776" t="str">
        <f>UPPER(Master_ventas[[#This Row],[Product Name]])</f>
        <v>TABLET</v>
      </c>
      <c r="K1776" t="str">
        <f>UPPER(Master_ventas[[#This Row],[Category]])</f>
        <v>ELECTRONICS</v>
      </c>
      <c r="L1776">
        <f>YEAR(Master_ventas[[#This Row],[Order Date]])</f>
        <v>2023</v>
      </c>
      <c r="M1776" t="str">
        <f>CONCATENATE(LEFT(Master_ventas[[#This Row],[ProdUpper]],3),RIGHT(Master_ventas[[#This Row],[Ext-Year]],2),"-",MID(Master_ventas[[#This Row],[Category]],1,1))</f>
        <v>TAB23-E</v>
      </c>
      <c r="N1776" t="str">
        <f>MID(Master_ventas[[#This Row],[ProdUpper]],1,3)</f>
        <v>TAB</v>
      </c>
      <c r="O1776" t="str">
        <f>UPPER(IF(Master_ventas[[#This Row],[Profit]]&gt;500,"High","Std"))</f>
        <v>HIGH</v>
      </c>
      <c r="P1776">
        <v>1775</v>
      </c>
    </row>
    <row r="1777" spans="1:16" x14ac:dyDescent="0.3">
      <c r="A1777" s="1">
        <v>45290</v>
      </c>
      <c r="B1777" t="s">
        <v>20</v>
      </c>
      <c r="C1777" t="s">
        <v>11</v>
      </c>
      <c r="D1777" t="s">
        <v>9</v>
      </c>
      <c r="E1777">
        <v>8</v>
      </c>
      <c r="F1777" s="3">
        <v>6520</v>
      </c>
      <c r="G1777" s="2">
        <v>1113.1199999999999</v>
      </c>
      <c r="H1777">
        <f>Master_ventas[[#This Row],[Profit]]/Master_ventas[[#This Row],[Sales]]</f>
        <v>0.17072392638036807</v>
      </c>
      <c r="I1777">
        <f ca="1">Referencia_Hoy-Master_ventas[[#This Row],[Order Date]]</f>
        <v>1033</v>
      </c>
      <c r="J1777" t="str">
        <f>UPPER(Master_ventas[[#This Row],[Product Name]])</f>
        <v>MONITOR</v>
      </c>
      <c r="K1777" t="str">
        <f>UPPER(Master_ventas[[#This Row],[Category]])</f>
        <v>ACCESSORIES</v>
      </c>
      <c r="L1777">
        <f>YEAR(Master_ventas[[#This Row],[Order Date]])</f>
        <v>2023</v>
      </c>
      <c r="M1777" t="str">
        <f>CONCATENATE(LEFT(Master_ventas[[#This Row],[ProdUpper]],3),RIGHT(Master_ventas[[#This Row],[Ext-Year]],2),"-",MID(Master_ventas[[#This Row],[Category]],1,1))</f>
        <v>MON23-A</v>
      </c>
      <c r="N1777" t="str">
        <f>MID(Master_ventas[[#This Row],[ProdUpper]],1,3)</f>
        <v>MON</v>
      </c>
      <c r="O1777" t="str">
        <f>UPPER(IF(Master_ventas[[#This Row],[Profit]]&gt;500,"High","Std"))</f>
        <v>HIGH</v>
      </c>
      <c r="P1777">
        <v>1776</v>
      </c>
    </row>
    <row r="1778" spans="1:16" x14ac:dyDescent="0.3">
      <c r="A1778" s="1">
        <v>44854</v>
      </c>
      <c r="B1778" t="s">
        <v>23</v>
      </c>
      <c r="C1778" t="s">
        <v>14</v>
      </c>
      <c r="D1778" t="s">
        <v>9</v>
      </c>
      <c r="E1778">
        <v>3</v>
      </c>
      <c r="F1778" s="3">
        <v>1950</v>
      </c>
      <c r="G1778" s="2">
        <v>116.12</v>
      </c>
      <c r="H1778">
        <f>Master_ventas[[#This Row],[Profit]]/Master_ventas[[#This Row],[Sales]]</f>
        <v>5.9548717948717952E-2</v>
      </c>
      <c r="I1778">
        <f ca="1">Referencia_Hoy-Master_ventas[[#This Row],[Order Date]]</f>
        <v>1469</v>
      </c>
      <c r="J1778" t="str">
        <f>UPPER(Master_ventas[[#This Row],[Product Name]])</f>
        <v>LAPTOP</v>
      </c>
      <c r="K1778" t="str">
        <f>UPPER(Master_ventas[[#This Row],[Category]])</f>
        <v>ELECTRONICS</v>
      </c>
      <c r="L1778">
        <f>YEAR(Master_ventas[[#This Row],[Order Date]])</f>
        <v>2022</v>
      </c>
      <c r="M1778" t="str">
        <f>CONCATENATE(LEFT(Master_ventas[[#This Row],[ProdUpper]],3),RIGHT(Master_ventas[[#This Row],[Ext-Year]],2),"-",MID(Master_ventas[[#This Row],[Category]],1,1))</f>
        <v>LAP22-E</v>
      </c>
      <c r="N1778" t="str">
        <f>MID(Master_ventas[[#This Row],[ProdUpper]],1,3)</f>
        <v>LAP</v>
      </c>
      <c r="O1778" t="str">
        <f>UPPER(IF(Master_ventas[[#This Row],[Profit]]&gt;500,"High","Std"))</f>
        <v>STD</v>
      </c>
      <c r="P1778">
        <v>1777</v>
      </c>
    </row>
    <row r="1779" spans="1:16" x14ac:dyDescent="0.3">
      <c r="A1779" s="1">
        <v>45215</v>
      </c>
      <c r="B1779" t="s">
        <v>17</v>
      </c>
      <c r="C1779" t="s">
        <v>14</v>
      </c>
      <c r="D1779" t="s">
        <v>15</v>
      </c>
      <c r="E1779">
        <v>6</v>
      </c>
      <c r="F1779" s="3">
        <v>5928</v>
      </c>
      <c r="G1779" s="2">
        <v>1177.2</v>
      </c>
      <c r="H1779">
        <f>Master_ventas[[#This Row],[Profit]]/Master_ventas[[#This Row],[Sales]]</f>
        <v>0.19858299595141701</v>
      </c>
      <c r="I1779">
        <f ca="1">Referencia_Hoy-Master_ventas[[#This Row],[Order Date]]</f>
        <v>1108</v>
      </c>
      <c r="J1779" t="str">
        <f>UPPER(Master_ventas[[#This Row],[Product Name]])</f>
        <v>CAMERA</v>
      </c>
      <c r="K1779" t="str">
        <f>UPPER(Master_ventas[[#This Row],[Category]])</f>
        <v>ELECTRONICS</v>
      </c>
      <c r="L1779">
        <f>YEAR(Master_ventas[[#This Row],[Order Date]])</f>
        <v>2023</v>
      </c>
      <c r="M1779" t="str">
        <f>CONCATENATE(LEFT(Master_ventas[[#This Row],[ProdUpper]],3),RIGHT(Master_ventas[[#This Row],[Ext-Year]],2),"-",MID(Master_ventas[[#This Row],[Category]],1,1))</f>
        <v>CAM23-E</v>
      </c>
      <c r="N1779" t="str">
        <f>MID(Master_ventas[[#This Row],[ProdUpper]],1,3)</f>
        <v>CAM</v>
      </c>
      <c r="O1779" t="str">
        <f>UPPER(IF(Master_ventas[[#This Row],[Profit]]&gt;500,"High","Std"))</f>
        <v>HIGH</v>
      </c>
      <c r="P1779">
        <v>1778</v>
      </c>
    </row>
    <row r="1780" spans="1:16" x14ac:dyDescent="0.3">
      <c r="A1780" s="1">
        <v>45136</v>
      </c>
      <c r="B1780" t="s">
        <v>17</v>
      </c>
      <c r="C1780" t="s">
        <v>14</v>
      </c>
      <c r="D1780" t="s">
        <v>15</v>
      </c>
      <c r="E1780">
        <v>7</v>
      </c>
      <c r="F1780" s="3">
        <v>4809</v>
      </c>
      <c r="G1780" s="2">
        <v>1418.72</v>
      </c>
      <c r="H1780">
        <f>Master_ventas[[#This Row],[Profit]]/Master_ventas[[#This Row],[Sales]]</f>
        <v>0.29501351632355999</v>
      </c>
      <c r="I1780">
        <f ca="1">Referencia_Hoy-Master_ventas[[#This Row],[Order Date]]</f>
        <v>1187</v>
      </c>
      <c r="J1780" t="str">
        <f>UPPER(Master_ventas[[#This Row],[Product Name]])</f>
        <v>CAMERA</v>
      </c>
      <c r="K1780" t="str">
        <f>UPPER(Master_ventas[[#This Row],[Category]])</f>
        <v>ELECTRONICS</v>
      </c>
      <c r="L1780">
        <f>YEAR(Master_ventas[[#This Row],[Order Date]])</f>
        <v>2023</v>
      </c>
      <c r="M1780" t="str">
        <f>CONCATENATE(LEFT(Master_ventas[[#This Row],[ProdUpper]],3),RIGHT(Master_ventas[[#This Row],[Ext-Year]],2),"-",MID(Master_ventas[[#This Row],[Category]],1,1))</f>
        <v>CAM23-E</v>
      </c>
      <c r="N1780" t="str">
        <f>MID(Master_ventas[[#This Row],[ProdUpper]],1,3)</f>
        <v>CAM</v>
      </c>
      <c r="O1780" t="str">
        <f>UPPER(IF(Master_ventas[[#This Row],[Profit]]&gt;500,"High","Std"))</f>
        <v>HIGH</v>
      </c>
      <c r="P1780">
        <v>1779</v>
      </c>
    </row>
    <row r="1781" spans="1:16" x14ac:dyDescent="0.3">
      <c r="A1781" s="1">
        <v>45081</v>
      </c>
      <c r="B1781" t="s">
        <v>21</v>
      </c>
      <c r="C1781" t="s">
        <v>14</v>
      </c>
      <c r="D1781" t="s">
        <v>16</v>
      </c>
      <c r="E1781">
        <v>4</v>
      </c>
      <c r="F1781" s="3">
        <v>356</v>
      </c>
      <c r="G1781" s="2">
        <v>23.4</v>
      </c>
      <c r="H1781">
        <f>Master_ventas[[#This Row],[Profit]]/Master_ventas[[#This Row],[Sales]]</f>
        <v>6.5730337078651682E-2</v>
      </c>
      <c r="I1781">
        <f ca="1">Referencia_Hoy-Master_ventas[[#This Row],[Order Date]]</f>
        <v>1242</v>
      </c>
      <c r="J1781" t="str">
        <f>UPPER(Master_ventas[[#This Row],[Product Name]])</f>
        <v>SMARTPHONE</v>
      </c>
      <c r="K1781" t="str">
        <f>UPPER(Master_ventas[[#This Row],[Category]])</f>
        <v>ELECTRONICS</v>
      </c>
      <c r="L1781">
        <f>YEAR(Master_ventas[[#This Row],[Order Date]])</f>
        <v>2023</v>
      </c>
      <c r="M1781" t="str">
        <f>CONCATENATE(LEFT(Master_ventas[[#This Row],[ProdUpper]],3),RIGHT(Master_ventas[[#This Row],[Ext-Year]],2),"-",MID(Master_ventas[[#This Row],[Category]],1,1))</f>
        <v>SMA23-E</v>
      </c>
      <c r="N1781" t="str">
        <f>MID(Master_ventas[[#This Row],[ProdUpper]],1,3)</f>
        <v>SMA</v>
      </c>
      <c r="O1781" t="str">
        <f>UPPER(IF(Master_ventas[[#This Row],[Profit]]&gt;500,"High","Std"))</f>
        <v>STD</v>
      </c>
      <c r="P1781">
        <v>1780</v>
      </c>
    </row>
    <row r="1782" spans="1:16" x14ac:dyDescent="0.3">
      <c r="A1782" s="1">
        <v>45044</v>
      </c>
      <c r="B1782" t="s">
        <v>23</v>
      </c>
      <c r="C1782" t="s">
        <v>14</v>
      </c>
      <c r="D1782" t="s">
        <v>15</v>
      </c>
      <c r="E1782">
        <v>2</v>
      </c>
      <c r="F1782" s="3">
        <v>570</v>
      </c>
      <c r="G1782" s="2">
        <v>94.39</v>
      </c>
      <c r="H1782">
        <f>Master_ventas[[#This Row],[Profit]]/Master_ventas[[#This Row],[Sales]]</f>
        <v>0.16559649122807019</v>
      </c>
      <c r="I1782">
        <f ca="1">Referencia_Hoy-Master_ventas[[#This Row],[Order Date]]</f>
        <v>1279</v>
      </c>
      <c r="J1782" t="str">
        <f>UPPER(Master_ventas[[#This Row],[Product Name]])</f>
        <v>LAPTOP</v>
      </c>
      <c r="K1782" t="str">
        <f>UPPER(Master_ventas[[#This Row],[Category]])</f>
        <v>ELECTRONICS</v>
      </c>
      <c r="L1782">
        <f>YEAR(Master_ventas[[#This Row],[Order Date]])</f>
        <v>2023</v>
      </c>
      <c r="M1782" t="str">
        <f>CONCATENATE(LEFT(Master_ventas[[#This Row],[ProdUpper]],3),RIGHT(Master_ventas[[#This Row],[Ext-Year]],2),"-",MID(Master_ventas[[#This Row],[Category]],1,1))</f>
        <v>LAP23-E</v>
      </c>
      <c r="N1782" t="str">
        <f>MID(Master_ventas[[#This Row],[ProdUpper]],1,3)</f>
        <v>LAP</v>
      </c>
      <c r="O1782" t="str">
        <f>UPPER(IF(Master_ventas[[#This Row],[Profit]]&gt;500,"High","Std"))</f>
        <v>STD</v>
      </c>
      <c r="P1782">
        <v>1781</v>
      </c>
    </row>
    <row r="1783" spans="1:16" x14ac:dyDescent="0.3">
      <c r="A1783" s="1">
        <v>44694</v>
      </c>
      <c r="B1783" t="s">
        <v>20</v>
      </c>
      <c r="C1783" t="s">
        <v>11</v>
      </c>
      <c r="D1783" t="s">
        <v>12</v>
      </c>
      <c r="E1783">
        <v>7</v>
      </c>
      <c r="F1783" s="3">
        <v>7791</v>
      </c>
      <c r="G1783" s="2">
        <v>907.96</v>
      </c>
      <c r="H1783">
        <f>Master_ventas[[#This Row],[Profit]]/Master_ventas[[#This Row],[Sales]]</f>
        <v>0.11653959697086382</v>
      </c>
      <c r="I1783">
        <f ca="1">Referencia_Hoy-Master_ventas[[#This Row],[Order Date]]</f>
        <v>1629</v>
      </c>
      <c r="J1783" t="str">
        <f>UPPER(Master_ventas[[#This Row],[Product Name]])</f>
        <v>MONITOR</v>
      </c>
      <c r="K1783" t="str">
        <f>UPPER(Master_ventas[[#This Row],[Category]])</f>
        <v>ACCESSORIES</v>
      </c>
      <c r="L1783">
        <f>YEAR(Master_ventas[[#This Row],[Order Date]])</f>
        <v>2022</v>
      </c>
      <c r="M1783" t="str">
        <f>CONCATENATE(LEFT(Master_ventas[[#This Row],[ProdUpper]],3),RIGHT(Master_ventas[[#This Row],[Ext-Year]],2),"-",MID(Master_ventas[[#This Row],[Category]],1,1))</f>
        <v>MON22-A</v>
      </c>
      <c r="N1783" t="str">
        <f>MID(Master_ventas[[#This Row],[ProdUpper]],1,3)</f>
        <v>MON</v>
      </c>
      <c r="O1783" t="str">
        <f>UPPER(IF(Master_ventas[[#This Row],[Profit]]&gt;500,"High","Std"))</f>
        <v>HIGH</v>
      </c>
      <c r="P1783">
        <v>1782</v>
      </c>
    </row>
    <row r="1784" spans="1:16" x14ac:dyDescent="0.3">
      <c r="A1784" s="1">
        <v>45422</v>
      </c>
      <c r="B1784" t="s">
        <v>19</v>
      </c>
      <c r="C1784" t="s">
        <v>14</v>
      </c>
      <c r="D1784" t="s">
        <v>12</v>
      </c>
      <c r="E1784">
        <v>4</v>
      </c>
      <c r="F1784" s="3">
        <v>4168</v>
      </c>
      <c r="G1784" s="2">
        <v>494.48</v>
      </c>
      <c r="H1784">
        <f>Master_ventas[[#This Row],[Profit]]/Master_ventas[[#This Row],[Sales]]</f>
        <v>0.11863723608445298</v>
      </c>
      <c r="I1784">
        <f ca="1">Referencia_Hoy-Master_ventas[[#This Row],[Order Date]]</f>
        <v>901</v>
      </c>
      <c r="J1784" t="str">
        <f>UPPER(Master_ventas[[#This Row],[Product Name]])</f>
        <v>SMARTWATCH</v>
      </c>
      <c r="K1784" t="str">
        <f>UPPER(Master_ventas[[#This Row],[Category]])</f>
        <v>ELECTRONICS</v>
      </c>
      <c r="L1784">
        <f>YEAR(Master_ventas[[#This Row],[Order Date]])</f>
        <v>2024</v>
      </c>
      <c r="M1784" t="str">
        <f>CONCATENATE(LEFT(Master_ventas[[#This Row],[ProdUpper]],3),RIGHT(Master_ventas[[#This Row],[Ext-Year]],2),"-",MID(Master_ventas[[#This Row],[Category]],1,1))</f>
        <v>SMA24-E</v>
      </c>
      <c r="N1784" t="str">
        <f>MID(Master_ventas[[#This Row],[ProdUpper]],1,3)</f>
        <v>SMA</v>
      </c>
      <c r="O1784" t="str">
        <f>UPPER(IF(Master_ventas[[#This Row],[Profit]]&gt;500,"High","Std"))</f>
        <v>STD</v>
      </c>
      <c r="P1784">
        <v>1783</v>
      </c>
    </row>
    <row r="1785" spans="1:16" x14ac:dyDescent="0.3">
      <c r="A1785" s="1">
        <v>45159</v>
      </c>
      <c r="B1785" t="s">
        <v>13</v>
      </c>
      <c r="C1785" t="s">
        <v>14</v>
      </c>
      <c r="D1785" t="s">
        <v>9</v>
      </c>
      <c r="E1785">
        <v>2</v>
      </c>
      <c r="F1785" s="3">
        <v>684</v>
      </c>
      <c r="G1785" s="2">
        <v>183.85</v>
      </c>
      <c r="H1785">
        <f>Master_ventas[[#This Row],[Profit]]/Master_ventas[[#This Row],[Sales]]</f>
        <v>0.26878654970760235</v>
      </c>
      <c r="I1785">
        <f ca="1">Referencia_Hoy-Master_ventas[[#This Row],[Order Date]]</f>
        <v>1164</v>
      </c>
      <c r="J1785" t="str">
        <f>UPPER(Master_ventas[[#This Row],[Product Name]])</f>
        <v>TABLET</v>
      </c>
      <c r="K1785" t="str">
        <f>UPPER(Master_ventas[[#This Row],[Category]])</f>
        <v>ELECTRONICS</v>
      </c>
      <c r="L1785">
        <f>YEAR(Master_ventas[[#This Row],[Order Date]])</f>
        <v>2023</v>
      </c>
      <c r="M1785" t="str">
        <f>CONCATENATE(LEFT(Master_ventas[[#This Row],[ProdUpper]],3),RIGHT(Master_ventas[[#This Row],[Ext-Year]],2),"-",MID(Master_ventas[[#This Row],[Category]],1,1))</f>
        <v>TAB23-E</v>
      </c>
      <c r="N1785" t="str">
        <f>MID(Master_ventas[[#This Row],[ProdUpper]],1,3)</f>
        <v>TAB</v>
      </c>
      <c r="O1785" t="str">
        <f>UPPER(IF(Master_ventas[[#This Row],[Profit]]&gt;500,"High","Std"))</f>
        <v>STD</v>
      </c>
      <c r="P1785">
        <v>1784</v>
      </c>
    </row>
    <row r="1786" spans="1:16" x14ac:dyDescent="0.3">
      <c r="A1786" s="1">
        <v>45296</v>
      </c>
      <c r="B1786" t="s">
        <v>21</v>
      </c>
      <c r="C1786" t="s">
        <v>14</v>
      </c>
      <c r="D1786" t="s">
        <v>12</v>
      </c>
      <c r="E1786">
        <v>7</v>
      </c>
      <c r="F1786" s="3">
        <v>3857</v>
      </c>
      <c r="G1786" s="2">
        <v>447.99</v>
      </c>
      <c r="H1786">
        <f>Master_ventas[[#This Row],[Profit]]/Master_ventas[[#This Row],[Sales]]</f>
        <v>0.11614985740212601</v>
      </c>
      <c r="I1786">
        <f ca="1">Referencia_Hoy-Master_ventas[[#This Row],[Order Date]]</f>
        <v>1027</v>
      </c>
      <c r="J1786" t="str">
        <f>UPPER(Master_ventas[[#This Row],[Product Name]])</f>
        <v>SMARTPHONE</v>
      </c>
      <c r="K1786" t="str">
        <f>UPPER(Master_ventas[[#This Row],[Category]])</f>
        <v>ELECTRONICS</v>
      </c>
      <c r="L1786">
        <f>YEAR(Master_ventas[[#This Row],[Order Date]])</f>
        <v>2024</v>
      </c>
      <c r="M1786" t="str">
        <f>CONCATENATE(LEFT(Master_ventas[[#This Row],[ProdUpper]],3),RIGHT(Master_ventas[[#This Row],[Ext-Year]],2),"-",MID(Master_ventas[[#This Row],[Category]],1,1))</f>
        <v>SMA24-E</v>
      </c>
      <c r="N1786" t="str">
        <f>MID(Master_ventas[[#This Row],[ProdUpper]],1,3)</f>
        <v>SMA</v>
      </c>
      <c r="O1786" t="str">
        <f>UPPER(IF(Master_ventas[[#This Row],[Profit]]&gt;500,"High","Std"))</f>
        <v>STD</v>
      </c>
      <c r="P1786">
        <v>1785</v>
      </c>
    </row>
    <row r="1787" spans="1:16" x14ac:dyDescent="0.3">
      <c r="A1787" s="1">
        <v>45542</v>
      </c>
      <c r="B1787" t="s">
        <v>17</v>
      </c>
      <c r="C1787" t="s">
        <v>14</v>
      </c>
      <c r="D1787" t="s">
        <v>9</v>
      </c>
      <c r="E1787">
        <v>5</v>
      </c>
      <c r="F1787" s="3">
        <v>3250</v>
      </c>
      <c r="G1787" s="2">
        <v>699.99</v>
      </c>
      <c r="H1787">
        <f>Master_ventas[[#This Row],[Profit]]/Master_ventas[[#This Row],[Sales]]</f>
        <v>0.21538153846153846</v>
      </c>
      <c r="I1787">
        <f ca="1">Referencia_Hoy-Master_ventas[[#This Row],[Order Date]]</f>
        <v>781</v>
      </c>
      <c r="J1787" t="str">
        <f>UPPER(Master_ventas[[#This Row],[Product Name]])</f>
        <v>CAMERA</v>
      </c>
      <c r="K1787" t="str">
        <f>UPPER(Master_ventas[[#This Row],[Category]])</f>
        <v>ELECTRONICS</v>
      </c>
      <c r="L1787">
        <f>YEAR(Master_ventas[[#This Row],[Order Date]])</f>
        <v>2024</v>
      </c>
      <c r="M1787" t="str">
        <f>CONCATENATE(LEFT(Master_ventas[[#This Row],[ProdUpper]],3),RIGHT(Master_ventas[[#This Row],[Ext-Year]],2),"-",MID(Master_ventas[[#This Row],[Category]],1,1))</f>
        <v>CAM24-E</v>
      </c>
      <c r="N1787" t="str">
        <f>MID(Master_ventas[[#This Row],[ProdUpper]],1,3)</f>
        <v>CAM</v>
      </c>
      <c r="O1787" t="str">
        <f>UPPER(IF(Master_ventas[[#This Row],[Profit]]&gt;500,"High","Std"))</f>
        <v>HIGH</v>
      </c>
      <c r="P1787">
        <v>1786</v>
      </c>
    </row>
    <row r="1788" spans="1:16" x14ac:dyDescent="0.3">
      <c r="A1788" s="1">
        <v>45141</v>
      </c>
      <c r="B1788" t="s">
        <v>7</v>
      </c>
      <c r="C1788" t="s">
        <v>8</v>
      </c>
      <c r="D1788" t="s">
        <v>9</v>
      </c>
      <c r="E1788">
        <v>6</v>
      </c>
      <c r="F1788" s="3">
        <v>1194</v>
      </c>
      <c r="G1788" s="2">
        <v>79.62</v>
      </c>
      <c r="H1788">
        <f>Master_ventas[[#This Row],[Profit]]/Master_ventas[[#This Row],[Sales]]</f>
        <v>6.6683417085427146E-2</v>
      </c>
      <c r="I1788">
        <f ca="1">Referencia_Hoy-Master_ventas[[#This Row],[Order Date]]</f>
        <v>1182</v>
      </c>
      <c r="J1788" t="str">
        <f>UPPER(Master_ventas[[#This Row],[Product Name]])</f>
        <v>PRINTER</v>
      </c>
      <c r="K1788" t="str">
        <f>UPPER(Master_ventas[[#This Row],[Category]])</f>
        <v>OFFICE</v>
      </c>
      <c r="L1788">
        <f>YEAR(Master_ventas[[#This Row],[Order Date]])</f>
        <v>2023</v>
      </c>
      <c r="M1788" t="str">
        <f>CONCATENATE(LEFT(Master_ventas[[#This Row],[ProdUpper]],3),RIGHT(Master_ventas[[#This Row],[Ext-Year]],2),"-",MID(Master_ventas[[#This Row],[Category]],1,1))</f>
        <v>PRI23-O</v>
      </c>
      <c r="N1788" t="str">
        <f>MID(Master_ventas[[#This Row],[ProdUpper]],1,3)</f>
        <v>PRI</v>
      </c>
      <c r="O1788" t="str">
        <f>UPPER(IF(Master_ventas[[#This Row],[Profit]]&gt;500,"High","Std"))</f>
        <v>STD</v>
      </c>
      <c r="P1788">
        <v>1787</v>
      </c>
    </row>
    <row r="1789" spans="1:16" x14ac:dyDescent="0.3">
      <c r="A1789" s="1">
        <v>45053</v>
      </c>
      <c r="B1789" t="s">
        <v>23</v>
      </c>
      <c r="C1789" t="s">
        <v>14</v>
      </c>
      <c r="D1789" t="s">
        <v>16</v>
      </c>
      <c r="E1789">
        <v>6</v>
      </c>
      <c r="F1789" s="3">
        <v>3486</v>
      </c>
      <c r="G1789" s="2">
        <v>320.91000000000003</v>
      </c>
      <c r="H1789">
        <f>Master_ventas[[#This Row],[Profit]]/Master_ventas[[#This Row],[Sales]]</f>
        <v>9.2056798623063693E-2</v>
      </c>
      <c r="I1789">
        <f ca="1">Referencia_Hoy-Master_ventas[[#This Row],[Order Date]]</f>
        <v>1270</v>
      </c>
      <c r="J1789" t="str">
        <f>UPPER(Master_ventas[[#This Row],[Product Name]])</f>
        <v>LAPTOP</v>
      </c>
      <c r="K1789" t="str">
        <f>UPPER(Master_ventas[[#This Row],[Category]])</f>
        <v>ELECTRONICS</v>
      </c>
      <c r="L1789">
        <f>YEAR(Master_ventas[[#This Row],[Order Date]])</f>
        <v>2023</v>
      </c>
      <c r="M1789" t="str">
        <f>CONCATENATE(LEFT(Master_ventas[[#This Row],[ProdUpper]],3),RIGHT(Master_ventas[[#This Row],[Ext-Year]],2),"-",MID(Master_ventas[[#This Row],[Category]],1,1))</f>
        <v>LAP23-E</v>
      </c>
      <c r="N1789" t="str">
        <f>MID(Master_ventas[[#This Row],[ProdUpper]],1,3)</f>
        <v>LAP</v>
      </c>
      <c r="O1789" t="str">
        <f>UPPER(IF(Master_ventas[[#This Row],[Profit]]&gt;500,"High","Std"))</f>
        <v>STD</v>
      </c>
      <c r="P1789">
        <v>1788</v>
      </c>
    </row>
    <row r="1790" spans="1:16" x14ac:dyDescent="0.3">
      <c r="A1790" s="1">
        <v>44778</v>
      </c>
      <c r="B1790" t="s">
        <v>20</v>
      </c>
      <c r="C1790" t="s">
        <v>11</v>
      </c>
      <c r="D1790" t="s">
        <v>16</v>
      </c>
      <c r="E1790">
        <v>7</v>
      </c>
      <c r="F1790" s="3">
        <v>1554</v>
      </c>
      <c r="G1790" s="2">
        <v>370.97</v>
      </c>
      <c r="H1790">
        <f>Master_ventas[[#This Row],[Profit]]/Master_ventas[[#This Row],[Sales]]</f>
        <v>0.23871943371943374</v>
      </c>
      <c r="I1790">
        <f ca="1">Referencia_Hoy-Master_ventas[[#This Row],[Order Date]]</f>
        <v>1545</v>
      </c>
      <c r="J1790" t="str">
        <f>UPPER(Master_ventas[[#This Row],[Product Name]])</f>
        <v>MONITOR</v>
      </c>
      <c r="K1790" t="str">
        <f>UPPER(Master_ventas[[#This Row],[Category]])</f>
        <v>ACCESSORIES</v>
      </c>
      <c r="L1790">
        <f>YEAR(Master_ventas[[#This Row],[Order Date]])</f>
        <v>2022</v>
      </c>
      <c r="M1790" t="str">
        <f>CONCATENATE(LEFT(Master_ventas[[#This Row],[ProdUpper]],3),RIGHT(Master_ventas[[#This Row],[Ext-Year]],2),"-",MID(Master_ventas[[#This Row],[Category]],1,1))</f>
        <v>MON22-A</v>
      </c>
      <c r="N1790" t="str">
        <f>MID(Master_ventas[[#This Row],[ProdUpper]],1,3)</f>
        <v>MON</v>
      </c>
      <c r="O1790" t="str">
        <f>UPPER(IF(Master_ventas[[#This Row],[Profit]]&gt;500,"High","Std"))</f>
        <v>STD</v>
      </c>
      <c r="P1790">
        <v>1789</v>
      </c>
    </row>
    <row r="1791" spans="1:16" x14ac:dyDescent="0.3">
      <c r="A1791" s="1">
        <v>45492</v>
      </c>
      <c r="B1791" t="s">
        <v>19</v>
      </c>
      <c r="C1791" t="s">
        <v>14</v>
      </c>
      <c r="D1791" t="s">
        <v>9</v>
      </c>
      <c r="E1791">
        <v>3</v>
      </c>
      <c r="F1791" s="3">
        <v>2601</v>
      </c>
      <c r="G1791" s="2">
        <v>463.36</v>
      </c>
      <c r="H1791">
        <f>Master_ventas[[#This Row],[Profit]]/Master_ventas[[#This Row],[Sales]]</f>
        <v>0.17814686658977316</v>
      </c>
      <c r="I1791">
        <f ca="1">Referencia_Hoy-Master_ventas[[#This Row],[Order Date]]</f>
        <v>831</v>
      </c>
      <c r="J1791" t="str">
        <f>UPPER(Master_ventas[[#This Row],[Product Name]])</f>
        <v>SMARTWATCH</v>
      </c>
      <c r="K1791" t="str">
        <f>UPPER(Master_ventas[[#This Row],[Category]])</f>
        <v>ELECTRONICS</v>
      </c>
      <c r="L1791">
        <f>YEAR(Master_ventas[[#This Row],[Order Date]])</f>
        <v>2024</v>
      </c>
      <c r="M1791" t="str">
        <f>CONCATENATE(LEFT(Master_ventas[[#This Row],[ProdUpper]],3),RIGHT(Master_ventas[[#This Row],[Ext-Year]],2),"-",MID(Master_ventas[[#This Row],[Category]],1,1))</f>
        <v>SMA24-E</v>
      </c>
      <c r="N1791" t="str">
        <f>MID(Master_ventas[[#This Row],[ProdUpper]],1,3)</f>
        <v>SMA</v>
      </c>
      <c r="O1791" t="str">
        <f>UPPER(IF(Master_ventas[[#This Row],[Profit]]&gt;500,"High","Std"))</f>
        <v>STD</v>
      </c>
      <c r="P1791">
        <v>1790</v>
      </c>
    </row>
    <row r="1792" spans="1:16" x14ac:dyDescent="0.3">
      <c r="A1792" s="1">
        <v>44880</v>
      </c>
      <c r="B1792" t="s">
        <v>18</v>
      </c>
      <c r="C1792" t="s">
        <v>11</v>
      </c>
      <c r="D1792" t="s">
        <v>16</v>
      </c>
      <c r="E1792">
        <v>4</v>
      </c>
      <c r="F1792" s="3">
        <v>3616</v>
      </c>
      <c r="G1792" s="2">
        <v>745.75</v>
      </c>
      <c r="H1792">
        <f>Master_ventas[[#This Row],[Profit]]/Master_ventas[[#This Row],[Sales]]</f>
        <v>0.20623617256637169</v>
      </c>
      <c r="I1792">
        <f ca="1">Referencia_Hoy-Master_ventas[[#This Row],[Order Date]]</f>
        <v>1443</v>
      </c>
      <c r="J1792" t="str">
        <f>UPPER(Master_ventas[[#This Row],[Product Name]])</f>
        <v>HEADPHONES</v>
      </c>
      <c r="K1792" t="str">
        <f>UPPER(Master_ventas[[#This Row],[Category]])</f>
        <v>ACCESSORIES</v>
      </c>
      <c r="L1792">
        <f>YEAR(Master_ventas[[#This Row],[Order Date]])</f>
        <v>2022</v>
      </c>
      <c r="M1792" t="str">
        <f>CONCATENATE(LEFT(Master_ventas[[#This Row],[ProdUpper]],3),RIGHT(Master_ventas[[#This Row],[Ext-Year]],2),"-",MID(Master_ventas[[#This Row],[Category]],1,1))</f>
        <v>HEA22-A</v>
      </c>
      <c r="N1792" t="str">
        <f>MID(Master_ventas[[#This Row],[ProdUpper]],1,3)</f>
        <v>HEA</v>
      </c>
      <c r="O1792" t="str">
        <f>UPPER(IF(Master_ventas[[#This Row],[Profit]]&gt;500,"High","Std"))</f>
        <v>HIGH</v>
      </c>
      <c r="P1792">
        <v>1791</v>
      </c>
    </row>
    <row r="1793" spans="1:16" x14ac:dyDescent="0.3">
      <c r="A1793" s="1">
        <v>44958</v>
      </c>
      <c r="B1793" t="s">
        <v>10</v>
      </c>
      <c r="C1793" t="s">
        <v>11</v>
      </c>
      <c r="D1793" t="s">
        <v>16</v>
      </c>
      <c r="E1793">
        <v>5</v>
      </c>
      <c r="F1793" s="3">
        <v>3350</v>
      </c>
      <c r="G1793" s="2">
        <v>986.33</v>
      </c>
      <c r="H1793">
        <f>Master_ventas[[#This Row],[Profit]]/Master_ventas[[#This Row],[Sales]]</f>
        <v>0.29442686567164178</v>
      </c>
      <c r="I1793">
        <f ca="1">Referencia_Hoy-Master_ventas[[#This Row],[Order Date]]</f>
        <v>1365</v>
      </c>
      <c r="J1793" t="str">
        <f>UPPER(Master_ventas[[#This Row],[Product Name]])</f>
        <v>MOUSE</v>
      </c>
      <c r="K1793" t="str">
        <f>UPPER(Master_ventas[[#This Row],[Category]])</f>
        <v>ACCESSORIES</v>
      </c>
      <c r="L1793">
        <f>YEAR(Master_ventas[[#This Row],[Order Date]])</f>
        <v>2023</v>
      </c>
      <c r="M1793" t="str">
        <f>CONCATENATE(LEFT(Master_ventas[[#This Row],[ProdUpper]],3),RIGHT(Master_ventas[[#This Row],[Ext-Year]],2),"-",MID(Master_ventas[[#This Row],[Category]],1,1))</f>
        <v>MOU23-A</v>
      </c>
      <c r="N1793" t="str">
        <f>MID(Master_ventas[[#This Row],[ProdUpper]],1,3)</f>
        <v>MOU</v>
      </c>
      <c r="O1793" t="str">
        <f>UPPER(IF(Master_ventas[[#This Row],[Profit]]&gt;500,"High","Std"))</f>
        <v>HIGH</v>
      </c>
      <c r="P1793">
        <v>1792</v>
      </c>
    </row>
    <row r="1794" spans="1:16" x14ac:dyDescent="0.3">
      <c r="A1794" s="1">
        <v>45280</v>
      </c>
      <c r="B1794" t="s">
        <v>19</v>
      </c>
      <c r="C1794" t="s">
        <v>14</v>
      </c>
      <c r="D1794" t="s">
        <v>15</v>
      </c>
      <c r="E1794">
        <v>5</v>
      </c>
      <c r="F1794" s="3">
        <v>2545</v>
      </c>
      <c r="G1794" s="2">
        <v>588.47</v>
      </c>
      <c r="H1794">
        <f>Master_ventas[[#This Row],[Profit]]/Master_ventas[[#This Row],[Sales]]</f>
        <v>0.23122593320235757</v>
      </c>
      <c r="I1794">
        <f ca="1">Referencia_Hoy-Master_ventas[[#This Row],[Order Date]]</f>
        <v>1043</v>
      </c>
      <c r="J1794" t="str">
        <f>UPPER(Master_ventas[[#This Row],[Product Name]])</f>
        <v>SMARTWATCH</v>
      </c>
      <c r="K1794" t="str">
        <f>UPPER(Master_ventas[[#This Row],[Category]])</f>
        <v>ELECTRONICS</v>
      </c>
      <c r="L1794">
        <f>YEAR(Master_ventas[[#This Row],[Order Date]])</f>
        <v>2023</v>
      </c>
      <c r="M1794" t="str">
        <f>CONCATENATE(LEFT(Master_ventas[[#This Row],[ProdUpper]],3),RIGHT(Master_ventas[[#This Row],[Ext-Year]],2),"-",MID(Master_ventas[[#This Row],[Category]],1,1))</f>
        <v>SMA23-E</v>
      </c>
      <c r="N1794" t="str">
        <f>MID(Master_ventas[[#This Row],[ProdUpper]],1,3)</f>
        <v>SMA</v>
      </c>
      <c r="O1794" t="str">
        <f>UPPER(IF(Master_ventas[[#This Row],[Profit]]&gt;500,"High","Std"))</f>
        <v>HIGH</v>
      </c>
      <c r="P1794">
        <v>1793</v>
      </c>
    </row>
    <row r="1795" spans="1:16" x14ac:dyDescent="0.3">
      <c r="A1795" s="1">
        <v>45530</v>
      </c>
      <c r="B1795" t="s">
        <v>20</v>
      </c>
      <c r="C1795" t="s">
        <v>11</v>
      </c>
      <c r="D1795" t="s">
        <v>12</v>
      </c>
      <c r="E1795">
        <v>1</v>
      </c>
      <c r="F1795" s="3">
        <v>545</v>
      </c>
      <c r="G1795" s="2">
        <v>68.28</v>
      </c>
      <c r="H1795">
        <f>Master_ventas[[#This Row],[Profit]]/Master_ventas[[#This Row],[Sales]]</f>
        <v>0.12528440366972476</v>
      </c>
      <c r="I1795">
        <f ca="1">Referencia_Hoy-Master_ventas[[#This Row],[Order Date]]</f>
        <v>793</v>
      </c>
      <c r="J1795" t="str">
        <f>UPPER(Master_ventas[[#This Row],[Product Name]])</f>
        <v>MONITOR</v>
      </c>
      <c r="K1795" t="str">
        <f>UPPER(Master_ventas[[#This Row],[Category]])</f>
        <v>ACCESSORIES</v>
      </c>
      <c r="L1795">
        <f>YEAR(Master_ventas[[#This Row],[Order Date]])</f>
        <v>2024</v>
      </c>
      <c r="M1795" t="str">
        <f>CONCATENATE(LEFT(Master_ventas[[#This Row],[ProdUpper]],3),RIGHT(Master_ventas[[#This Row],[Ext-Year]],2),"-",MID(Master_ventas[[#This Row],[Category]],1,1))</f>
        <v>MON24-A</v>
      </c>
      <c r="N1795" t="str">
        <f>MID(Master_ventas[[#This Row],[ProdUpper]],1,3)</f>
        <v>MON</v>
      </c>
      <c r="O1795" t="str">
        <f>UPPER(IF(Master_ventas[[#This Row],[Profit]]&gt;500,"High","Std"))</f>
        <v>STD</v>
      </c>
      <c r="P1795">
        <v>1794</v>
      </c>
    </row>
    <row r="1796" spans="1:16" x14ac:dyDescent="0.3">
      <c r="A1796" s="1">
        <v>45279</v>
      </c>
      <c r="B1796" t="s">
        <v>10</v>
      </c>
      <c r="C1796" t="s">
        <v>11</v>
      </c>
      <c r="D1796" t="s">
        <v>9</v>
      </c>
      <c r="E1796">
        <v>7</v>
      </c>
      <c r="F1796" s="3">
        <v>1470</v>
      </c>
      <c r="G1796" s="2">
        <v>178.85</v>
      </c>
      <c r="H1796">
        <f>Master_ventas[[#This Row],[Profit]]/Master_ventas[[#This Row],[Sales]]</f>
        <v>0.12166666666666666</v>
      </c>
      <c r="I1796">
        <f ca="1">Referencia_Hoy-Master_ventas[[#This Row],[Order Date]]</f>
        <v>1044</v>
      </c>
      <c r="J1796" t="str">
        <f>UPPER(Master_ventas[[#This Row],[Product Name]])</f>
        <v>MOUSE</v>
      </c>
      <c r="K1796" t="str">
        <f>UPPER(Master_ventas[[#This Row],[Category]])</f>
        <v>ACCESSORIES</v>
      </c>
      <c r="L1796">
        <f>YEAR(Master_ventas[[#This Row],[Order Date]])</f>
        <v>2023</v>
      </c>
      <c r="M1796" t="str">
        <f>CONCATENATE(LEFT(Master_ventas[[#This Row],[ProdUpper]],3),RIGHT(Master_ventas[[#This Row],[Ext-Year]],2),"-",MID(Master_ventas[[#This Row],[Category]],1,1))</f>
        <v>MOU23-A</v>
      </c>
      <c r="N1796" t="str">
        <f>MID(Master_ventas[[#This Row],[ProdUpper]],1,3)</f>
        <v>MOU</v>
      </c>
      <c r="O1796" t="str">
        <f>UPPER(IF(Master_ventas[[#This Row],[Profit]]&gt;500,"High","Std"))</f>
        <v>STD</v>
      </c>
      <c r="P1796">
        <v>1795</v>
      </c>
    </row>
    <row r="1797" spans="1:16" x14ac:dyDescent="0.3">
      <c r="A1797" s="1">
        <v>45260</v>
      </c>
      <c r="B1797" t="s">
        <v>17</v>
      </c>
      <c r="C1797" t="s">
        <v>14</v>
      </c>
      <c r="D1797" t="s">
        <v>15</v>
      </c>
      <c r="E1797">
        <v>3</v>
      </c>
      <c r="F1797" s="3">
        <v>3126</v>
      </c>
      <c r="G1797" s="2">
        <v>870.95</v>
      </c>
      <c r="H1797">
        <f>Master_ventas[[#This Row],[Profit]]/Master_ventas[[#This Row],[Sales]]</f>
        <v>0.27861484325015995</v>
      </c>
      <c r="I1797">
        <f ca="1">Referencia_Hoy-Master_ventas[[#This Row],[Order Date]]</f>
        <v>1063</v>
      </c>
      <c r="J1797" t="str">
        <f>UPPER(Master_ventas[[#This Row],[Product Name]])</f>
        <v>CAMERA</v>
      </c>
      <c r="K1797" t="str">
        <f>UPPER(Master_ventas[[#This Row],[Category]])</f>
        <v>ELECTRONICS</v>
      </c>
      <c r="L1797">
        <f>YEAR(Master_ventas[[#This Row],[Order Date]])</f>
        <v>2023</v>
      </c>
      <c r="M1797" t="str">
        <f>CONCATENATE(LEFT(Master_ventas[[#This Row],[ProdUpper]],3),RIGHT(Master_ventas[[#This Row],[Ext-Year]],2),"-",MID(Master_ventas[[#This Row],[Category]],1,1))</f>
        <v>CAM23-E</v>
      </c>
      <c r="N1797" t="str">
        <f>MID(Master_ventas[[#This Row],[ProdUpper]],1,3)</f>
        <v>CAM</v>
      </c>
      <c r="O1797" t="str">
        <f>UPPER(IF(Master_ventas[[#This Row],[Profit]]&gt;500,"High","Std"))</f>
        <v>HIGH</v>
      </c>
      <c r="P1797">
        <v>1796</v>
      </c>
    </row>
    <row r="1798" spans="1:16" x14ac:dyDescent="0.3">
      <c r="A1798" s="1">
        <v>45653</v>
      </c>
      <c r="B1798" t="s">
        <v>23</v>
      </c>
      <c r="C1798" t="s">
        <v>14</v>
      </c>
      <c r="D1798" t="s">
        <v>16</v>
      </c>
      <c r="E1798">
        <v>3</v>
      </c>
      <c r="F1798" s="3">
        <v>1368</v>
      </c>
      <c r="G1798" s="2">
        <v>302.29000000000002</v>
      </c>
      <c r="H1798">
        <f>Master_ventas[[#This Row],[Profit]]/Master_ventas[[#This Row],[Sales]]</f>
        <v>0.22097222222222224</v>
      </c>
      <c r="I1798">
        <f ca="1">Referencia_Hoy-Master_ventas[[#This Row],[Order Date]]</f>
        <v>670</v>
      </c>
      <c r="J1798" t="str">
        <f>UPPER(Master_ventas[[#This Row],[Product Name]])</f>
        <v>LAPTOP</v>
      </c>
      <c r="K1798" t="str">
        <f>UPPER(Master_ventas[[#This Row],[Category]])</f>
        <v>ELECTRONICS</v>
      </c>
      <c r="L1798">
        <f>YEAR(Master_ventas[[#This Row],[Order Date]])</f>
        <v>2024</v>
      </c>
      <c r="M1798" t="str">
        <f>CONCATENATE(LEFT(Master_ventas[[#This Row],[ProdUpper]],3),RIGHT(Master_ventas[[#This Row],[Ext-Year]],2),"-",MID(Master_ventas[[#This Row],[Category]],1,1))</f>
        <v>LAP24-E</v>
      </c>
      <c r="N1798" t="str">
        <f>MID(Master_ventas[[#This Row],[ProdUpper]],1,3)</f>
        <v>LAP</v>
      </c>
      <c r="O1798" t="str">
        <f>UPPER(IF(Master_ventas[[#This Row],[Profit]]&gt;500,"High","Std"))</f>
        <v>STD</v>
      </c>
      <c r="P1798">
        <v>1797</v>
      </c>
    </row>
    <row r="1799" spans="1:16" x14ac:dyDescent="0.3">
      <c r="A1799" s="1">
        <v>45647</v>
      </c>
      <c r="B1799" t="s">
        <v>18</v>
      </c>
      <c r="C1799" t="s">
        <v>11</v>
      </c>
      <c r="D1799" t="s">
        <v>12</v>
      </c>
      <c r="E1799">
        <v>9</v>
      </c>
      <c r="F1799" s="3">
        <v>7083</v>
      </c>
      <c r="G1799" s="2">
        <v>1353.39</v>
      </c>
      <c r="H1799">
        <f>Master_ventas[[#This Row],[Profit]]/Master_ventas[[#This Row],[Sales]]</f>
        <v>0.19107581533248624</v>
      </c>
      <c r="I1799">
        <f ca="1">Referencia_Hoy-Master_ventas[[#This Row],[Order Date]]</f>
        <v>676</v>
      </c>
      <c r="J1799" t="str">
        <f>UPPER(Master_ventas[[#This Row],[Product Name]])</f>
        <v>HEADPHONES</v>
      </c>
      <c r="K1799" t="str">
        <f>UPPER(Master_ventas[[#This Row],[Category]])</f>
        <v>ACCESSORIES</v>
      </c>
      <c r="L1799">
        <f>YEAR(Master_ventas[[#This Row],[Order Date]])</f>
        <v>2024</v>
      </c>
      <c r="M1799" t="str">
        <f>CONCATENATE(LEFT(Master_ventas[[#This Row],[ProdUpper]],3),RIGHT(Master_ventas[[#This Row],[Ext-Year]],2),"-",MID(Master_ventas[[#This Row],[Category]],1,1))</f>
        <v>HEA24-A</v>
      </c>
      <c r="N1799" t="str">
        <f>MID(Master_ventas[[#This Row],[ProdUpper]],1,3)</f>
        <v>HEA</v>
      </c>
      <c r="O1799" t="str">
        <f>UPPER(IF(Master_ventas[[#This Row],[Profit]]&gt;500,"High","Std"))</f>
        <v>HIGH</v>
      </c>
      <c r="P1799">
        <v>1798</v>
      </c>
    </row>
    <row r="1800" spans="1:16" x14ac:dyDescent="0.3">
      <c r="A1800" s="1">
        <v>45319</v>
      </c>
      <c r="B1800" t="s">
        <v>7</v>
      </c>
      <c r="C1800" t="s">
        <v>8</v>
      </c>
      <c r="D1800" t="s">
        <v>12</v>
      </c>
      <c r="E1800">
        <v>2</v>
      </c>
      <c r="F1800" s="3">
        <v>1994</v>
      </c>
      <c r="G1800" s="2">
        <v>453.74</v>
      </c>
      <c r="H1800">
        <f>Master_ventas[[#This Row],[Profit]]/Master_ventas[[#This Row],[Sales]]</f>
        <v>0.22755265797392177</v>
      </c>
      <c r="I1800">
        <f ca="1">Referencia_Hoy-Master_ventas[[#This Row],[Order Date]]</f>
        <v>1004</v>
      </c>
      <c r="J1800" t="str">
        <f>UPPER(Master_ventas[[#This Row],[Product Name]])</f>
        <v>PRINTER</v>
      </c>
      <c r="K1800" t="str">
        <f>UPPER(Master_ventas[[#This Row],[Category]])</f>
        <v>OFFICE</v>
      </c>
      <c r="L1800">
        <f>YEAR(Master_ventas[[#This Row],[Order Date]])</f>
        <v>2024</v>
      </c>
      <c r="M1800" t="str">
        <f>CONCATENATE(LEFT(Master_ventas[[#This Row],[ProdUpper]],3),RIGHT(Master_ventas[[#This Row],[Ext-Year]],2),"-",MID(Master_ventas[[#This Row],[Category]],1,1))</f>
        <v>PRI24-O</v>
      </c>
      <c r="N1800" t="str">
        <f>MID(Master_ventas[[#This Row],[ProdUpper]],1,3)</f>
        <v>PRI</v>
      </c>
      <c r="O1800" t="str">
        <f>UPPER(IF(Master_ventas[[#This Row],[Profit]]&gt;500,"High","Std"))</f>
        <v>STD</v>
      </c>
      <c r="P1800">
        <v>1799</v>
      </c>
    </row>
    <row r="1801" spans="1:16" x14ac:dyDescent="0.3">
      <c r="A1801" s="1">
        <v>44807</v>
      </c>
      <c r="B1801" t="s">
        <v>17</v>
      </c>
      <c r="C1801" t="s">
        <v>14</v>
      </c>
      <c r="D1801" t="s">
        <v>9</v>
      </c>
      <c r="E1801">
        <v>4</v>
      </c>
      <c r="F1801" s="3">
        <v>4716</v>
      </c>
      <c r="G1801" s="2">
        <v>1084.1600000000001</v>
      </c>
      <c r="H1801">
        <f>Master_ventas[[#This Row],[Profit]]/Master_ventas[[#This Row],[Sales]]</f>
        <v>0.2298897370653096</v>
      </c>
      <c r="I1801">
        <f ca="1">Referencia_Hoy-Master_ventas[[#This Row],[Order Date]]</f>
        <v>1516</v>
      </c>
      <c r="J1801" t="str">
        <f>UPPER(Master_ventas[[#This Row],[Product Name]])</f>
        <v>CAMERA</v>
      </c>
      <c r="K1801" t="str">
        <f>UPPER(Master_ventas[[#This Row],[Category]])</f>
        <v>ELECTRONICS</v>
      </c>
      <c r="L1801">
        <f>YEAR(Master_ventas[[#This Row],[Order Date]])</f>
        <v>2022</v>
      </c>
      <c r="M1801" t="str">
        <f>CONCATENATE(LEFT(Master_ventas[[#This Row],[ProdUpper]],3),RIGHT(Master_ventas[[#This Row],[Ext-Year]],2),"-",MID(Master_ventas[[#This Row],[Category]],1,1))</f>
        <v>CAM22-E</v>
      </c>
      <c r="N1801" t="str">
        <f>MID(Master_ventas[[#This Row],[ProdUpper]],1,3)</f>
        <v>CAM</v>
      </c>
      <c r="O1801" t="str">
        <f>UPPER(IF(Master_ventas[[#This Row],[Profit]]&gt;500,"High","Std"))</f>
        <v>HIGH</v>
      </c>
      <c r="P1801">
        <v>1800</v>
      </c>
    </row>
    <row r="1802" spans="1:16" x14ac:dyDescent="0.3">
      <c r="A1802" s="1">
        <v>45351</v>
      </c>
      <c r="B1802" t="s">
        <v>20</v>
      </c>
      <c r="C1802" t="s">
        <v>11</v>
      </c>
      <c r="D1802" t="s">
        <v>15</v>
      </c>
      <c r="E1802">
        <v>1</v>
      </c>
      <c r="F1802" s="3">
        <v>975</v>
      </c>
      <c r="G1802" s="2">
        <v>125.85</v>
      </c>
      <c r="H1802">
        <f>Master_ventas[[#This Row],[Profit]]/Master_ventas[[#This Row],[Sales]]</f>
        <v>0.12907692307692306</v>
      </c>
      <c r="I1802">
        <f ca="1">Referencia_Hoy-Master_ventas[[#This Row],[Order Date]]</f>
        <v>972</v>
      </c>
      <c r="J1802" t="str">
        <f>UPPER(Master_ventas[[#This Row],[Product Name]])</f>
        <v>MONITOR</v>
      </c>
      <c r="K1802" t="str">
        <f>UPPER(Master_ventas[[#This Row],[Category]])</f>
        <v>ACCESSORIES</v>
      </c>
      <c r="L1802">
        <f>YEAR(Master_ventas[[#This Row],[Order Date]])</f>
        <v>2024</v>
      </c>
      <c r="M1802" t="str">
        <f>CONCATENATE(LEFT(Master_ventas[[#This Row],[ProdUpper]],3),RIGHT(Master_ventas[[#This Row],[Ext-Year]],2),"-",MID(Master_ventas[[#This Row],[Category]],1,1))</f>
        <v>MON24-A</v>
      </c>
      <c r="N1802" t="str">
        <f>MID(Master_ventas[[#This Row],[ProdUpper]],1,3)</f>
        <v>MON</v>
      </c>
      <c r="O1802" t="str">
        <f>UPPER(IF(Master_ventas[[#This Row],[Profit]]&gt;500,"High","Std"))</f>
        <v>STD</v>
      </c>
      <c r="P1802">
        <v>1801</v>
      </c>
    </row>
    <row r="1803" spans="1:16" x14ac:dyDescent="0.3">
      <c r="A1803" s="1">
        <v>45037</v>
      </c>
      <c r="B1803" t="s">
        <v>21</v>
      </c>
      <c r="C1803" t="s">
        <v>14</v>
      </c>
      <c r="D1803" t="s">
        <v>16</v>
      </c>
      <c r="E1803">
        <v>9</v>
      </c>
      <c r="F1803" s="3">
        <v>9891</v>
      </c>
      <c r="G1803" s="2">
        <v>1774.03</v>
      </c>
      <c r="H1803">
        <f>Master_ventas[[#This Row],[Profit]]/Master_ventas[[#This Row],[Sales]]</f>
        <v>0.17935800222424425</v>
      </c>
      <c r="I1803">
        <f ca="1">Referencia_Hoy-Master_ventas[[#This Row],[Order Date]]</f>
        <v>1286</v>
      </c>
      <c r="J1803" t="str">
        <f>UPPER(Master_ventas[[#This Row],[Product Name]])</f>
        <v>SMARTPHONE</v>
      </c>
      <c r="K1803" t="str">
        <f>UPPER(Master_ventas[[#This Row],[Category]])</f>
        <v>ELECTRONICS</v>
      </c>
      <c r="L1803">
        <f>YEAR(Master_ventas[[#This Row],[Order Date]])</f>
        <v>2023</v>
      </c>
      <c r="M1803" t="str">
        <f>CONCATENATE(LEFT(Master_ventas[[#This Row],[ProdUpper]],3),RIGHT(Master_ventas[[#This Row],[Ext-Year]],2),"-",MID(Master_ventas[[#This Row],[Category]],1,1))</f>
        <v>SMA23-E</v>
      </c>
      <c r="N1803" t="str">
        <f>MID(Master_ventas[[#This Row],[ProdUpper]],1,3)</f>
        <v>SMA</v>
      </c>
      <c r="O1803" t="str">
        <f>UPPER(IF(Master_ventas[[#This Row],[Profit]]&gt;500,"High","Std"))</f>
        <v>HIGH</v>
      </c>
      <c r="P1803">
        <v>1802</v>
      </c>
    </row>
    <row r="1804" spans="1:16" x14ac:dyDescent="0.3">
      <c r="A1804" s="1">
        <v>45436</v>
      </c>
      <c r="B1804" t="s">
        <v>19</v>
      </c>
      <c r="C1804" t="s">
        <v>14</v>
      </c>
      <c r="D1804" t="s">
        <v>15</v>
      </c>
      <c r="E1804">
        <v>2</v>
      </c>
      <c r="F1804" s="3">
        <v>626</v>
      </c>
      <c r="G1804" s="2">
        <v>159.49</v>
      </c>
      <c r="H1804">
        <f>Master_ventas[[#This Row],[Profit]]/Master_ventas[[#This Row],[Sales]]</f>
        <v>0.25477635782747604</v>
      </c>
      <c r="I1804">
        <f ca="1">Referencia_Hoy-Master_ventas[[#This Row],[Order Date]]</f>
        <v>887</v>
      </c>
      <c r="J1804" t="str">
        <f>UPPER(Master_ventas[[#This Row],[Product Name]])</f>
        <v>SMARTWATCH</v>
      </c>
      <c r="K1804" t="str">
        <f>UPPER(Master_ventas[[#This Row],[Category]])</f>
        <v>ELECTRONICS</v>
      </c>
      <c r="L1804">
        <f>YEAR(Master_ventas[[#This Row],[Order Date]])</f>
        <v>2024</v>
      </c>
      <c r="M1804" t="str">
        <f>CONCATENATE(LEFT(Master_ventas[[#This Row],[ProdUpper]],3),RIGHT(Master_ventas[[#This Row],[Ext-Year]],2),"-",MID(Master_ventas[[#This Row],[Category]],1,1))</f>
        <v>SMA24-E</v>
      </c>
      <c r="N1804" t="str">
        <f>MID(Master_ventas[[#This Row],[ProdUpper]],1,3)</f>
        <v>SMA</v>
      </c>
      <c r="O1804" t="str">
        <f>UPPER(IF(Master_ventas[[#This Row],[Profit]]&gt;500,"High","Std"))</f>
        <v>STD</v>
      </c>
      <c r="P1804">
        <v>1803</v>
      </c>
    </row>
    <row r="1805" spans="1:16" x14ac:dyDescent="0.3">
      <c r="A1805" s="1">
        <v>45431</v>
      </c>
      <c r="B1805" t="s">
        <v>20</v>
      </c>
      <c r="C1805" t="s">
        <v>11</v>
      </c>
      <c r="D1805" t="s">
        <v>12</v>
      </c>
      <c r="E1805">
        <v>8</v>
      </c>
      <c r="F1805" s="3">
        <v>5632</v>
      </c>
      <c r="G1805" s="2">
        <v>1620.04</v>
      </c>
      <c r="H1805">
        <f>Master_ventas[[#This Row],[Profit]]/Master_ventas[[#This Row],[Sales]]</f>
        <v>0.28764914772727274</v>
      </c>
      <c r="I1805">
        <f ca="1">Referencia_Hoy-Master_ventas[[#This Row],[Order Date]]</f>
        <v>892</v>
      </c>
      <c r="J1805" t="str">
        <f>UPPER(Master_ventas[[#This Row],[Product Name]])</f>
        <v>MONITOR</v>
      </c>
      <c r="K1805" t="str">
        <f>UPPER(Master_ventas[[#This Row],[Category]])</f>
        <v>ACCESSORIES</v>
      </c>
      <c r="L1805">
        <f>YEAR(Master_ventas[[#This Row],[Order Date]])</f>
        <v>2024</v>
      </c>
      <c r="M1805" t="str">
        <f>CONCATENATE(LEFT(Master_ventas[[#This Row],[ProdUpper]],3),RIGHT(Master_ventas[[#This Row],[Ext-Year]],2),"-",MID(Master_ventas[[#This Row],[Category]],1,1))</f>
        <v>MON24-A</v>
      </c>
      <c r="N1805" t="str">
        <f>MID(Master_ventas[[#This Row],[ProdUpper]],1,3)</f>
        <v>MON</v>
      </c>
      <c r="O1805" t="str">
        <f>UPPER(IF(Master_ventas[[#This Row],[Profit]]&gt;500,"High","Std"))</f>
        <v>HIGH</v>
      </c>
      <c r="P1805">
        <v>1804</v>
      </c>
    </row>
    <row r="1806" spans="1:16" x14ac:dyDescent="0.3">
      <c r="A1806" s="1">
        <v>45545</v>
      </c>
      <c r="B1806" t="s">
        <v>7</v>
      </c>
      <c r="C1806" t="s">
        <v>8</v>
      </c>
      <c r="D1806" t="s">
        <v>16</v>
      </c>
      <c r="E1806">
        <v>3</v>
      </c>
      <c r="F1806" s="3">
        <v>2568</v>
      </c>
      <c r="G1806" s="2">
        <v>734.6</v>
      </c>
      <c r="H1806">
        <f>Master_ventas[[#This Row],[Profit]]/Master_ventas[[#This Row],[Sales]]</f>
        <v>0.28605919003115265</v>
      </c>
      <c r="I1806">
        <f ca="1">Referencia_Hoy-Master_ventas[[#This Row],[Order Date]]</f>
        <v>778</v>
      </c>
      <c r="J1806" t="str">
        <f>UPPER(Master_ventas[[#This Row],[Product Name]])</f>
        <v>PRINTER</v>
      </c>
      <c r="K1806" t="str">
        <f>UPPER(Master_ventas[[#This Row],[Category]])</f>
        <v>OFFICE</v>
      </c>
      <c r="L1806">
        <f>YEAR(Master_ventas[[#This Row],[Order Date]])</f>
        <v>2024</v>
      </c>
      <c r="M1806" t="str">
        <f>CONCATENATE(LEFT(Master_ventas[[#This Row],[ProdUpper]],3),RIGHT(Master_ventas[[#This Row],[Ext-Year]],2),"-",MID(Master_ventas[[#This Row],[Category]],1,1))</f>
        <v>PRI24-O</v>
      </c>
      <c r="N1806" t="str">
        <f>MID(Master_ventas[[#This Row],[ProdUpper]],1,3)</f>
        <v>PRI</v>
      </c>
      <c r="O1806" t="str">
        <f>UPPER(IF(Master_ventas[[#This Row],[Profit]]&gt;500,"High","Std"))</f>
        <v>HIGH</v>
      </c>
      <c r="P1806">
        <v>1805</v>
      </c>
    </row>
    <row r="1807" spans="1:16" x14ac:dyDescent="0.3">
      <c r="A1807" s="1">
        <v>45181</v>
      </c>
      <c r="B1807" t="s">
        <v>13</v>
      </c>
      <c r="C1807" t="s">
        <v>14</v>
      </c>
      <c r="D1807" t="s">
        <v>12</v>
      </c>
      <c r="E1807">
        <v>7</v>
      </c>
      <c r="F1807" s="3">
        <v>5285</v>
      </c>
      <c r="G1807" s="2">
        <v>629.07000000000005</v>
      </c>
      <c r="H1807">
        <f>Master_ventas[[#This Row],[Profit]]/Master_ventas[[#This Row],[Sales]]</f>
        <v>0.11902932828760644</v>
      </c>
      <c r="I1807">
        <f ca="1">Referencia_Hoy-Master_ventas[[#This Row],[Order Date]]</f>
        <v>1142</v>
      </c>
      <c r="J1807" t="str">
        <f>UPPER(Master_ventas[[#This Row],[Product Name]])</f>
        <v>TABLET</v>
      </c>
      <c r="K1807" t="str">
        <f>UPPER(Master_ventas[[#This Row],[Category]])</f>
        <v>ELECTRONICS</v>
      </c>
      <c r="L1807">
        <f>YEAR(Master_ventas[[#This Row],[Order Date]])</f>
        <v>2023</v>
      </c>
      <c r="M1807" t="str">
        <f>CONCATENATE(LEFT(Master_ventas[[#This Row],[ProdUpper]],3),RIGHT(Master_ventas[[#This Row],[Ext-Year]],2),"-",MID(Master_ventas[[#This Row],[Category]],1,1))</f>
        <v>TAB23-E</v>
      </c>
      <c r="N1807" t="str">
        <f>MID(Master_ventas[[#This Row],[ProdUpper]],1,3)</f>
        <v>TAB</v>
      </c>
      <c r="O1807" t="str">
        <f>UPPER(IF(Master_ventas[[#This Row],[Profit]]&gt;500,"High","Std"))</f>
        <v>HIGH</v>
      </c>
      <c r="P1807">
        <v>1806</v>
      </c>
    </row>
    <row r="1808" spans="1:16" x14ac:dyDescent="0.3">
      <c r="A1808" s="1">
        <v>45238</v>
      </c>
      <c r="B1808" t="s">
        <v>17</v>
      </c>
      <c r="C1808" t="s">
        <v>14</v>
      </c>
      <c r="D1808" t="s">
        <v>12</v>
      </c>
      <c r="E1808">
        <v>2</v>
      </c>
      <c r="F1808" s="3">
        <v>516</v>
      </c>
      <c r="G1808" s="2">
        <v>122.77</v>
      </c>
      <c r="H1808">
        <f>Master_ventas[[#This Row],[Profit]]/Master_ventas[[#This Row],[Sales]]</f>
        <v>0.23792635658914729</v>
      </c>
      <c r="I1808">
        <f ca="1">Referencia_Hoy-Master_ventas[[#This Row],[Order Date]]</f>
        <v>1085</v>
      </c>
      <c r="J1808" t="str">
        <f>UPPER(Master_ventas[[#This Row],[Product Name]])</f>
        <v>CAMERA</v>
      </c>
      <c r="K1808" t="str">
        <f>UPPER(Master_ventas[[#This Row],[Category]])</f>
        <v>ELECTRONICS</v>
      </c>
      <c r="L1808">
        <f>YEAR(Master_ventas[[#This Row],[Order Date]])</f>
        <v>2023</v>
      </c>
      <c r="M1808" t="str">
        <f>CONCATENATE(LEFT(Master_ventas[[#This Row],[ProdUpper]],3),RIGHT(Master_ventas[[#This Row],[Ext-Year]],2),"-",MID(Master_ventas[[#This Row],[Category]],1,1))</f>
        <v>CAM23-E</v>
      </c>
      <c r="N1808" t="str">
        <f>MID(Master_ventas[[#This Row],[ProdUpper]],1,3)</f>
        <v>CAM</v>
      </c>
      <c r="O1808" t="str">
        <f>UPPER(IF(Master_ventas[[#This Row],[Profit]]&gt;500,"High","Std"))</f>
        <v>STD</v>
      </c>
      <c r="P1808">
        <v>1807</v>
      </c>
    </row>
    <row r="1809" spans="1:16" x14ac:dyDescent="0.3">
      <c r="A1809" s="1">
        <v>44712</v>
      </c>
      <c r="B1809" t="s">
        <v>20</v>
      </c>
      <c r="C1809" t="s">
        <v>11</v>
      </c>
      <c r="D1809" t="s">
        <v>12</v>
      </c>
      <c r="E1809">
        <v>3</v>
      </c>
      <c r="F1809" s="3">
        <v>2139</v>
      </c>
      <c r="G1809" s="2">
        <v>503.08</v>
      </c>
      <c r="H1809">
        <f>Master_ventas[[#This Row],[Profit]]/Master_ventas[[#This Row],[Sales]]</f>
        <v>0.23519401589527816</v>
      </c>
      <c r="I1809">
        <f ca="1">Referencia_Hoy-Master_ventas[[#This Row],[Order Date]]</f>
        <v>1611</v>
      </c>
      <c r="J1809" t="str">
        <f>UPPER(Master_ventas[[#This Row],[Product Name]])</f>
        <v>MONITOR</v>
      </c>
      <c r="K1809" t="str">
        <f>UPPER(Master_ventas[[#This Row],[Category]])</f>
        <v>ACCESSORIES</v>
      </c>
      <c r="L1809">
        <f>YEAR(Master_ventas[[#This Row],[Order Date]])</f>
        <v>2022</v>
      </c>
      <c r="M1809" t="str">
        <f>CONCATENATE(LEFT(Master_ventas[[#This Row],[ProdUpper]],3),RIGHT(Master_ventas[[#This Row],[Ext-Year]],2),"-",MID(Master_ventas[[#This Row],[Category]],1,1))</f>
        <v>MON22-A</v>
      </c>
      <c r="N1809" t="str">
        <f>MID(Master_ventas[[#This Row],[ProdUpper]],1,3)</f>
        <v>MON</v>
      </c>
      <c r="O1809" t="str">
        <f>UPPER(IF(Master_ventas[[#This Row],[Profit]]&gt;500,"High","Std"))</f>
        <v>HIGH</v>
      </c>
      <c r="P1809">
        <v>1808</v>
      </c>
    </row>
    <row r="1810" spans="1:16" x14ac:dyDescent="0.3">
      <c r="A1810" s="1">
        <v>44931</v>
      </c>
      <c r="B1810" t="s">
        <v>23</v>
      </c>
      <c r="C1810" t="s">
        <v>14</v>
      </c>
      <c r="D1810" t="s">
        <v>12</v>
      </c>
      <c r="E1810">
        <v>9</v>
      </c>
      <c r="F1810" s="3">
        <v>8136</v>
      </c>
      <c r="G1810" s="2">
        <v>1923.89</v>
      </c>
      <c r="H1810">
        <f>Master_ventas[[#This Row],[Profit]]/Master_ventas[[#This Row],[Sales]]</f>
        <v>0.23646632251720748</v>
      </c>
      <c r="I1810">
        <f ca="1">Referencia_Hoy-Master_ventas[[#This Row],[Order Date]]</f>
        <v>1392</v>
      </c>
      <c r="J1810" t="str">
        <f>UPPER(Master_ventas[[#This Row],[Product Name]])</f>
        <v>LAPTOP</v>
      </c>
      <c r="K1810" t="str">
        <f>UPPER(Master_ventas[[#This Row],[Category]])</f>
        <v>ELECTRONICS</v>
      </c>
      <c r="L1810">
        <f>YEAR(Master_ventas[[#This Row],[Order Date]])</f>
        <v>2023</v>
      </c>
      <c r="M1810" t="str">
        <f>CONCATENATE(LEFT(Master_ventas[[#This Row],[ProdUpper]],3),RIGHT(Master_ventas[[#This Row],[Ext-Year]],2),"-",MID(Master_ventas[[#This Row],[Category]],1,1))</f>
        <v>LAP23-E</v>
      </c>
      <c r="N1810" t="str">
        <f>MID(Master_ventas[[#This Row],[ProdUpper]],1,3)</f>
        <v>LAP</v>
      </c>
      <c r="O1810" t="str">
        <f>UPPER(IF(Master_ventas[[#This Row],[Profit]]&gt;500,"High","Std"))</f>
        <v>HIGH</v>
      </c>
      <c r="P1810">
        <v>1809</v>
      </c>
    </row>
    <row r="1811" spans="1:16" x14ac:dyDescent="0.3">
      <c r="A1811" s="1">
        <v>45590</v>
      </c>
      <c r="B1811" t="s">
        <v>23</v>
      </c>
      <c r="C1811" t="s">
        <v>14</v>
      </c>
      <c r="D1811" t="s">
        <v>16</v>
      </c>
      <c r="E1811">
        <v>5</v>
      </c>
      <c r="F1811" s="3">
        <v>2130</v>
      </c>
      <c r="G1811" s="2">
        <v>318.99</v>
      </c>
      <c r="H1811">
        <f>Master_ventas[[#This Row],[Profit]]/Master_ventas[[#This Row],[Sales]]</f>
        <v>0.14976056338028171</v>
      </c>
      <c r="I1811">
        <f ca="1">Referencia_Hoy-Master_ventas[[#This Row],[Order Date]]</f>
        <v>733</v>
      </c>
      <c r="J1811" t="str">
        <f>UPPER(Master_ventas[[#This Row],[Product Name]])</f>
        <v>LAPTOP</v>
      </c>
      <c r="K1811" t="str">
        <f>UPPER(Master_ventas[[#This Row],[Category]])</f>
        <v>ELECTRONICS</v>
      </c>
      <c r="L1811">
        <f>YEAR(Master_ventas[[#This Row],[Order Date]])</f>
        <v>2024</v>
      </c>
      <c r="M1811" t="str">
        <f>CONCATENATE(LEFT(Master_ventas[[#This Row],[ProdUpper]],3),RIGHT(Master_ventas[[#This Row],[Ext-Year]],2),"-",MID(Master_ventas[[#This Row],[Category]],1,1))</f>
        <v>LAP24-E</v>
      </c>
      <c r="N1811" t="str">
        <f>MID(Master_ventas[[#This Row],[ProdUpper]],1,3)</f>
        <v>LAP</v>
      </c>
      <c r="O1811" t="str">
        <f>UPPER(IF(Master_ventas[[#This Row],[Profit]]&gt;500,"High","Std"))</f>
        <v>STD</v>
      </c>
      <c r="P1811">
        <v>1810</v>
      </c>
    </row>
    <row r="1812" spans="1:16" x14ac:dyDescent="0.3">
      <c r="A1812" s="1">
        <v>45383</v>
      </c>
      <c r="B1812" t="s">
        <v>18</v>
      </c>
      <c r="C1812" t="s">
        <v>11</v>
      </c>
      <c r="D1812" t="s">
        <v>15</v>
      </c>
      <c r="E1812">
        <v>5</v>
      </c>
      <c r="F1812" s="3">
        <v>3445</v>
      </c>
      <c r="G1812" s="2">
        <v>202.15</v>
      </c>
      <c r="H1812">
        <f>Master_ventas[[#This Row],[Profit]]/Master_ventas[[#This Row],[Sales]]</f>
        <v>5.867924528301887E-2</v>
      </c>
      <c r="I1812">
        <f ca="1">Referencia_Hoy-Master_ventas[[#This Row],[Order Date]]</f>
        <v>940</v>
      </c>
      <c r="J1812" t="str">
        <f>UPPER(Master_ventas[[#This Row],[Product Name]])</f>
        <v>HEADPHONES</v>
      </c>
      <c r="K1812" t="str">
        <f>UPPER(Master_ventas[[#This Row],[Category]])</f>
        <v>ACCESSORIES</v>
      </c>
      <c r="L1812">
        <f>YEAR(Master_ventas[[#This Row],[Order Date]])</f>
        <v>2024</v>
      </c>
      <c r="M1812" t="str">
        <f>CONCATENATE(LEFT(Master_ventas[[#This Row],[ProdUpper]],3),RIGHT(Master_ventas[[#This Row],[Ext-Year]],2),"-",MID(Master_ventas[[#This Row],[Category]],1,1))</f>
        <v>HEA24-A</v>
      </c>
      <c r="N1812" t="str">
        <f>MID(Master_ventas[[#This Row],[ProdUpper]],1,3)</f>
        <v>HEA</v>
      </c>
      <c r="O1812" t="str">
        <f>UPPER(IF(Master_ventas[[#This Row],[Profit]]&gt;500,"High","Std"))</f>
        <v>STD</v>
      </c>
      <c r="P1812">
        <v>1811</v>
      </c>
    </row>
    <row r="1813" spans="1:16" x14ac:dyDescent="0.3">
      <c r="A1813" s="1">
        <v>45642</v>
      </c>
      <c r="B1813" t="s">
        <v>13</v>
      </c>
      <c r="C1813" t="s">
        <v>14</v>
      </c>
      <c r="D1813" t="s">
        <v>12</v>
      </c>
      <c r="E1813">
        <v>8</v>
      </c>
      <c r="F1813" s="3">
        <v>5376</v>
      </c>
      <c r="G1813" s="2">
        <v>429.84</v>
      </c>
      <c r="H1813">
        <f>Master_ventas[[#This Row],[Profit]]/Master_ventas[[#This Row],[Sales]]</f>
        <v>7.9955357142857134E-2</v>
      </c>
      <c r="I1813">
        <f ca="1">Referencia_Hoy-Master_ventas[[#This Row],[Order Date]]</f>
        <v>681</v>
      </c>
      <c r="J1813" t="str">
        <f>UPPER(Master_ventas[[#This Row],[Product Name]])</f>
        <v>TABLET</v>
      </c>
      <c r="K1813" t="str">
        <f>UPPER(Master_ventas[[#This Row],[Category]])</f>
        <v>ELECTRONICS</v>
      </c>
      <c r="L1813">
        <f>YEAR(Master_ventas[[#This Row],[Order Date]])</f>
        <v>2024</v>
      </c>
      <c r="M1813" t="str">
        <f>CONCATENATE(LEFT(Master_ventas[[#This Row],[ProdUpper]],3),RIGHT(Master_ventas[[#This Row],[Ext-Year]],2),"-",MID(Master_ventas[[#This Row],[Category]],1,1))</f>
        <v>TAB24-E</v>
      </c>
      <c r="N1813" t="str">
        <f>MID(Master_ventas[[#This Row],[ProdUpper]],1,3)</f>
        <v>TAB</v>
      </c>
      <c r="O1813" t="str">
        <f>UPPER(IF(Master_ventas[[#This Row],[Profit]]&gt;500,"High","Std"))</f>
        <v>STD</v>
      </c>
      <c r="P1813">
        <v>1812</v>
      </c>
    </row>
    <row r="1814" spans="1:16" x14ac:dyDescent="0.3">
      <c r="A1814" s="1">
        <v>45143</v>
      </c>
      <c r="B1814" t="s">
        <v>7</v>
      </c>
      <c r="C1814" t="s">
        <v>8</v>
      </c>
      <c r="D1814" t="s">
        <v>16</v>
      </c>
      <c r="E1814">
        <v>6</v>
      </c>
      <c r="F1814" s="3">
        <v>3006</v>
      </c>
      <c r="G1814" s="2">
        <v>730.14</v>
      </c>
      <c r="H1814">
        <f>Master_ventas[[#This Row],[Profit]]/Master_ventas[[#This Row],[Sales]]</f>
        <v>0.24289421157684629</v>
      </c>
      <c r="I1814">
        <f ca="1">Referencia_Hoy-Master_ventas[[#This Row],[Order Date]]</f>
        <v>1180</v>
      </c>
      <c r="J1814" t="str">
        <f>UPPER(Master_ventas[[#This Row],[Product Name]])</f>
        <v>PRINTER</v>
      </c>
      <c r="K1814" t="str">
        <f>UPPER(Master_ventas[[#This Row],[Category]])</f>
        <v>OFFICE</v>
      </c>
      <c r="L1814">
        <f>YEAR(Master_ventas[[#This Row],[Order Date]])</f>
        <v>2023</v>
      </c>
      <c r="M1814" t="str">
        <f>CONCATENATE(LEFT(Master_ventas[[#This Row],[ProdUpper]],3),RIGHT(Master_ventas[[#This Row],[Ext-Year]],2),"-",MID(Master_ventas[[#This Row],[Category]],1,1))</f>
        <v>PRI23-O</v>
      </c>
      <c r="N1814" t="str">
        <f>MID(Master_ventas[[#This Row],[ProdUpper]],1,3)</f>
        <v>PRI</v>
      </c>
      <c r="O1814" t="str">
        <f>UPPER(IF(Master_ventas[[#This Row],[Profit]]&gt;500,"High","Std"))</f>
        <v>HIGH</v>
      </c>
      <c r="P1814">
        <v>1813</v>
      </c>
    </row>
    <row r="1815" spans="1:16" x14ac:dyDescent="0.3">
      <c r="A1815" s="1">
        <v>44926</v>
      </c>
      <c r="B1815" t="s">
        <v>18</v>
      </c>
      <c r="C1815" t="s">
        <v>11</v>
      </c>
      <c r="D1815" t="s">
        <v>9</v>
      </c>
      <c r="E1815">
        <v>7</v>
      </c>
      <c r="F1815" s="3">
        <v>3941</v>
      </c>
      <c r="G1815" s="2">
        <v>1113.8499999999999</v>
      </c>
      <c r="H1815">
        <f>Master_ventas[[#This Row],[Profit]]/Master_ventas[[#This Row],[Sales]]</f>
        <v>0.28263131184978429</v>
      </c>
      <c r="I1815">
        <f ca="1">Referencia_Hoy-Master_ventas[[#This Row],[Order Date]]</f>
        <v>1397</v>
      </c>
      <c r="J1815" t="str">
        <f>UPPER(Master_ventas[[#This Row],[Product Name]])</f>
        <v>HEADPHONES</v>
      </c>
      <c r="K1815" t="str">
        <f>UPPER(Master_ventas[[#This Row],[Category]])</f>
        <v>ACCESSORIES</v>
      </c>
      <c r="L1815">
        <f>YEAR(Master_ventas[[#This Row],[Order Date]])</f>
        <v>2022</v>
      </c>
      <c r="M1815" t="str">
        <f>CONCATENATE(LEFT(Master_ventas[[#This Row],[ProdUpper]],3),RIGHT(Master_ventas[[#This Row],[Ext-Year]],2),"-",MID(Master_ventas[[#This Row],[Category]],1,1))</f>
        <v>HEA22-A</v>
      </c>
      <c r="N1815" t="str">
        <f>MID(Master_ventas[[#This Row],[ProdUpper]],1,3)</f>
        <v>HEA</v>
      </c>
      <c r="O1815" t="str">
        <f>UPPER(IF(Master_ventas[[#This Row],[Profit]]&gt;500,"High","Std"))</f>
        <v>HIGH</v>
      </c>
      <c r="P1815">
        <v>1814</v>
      </c>
    </row>
    <row r="1816" spans="1:16" x14ac:dyDescent="0.3">
      <c r="A1816" s="1">
        <v>44995</v>
      </c>
      <c r="B1816" t="s">
        <v>20</v>
      </c>
      <c r="C1816" t="s">
        <v>11</v>
      </c>
      <c r="D1816" t="s">
        <v>9</v>
      </c>
      <c r="E1816">
        <v>5</v>
      </c>
      <c r="F1816" s="3">
        <v>3350</v>
      </c>
      <c r="G1816" s="2">
        <v>389.95</v>
      </c>
      <c r="H1816">
        <f>Master_ventas[[#This Row],[Profit]]/Master_ventas[[#This Row],[Sales]]</f>
        <v>0.11640298507462686</v>
      </c>
      <c r="I1816">
        <f ca="1">Referencia_Hoy-Master_ventas[[#This Row],[Order Date]]</f>
        <v>1328</v>
      </c>
      <c r="J1816" t="str">
        <f>UPPER(Master_ventas[[#This Row],[Product Name]])</f>
        <v>MONITOR</v>
      </c>
      <c r="K1816" t="str">
        <f>UPPER(Master_ventas[[#This Row],[Category]])</f>
        <v>ACCESSORIES</v>
      </c>
      <c r="L1816">
        <f>YEAR(Master_ventas[[#This Row],[Order Date]])</f>
        <v>2023</v>
      </c>
      <c r="M1816" t="str">
        <f>CONCATENATE(LEFT(Master_ventas[[#This Row],[ProdUpper]],3),RIGHT(Master_ventas[[#This Row],[Ext-Year]],2),"-",MID(Master_ventas[[#This Row],[Category]],1,1))</f>
        <v>MON23-A</v>
      </c>
      <c r="N1816" t="str">
        <f>MID(Master_ventas[[#This Row],[ProdUpper]],1,3)</f>
        <v>MON</v>
      </c>
      <c r="O1816" t="str">
        <f>UPPER(IF(Master_ventas[[#This Row],[Profit]]&gt;500,"High","Std"))</f>
        <v>STD</v>
      </c>
      <c r="P1816">
        <v>1815</v>
      </c>
    </row>
    <row r="1817" spans="1:16" x14ac:dyDescent="0.3">
      <c r="A1817" s="1">
        <v>45417</v>
      </c>
      <c r="B1817" t="s">
        <v>7</v>
      </c>
      <c r="C1817" t="s">
        <v>8</v>
      </c>
      <c r="D1817" t="s">
        <v>15</v>
      </c>
      <c r="E1817">
        <v>3</v>
      </c>
      <c r="F1817" s="3">
        <v>2019</v>
      </c>
      <c r="G1817" s="2">
        <v>265.44</v>
      </c>
      <c r="H1817">
        <f>Master_ventas[[#This Row],[Profit]]/Master_ventas[[#This Row],[Sales]]</f>
        <v>0.13147102526002971</v>
      </c>
      <c r="I1817">
        <f ca="1">Referencia_Hoy-Master_ventas[[#This Row],[Order Date]]</f>
        <v>906</v>
      </c>
      <c r="J1817" t="str">
        <f>UPPER(Master_ventas[[#This Row],[Product Name]])</f>
        <v>PRINTER</v>
      </c>
      <c r="K1817" t="str">
        <f>UPPER(Master_ventas[[#This Row],[Category]])</f>
        <v>OFFICE</v>
      </c>
      <c r="L1817">
        <f>YEAR(Master_ventas[[#This Row],[Order Date]])</f>
        <v>2024</v>
      </c>
      <c r="M1817" t="str">
        <f>CONCATENATE(LEFT(Master_ventas[[#This Row],[ProdUpper]],3),RIGHT(Master_ventas[[#This Row],[Ext-Year]],2),"-",MID(Master_ventas[[#This Row],[Category]],1,1))</f>
        <v>PRI24-O</v>
      </c>
      <c r="N1817" t="str">
        <f>MID(Master_ventas[[#This Row],[ProdUpper]],1,3)</f>
        <v>PRI</v>
      </c>
      <c r="O1817" t="str">
        <f>UPPER(IF(Master_ventas[[#This Row],[Profit]]&gt;500,"High","Std"))</f>
        <v>STD</v>
      </c>
      <c r="P1817">
        <v>1816</v>
      </c>
    </row>
    <row r="1818" spans="1:16" x14ac:dyDescent="0.3">
      <c r="A1818" s="1">
        <v>44721</v>
      </c>
      <c r="B1818" t="s">
        <v>18</v>
      </c>
      <c r="C1818" t="s">
        <v>11</v>
      </c>
      <c r="D1818" t="s">
        <v>9</v>
      </c>
      <c r="E1818">
        <v>8</v>
      </c>
      <c r="F1818" s="3">
        <v>2416</v>
      </c>
      <c r="G1818" s="2">
        <v>403.38</v>
      </c>
      <c r="H1818">
        <f>Master_ventas[[#This Row],[Profit]]/Master_ventas[[#This Row],[Sales]]</f>
        <v>0.16696192052980133</v>
      </c>
      <c r="I1818">
        <f ca="1">Referencia_Hoy-Master_ventas[[#This Row],[Order Date]]</f>
        <v>1602</v>
      </c>
      <c r="J1818" t="str">
        <f>UPPER(Master_ventas[[#This Row],[Product Name]])</f>
        <v>HEADPHONES</v>
      </c>
      <c r="K1818" t="str">
        <f>UPPER(Master_ventas[[#This Row],[Category]])</f>
        <v>ACCESSORIES</v>
      </c>
      <c r="L1818">
        <f>YEAR(Master_ventas[[#This Row],[Order Date]])</f>
        <v>2022</v>
      </c>
      <c r="M1818" t="str">
        <f>CONCATENATE(LEFT(Master_ventas[[#This Row],[ProdUpper]],3),RIGHT(Master_ventas[[#This Row],[Ext-Year]],2),"-",MID(Master_ventas[[#This Row],[Category]],1,1))</f>
        <v>HEA22-A</v>
      </c>
      <c r="N1818" t="str">
        <f>MID(Master_ventas[[#This Row],[ProdUpper]],1,3)</f>
        <v>HEA</v>
      </c>
      <c r="O1818" t="str">
        <f>UPPER(IF(Master_ventas[[#This Row],[Profit]]&gt;500,"High","Std"))</f>
        <v>STD</v>
      </c>
      <c r="P1818">
        <v>1817</v>
      </c>
    </row>
    <row r="1819" spans="1:16" x14ac:dyDescent="0.3">
      <c r="A1819" s="1">
        <v>44694</v>
      </c>
      <c r="B1819" t="s">
        <v>20</v>
      </c>
      <c r="C1819" t="s">
        <v>11</v>
      </c>
      <c r="D1819" t="s">
        <v>16</v>
      </c>
      <c r="E1819">
        <v>8</v>
      </c>
      <c r="F1819" s="3">
        <v>6160</v>
      </c>
      <c r="G1819" s="2">
        <v>684.71</v>
      </c>
      <c r="H1819">
        <f>Master_ventas[[#This Row],[Profit]]/Master_ventas[[#This Row],[Sales]]</f>
        <v>0.11115422077922078</v>
      </c>
      <c r="I1819">
        <f ca="1">Referencia_Hoy-Master_ventas[[#This Row],[Order Date]]</f>
        <v>1629</v>
      </c>
      <c r="J1819" t="str">
        <f>UPPER(Master_ventas[[#This Row],[Product Name]])</f>
        <v>MONITOR</v>
      </c>
      <c r="K1819" t="str">
        <f>UPPER(Master_ventas[[#This Row],[Category]])</f>
        <v>ACCESSORIES</v>
      </c>
      <c r="L1819">
        <f>YEAR(Master_ventas[[#This Row],[Order Date]])</f>
        <v>2022</v>
      </c>
      <c r="M1819" t="str">
        <f>CONCATENATE(LEFT(Master_ventas[[#This Row],[ProdUpper]],3),RIGHT(Master_ventas[[#This Row],[Ext-Year]],2),"-",MID(Master_ventas[[#This Row],[Category]],1,1))</f>
        <v>MON22-A</v>
      </c>
      <c r="N1819" t="str">
        <f>MID(Master_ventas[[#This Row],[ProdUpper]],1,3)</f>
        <v>MON</v>
      </c>
      <c r="O1819" t="str">
        <f>UPPER(IF(Master_ventas[[#This Row],[Profit]]&gt;500,"High","Std"))</f>
        <v>HIGH</v>
      </c>
      <c r="P1819">
        <v>1818</v>
      </c>
    </row>
    <row r="1820" spans="1:16" x14ac:dyDescent="0.3">
      <c r="A1820" s="1">
        <v>44658</v>
      </c>
      <c r="B1820" t="s">
        <v>7</v>
      </c>
      <c r="C1820" t="s">
        <v>8</v>
      </c>
      <c r="D1820" t="s">
        <v>12</v>
      </c>
      <c r="E1820">
        <v>4</v>
      </c>
      <c r="F1820" s="3">
        <v>2796</v>
      </c>
      <c r="G1820" s="2">
        <v>682.65</v>
      </c>
      <c r="H1820">
        <f>Master_ventas[[#This Row],[Profit]]/Master_ventas[[#This Row],[Sales]]</f>
        <v>0.24415236051502145</v>
      </c>
      <c r="I1820">
        <f ca="1">Referencia_Hoy-Master_ventas[[#This Row],[Order Date]]</f>
        <v>1665</v>
      </c>
      <c r="J1820" t="str">
        <f>UPPER(Master_ventas[[#This Row],[Product Name]])</f>
        <v>PRINTER</v>
      </c>
      <c r="K1820" t="str">
        <f>UPPER(Master_ventas[[#This Row],[Category]])</f>
        <v>OFFICE</v>
      </c>
      <c r="L1820">
        <f>YEAR(Master_ventas[[#This Row],[Order Date]])</f>
        <v>2022</v>
      </c>
      <c r="M1820" t="str">
        <f>CONCATENATE(LEFT(Master_ventas[[#This Row],[ProdUpper]],3),RIGHT(Master_ventas[[#This Row],[Ext-Year]],2),"-",MID(Master_ventas[[#This Row],[Category]],1,1))</f>
        <v>PRI22-O</v>
      </c>
      <c r="N1820" t="str">
        <f>MID(Master_ventas[[#This Row],[ProdUpper]],1,3)</f>
        <v>PRI</v>
      </c>
      <c r="O1820" t="str">
        <f>UPPER(IF(Master_ventas[[#This Row],[Profit]]&gt;500,"High","Std"))</f>
        <v>HIGH</v>
      </c>
      <c r="P1820">
        <v>1819</v>
      </c>
    </row>
    <row r="1821" spans="1:16" x14ac:dyDescent="0.3">
      <c r="A1821" s="1">
        <v>45645</v>
      </c>
      <c r="B1821" t="s">
        <v>19</v>
      </c>
      <c r="C1821" t="s">
        <v>14</v>
      </c>
      <c r="D1821" t="s">
        <v>15</v>
      </c>
      <c r="E1821">
        <v>7</v>
      </c>
      <c r="F1821" s="3">
        <v>7700</v>
      </c>
      <c r="G1821" s="2">
        <v>1573.41</v>
      </c>
      <c r="H1821">
        <f>Master_ventas[[#This Row],[Profit]]/Master_ventas[[#This Row],[Sales]]</f>
        <v>0.20433896103896104</v>
      </c>
      <c r="I1821">
        <f ca="1">Referencia_Hoy-Master_ventas[[#This Row],[Order Date]]</f>
        <v>678</v>
      </c>
      <c r="J1821" t="str">
        <f>UPPER(Master_ventas[[#This Row],[Product Name]])</f>
        <v>SMARTWATCH</v>
      </c>
      <c r="K1821" t="str">
        <f>UPPER(Master_ventas[[#This Row],[Category]])</f>
        <v>ELECTRONICS</v>
      </c>
      <c r="L1821">
        <f>YEAR(Master_ventas[[#This Row],[Order Date]])</f>
        <v>2024</v>
      </c>
      <c r="M1821" t="str">
        <f>CONCATENATE(LEFT(Master_ventas[[#This Row],[ProdUpper]],3),RIGHT(Master_ventas[[#This Row],[Ext-Year]],2),"-",MID(Master_ventas[[#This Row],[Category]],1,1))</f>
        <v>SMA24-E</v>
      </c>
      <c r="N1821" t="str">
        <f>MID(Master_ventas[[#This Row],[ProdUpper]],1,3)</f>
        <v>SMA</v>
      </c>
      <c r="O1821" t="str">
        <f>UPPER(IF(Master_ventas[[#This Row],[Profit]]&gt;500,"High","Std"))</f>
        <v>HIGH</v>
      </c>
      <c r="P1821">
        <v>1820</v>
      </c>
    </row>
    <row r="1822" spans="1:16" x14ac:dyDescent="0.3">
      <c r="A1822" s="1">
        <v>45460</v>
      </c>
      <c r="B1822" t="s">
        <v>19</v>
      </c>
      <c r="C1822" t="s">
        <v>14</v>
      </c>
      <c r="D1822" t="s">
        <v>16</v>
      </c>
      <c r="E1822">
        <v>5</v>
      </c>
      <c r="F1822" s="3">
        <v>2095</v>
      </c>
      <c r="G1822" s="2">
        <v>193.93</v>
      </c>
      <c r="H1822">
        <f>Master_ventas[[#This Row],[Profit]]/Master_ventas[[#This Row],[Sales]]</f>
        <v>9.2568019093078768E-2</v>
      </c>
      <c r="I1822">
        <f ca="1">Referencia_Hoy-Master_ventas[[#This Row],[Order Date]]</f>
        <v>863</v>
      </c>
      <c r="J1822" t="str">
        <f>UPPER(Master_ventas[[#This Row],[Product Name]])</f>
        <v>SMARTWATCH</v>
      </c>
      <c r="K1822" t="str">
        <f>UPPER(Master_ventas[[#This Row],[Category]])</f>
        <v>ELECTRONICS</v>
      </c>
      <c r="L1822">
        <f>YEAR(Master_ventas[[#This Row],[Order Date]])</f>
        <v>2024</v>
      </c>
      <c r="M1822" t="str">
        <f>CONCATENATE(LEFT(Master_ventas[[#This Row],[ProdUpper]],3),RIGHT(Master_ventas[[#This Row],[Ext-Year]],2),"-",MID(Master_ventas[[#This Row],[Category]],1,1))</f>
        <v>SMA24-E</v>
      </c>
      <c r="N1822" t="str">
        <f>MID(Master_ventas[[#This Row],[ProdUpper]],1,3)</f>
        <v>SMA</v>
      </c>
      <c r="O1822" t="str">
        <f>UPPER(IF(Master_ventas[[#This Row],[Profit]]&gt;500,"High","Std"))</f>
        <v>STD</v>
      </c>
      <c r="P1822">
        <v>1821</v>
      </c>
    </row>
    <row r="1823" spans="1:16" x14ac:dyDescent="0.3">
      <c r="A1823" s="1">
        <v>45560</v>
      </c>
      <c r="B1823" t="s">
        <v>17</v>
      </c>
      <c r="C1823" t="s">
        <v>14</v>
      </c>
      <c r="D1823" t="s">
        <v>9</v>
      </c>
      <c r="E1823">
        <v>5</v>
      </c>
      <c r="F1823" s="3">
        <v>5990</v>
      </c>
      <c r="G1823" s="2">
        <v>1548.62</v>
      </c>
      <c r="H1823">
        <f>Master_ventas[[#This Row],[Profit]]/Master_ventas[[#This Row],[Sales]]</f>
        <v>0.25853422370617696</v>
      </c>
      <c r="I1823">
        <f ca="1">Referencia_Hoy-Master_ventas[[#This Row],[Order Date]]</f>
        <v>763</v>
      </c>
      <c r="J1823" t="str">
        <f>UPPER(Master_ventas[[#This Row],[Product Name]])</f>
        <v>CAMERA</v>
      </c>
      <c r="K1823" t="str">
        <f>UPPER(Master_ventas[[#This Row],[Category]])</f>
        <v>ELECTRONICS</v>
      </c>
      <c r="L1823">
        <f>YEAR(Master_ventas[[#This Row],[Order Date]])</f>
        <v>2024</v>
      </c>
      <c r="M1823" t="str">
        <f>CONCATENATE(LEFT(Master_ventas[[#This Row],[ProdUpper]],3),RIGHT(Master_ventas[[#This Row],[Ext-Year]],2),"-",MID(Master_ventas[[#This Row],[Category]],1,1))</f>
        <v>CAM24-E</v>
      </c>
      <c r="N1823" t="str">
        <f>MID(Master_ventas[[#This Row],[ProdUpper]],1,3)</f>
        <v>CAM</v>
      </c>
      <c r="O1823" t="str">
        <f>UPPER(IF(Master_ventas[[#This Row],[Profit]]&gt;500,"High","Std"))</f>
        <v>HIGH</v>
      </c>
      <c r="P1823">
        <v>1822</v>
      </c>
    </row>
    <row r="1824" spans="1:16" x14ac:dyDescent="0.3">
      <c r="A1824" s="1">
        <v>45653</v>
      </c>
      <c r="B1824" t="s">
        <v>19</v>
      </c>
      <c r="C1824" t="s">
        <v>14</v>
      </c>
      <c r="D1824" t="s">
        <v>9</v>
      </c>
      <c r="E1824">
        <v>2</v>
      </c>
      <c r="F1824" s="3">
        <v>1206</v>
      </c>
      <c r="G1824" s="2">
        <v>307.02</v>
      </c>
      <c r="H1824">
        <f>Master_ventas[[#This Row],[Profit]]/Master_ventas[[#This Row],[Sales]]</f>
        <v>0.25457711442786068</v>
      </c>
      <c r="I1824">
        <f ca="1">Referencia_Hoy-Master_ventas[[#This Row],[Order Date]]</f>
        <v>670</v>
      </c>
      <c r="J1824" t="str">
        <f>UPPER(Master_ventas[[#This Row],[Product Name]])</f>
        <v>SMARTWATCH</v>
      </c>
      <c r="K1824" t="str">
        <f>UPPER(Master_ventas[[#This Row],[Category]])</f>
        <v>ELECTRONICS</v>
      </c>
      <c r="L1824">
        <f>YEAR(Master_ventas[[#This Row],[Order Date]])</f>
        <v>2024</v>
      </c>
      <c r="M1824" t="str">
        <f>CONCATENATE(LEFT(Master_ventas[[#This Row],[ProdUpper]],3),RIGHT(Master_ventas[[#This Row],[Ext-Year]],2),"-",MID(Master_ventas[[#This Row],[Category]],1,1))</f>
        <v>SMA24-E</v>
      </c>
      <c r="N1824" t="str">
        <f>MID(Master_ventas[[#This Row],[ProdUpper]],1,3)</f>
        <v>SMA</v>
      </c>
      <c r="O1824" t="str">
        <f>UPPER(IF(Master_ventas[[#This Row],[Profit]]&gt;500,"High","Std"))</f>
        <v>STD</v>
      </c>
      <c r="P1824">
        <v>1823</v>
      </c>
    </row>
    <row r="1825" spans="1:16" x14ac:dyDescent="0.3">
      <c r="A1825" s="1">
        <v>45366</v>
      </c>
      <c r="B1825" t="s">
        <v>19</v>
      </c>
      <c r="C1825" t="s">
        <v>14</v>
      </c>
      <c r="D1825" t="s">
        <v>15</v>
      </c>
      <c r="E1825">
        <v>5</v>
      </c>
      <c r="F1825" s="3">
        <v>1330</v>
      </c>
      <c r="G1825" s="2">
        <v>285.77999999999997</v>
      </c>
      <c r="H1825">
        <f>Master_ventas[[#This Row],[Profit]]/Master_ventas[[#This Row],[Sales]]</f>
        <v>0.2148721804511278</v>
      </c>
      <c r="I1825">
        <f ca="1">Referencia_Hoy-Master_ventas[[#This Row],[Order Date]]</f>
        <v>957</v>
      </c>
      <c r="J1825" t="str">
        <f>UPPER(Master_ventas[[#This Row],[Product Name]])</f>
        <v>SMARTWATCH</v>
      </c>
      <c r="K1825" t="str">
        <f>UPPER(Master_ventas[[#This Row],[Category]])</f>
        <v>ELECTRONICS</v>
      </c>
      <c r="L1825">
        <f>YEAR(Master_ventas[[#This Row],[Order Date]])</f>
        <v>2024</v>
      </c>
      <c r="M1825" t="str">
        <f>CONCATENATE(LEFT(Master_ventas[[#This Row],[ProdUpper]],3),RIGHT(Master_ventas[[#This Row],[Ext-Year]],2),"-",MID(Master_ventas[[#This Row],[Category]],1,1))</f>
        <v>SMA24-E</v>
      </c>
      <c r="N1825" t="str">
        <f>MID(Master_ventas[[#This Row],[ProdUpper]],1,3)</f>
        <v>SMA</v>
      </c>
      <c r="O1825" t="str">
        <f>UPPER(IF(Master_ventas[[#This Row],[Profit]]&gt;500,"High","Std"))</f>
        <v>STD</v>
      </c>
      <c r="P1825">
        <v>1824</v>
      </c>
    </row>
    <row r="1826" spans="1:16" x14ac:dyDescent="0.3">
      <c r="A1826" s="1">
        <v>44767</v>
      </c>
      <c r="B1826" t="s">
        <v>17</v>
      </c>
      <c r="C1826" t="s">
        <v>14</v>
      </c>
      <c r="D1826" t="s">
        <v>16</v>
      </c>
      <c r="E1826">
        <v>6</v>
      </c>
      <c r="F1826" s="3">
        <v>2706</v>
      </c>
      <c r="G1826" s="2">
        <v>766.68</v>
      </c>
      <c r="H1826">
        <f>Master_ventas[[#This Row],[Profit]]/Master_ventas[[#This Row],[Sales]]</f>
        <v>0.28332594235033259</v>
      </c>
      <c r="I1826">
        <f ca="1">Referencia_Hoy-Master_ventas[[#This Row],[Order Date]]</f>
        <v>1556</v>
      </c>
      <c r="J1826" t="str">
        <f>UPPER(Master_ventas[[#This Row],[Product Name]])</f>
        <v>CAMERA</v>
      </c>
      <c r="K1826" t="str">
        <f>UPPER(Master_ventas[[#This Row],[Category]])</f>
        <v>ELECTRONICS</v>
      </c>
      <c r="L1826">
        <f>YEAR(Master_ventas[[#This Row],[Order Date]])</f>
        <v>2022</v>
      </c>
      <c r="M1826" t="str">
        <f>CONCATENATE(LEFT(Master_ventas[[#This Row],[ProdUpper]],3),RIGHT(Master_ventas[[#This Row],[Ext-Year]],2),"-",MID(Master_ventas[[#This Row],[Category]],1,1))</f>
        <v>CAM22-E</v>
      </c>
      <c r="N1826" t="str">
        <f>MID(Master_ventas[[#This Row],[ProdUpper]],1,3)</f>
        <v>CAM</v>
      </c>
      <c r="O1826" t="str">
        <f>UPPER(IF(Master_ventas[[#This Row],[Profit]]&gt;500,"High","Std"))</f>
        <v>HIGH</v>
      </c>
      <c r="P1826">
        <v>1825</v>
      </c>
    </row>
    <row r="1827" spans="1:16" x14ac:dyDescent="0.3">
      <c r="A1827" s="1">
        <v>44940</v>
      </c>
      <c r="B1827" t="s">
        <v>23</v>
      </c>
      <c r="C1827" t="s">
        <v>14</v>
      </c>
      <c r="D1827" t="s">
        <v>12</v>
      </c>
      <c r="E1827">
        <v>3</v>
      </c>
      <c r="F1827" s="3">
        <v>426</v>
      </c>
      <c r="G1827" s="2">
        <v>50.8</v>
      </c>
      <c r="H1827">
        <f>Master_ventas[[#This Row],[Profit]]/Master_ventas[[#This Row],[Sales]]</f>
        <v>0.1192488262910798</v>
      </c>
      <c r="I1827">
        <f ca="1">Referencia_Hoy-Master_ventas[[#This Row],[Order Date]]</f>
        <v>1383</v>
      </c>
      <c r="J1827" t="str">
        <f>UPPER(Master_ventas[[#This Row],[Product Name]])</f>
        <v>LAPTOP</v>
      </c>
      <c r="K1827" t="str">
        <f>UPPER(Master_ventas[[#This Row],[Category]])</f>
        <v>ELECTRONICS</v>
      </c>
      <c r="L1827">
        <f>YEAR(Master_ventas[[#This Row],[Order Date]])</f>
        <v>2023</v>
      </c>
      <c r="M1827" t="str">
        <f>CONCATENATE(LEFT(Master_ventas[[#This Row],[ProdUpper]],3),RIGHT(Master_ventas[[#This Row],[Ext-Year]],2),"-",MID(Master_ventas[[#This Row],[Category]],1,1))</f>
        <v>LAP23-E</v>
      </c>
      <c r="N1827" t="str">
        <f>MID(Master_ventas[[#This Row],[ProdUpper]],1,3)</f>
        <v>LAP</v>
      </c>
      <c r="O1827" t="str">
        <f>UPPER(IF(Master_ventas[[#This Row],[Profit]]&gt;500,"High","Std"))</f>
        <v>STD</v>
      </c>
      <c r="P1827">
        <v>1826</v>
      </c>
    </row>
    <row r="1828" spans="1:16" x14ac:dyDescent="0.3">
      <c r="A1828" s="1">
        <v>45609</v>
      </c>
      <c r="B1828" t="s">
        <v>13</v>
      </c>
      <c r="C1828" t="s">
        <v>14</v>
      </c>
      <c r="D1828" t="s">
        <v>16</v>
      </c>
      <c r="E1828">
        <v>1</v>
      </c>
      <c r="F1828" s="3">
        <v>414</v>
      </c>
      <c r="G1828" s="2">
        <v>50.26</v>
      </c>
      <c r="H1828">
        <f>Master_ventas[[#This Row],[Profit]]/Master_ventas[[#This Row],[Sales]]</f>
        <v>0.12140096618357488</v>
      </c>
      <c r="I1828">
        <f ca="1">Referencia_Hoy-Master_ventas[[#This Row],[Order Date]]</f>
        <v>714</v>
      </c>
      <c r="J1828" t="str">
        <f>UPPER(Master_ventas[[#This Row],[Product Name]])</f>
        <v>TABLET</v>
      </c>
      <c r="K1828" t="str">
        <f>UPPER(Master_ventas[[#This Row],[Category]])</f>
        <v>ELECTRONICS</v>
      </c>
      <c r="L1828">
        <f>YEAR(Master_ventas[[#This Row],[Order Date]])</f>
        <v>2024</v>
      </c>
      <c r="M1828" t="str">
        <f>CONCATENATE(LEFT(Master_ventas[[#This Row],[ProdUpper]],3),RIGHT(Master_ventas[[#This Row],[Ext-Year]],2),"-",MID(Master_ventas[[#This Row],[Category]],1,1))</f>
        <v>TAB24-E</v>
      </c>
      <c r="N1828" t="str">
        <f>MID(Master_ventas[[#This Row],[ProdUpper]],1,3)</f>
        <v>TAB</v>
      </c>
      <c r="O1828" t="str">
        <f>UPPER(IF(Master_ventas[[#This Row],[Profit]]&gt;500,"High","Std"))</f>
        <v>STD</v>
      </c>
      <c r="P1828">
        <v>1827</v>
      </c>
    </row>
    <row r="1829" spans="1:16" x14ac:dyDescent="0.3">
      <c r="A1829" s="1">
        <v>45472</v>
      </c>
      <c r="B1829" t="s">
        <v>23</v>
      </c>
      <c r="C1829" t="s">
        <v>14</v>
      </c>
      <c r="D1829" t="s">
        <v>12</v>
      </c>
      <c r="E1829">
        <v>5</v>
      </c>
      <c r="F1829" s="3">
        <v>5465</v>
      </c>
      <c r="G1829" s="2">
        <v>546.33000000000004</v>
      </c>
      <c r="H1829">
        <f>Master_ventas[[#This Row],[Profit]]/Master_ventas[[#This Row],[Sales]]</f>
        <v>9.9968892955169267E-2</v>
      </c>
      <c r="I1829">
        <f ca="1">Referencia_Hoy-Master_ventas[[#This Row],[Order Date]]</f>
        <v>851</v>
      </c>
      <c r="J1829" t="str">
        <f>UPPER(Master_ventas[[#This Row],[Product Name]])</f>
        <v>LAPTOP</v>
      </c>
      <c r="K1829" t="str">
        <f>UPPER(Master_ventas[[#This Row],[Category]])</f>
        <v>ELECTRONICS</v>
      </c>
      <c r="L1829">
        <f>YEAR(Master_ventas[[#This Row],[Order Date]])</f>
        <v>2024</v>
      </c>
      <c r="M1829" t="str">
        <f>CONCATENATE(LEFT(Master_ventas[[#This Row],[ProdUpper]],3),RIGHT(Master_ventas[[#This Row],[Ext-Year]],2),"-",MID(Master_ventas[[#This Row],[Category]],1,1))</f>
        <v>LAP24-E</v>
      </c>
      <c r="N1829" t="str">
        <f>MID(Master_ventas[[#This Row],[ProdUpper]],1,3)</f>
        <v>LAP</v>
      </c>
      <c r="O1829" t="str">
        <f>UPPER(IF(Master_ventas[[#This Row],[Profit]]&gt;500,"High","Std"))</f>
        <v>HIGH</v>
      </c>
      <c r="P1829">
        <v>1828</v>
      </c>
    </row>
    <row r="1830" spans="1:16" x14ac:dyDescent="0.3">
      <c r="A1830" s="1">
        <v>45434</v>
      </c>
      <c r="B1830" t="s">
        <v>13</v>
      </c>
      <c r="C1830" t="s">
        <v>14</v>
      </c>
      <c r="D1830" t="s">
        <v>15</v>
      </c>
      <c r="E1830">
        <v>3</v>
      </c>
      <c r="F1830" s="3">
        <v>726</v>
      </c>
      <c r="G1830" s="2">
        <v>71.06</v>
      </c>
      <c r="H1830">
        <f>Master_ventas[[#This Row],[Profit]]/Master_ventas[[#This Row],[Sales]]</f>
        <v>9.7878787878787885E-2</v>
      </c>
      <c r="I1830">
        <f ca="1">Referencia_Hoy-Master_ventas[[#This Row],[Order Date]]</f>
        <v>889</v>
      </c>
      <c r="J1830" t="str">
        <f>UPPER(Master_ventas[[#This Row],[Product Name]])</f>
        <v>TABLET</v>
      </c>
      <c r="K1830" t="str">
        <f>UPPER(Master_ventas[[#This Row],[Category]])</f>
        <v>ELECTRONICS</v>
      </c>
      <c r="L1830">
        <f>YEAR(Master_ventas[[#This Row],[Order Date]])</f>
        <v>2024</v>
      </c>
      <c r="M1830" t="str">
        <f>CONCATENATE(LEFT(Master_ventas[[#This Row],[ProdUpper]],3),RIGHT(Master_ventas[[#This Row],[Ext-Year]],2),"-",MID(Master_ventas[[#This Row],[Category]],1,1))</f>
        <v>TAB24-E</v>
      </c>
      <c r="N1830" t="str">
        <f>MID(Master_ventas[[#This Row],[ProdUpper]],1,3)</f>
        <v>TAB</v>
      </c>
      <c r="O1830" t="str">
        <f>UPPER(IF(Master_ventas[[#This Row],[Profit]]&gt;500,"High","Std"))</f>
        <v>STD</v>
      </c>
      <c r="P1830">
        <v>1829</v>
      </c>
    </row>
    <row r="1831" spans="1:16" x14ac:dyDescent="0.3">
      <c r="A1831" s="1">
        <v>44681</v>
      </c>
      <c r="B1831" t="s">
        <v>19</v>
      </c>
      <c r="C1831" t="s">
        <v>14</v>
      </c>
      <c r="D1831" t="s">
        <v>12</v>
      </c>
      <c r="E1831">
        <v>1</v>
      </c>
      <c r="F1831" s="3">
        <v>1001</v>
      </c>
      <c r="G1831" s="2">
        <v>225.75</v>
      </c>
      <c r="H1831">
        <f>Master_ventas[[#This Row],[Profit]]/Master_ventas[[#This Row],[Sales]]</f>
        <v>0.22552447552447552</v>
      </c>
      <c r="I1831">
        <f ca="1">Referencia_Hoy-Master_ventas[[#This Row],[Order Date]]</f>
        <v>1642</v>
      </c>
      <c r="J1831" t="str">
        <f>UPPER(Master_ventas[[#This Row],[Product Name]])</f>
        <v>SMARTWATCH</v>
      </c>
      <c r="K1831" t="str">
        <f>UPPER(Master_ventas[[#This Row],[Category]])</f>
        <v>ELECTRONICS</v>
      </c>
      <c r="L1831">
        <f>YEAR(Master_ventas[[#This Row],[Order Date]])</f>
        <v>2022</v>
      </c>
      <c r="M1831" t="str">
        <f>CONCATENATE(LEFT(Master_ventas[[#This Row],[ProdUpper]],3),RIGHT(Master_ventas[[#This Row],[Ext-Year]],2),"-",MID(Master_ventas[[#This Row],[Category]],1,1))</f>
        <v>SMA22-E</v>
      </c>
      <c r="N1831" t="str">
        <f>MID(Master_ventas[[#This Row],[ProdUpper]],1,3)</f>
        <v>SMA</v>
      </c>
      <c r="O1831" t="str">
        <f>UPPER(IF(Master_ventas[[#This Row],[Profit]]&gt;500,"High","Std"))</f>
        <v>STD</v>
      </c>
      <c r="P1831">
        <v>1830</v>
      </c>
    </row>
    <row r="1832" spans="1:16" x14ac:dyDescent="0.3">
      <c r="A1832" s="1">
        <v>44608</v>
      </c>
      <c r="B1832" t="s">
        <v>10</v>
      </c>
      <c r="C1832" t="s">
        <v>11</v>
      </c>
      <c r="D1832" t="s">
        <v>16</v>
      </c>
      <c r="E1832">
        <v>9</v>
      </c>
      <c r="F1832" s="3">
        <v>7362</v>
      </c>
      <c r="G1832" s="2">
        <v>1866.65</v>
      </c>
      <c r="H1832">
        <f>Master_ventas[[#This Row],[Profit]]/Master_ventas[[#This Row],[Sales]]</f>
        <v>0.25355202390654713</v>
      </c>
      <c r="I1832">
        <f ca="1">Referencia_Hoy-Master_ventas[[#This Row],[Order Date]]</f>
        <v>1715</v>
      </c>
      <c r="J1832" t="str">
        <f>UPPER(Master_ventas[[#This Row],[Product Name]])</f>
        <v>MOUSE</v>
      </c>
      <c r="K1832" t="str">
        <f>UPPER(Master_ventas[[#This Row],[Category]])</f>
        <v>ACCESSORIES</v>
      </c>
      <c r="L1832">
        <f>YEAR(Master_ventas[[#This Row],[Order Date]])</f>
        <v>2022</v>
      </c>
      <c r="M1832" t="str">
        <f>CONCATENATE(LEFT(Master_ventas[[#This Row],[ProdUpper]],3),RIGHT(Master_ventas[[#This Row],[Ext-Year]],2),"-",MID(Master_ventas[[#This Row],[Category]],1,1))</f>
        <v>MOU22-A</v>
      </c>
      <c r="N1832" t="str">
        <f>MID(Master_ventas[[#This Row],[ProdUpper]],1,3)</f>
        <v>MOU</v>
      </c>
      <c r="O1832" t="str">
        <f>UPPER(IF(Master_ventas[[#This Row],[Profit]]&gt;500,"High","Std"))</f>
        <v>HIGH</v>
      </c>
      <c r="P1832">
        <v>1831</v>
      </c>
    </row>
    <row r="1833" spans="1:16" x14ac:dyDescent="0.3">
      <c r="A1833" s="1">
        <v>44695</v>
      </c>
      <c r="B1833" t="s">
        <v>22</v>
      </c>
      <c r="C1833" t="s">
        <v>11</v>
      </c>
      <c r="D1833" t="s">
        <v>12</v>
      </c>
      <c r="E1833">
        <v>4</v>
      </c>
      <c r="F1833" s="3">
        <v>2284</v>
      </c>
      <c r="G1833" s="2">
        <v>576.59</v>
      </c>
      <c r="H1833">
        <f>Master_ventas[[#This Row],[Profit]]/Master_ventas[[#This Row],[Sales]]</f>
        <v>0.25244746059544659</v>
      </c>
      <c r="I1833">
        <f ca="1">Referencia_Hoy-Master_ventas[[#This Row],[Order Date]]</f>
        <v>1628</v>
      </c>
      <c r="J1833" t="str">
        <f>UPPER(Master_ventas[[#This Row],[Product Name]])</f>
        <v>KEYBOARD</v>
      </c>
      <c r="K1833" t="str">
        <f>UPPER(Master_ventas[[#This Row],[Category]])</f>
        <v>ACCESSORIES</v>
      </c>
      <c r="L1833">
        <f>YEAR(Master_ventas[[#This Row],[Order Date]])</f>
        <v>2022</v>
      </c>
      <c r="M1833" t="str">
        <f>CONCATENATE(LEFT(Master_ventas[[#This Row],[ProdUpper]],3),RIGHT(Master_ventas[[#This Row],[Ext-Year]],2),"-",MID(Master_ventas[[#This Row],[Category]],1,1))</f>
        <v>KEY22-A</v>
      </c>
      <c r="N1833" t="str">
        <f>MID(Master_ventas[[#This Row],[ProdUpper]],1,3)</f>
        <v>KEY</v>
      </c>
      <c r="O1833" t="str">
        <f>UPPER(IF(Master_ventas[[#This Row],[Profit]]&gt;500,"High","Std"))</f>
        <v>HIGH</v>
      </c>
      <c r="P1833">
        <v>1832</v>
      </c>
    </row>
    <row r="1834" spans="1:16" x14ac:dyDescent="0.3">
      <c r="A1834" s="1">
        <v>44912</v>
      </c>
      <c r="B1834" t="s">
        <v>13</v>
      </c>
      <c r="C1834" t="s">
        <v>14</v>
      </c>
      <c r="D1834" t="s">
        <v>12</v>
      </c>
      <c r="E1834">
        <v>4</v>
      </c>
      <c r="F1834" s="3">
        <v>2940</v>
      </c>
      <c r="G1834" s="2">
        <v>566.36</v>
      </c>
      <c r="H1834">
        <f>Master_ventas[[#This Row],[Profit]]/Master_ventas[[#This Row],[Sales]]</f>
        <v>0.19263945578231292</v>
      </c>
      <c r="I1834">
        <f ca="1">Referencia_Hoy-Master_ventas[[#This Row],[Order Date]]</f>
        <v>1411</v>
      </c>
      <c r="J1834" t="str">
        <f>UPPER(Master_ventas[[#This Row],[Product Name]])</f>
        <v>TABLET</v>
      </c>
      <c r="K1834" t="str">
        <f>UPPER(Master_ventas[[#This Row],[Category]])</f>
        <v>ELECTRONICS</v>
      </c>
      <c r="L1834">
        <f>YEAR(Master_ventas[[#This Row],[Order Date]])</f>
        <v>2022</v>
      </c>
      <c r="M1834" t="str">
        <f>CONCATENATE(LEFT(Master_ventas[[#This Row],[ProdUpper]],3),RIGHT(Master_ventas[[#This Row],[Ext-Year]],2),"-",MID(Master_ventas[[#This Row],[Category]],1,1))</f>
        <v>TAB22-E</v>
      </c>
      <c r="N1834" t="str">
        <f>MID(Master_ventas[[#This Row],[ProdUpper]],1,3)</f>
        <v>TAB</v>
      </c>
      <c r="O1834" t="str">
        <f>UPPER(IF(Master_ventas[[#This Row],[Profit]]&gt;500,"High","Std"))</f>
        <v>HIGH</v>
      </c>
      <c r="P1834">
        <v>1833</v>
      </c>
    </row>
    <row r="1835" spans="1:16" x14ac:dyDescent="0.3">
      <c r="A1835" s="1">
        <v>45062</v>
      </c>
      <c r="B1835" t="s">
        <v>7</v>
      </c>
      <c r="C1835" t="s">
        <v>8</v>
      </c>
      <c r="D1835" t="s">
        <v>15</v>
      </c>
      <c r="E1835">
        <v>4</v>
      </c>
      <c r="F1835" s="3">
        <v>3068</v>
      </c>
      <c r="G1835" s="2">
        <v>868.89</v>
      </c>
      <c r="H1835">
        <f>Master_ventas[[#This Row],[Profit]]/Master_ventas[[#This Row],[Sales]]</f>
        <v>0.28321056062581484</v>
      </c>
      <c r="I1835">
        <f ca="1">Referencia_Hoy-Master_ventas[[#This Row],[Order Date]]</f>
        <v>1261</v>
      </c>
      <c r="J1835" t="str">
        <f>UPPER(Master_ventas[[#This Row],[Product Name]])</f>
        <v>PRINTER</v>
      </c>
      <c r="K1835" t="str">
        <f>UPPER(Master_ventas[[#This Row],[Category]])</f>
        <v>OFFICE</v>
      </c>
      <c r="L1835">
        <f>YEAR(Master_ventas[[#This Row],[Order Date]])</f>
        <v>2023</v>
      </c>
      <c r="M1835" t="str">
        <f>CONCATENATE(LEFT(Master_ventas[[#This Row],[ProdUpper]],3),RIGHT(Master_ventas[[#This Row],[Ext-Year]],2),"-",MID(Master_ventas[[#This Row],[Category]],1,1))</f>
        <v>PRI23-O</v>
      </c>
      <c r="N1835" t="str">
        <f>MID(Master_ventas[[#This Row],[ProdUpper]],1,3)</f>
        <v>PRI</v>
      </c>
      <c r="O1835" t="str">
        <f>UPPER(IF(Master_ventas[[#This Row],[Profit]]&gt;500,"High","Std"))</f>
        <v>HIGH</v>
      </c>
      <c r="P1835">
        <v>1834</v>
      </c>
    </row>
    <row r="1836" spans="1:16" x14ac:dyDescent="0.3">
      <c r="A1836" s="1">
        <v>45511</v>
      </c>
      <c r="B1836" t="s">
        <v>21</v>
      </c>
      <c r="C1836" t="s">
        <v>14</v>
      </c>
      <c r="D1836" t="s">
        <v>9</v>
      </c>
      <c r="E1836">
        <v>3</v>
      </c>
      <c r="F1836" s="3">
        <v>3477</v>
      </c>
      <c r="G1836" s="2">
        <v>862.21</v>
      </c>
      <c r="H1836">
        <f>Master_ventas[[#This Row],[Profit]]/Master_ventas[[#This Row],[Sales]]</f>
        <v>0.24797526603393732</v>
      </c>
      <c r="I1836">
        <f ca="1">Referencia_Hoy-Master_ventas[[#This Row],[Order Date]]</f>
        <v>812</v>
      </c>
      <c r="J1836" t="str">
        <f>UPPER(Master_ventas[[#This Row],[Product Name]])</f>
        <v>SMARTPHONE</v>
      </c>
      <c r="K1836" t="str">
        <f>UPPER(Master_ventas[[#This Row],[Category]])</f>
        <v>ELECTRONICS</v>
      </c>
      <c r="L1836">
        <f>YEAR(Master_ventas[[#This Row],[Order Date]])</f>
        <v>2024</v>
      </c>
      <c r="M1836" t="str">
        <f>CONCATENATE(LEFT(Master_ventas[[#This Row],[ProdUpper]],3),RIGHT(Master_ventas[[#This Row],[Ext-Year]],2),"-",MID(Master_ventas[[#This Row],[Category]],1,1))</f>
        <v>SMA24-E</v>
      </c>
      <c r="N1836" t="str">
        <f>MID(Master_ventas[[#This Row],[ProdUpper]],1,3)</f>
        <v>SMA</v>
      </c>
      <c r="O1836" t="str">
        <f>UPPER(IF(Master_ventas[[#This Row],[Profit]]&gt;500,"High","Std"))</f>
        <v>HIGH</v>
      </c>
      <c r="P1836">
        <v>1835</v>
      </c>
    </row>
    <row r="1837" spans="1:16" x14ac:dyDescent="0.3">
      <c r="A1837" s="1">
        <v>45508</v>
      </c>
      <c r="B1837" t="s">
        <v>19</v>
      </c>
      <c r="C1837" t="s">
        <v>14</v>
      </c>
      <c r="D1837" t="s">
        <v>16</v>
      </c>
      <c r="E1837">
        <v>9</v>
      </c>
      <c r="F1837" s="3">
        <v>4014</v>
      </c>
      <c r="G1837" s="2">
        <v>204.48</v>
      </c>
      <c r="H1837">
        <f>Master_ventas[[#This Row],[Profit]]/Master_ventas[[#This Row],[Sales]]</f>
        <v>5.094170403587444E-2</v>
      </c>
      <c r="I1837">
        <f ca="1">Referencia_Hoy-Master_ventas[[#This Row],[Order Date]]</f>
        <v>815</v>
      </c>
      <c r="J1837" t="str">
        <f>UPPER(Master_ventas[[#This Row],[Product Name]])</f>
        <v>SMARTWATCH</v>
      </c>
      <c r="K1837" t="str">
        <f>UPPER(Master_ventas[[#This Row],[Category]])</f>
        <v>ELECTRONICS</v>
      </c>
      <c r="L1837">
        <f>YEAR(Master_ventas[[#This Row],[Order Date]])</f>
        <v>2024</v>
      </c>
      <c r="M1837" t="str">
        <f>CONCATENATE(LEFT(Master_ventas[[#This Row],[ProdUpper]],3),RIGHT(Master_ventas[[#This Row],[Ext-Year]],2),"-",MID(Master_ventas[[#This Row],[Category]],1,1))</f>
        <v>SMA24-E</v>
      </c>
      <c r="N1837" t="str">
        <f>MID(Master_ventas[[#This Row],[ProdUpper]],1,3)</f>
        <v>SMA</v>
      </c>
      <c r="O1837" t="str">
        <f>UPPER(IF(Master_ventas[[#This Row],[Profit]]&gt;500,"High","Std"))</f>
        <v>STD</v>
      </c>
      <c r="P1837">
        <v>1836</v>
      </c>
    </row>
    <row r="1838" spans="1:16" x14ac:dyDescent="0.3">
      <c r="A1838" s="1">
        <v>45511</v>
      </c>
      <c r="B1838" t="s">
        <v>20</v>
      </c>
      <c r="C1838" t="s">
        <v>11</v>
      </c>
      <c r="D1838" t="s">
        <v>9</v>
      </c>
      <c r="E1838">
        <v>8</v>
      </c>
      <c r="F1838" s="3">
        <v>7200</v>
      </c>
      <c r="G1838" s="2">
        <v>804.53</v>
      </c>
      <c r="H1838">
        <f>Master_ventas[[#This Row],[Profit]]/Master_ventas[[#This Row],[Sales]]</f>
        <v>0.11174027777777777</v>
      </c>
      <c r="I1838">
        <f ca="1">Referencia_Hoy-Master_ventas[[#This Row],[Order Date]]</f>
        <v>812</v>
      </c>
      <c r="J1838" t="str">
        <f>UPPER(Master_ventas[[#This Row],[Product Name]])</f>
        <v>MONITOR</v>
      </c>
      <c r="K1838" t="str">
        <f>UPPER(Master_ventas[[#This Row],[Category]])</f>
        <v>ACCESSORIES</v>
      </c>
      <c r="L1838">
        <f>YEAR(Master_ventas[[#This Row],[Order Date]])</f>
        <v>2024</v>
      </c>
      <c r="M1838" t="str">
        <f>CONCATENATE(LEFT(Master_ventas[[#This Row],[ProdUpper]],3),RIGHT(Master_ventas[[#This Row],[Ext-Year]],2),"-",MID(Master_ventas[[#This Row],[Category]],1,1))</f>
        <v>MON24-A</v>
      </c>
      <c r="N1838" t="str">
        <f>MID(Master_ventas[[#This Row],[ProdUpper]],1,3)</f>
        <v>MON</v>
      </c>
      <c r="O1838" t="str">
        <f>UPPER(IF(Master_ventas[[#This Row],[Profit]]&gt;500,"High","Std"))</f>
        <v>HIGH</v>
      </c>
      <c r="P1838">
        <v>1837</v>
      </c>
    </row>
    <row r="1839" spans="1:16" x14ac:dyDescent="0.3">
      <c r="A1839" s="1">
        <v>45385</v>
      </c>
      <c r="B1839" t="s">
        <v>19</v>
      </c>
      <c r="C1839" t="s">
        <v>14</v>
      </c>
      <c r="D1839" t="s">
        <v>16</v>
      </c>
      <c r="E1839">
        <v>3</v>
      </c>
      <c r="F1839" s="3">
        <v>735</v>
      </c>
      <c r="G1839" s="2">
        <v>134.53</v>
      </c>
      <c r="H1839">
        <f>Master_ventas[[#This Row],[Profit]]/Master_ventas[[#This Row],[Sales]]</f>
        <v>0.18303401360544219</v>
      </c>
      <c r="I1839">
        <f ca="1">Referencia_Hoy-Master_ventas[[#This Row],[Order Date]]</f>
        <v>938</v>
      </c>
      <c r="J1839" t="str">
        <f>UPPER(Master_ventas[[#This Row],[Product Name]])</f>
        <v>SMARTWATCH</v>
      </c>
      <c r="K1839" t="str">
        <f>UPPER(Master_ventas[[#This Row],[Category]])</f>
        <v>ELECTRONICS</v>
      </c>
      <c r="L1839">
        <f>YEAR(Master_ventas[[#This Row],[Order Date]])</f>
        <v>2024</v>
      </c>
      <c r="M1839" t="str">
        <f>CONCATENATE(LEFT(Master_ventas[[#This Row],[ProdUpper]],3),RIGHT(Master_ventas[[#This Row],[Ext-Year]],2),"-",MID(Master_ventas[[#This Row],[Category]],1,1))</f>
        <v>SMA24-E</v>
      </c>
      <c r="N1839" t="str">
        <f>MID(Master_ventas[[#This Row],[ProdUpper]],1,3)</f>
        <v>SMA</v>
      </c>
      <c r="O1839" t="str">
        <f>UPPER(IF(Master_ventas[[#This Row],[Profit]]&gt;500,"High","Std"))</f>
        <v>STD</v>
      </c>
      <c r="P1839">
        <v>1838</v>
      </c>
    </row>
    <row r="1840" spans="1:16" x14ac:dyDescent="0.3">
      <c r="A1840" s="1">
        <v>44957</v>
      </c>
      <c r="B1840" t="s">
        <v>20</v>
      </c>
      <c r="C1840" t="s">
        <v>11</v>
      </c>
      <c r="D1840" t="s">
        <v>12</v>
      </c>
      <c r="E1840">
        <v>3</v>
      </c>
      <c r="F1840" s="3">
        <v>2964</v>
      </c>
      <c r="G1840" s="2">
        <v>446.54</v>
      </c>
      <c r="H1840">
        <f>Master_ventas[[#This Row],[Profit]]/Master_ventas[[#This Row],[Sales]]</f>
        <v>0.15065452091767881</v>
      </c>
      <c r="I1840">
        <f ca="1">Referencia_Hoy-Master_ventas[[#This Row],[Order Date]]</f>
        <v>1366</v>
      </c>
      <c r="J1840" t="str">
        <f>UPPER(Master_ventas[[#This Row],[Product Name]])</f>
        <v>MONITOR</v>
      </c>
      <c r="K1840" t="str">
        <f>UPPER(Master_ventas[[#This Row],[Category]])</f>
        <v>ACCESSORIES</v>
      </c>
      <c r="L1840">
        <f>YEAR(Master_ventas[[#This Row],[Order Date]])</f>
        <v>2023</v>
      </c>
      <c r="M1840" t="str">
        <f>CONCATENATE(LEFT(Master_ventas[[#This Row],[ProdUpper]],3),RIGHT(Master_ventas[[#This Row],[Ext-Year]],2),"-",MID(Master_ventas[[#This Row],[Category]],1,1))</f>
        <v>MON23-A</v>
      </c>
      <c r="N1840" t="str">
        <f>MID(Master_ventas[[#This Row],[ProdUpper]],1,3)</f>
        <v>MON</v>
      </c>
      <c r="O1840" t="str">
        <f>UPPER(IF(Master_ventas[[#This Row],[Profit]]&gt;500,"High","Std"))</f>
        <v>STD</v>
      </c>
      <c r="P1840">
        <v>1839</v>
      </c>
    </row>
    <row r="1841" spans="1:16" x14ac:dyDescent="0.3">
      <c r="A1841" s="1">
        <v>44645</v>
      </c>
      <c r="B1841" t="s">
        <v>17</v>
      </c>
      <c r="C1841" t="s">
        <v>14</v>
      </c>
      <c r="D1841" t="s">
        <v>16</v>
      </c>
      <c r="E1841">
        <v>9</v>
      </c>
      <c r="F1841" s="3">
        <v>3699</v>
      </c>
      <c r="G1841" s="2">
        <v>276.07</v>
      </c>
      <c r="H1841">
        <f>Master_ventas[[#This Row],[Profit]]/Master_ventas[[#This Row],[Sales]]</f>
        <v>7.4633684779670181E-2</v>
      </c>
      <c r="I1841">
        <f ca="1">Referencia_Hoy-Master_ventas[[#This Row],[Order Date]]</f>
        <v>1678</v>
      </c>
      <c r="J1841" t="str">
        <f>UPPER(Master_ventas[[#This Row],[Product Name]])</f>
        <v>CAMERA</v>
      </c>
      <c r="K1841" t="str">
        <f>UPPER(Master_ventas[[#This Row],[Category]])</f>
        <v>ELECTRONICS</v>
      </c>
      <c r="L1841">
        <f>YEAR(Master_ventas[[#This Row],[Order Date]])</f>
        <v>2022</v>
      </c>
      <c r="M1841" t="str">
        <f>CONCATENATE(LEFT(Master_ventas[[#This Row],[ProdUpper]],3),RIGHT(Master_ventas[[#This Row],[Ext-Year]],2),"-",MID(Master_ventas[[#This Row],[Category]],1,1))</f>
        <v>CAM22-E</v>
      </c>
      <c r="N1841" t="str">
        <f>MID(Master_ventas[[#This Row],[ProdUpper]],1,3)</f>
        <v>CAM</v>
      </c>
      <c r="O1841" t="str">
        <f>UPPER(IF(Master_ventas[[#This Row],[Profit]]&gt;500,"High","Std"))</f>
        <v>STD</v>
      </c>
      <c r="P1841">
        <v>1840</v>
      </c>
    </row>
    <row r="1842" spans="1:16" x14ac:dyDescent="0.3">
      <c r="A1842" s="1">
        <v>44695</v>
      </c>
      <c r="B1842" t="s">
        <v>7</v>
      </c>
      <c r="C1842" t="s">
        <v>8</v>
      </c>
      <c r="D1842" t="s">
        <v>16</v>
      </c>
      <c r="E1842">
        <v>3</v>
      </c>
      <c r="F1842" s="3">
        <v>1563</v>
      </c>
      <c r="G1842" s="2">
        <v>221.62</v>
      </c>
      <c r="H1842">
        <f>Master_ventas[[#This Row],[Profit]]/Master_ventas[[#This Row],[Sales]]</f>
        <v>0.14179142674344211</v>
      </c>
      <c r="I1842">
        <f ca="1">Referencia_Hoy-Master_ventas[[#This Row],[Order Date]]</f>
        <v>1628</v>
      </c>
      <c r="J1842" t="str">
        <f>UPPER(Master_ventas[[#This Row],[Product Name]])</f>
        <v>PRINTER</v>
      </c>
      <c r="K1842" t="str">
        <f>UPPER(Master_ventas[[#This Row],[Category]])</f>
        <v>OFFICE</v>
      </c>
      <c r="L1842">
        <f>YEAR(Master_ventas[[#This Row],[Order Date]])</f>
        <v>2022</v>
      </c>
      <c r="M1842" t="str">
        <f>CONCATENATE(LEFT(Master_ventas[[#This Row],[ProdUpper]],3),RIGHT(Master_ventas[[#This Row],[Ext-Year]],2),"-",MID(Master_ventas[[#This Row],[Category]],1,1))</f>
        <v>PRI22-O</v>
      </c>
      <c r="N1842" t="str">
        <f>MID(Master_ventas[[#This Row],[ProdUpper]],1,3)</f>
        <v>PRI</v>
      </c>
      <c r="O1842" t="str">
        <f>UPPER(IF(Master_ventas[[#This Row],[Profit]]&gt;500,"High","Std"))</f>
        <v>STD</v>
      </c>
      <c r="P1842">
        <v>1841</v>
      </c>
    </row>
    <row r="1843" spans="1:16" x14ac:dyDescent="0.3">
      <c r="A1843" s="1">
        <v>45120</v>
      </c>
      <c r="B1843" t="s">
        <v>10</v>
      </c>
      <c r="C1843" t="s">
        <v>11</v>
      </c>
      <c r="D1843" t="s">
        <v>15</v>
      </c>
      <c r="E1843">
        <v>2</v>
      </c>
      <c r="F1843" s="3">
        <v>124</v>
      </c>
      <c r="G1843" s="2">
        <v>32.270000000000003</v>
      </c>
      <c r="H1843">
        <f>Master_ventas[[#This Row],[Profit]]/Master_ventas[[#This Row],[Sales]]</f>
        <v>0.26024193548387098</v>
      </c>
      <c r="I1843">
        <f ca="1">Referencia_Hoy-Master_ventas[[#This Row],[Order Date]]</f>
        <v>1203</v>
      </c>
      <c r="J1843" t="str">
        <f>UPPER(Master_ventas[[#This Row],[Product Name]])</f>
        <v>MOUSE</v>
      </c>
      <c r="K1843" t="str">
        <f>UPPER(Master_ventas[[#This Row],[Category]])</f>
        <v>ACCESSORIES</v>
      </c>
      <c r="L1843">
        <f>YEAR(Master_ventas[[#This Row],[Order Date]])</f>
        <v>2023</v>
      </c>
      <c r="M1843" t="str">
        <f>CONCATENATE(LEFT(Master_ventas[[#This Row],[ProdUpper]],3),RIGHT(Master_ventas[[#This Row],[Ext-Year]],2),"-",MID(Master_ventas[[#This Row],[Category]],1,1))</f>
        <v>MOU23-A</v>
      </c>
      <c r="N1843" t="str">
        <f>MID(Master_ventas[[#This Row],[ProdUpper]],1,3)</f>
        <v>MOU</v>
      </c>
      <c r="O1843" t="str">
        <f>UPPER(IF(Master_ventas[[#This Row],[Profit]]&gt;500,"High","Std"))</f>
        <v>STD</v>
      </c>
      <c r="P1843">
        <v>1842</v>
      </c>
    </row>
    <row r="1844" spans="1:16" x14ac:dyDescent="0.3">
      <c r="A1844" s="1">
        <v>45110</v>
      </c>
      <c r="B1844" t="s">
        <v>10</v>
      </c>
      <c r="C1844" t="s">
        <v>11</v>
      </c>
      <c r="D1844" t="s">
        <v>9</v>
      </c>
      <c r="E1844">
        <v>2</v>
      </c>
      <c r="F1844" s="3">
        <v>416</v>
      </c>
      <c r="G1844" s="2">
        <v>71.680000000000007</v>
      </c>
      <c r="H1844">
        <f>Master_ventas[[#This Row],[Profit]]/Master_ventas[[#This Row],[Sales]]</f>
        <v>0.17230769230769233</v>
      </c>
      <c r="I1844">
        <f ca="1">Referencia_Hoy-Master_ventas[[#This Row],[Order Date]]</f>
        <v>1213</v>
      </c>
      <c r="J1844" t="str">
        <f>UPPER(Master_ventas[[#This Row],[Product Name]])</f>
        <v>MOUSE</v>
      </c>
      <c r="K1844" t="str">
        <f>UPPER(Master_ventas[[#This Row],[Category]])</f>
        <v>ACCESSORIES</v>
      </c>
      <c r="L1844">
        <f>YEAR(Master_ventas[[#This Row],[Order Date]])</f>
        <v>2023</v>
      </c>
      <c r="M1844" t="str">
        <f>CONCATENATE(LEFT(Master_ventas[[#This Row],[ProdUpper]],3),RIGHT(Master_ventas[[#This Row],[Ext-Year]],2),"-",MID(Master_ventas[[#This Row],[Category]],1,1))</f>
        <v>MOU23-A</v>
      </c>
      <c r="N1844" t="str">
        <f>MID(Master_ventas[[#This Row],[ProdUpper]],1,3)</f>
        <v>MOU</v>
      </c>
      <c r="O1844" t="str">
        <f>UPPER(IF(Master_ventas[[#This Row],[Profit]]&gt;500,"High","Std"))</f>
        <v>STD</v>
      </c>
      <c r="P1844">
        <v>1843</v>
      </c>
    </row>
    <row r="1845" spans="1:16" x14ac:dyDescent="0.3">
      <c r="A1845" s="1">
        <v>44992</v>
      </c>
      <c r="B1845" t="s">
        <v>17</v>
      </c>
      <c r="C1845" t="s">
        <v>14</v>
      </c>
      <c r="D1845" t="s">
        <v>15</v>
      </c>
      <c r="E1845">
        <v>8</v>
      </c>
      <c r="F1845" s="3">
        <v>2624</v>
      </c>
      <c r="G1845" s="2">
        <v>294.24</v>
      </c>
      <c r="H1845">
        <f>Master_ventas[[#This Row],[Profit]]/Master_ventas[[#This Row],[Sales]]</f>
        <v>0.11213414634146342</v>
      </c>
      <c r="I1845">
        <f ca="1">Referencia_Hoy-Master_ventas[[#This Row],[Order Date]]</f>
        <v>1331</v>
      </c>
      <c r="J1845" t="str">
        <f>UPPER(Master_ventas[[#This Row],[Product Name]])</f>
        <v>CAMERA</v>
      </c>
      <c r="K1845" t="str">
        <f>UPPER(Master_ventas[[#This Row],[Category]])</f>
        <v>ELECTRONICS</v>
      </c>
      <c r="L1845">
        <f>YEAR(Master_ventas[[#This Row],[Order Date]])</f>
        <v>2023</v>
      </c>
      <c r="M1845" t="str">
        <f>CONCATENATE(LEFT(Master_ventas[[#This Row],[ProdUpper]],3),RIGHT(Master_ventas[[#This Row],[Ext-Year]],2),"-",MID(Master_ventas[[#This Row],[Category]],1,1))</f>
        <v>CAM23-E</v>
      </c>
      <c r="N1845" t="str">
        <f>MID(Master_ventas[[#This Row],[ProdUpper]],1,3)</f>
        <v>CAM</v>
      </c>
      <c r="O1845" t="str">
        <f>UPPER(IF(Master_ventas[[#This Row],[Profit]]&gt;500,"High","Std"))</f>
        <v>STD</v>
      </c>
      <c r="P1845">
        <v>1844</v>
      </c>
    </row>
    <row r="1846" spans="1:16" x14ac:dyDescent="0.3">
      <c r="A1846" s="1">
        <v>45600</v>
      </c>
      <c r="B1846" t="s">
        <v>18</v>
      </c>
      <c r="C1846" t="s">
        <v>11</v>
      </c>
      <c r="D1846" t="s">
        <v>12</v>
      </c>
      <c r="E1846">
        <v>4</v>
      </c>
      <c r="F1846" s="3">
        <v>1636</v>
      </c>
      <c r="G1846" s="2">
        <v>134.85</v>
      </c>
      <c r="H1846">
        <f>Master_ventas[[#This Row],[Profit]]/Master_ventas[[#This Row],[Sales]]</f>
        <v>8.2426650366748164E-2</v>
      </c>
      <c r="I1846">
        <f ca="1">Referencia_Hoy-Master_ventas[[#This Row],[Order Date]]</f>
        <v>723</v>
      </c>
      <c r="J1846" t="str">
        <f>UPPER(Master_ventas[[#This Row],[Product Name]])</f>
        <v>HEADPHONES</v>
      </c>
      <c r="K1846" t="str">
        <f>UPPER(Master_ventas[[#This Row],[Category]])</f>
        <v>ACCESSORIES</v>
      </c>
      <c r="L1846">
        <f>YEAR(Master_ventas[[#This Row],[Order Date]])</f>
        <v>2024</v>
      </c>
      <c r="M1846" t="str">
        <f>CONCATENATE(LEFT(Master_ventas[[#This Row],[ProdUpper]],3),RIGHT(Master_ventas[[#This Row],[Ext-Year]],2),"-",MID(Master_ventas[[#This Row],[Category]],1,1))</f>
        <v>HEA24-A</v>
      </c>
      <c r="N1846" t="str">
        <f>MID(Master_ventas[[#This Row],[ProdUpper]],1,3)</f>
        <v>HEA</v>
      </c>
      <c r="O1846" t="str">
        <f>UPPER(IF(Master_ventas[[#This Row],[Profit]]&gt;500,"High","Std"))</f>
        <v>STD</v>
      </c>
      <c r="P1846">
        <v>1845</v>
      </c>
    </row>
    <row r="1847" spans="1:16" x14ac:dyDescent="0.3">
      <c r="A1847" s="1">
        <v>45284</v>
      </c>
      <c r="B1847" t="s">
        <v>18</v>
      </c>
      <c r="C1847" t="s">
        <v>11</v>
      </c>
      <c r="D1847" t="s">
        <v>12</v>
      </c>
      <c r="E1847">
        <v>8</v>
      </c>
      <c r="F1847" s="3">
        <v>8200</v>
      </c>
      <c r="G1847" s="2">
        <v>1978.93</v>
      </c>
      <c r="H1847">
        <f>Master_ventas[[#This Row],[Profit]]/Master_ventas[[#This Row],[Sales]]</f>
        <v>0.2413329268292683</v>
      </c>
      <c r="I1847">
        <f ca="1">Referencia_Hoy-Master_ventas[[#This Row],[Order Date]]</f>
        <v>1039</v>
      </c>
      <c r="J1847" t="str">
        <f>UPPER(Master_ventas[[#This Row],[Product Name]])</f>
        <v>HEADPHONES</v>
      </c>
      <c r="K1847" t="str">
        <f>UPPER(Master_ventas[[#This Row],[Category]])</f>
        <v>ACCESSORIES</v>
      </c>
      <c r="L1847">
        <f>YEAR(Master_ventas[[#This Row],[Order Date]])</f>
        <v>2023</v>
      </c>
      <c r="M1847" t="str">
        <f>CONCATENATE(LEFT(Master_ventas[[#This Row],[ProdUpper]],3),RIGHT(Master_ventas[[#This Row],[Ext-Year]],2),"-",MID(Master_ventas[[#This Row],[Category]],1,1))</f>
        <v>HEA23-A</v>
      </c>
      <c r="N1847" t="str">
        <f>MID(Master_ventas[[#This Row],[ProdUpper]],1,3)</f>
        <v>HEA</v>
      </c>
      <c r="O1847" t="str">
        <f>UPPER(IF(Master_ventas[[#This Row],[Profit]]&gt;500,"High","Std"))</f>
        <v>HIGH</v>
      </c>
      <c r="P1847">
        <v>1846</v>
      </c>
    </row>
    <row r="1848" spans="1:16" x14ac:dyDescent="0.3">
      <c r="A1848" s="1">
        <v>44630</v>
      </c>
      <c r="B1848" t="s">
        <v>10</v>
      </c>
      <c r="C1848" t="s">
        <v>11</v>
      </c>
      <c r="D1848" t="s">
        <v>12</v>
      </c>
      <c r="E1848">
        <v>5</v>
      </c>
      <c r="F1848" s="3">
        <v>5615</v>
      </c>
      <c r="G1848" s="2">
        <v>715.58</v>
      </c>
      <c r="H1848">
        <f>Master_ventas[[#This Row],[Profit]]/Master_ventas[[#This Row],[Sales]]</f>
        <v>0.12744078361531613</v>
      </c>
      <c r="I1848">
        <f ca="1">Referencia_Hoy-Master_ventas[[#This Row],[Order Date]]</f>
        <v>1693</v>
      </c>
      <c r="J1848" t="str">
        <f>UPPER(Master_ventas[[#This Row],[Product Name]])</f>
        <v>MOUSE</v>
      </c>
      <c r="K1848" t="str">
        <f>UPPER(Master_ventas[[#This Row],[Category]])</f>
        <v>ACCESSORIES</v>
      </c>
      <c r="L1848">
        <f>YEAR(Master_ventas[[#This Row],[Order Date]])</f>
        <v>2022</v>
      </c>
      <c r="M1848" t="str">
        <f>CONCATENATE(LEFT(Master_ventas[[#This Row],[ProdUpper]],3),RIGHT(Master_ventas[[#This Row],[Ext-Year]],2),"-",MID(Master_ventas[[#This Row],[Category]],1,1))</f>
        <v>MOU22-A</v>
      </c>
      <c r="N1848" t="str">
        <f>MID(Master_ventas[[#This Row],[ProdUpper]],1,3)</f>
        <v>MOU</v>
      </c>
      <c r="O1848" t="str">
        <f>UPPER(IF(Master_ventas[[#This Row],[Profit]]&gt;500,"High","Std"))</f>
        <v>HIGH</v>
      </c>
      <c r="P1848">
        <v>1847</v>
      </c>
    </row>
    <row r="1849" spans="1:16" x14ac:dyDescent="0.3">
      <c r="A1849" s="1">
        <v>44834</v>
      </c>
      <c r="B1849" t="s">
        <v>7</v>
      </c>
      <c r="C1849" t="s">
        <v>8</v>
      </c>
      <c r="D1849" t="s">
        <v>12</v>
      </c>
      <c r="E1849">
        <v>5</v>
      </c>
      <c r="F1849" s="3">
        <v>3085</v>
      </c>
      <c r="G1849" s="2">
        <v>413.52</v>
      </c>
      <c r="H1849">
        <f>Master_ventas[[#This Row],[Profit]]/Master_ventas[[#This Row],[Sales]]</f>
        <v>0.13404213938411669</v>
      </c>
      <c r="I1849">
        <f ca="1">Referencia_Hoy-Master_ventas[[#This Row],[Order Date]]</f>
        <v>1489</v>
      </c>
      <c r="J1849" t="str">
        <f>UPPER(Master_ventas[[#This Row],[Product Name]])</f>
        <v>PRINTER</v>
      </c>
      <c r="K1849" t="str">
        <f>UPPER(Master_ventas[[#This Row],[Category]])</f>
        <v>OFFICE</v>
      </c>
      <c r="L1849">
        <f>YEAR(Master_ventas[[#This Row],[Order Date]])</f>
        <v>2022</v>
      </c>
      <c r="M1849" t="str">
        <f>CONCATENATE(LEFT(Master_ventas[[#This Row],[ProdUpper]],3),RIGHT(Master_ventas[[#This Row],[Ext-Year]],2),"-",MID(Master_ventas[[#This Row],[Category]],1,1))</f>
        <v>PRI22-O</v>
      </c>
      <c r="N1849" t="str">
        <f>MID(Master_ventas[[#This Row],[ProdUpper]],1,3)</f>
        <v>PRI</v>
      </c>
      <c r="O1849" t="str">
        <f>UPPER(IF(Master_ventas[[#This Row],[Profit]]&gt;500,"High","Std"))</f>
        <v>STD</v>
      </c>
      <c r="P1849">
        <v>1848</v>
      </c>
    </row>
    <row r="1850" spans="1:16" x14ac:dyDescent="0.3">
      <c r="A1850" s="1">
        <v>45633</v>
      </c>
      <c r="B1850" t="s">
        <v>22</v>
      </c>
      <c r="C1850" t="s">
        <v>11</v>
      </c>
      <c r="D1850" t="s">
        <v>15</v>
      </c>
      <c r="E1850">
        <v>6</v>
      </c>
      <c r="F1850" s="3">
        <v>3198</v>
      </c>
      <c r="G1850" s="2">
        <v>913.76</v>
      </c>
      <c r="H1850">
        <f>Master_ventas[[#This Row],[Profit]]/Master_ventas[[#This Row],[Sales]]</f>
        <v>0.28572858036272669</v>
      </c>
      <c r="I1850">
        <f ca="1">Referencia_Hoy-Master_ventas[[#This Row],[Order Date]]</f>
        <v>690</v>
      </c>
      <c r="J1850" t="str">
        <f>UPPER(Master_ventas[[#This Row],[Product Name]])</f>
        <v>KEYBOARD</v>
      </c>
      <c r="K1850" t="str">
        <f>UPPER(Master_ventas[[#This Row],[Category]])</f>
        <v>ACCESSORIES</v>
      </c>
      <c r="L1850">
        <f>YEAR(Master_ventas[[#This Row],[Order Date]])</f>
        <v>2024</v>
      </c>
      <c r="M1850" t="str">
        <f>CONCATENATE(LEFT(Master_ventas[[#This Row],[ProdUpper]],3),RIGHT(Master_ventas[[#This Row],[Ext-Year]],2),"-",MID(Master_ventas[[#This Row],[Category]],1,1))</f>
        <v>KEY24-A</v>
      </c>
      <c r="N1850" t="str">
        <f>MID(Master_ventas[[#This Row],[ProdUpper]],1,3)</f>
        <v>KEY</v>
      </c>
      <c r="O1850" t="str">
        <f>UPPER(IF(Master_ventas[[#This Row],[Profit]]&gt;500,"High","Std"))</f>
        <v>HIGH</v>
      </c>
      <c r="P1850">
        <v>1849</v>
      </c>
    </row>
    <row r="1851" spans="1:16" x14ac:dyDescent="0.3">
      <c r="A1851" s="1">
        <v>44605</v>
      </c>
      <c r="B1851" t="s">
        <v>17</v>
      </c>
      <c r="C1851" t="s">
        <v>14</v>
      </c>
      <c r="D1851" t="s">
        <v>16</v>
      </c>
      <c r="E1851">
        <v>4</v>
      </c>
      <c r="F1851" s="3">
        <v>1848</v>
      </c>
      <c r="G1851" s="2">
        <v>374.66</v>
      </c>
      <c r="H1851">
        <f>Master_ventas[[#This Row],[Profit]]/Master_ventas[[#This Row],[Sales]]</f>
        <v>0.20273809523809525</v>
      </c>
      <c r="I1851">
        <f ca="1">Referencia_Hoy-Master_ventas[[#This Row],[Order Date]]</f>
        <v>1718</v>
      </c>
      <c r="J1851" t="str">
        <f>UPPER(Master_ventas[[#This Row],[Product Name]])</f>
        <v>CAMERA</v>
      </c>
      <c r="K1851" t="str">
        <f>UPPER(Master_ventas[[#This Row],[Category]])</f>
        <v>ELECTRONICS</v>
      </c>
      <c r="L1851">
        <f>YEAR(Master_ventas[[#This Row],[Order Date]])</f>
        <v>2022</v>
      </c>
      <c r="M1851" t="str">
        <f>CONCATENATE(LEFT(Master_ventas[[#This Row],[ProdUpper]],3),RIGHT(Master_ventas[[#This Row],[Ext-Year]],2),"-",MID(Master_ventas[[#This Row],[Category]],1,1))</f>
        <v>CAM22-E</v>
      </c>
      <c r="N1851" t="str">
        <f>MID(Master_ventas[[#This Row],[ProdUpper]],1,3)</f>
        <v>CAM</v>
      </c>
      <c r="O1851" t="str">
        <f>UPPER(IF(Master_ventas[[#This Row],[Profit]]&gt;500,"High","Std"))</f>
        <v>STD</v>
      </c>
      <c r="P1851">
        <v>1850</v>
      </c>
    </row>
    <row r="1852" spans="1:16" x14ac:dyDescent="0.3">
      <c r="A1852" s="1">
        <v>45027</v>
      </c>
      <c r="B1852" t="s">
        <v>19</v>
      </c>
      <c r="C1852" t="s">
        <v>14</v>
      </c>
      <c r="D1852" t="s">
        <v>9</v>
      </c>
      <c r="E1852">
        <v>4</v>
      </c>
      <c r="F1852" s="3">
        <v>652</v>
      </c>
      <c r="G1852" s="2">
        <v>116.06</v>
      </c>
      <c r="H1852">
        <f>Master_ventas[[#This Row],[Profit]]/Master_ventas[[#This Row],[Sales]]</f>
        <v>0.17800613496932516</v>
      </c>
      <c r="I1852">
        <f ca="1">Referencia_Hoy-Master_ventas[[#This Row],[Order Date]]</f>
        <v>1296</v>
      </c>
      <c r="J1852" t="str">
        <f>UPPER(Master_ventas[[#This Row],[Product Name]])</f>
        <v>SMARTWATCH</v>
      </c>
      <c r="K1852" t="str">
        <f>UPPER(Master_ventas[[#This Row],[Category]])</f>
        <v>ELECTRONICS</v>
      </c>
      <c r="L1852">
        <f>YEAR(Master_ventas[[#This Row],[Order Date]])</f>
        <v>2023</v>
      </c>
      <c r="M1852" t="str">
        <f>CONCATENATE(LEFT(Master_ventas[[#This Row],[ProdUpper]],3),RIGHT(Master_ventas[[#This Row],[Ext-Year]],2),"-",MID(Master_ventas[[#This Row],[Category]],1,1))</f>
        <v>SMA23-E</v>
      </c>
      <c r="N1852" t="str">
        <f>MID(Master_ventas[[#This Row],[ProdUpper]],1,3)</f>
        <v>SMA</v>
      </c>
      <c r="O1852" t="str">
        <f>UPPER(IF(Master_ventas[[#This Row],[Profit]]&gt;500,"High","Std"))</f>
        <v>STD</v>
      </c>
      <c r="P1852">
        <v>1851</v>
      </c>
    </row>
    <row r="1853" spans="1:16" x14ac:dyDescent="0.3">
      <c r="A1853" s="1">
        <v>44887</v>
      </c>
      <c r="B1853" t="s">
        <v>10</v>
      </c>
      <c r="C1853" t="s">
        <v>11</v>
      </c>
      <c r="D1853" t="s">
        <v>15</v>
      </c>
      <c r="E1853">
        <v>6</v>
      </c>
      <c r="F1853" s="3">
        <v>2940</v>
      </c>
      <c r="G1853" s="2">
        <v>609.99</v>
      </c>
      <c r="H1853">
        <f>Master_ventas[[#This Row],[Profit]]/Master_ventas[[#This Row],[Sales]]</f>
        <v>0.2074795918367347</v>
      </c>
      <c r="I1853">
        <f ca="1">Referencia_Hoy-Master_ventas[[#This Row],[Order Date]]</f>
        <v>1436</v>
      </c>
      <c r="J1853" t="str">
        <f>UPPER(Master_ventas[[#This Row],[Product Name]])</f>
        <v>MOUSE</v>
      </c>
      <c r="K1853" t="str">
        <f>UPPER(Master_ventas[[#This Row],[Category]])</f>
        <v>ACCESSORIES</v>
      </c>
      <c r="L1853">
        <f>YEAR(Master_ventas[[#This Row],[Order Date]])</f>
        <v>2022</v>
      </c>
      <c r="M1853" t="str">
        <f>CONCATENATE(LEFT(Master_ventas[[#This Row],[ProdUpper]],3),RIGHT(Master_ventas[[#This Row],[Ext-Year]],2),"-",MID(Master_ventas[[#This Row],[Category]],1,1))</f>
        <v>MOU22-A</v>
      </c>
      <c r="N1853" t="str">
        <f>MID(Master_ventas[[#This Row],[ProdUpper]],1,3)</f>
        <v>MOU</v>
      </c>
      <c r="O1853" t="str">
        <f>UPPER(IF(Master_ventas[[#This Row],[Profit]]&gt;500,"High","Std"))</f>
        <v>HIGH</v>
      </c>
      <c r="P1853">
        <v>1852</v>
      </c>
    </row>
    <row r="1854" spans="1:16" x14ac:dyDescent="0.3">
      <c r="A1854" s="1">
        <v>44710</v>
      </c>
      <c r="B1854" t="s">
        <v>18</v>
      </c>
      <c r="C1854" t="s">
        <v>11</v>
      </c>
      <c r="D1854" t="s">
        <v>12</v>
      </c>
      <c r="E1854">
        <v>4</v>
      </c>
      <c r="F1854" s="3">
        <v>3912</v>
      </c>
      <c r="G1854" s="2">
        <v>454.89</v>
      </c>
      <c r="H1854">
        <f>Master_ventas[[#This Row],[Profit]]/Master_ventas[[#This Row],[Sales]]</f>
        <v>0.11628067484662577</v>
      </c>
      <c r="I1854">
        <f ca="1">Referencia_Hoy-Master_ventas[[#This Row],[Order Date]]</f>
        <v>1613</v>
      </c>
      <c r="J1854" t="str">
        <f>UPPER(Master_ventas[[#This Row],[Product Name]])</f>
        <v>HEADPHONES</v>
      </c>
      <c r="K1854" t="str">
        <f>UPPER(Master_ventas[[#This Row],[Category]])</f>
        <v>ACCESSORIES</v>
      </c>
      <c r="L1854">
        <f>YEAR(Master_ventas[[#This Row],[Order Date]])</f>
        <v>2022</v>
      </c>
      <c r="M1854" t="str">
        <f>CONCATENATE(LEFT(Master_ventas[[#This Row],[ProdUpper]],3),RIGHT(Master_ventas[[#This Row],[Ext-Year]],2),"-",MID(Master_ventas[[#This Row],[Category]],1,1))</f>
        <v>HEA22-A</v>
      </c>
      <c r="N1854" t="str">
        <f>MID(Master_ventas[[#This Row],[ProdUpper]],1,3)</f>
        <v>HEA</v>
      </c>
      <c r="O1854" t="str">
        <f>UPPER(IF(Master_ventas[[#This Row],[Profit]]&gt;500,"High","Std"))</f>
        <v>STD</v>
      </c>
      <c r="P1854">
        <v>1853</v>
      </c>
    </row>
    <row r="1855" spans="1:16" x14ac:dyDescent="0.3">
      <c r="A1855" s="1">
        <v>44843</v>
      </c>
      <c r="B1855" t="s">
        <v>13</v>
      </c>
      <c r="C1855" t="s">
        <v>14</v>
      </c>
      <c r="D1855" t="s">
        <v>15</v>
      </c>
      <c r="E1855">
        <v>8</v>
      </c>
      <c r="F1855" s="3">
        <v>9392</v>
      </c>
      <c r="G1855" s="2">
        <v>891.07</v>
      </c>
      <c r="H1855">
        <f>Master_ventas[[#This Row],[Profit]]/Master_ventas[[#This Row],[Sales]]</f>
        <v>9.4875425894378196E-2</v>
      </c>
      <c r="I1855">
        <f ca="1">Referencia_Hoy-Master_ventas[[#This Row],[Order Date]]</f>
        <v>1480</v>
      </c>
      <c r="J1855" t="str">
        <f>UPPER(Master_ventas[[#This Row],[Product Name]])</f>
        <v>TABLET</v>
      </c>
      <c r="K1855" t="str">
        <f>UPPER(Master_ventas[[#This Row],[Category]])</f>
        <v>ELECTRONICS</v>
      </c>
      <c r="L1855">
        <f>YEAR(Master_ventas[[#This Row],[Order Date]])</f>
        <v>2022</v>
      </c>
      <c r="M1855" t="str">
        <f>CONCATENATE(LEFT(Master_ventas[[#This Row],[ProdUpper]],3),RIGHT(Master_ventas[[#This Row],[Ext-Year]],2),"-",MID(Master_ventas[[#This Row],[Category]],1,1))</f>
        <v>TAB22-E</v>
      </c>
      <c r="N1855" t="str">
        <f>MID(Master_ventas[[#This Row],[ProdUpper]],1,3)</f>
        <v>TAB</v>
      </c>
      <c r="O1855" t="str">
        <f>UPPER(IF(Master_ventas[[#This Row],[Profit]]&gt;500,"High","Std"))</f>
        <v>HIGH</v>
      </c>
      <c r="P1855">
        <v>1854</v>
      </c>
    </row>
    <row r="1856" spans="1:16" x14ac:dyDescent="0.3">
      <c r="A1856" s="1">
        <v>44855</v>
      </c>
      <c r="B1856" t="s">
        <v>20</v>
      </c>
      <c r="C1856" t="s">
        <v>11</v>
      </c>
      <c r="D1856" t="s">
        <v>16</v>
      </c>
      <c r="E1856">
        <v>1</v>
      </c>
      <c r="F1856" s="3">
        <v>312</v>
      </c>
      <c r="G1856" s="2">
        <v>43.01</v>
      </c>
      <c r="H1856">
        <f>Master_ventas[[#This Row],[Profit]]/Master_ventas[[#This Row],[Sales]]</f>
        <v>0.13785256410256411</v>
      </c>
      <c r="I1856">
        <f ca="1">Referencia_Hoy-Master_ventas[[#This Row],[Order Date]]</f>
        <v>1468</v>
      </c>
      <c r="J1856" t="str">
        <f>UPPER(Master_ventas[[#This Row],[Product Name]])</f>
        <v>MONITOR</v>
      </c>
      <c r="K1856" t="str">
        <f>UPPER(Master_ventas[[#This Row],[Category]])</f>
        <v>ACCESSORIES</v>
      </c>
      <c r="L1856">
        <f>YEAR(Master_ventas[[#This Row],[Order Date]])</f>
        <v>2022</v>
      </c>
      <c r="M1856" t="str">
        <f>CONCATENATE(LEFT(Master_ventas[[#This Row],[ProdUpper]],3),RIGHT(Master_ventas[[#This Row],[Ext-Year]],2),"-",MID(Master_ventas[[#This Row],[Category]],1,1))</f>
        <v>MON22-A</v>
      </c>
      <c r="N1856" t="str">
        <f>MID(Master_ventas[[#This Row],[ProdUpper]],1,3)</f>
        <v>MON</v>
      </c>
      <c r="O1856" t="str">
        <f>UPPER(IF(Master_ventas[[#This Row],[Profit]]&gt;500,"High","Std"))</f>
        <v>STD</v>
      </c>
      <c r="P1856">
        <v>1855</v>
      </c>
    </row>
    <row r="1857" spans="1:16" x14ac:dyDescent="0.3">
      <c r="A1857" s="1">
        <v>45254</v>
      </c>
      <c r="B1857" t="s">
        <v>23</v>
      </c>
      <c r="C1857" t="s">
        <v>14</v>
      </c>
      <c r="D1857" t="s">
        <v>12</v>
      </c>
      <c r="E1857">
        <v>9</v>
      </c>
      <c r="F1857" s="3">
        <v>7731</v>
      </c>
      <c r="G1857" s="2">
        <v>1459.74</v>
      </c>
      <c r="H1857">
        <f>Master_ventas[[#This Row],[Profit]]/Master_ventas[[#This Row],[Sales]]</f>
        <v>0.1888164532402018</v>
      </c>
      <c r="I1857">
        <f ca="1">Referencia_Hoy-Master_ventas[[#This Row],[Order Date]]</f>
        <v>1069</v>
      </c>
      <c r="J1857" t="str">
        <f>UPPER(Master_ventas[[#This Row],[Product Name]])</f>
        <v>LAPTOP</v>
      </c>
      <c r="K1857" t="str">
        <f>UPPER(Master_ventas[[#This Row],[Category]])</f>
        <v>ELECTRONICS</v>
      </c>
      <c r="L1857">
        <f>YEAR(Master_ventas[[#This Row],[Order Date]])</f>
        <v>2023</v>
      </c>
      <c r="M1857" t="str">
        <f>CONCATENATE(LEFT(Master_ventas[[#This Row],[ProdUpper]],3),RIGHT(Master_ventas[[#This Row],[Ext-Year]],2),"-",MID(Master_ventas[[#This Row],[Category]],1,1))</f>
        <v>LAP23-E</v>
      </c>
      <c r="N1857" t="str">
        <f>MID(Master_ventas[[#This Row],[ProdUpper]],1,3)</f>
        <v>LAP</v>
      </c>
      <c r="O1857" t="str">
        <f>UPPER(IF(Master_ventas[[#This Row],[Profit]]&gt;500,"High","Std"))</f>
        <v>HIGH</v>
      </c>
      <c r="P1857">
        <v>1856</v>
      </c>
    </row>
    <row r="1858" spans="1:16" x14ac:dyDescent="0.3">
      <c r="A1858" s="1">
        <v>45100</v>
      </c>
      <c r="B1858" t="s">
        <v>13</v>
      </c>
      <c r="C1858" t="s">
        <v>14</v>
      </c>
      <c r="D1858" t="s">
        <v>16</v>
      </c>
      <c r="E1858">
        <v>1</v>
      </c>
      <c r="F1858" s="3">
        <v>1081</v>
      </c>
      <c r="G1858" s="2">
        <v>229.32</v>
      </c>
      <c r="H1858">
        <f>Master_ventas[[#This Row],[Profit]]/Master_ventas[[#This Row],[Sales]]</f>
        <v>0.21213691026827011</v>
      </c>
      <c r="I1858">
        <f ca="1">Referencia_Hoy-Master_ventas[[#This Row],[Order Date]]</f>
        <v>1223</v>
      </c>
      <c r="J1858" t="str">
        <f>UPPER(Master_ventas[[#This Row],[Product Name]])</f>
        <v>TABLET</v>
      </c>
      <c r="K1858" t="str">
        <f>UPPER(Master_ventas[[#This Row],[Category]])</f>
        <v>ELECTRONICS</v>
      </c>
      <c r="L1858">
        <f>YEAR(Master_ventas[[#This Row],[Order Date]])</f>
        <v>2023</v>
      </c>
      <c r="M1858" t="str">
        <f>CONCATENATE(LEFT(Master_ventas[[#This Row],[ProdUpper]],3),RIGHT(Master_ventas[[#This Row],[Ext-Year]],2),"-",MID(Master_ventas[[#This Row],[Category]],1,1))</f>
        <v>TAB23-E</v>
      </c>
      <c r="N1858" t="str">
        <f>MID(Master_ventas[[#This Row],[ProdUpper]],1,3)</f>
        <v>TAB</v>
      </c>
      <c r="O1858" t="str">
        <f>UPPER(IF(Master_ventas[[#This Row],[Profit]]&gt;500,"High","Std"))</f>
        <v>STD</v>
      </c>
      <c r="P1858">
        <v>1857</v>
      </c>
    </row>
    <row r="1859" spans="1:16" x14ac:dyDescent="0.3">
      <c r="A1859" s="1">
        <v>45154</v>
      </c>
      <c r="B1859" t="s">
        <v>21</v>
      </c>
      <c r="C1859" t="s">
        <v>14</v>
      </c>
      <c r="D1859" t="s">
        <v>16</v>
      </c>
      <c r="E1859">
        <v>6</v>
      </c>
      <c r="F1859" s="3">
        <v>1926</v>
      </c>
      <c r="G1859" s="2">
        <v>393.01</v>
      </c>
      <c r="H1859">
        <f>Master_ventas[[#This Row],[Profit]]/Master_ventas[[#This Row],[Sales]]</f>
        <v>0.20405503634475597</v>
      </c>
      <c r="I1859">
        <f ca="1">Referencia_Hoy-Master_ventas[[#This Row],[Order Date]]</f>
        <v>1169</v>
      </c>
      <c r="J1859" t="str">
        <f>UPPER(Master_ventas[[#This Row],[Product Name]])</f>
        <v>SMARTPHONE</v>
      </c>
      <c r="K1859" t="str">
        <f>UPPER(Master_ventas[[#This Row],[Category]])</f>
        <v>ELECTRONICS</v>
      </c>
      <c r="L1859">
        <f>YEAR(Master_ventas[[#This Row],[Order Date]])</f>
        <v>2023</v>
      </c>
      <c r="M1859" t="str">
        <f>CONCATENATE(LEFT(Master_ventas[[#This Row],[ProdUpper]],3),RIGHT(Master_ventas[[#This Row],[Ext-Year]],2),"-",MID(Master_ventas[[#This Row],[Category]],1,1))</f>
        <v>SMA23-E</v>
      </c>
      <c r="N1859" t="str">
        <f>MID(Master_ventas[[#This Row],[ProdUpper]],1,3)</f>
        <v>SMA</v>
      </c>
      <c r="O1859" t="str">
        <f>UPPER(IF(Master_ventas[[#This Row],[Profit]]&gt;500,"High","Std"))</f>
        <v>STD</v>
      </c>
      <c r="P1859">
        <v>1858</v>
      </c>
    </row>
    <row r="1860" spans="1:16" x14ac:dyDescent="0.3">
      <c r="A1860" s="1">
        <v>44768</v>
      </c>
      <c r="B1860" t="s">
        <v>20</v>
      </c>
      <c r="C1860" t="s">
        <v>11</v>
      </c>
      <c r="D1860" t="s">
        <v>12</v>
      </c>
      <c r="E1860">
        <v>3</v>
      </c>
      <c r="F1860" s="3">
        <v>936</v>
      </c>
      <c r="G1860" s="2">
        <v>88.51</v>
      </c>
      <c r="H1860">
        <f>Master_ventas[[#This Row],[Profit]]/Master_ventas[[#This Row],[Sales]]</f>
        <v>9.4561965811965812E-2</v>
      </c>
      <c r="I1860">
        <f ca="1">Referencia_Hoy-Master_ventas[[#This Row],[Order Date]]</f>
        <v>1555</v>
      </c>
      <c r="J1860" t="str">
        <f>UPPER(Master_ventas[[#This Row],[Product Name]])</f>
        <v>MONITOR</v>
      </c>
      <c r="K1860" t="str">
        <f>UPPER(Master_ventas[[#This Row],[Category]])</f>
        <v>ACCESSORIES</v>
      </c>
      <c r="L1860">
        <f>YEAR(Master_ventas[[#This Row],[Order Date]])</f>
        <v>2022</v>
      </c>
      <c r="M1860" t="str">
        <f>CONCATENATE(LEFT(Master_ventas[[#This Row],[ProdUpper]],3),RIGHT(Master_ventas[[#This Row],[Ext-Year]],2),"-",MID(Master_ventas[[#This Row],[Category]],1,1))</f>
        <v>MON22-A</v>
      </c>
      <c r="N1860" t="str">
        <f>MID(Master_ventas[[#This Row],[ProdUpper]],1,3)</f>
        <v>MON</v>
      </c>
      <c r="O1860" t="str">
        <f>UPPER(IF(Master_ventas[[#This Row],[Profit]]&gt;500,"High","Std"))</f>
        <v>STD</v>
      </c>
      <c r="P1860">
        <v>1859</v>
      </c>
    </row>
    <row r="1861" spans="1:16" x14ac:dyDescent="0.3">
      <c r="A1861" s="1">
        <v>45655</v>
      </c>
      <c r="B1861" t="s">
        <v>23</v>
      </c>
      <c r="C1861" t="s">
        <v>14</v>
      </c>
      <c r="D1861" t="s">
        <v>15</v>
      </c>
      <c r="E1861">
        <v>9</v>
      </c>
      <c r="F1861" s="3">
        <v>8550</v>
      </c>
      <c r="G1861" s="2">
        <v>1970.98</v>
      </c>
      <c r="H1861">
        <f>Master_ventas[[#This Row],[Profit]]/Master_ventas[[#This Row],[Sales]]</f>
        <v>0.23052397660818713</v>
      </c>
      <c r="I1861">
        <f ca="1">Referencia_Hoy-Master_ventas[[#This Row],[Order Date]]</f>
        <v>668</v>
      </c>
      <c r="J1861" t="str">
        <f>UPPER(Master_ventas[[#This Row],[Product Name]])</f>
        <v>LAPTOP</v>
      </c>
      <c r="K1861" t="str">
        <f>UPPER(Master_ventas[[#This Row],[Category]])</f>
        <v>ELECTRONICS</v>
      </c>
      <c r="L1861">
        <f>YEAR(Master_ventas[[#This Row],[Order Date]])</f>
        <v>2024</v>
      </c>
      <c r="M1861" t="str">
        <f>CONCATENATE(LEFT(Master_ventas[[#This Row],[ProdUpper]],3),RIGHT(Master_ventas[[#This Row],[Ext-Year]],2),"-",MID(Master_ventas[[#This Row],[Category]],1,1))</f>
        <v>LAP24-E</v>
      </c>
      <c r="N1861" t="str">
        <f>MID(Master_ventas[[#This Row],[ProdUpper]],1,3)</f>
        <v>LAP</v>
      </c>
      <c r="O1861" t="str">
        <f>UPPER(IF(Master_ventas[[#This Row],[Profit]]&gt;500,"High","Std"))</f>
        <v>HIGH</v>
      </c>
      <c r="P1861">
        <v>1860</v>
      </c>
    </row>
    <row r="1862" spans="1:16" x14ac:dyDescent="0.3">
      <c r="A1862" s="1">
        <v>45162</v>
      </c>
      <c r="B1862" t="s">
        <v>20</v>
      </c>
      <c r="C1862" t="s">
        <v>11</v>
      </c>
      <c r="D1862" t="s">
        <v>9</v>
      </c>
      <c r="E1862">
        <v>4</v>
      </c>
      <c r="F1862" s="3">
        <v>2468</v>
      </c>
      <c r="G1862" s="2">
        <v>457.51</v>
      </c>
      <c r="H1862">
        <f>Master_ventas[[#This Row],[Profit]]/Master_ventas[[#This Row],[Sales]]</f>
        <v>0.18537682333873581</v>
      </c>
      <c r="I1862">
        <f ca="1">Referencia_Hoy-Master_ventas[[#This Row],[Order Date]]</f>
        <v>1161</v>
      </c>
      <c r="J1862" t="str">
        <f>UPPER(Master_ventas[[#This Row],[Product Name]])</f>
        <v>MONITOR</v>
      </c>
      <c r="K1862" t="str">
        <f>UPPER(Master_ventas[[#This Row],[Category]])</f>
        <v>ACCESSORIES</v>
      </c>
      <c r="L1862">
        <f>YEAR(Master_ventas[[#This Row],[Order Date]])</f>
        <v>2023</v>
      </c>
      <c r="M1862" t="str">
        <f>CONCATENATE(LEFT(Master_ventas[[#This Row],[ProdUpper]],3),RIGHT(Master_ventas[[#This Row],[Ext-Year]],2),"-",MID(Master_ventas[[#This Row],[Category]],1,1))</f>
        <v>MON23-A</v>
      </c>
      <c r="N1862" t="str">
        <f>MID(Master_ventas[[#This Row],[ProdUpper]],1,3)</f>
        <v>MON</v>
      </c>
      <c r="O1862" t="str">
        <f>UPPER(IF(Master_ventas[[#This Row],[Profit]]&gt;500,"High","Std"))</f>
        <v>STD</v>
      </c>
      <c r="P1862">
        <v>1861</v>
      </c>
    </row>
    <row r="1863" spans="1:16" x14ac:dyDescent="0.3">
      <c r="A1863" s="1">
        <v>45173</v>
      </c>
      <c r="B1863" t="s">
        <v>13</v>
      </c>
      <c r="C1863" t="s">
        <v>14</v>
      </c>
      <c r="D1863" t="s">
        <v>16</v>
      </c>
      <c r="E1863">
        <v>3</v>
      </c>
      <c r="F1863" s="3">
        <v>801</v>
      </c>
      <c r="G1863" s="2">
        <v>90.34</v>
      </c>
      <c r="H1863">
        <f>Master_ventas[[#This Row],[Profit]]/Master_ventas[[#This Row],[Sales]]</f>
        <v>0.11278401997503122</v>
      </c>
      <c r="I1863">
        <f ca="1">Referencia_Hoy-Master_ventas[[#This Row],[Order Date]]</f>
        <v>1150</v>
      </c>
      <c r="J1863" t="str">
        <f>UPPER(Master_ventas[[#This Row],[Product Name]])</f>
        <v>TABLET</v>
      </c>
      <c r="K1863" t="str">
        <f>UPPER(Master_ventas[[#This Row],[Category]])</f>
        <v>ELECTRONICS</v>
      </c>
      <c r="L1863">
        <f>YEAR(Master_ventas[[#This Row],[Order Date]])</f>
        <v>2023</v>
      </c>
      <c r="M1863" t="str">
        <f>CONCATENATE(LEFT(Master_ventas[[#This Row],[ProdUpper]],3),RIGHT(Master_ventas[[#This Row],[Ext-Year]],2),"-",MID(Master_ventas[[#This Row],[Category]],1,1))</f>
        <v>TAB23-E</v>
      </c>
      <c r="N1863" t="str">
        <f>MID(Master_ventas[[#This Row],[ProdUpper]],1,3)</f>
        <v>TAB</v>
      </c>
      <c r="O1863" t="str">
        <f>UPPER(IF(Master_ventas[[#This Row],[Profit]]&gt;500,"High","Std"))</f>
        <v>STD</v>
      </c>
      <c r="P1863">
        <v>1862</v>
      </c>
    </row>
    <row r="1864" spans="1:16" x14ac:dyDescent="0.3">
      <c r="A1864" s="1">
        <v>44929</v>
      </c>
      <c r="B1864" t="s">
        <v>23</v>
      </c>
      <c r="C1864" t="s">
        <v>14</v>
      </c>
      <c r="D1864" t="s">
        <v>12</v>
      </c>
      <c r="E1864">
        <v>9</v>
      </c>
      <c r="F1864" s="3">
        <v>2655</v>
      </c>
      <c r="G1864" s="2">
        <v>701.11</v>
      </c>
      <c r="H1864">
        <f>Master_ventas[[#This Row],[Profit]]/Master_ventas[[#This Row],[Sales]]</f>
        <v>0.26407156308851226</v>
      </c>
      <c r="I1864">
        <f ca="1">Referencia_Hoy-Master_ventas[[#This Row],[Order Date]]</f>
        <v>1394</v>
      </c>
      <c r="J1864" t="str">
        <f>UPPER(Master_ventas[[#This Row],[Product Name]])</f>
        <v>LAPTOP</v>
      </c>
      <c r="K1864" t="str">
        <f>UPPER(Master_ventas[[#This Row],[Category]])</f>
        <v>ELECTRONICS</v>
      </c>
      <c r="L1864">
        <f>YEAR(Master_ventas[[#This Row],[Order Date]])</f>
        <v>2023</v>
      </c>
      <c r="M1864" t="str">
        <f>CONCATENATE(LEFT(Master_ventas[[#This Row],[ProdUpper]],3),RIGHT(Master_ventas[[#This Row],[Ext-Year]],2),"-",MID(Master_ventas[[#This Row],[Category]],1,1))</f>
        <v>LAP23-E</v>
      </c>
      <c r="N1864" t="str">
        <f>MID(Master_ventas[[#This Row],[ProdUpper]],1,3)</f>
        <v>LAP</v>
      </c>
      <c r="O1864" t="str">
        <f>UPPER(IF(Master_ventas[[#This Row],[Profit]]&gt;500,"High","Std"))</f>
        <v>HIGH</v>
      </c>
      <c r="P1864">
        <v>1863</v>
      </c>
    </row>
    <row r="1865" spans="1:16" x14ac:dyDescent="0.3">
      <c r="A1865" s="1">
        <v>45260</v>
      </c>
      <c r="B1865" t="s">
        <v>19</v>
      </c>
      <c r="C1865" t="s">
        <v>14</v>
      </c>
      <c r="D1865" t="s">
        <v>16</v>
      </c>
      <c r="E1865">
        <v>8</v>
      </c>
      <c r="F1865" s="3">
        <v>3928</v>
      </c>
      <c r="G1865" s="2">
        <v>700.38</v>
      </c>
      <c r="H1865">
        <f>Master_ventas[[#This Row],[Profit]]/Master_ventas[[#This Row],[Sales]]</f>
        <v>0.17830448065173116</v>
      </c>
      <c r="I1865">
        <f ca="1">Referencia_Hoy-Master_ventas[[#This Row],[Order Date]]</f>
        <v>1063</v>
      </c>
      <c r="J1865" t="str">
        <f>UPPER(Master_ventas[[#This Row],[Product Name]])</f>
        <v>SMARTWATCH</v>
      </c>
      <c r="K1865" t="str">
        <f>UPPER(Master_ventas[[#This Row],[Category]])</f>
        <v>ELECTRONICS</v>
      </c>
      <c r="L1865">
        <f>YEAR(Master_ventas[[#This Row],[Order Date]])</f>
        <v>2023</v>
      </c>
      <c r="M1865" t="str">
        <f>CONCATENATE(LEFT(Master_ventas[[#This Row],[ProdUpper]],3),RIGHT(Master_ventas[[#This Row],[Ext-Year]],2),"-",MID(Master_ventas[[#This Row],[Category]],1,1))</f>
        <v>SMA23-E</v>
      </c>
      <c r="N1865" t="str">
        <f>MID(Master_ventas[[#This Row],[ProdUpper]],1,3)</f>
        <v>SMA</v>
      </c>
      <c r="O1865" t="str">
        <f>UPPER(IF(Master_ventas[[#This Row],[Profit]]&gt;500,"High","Std"))</f>
        <v>HIGH</v>
      </c>
      <c r="P1865">
        <v>1864</v>
      </c>
    </row>
    <row r="1866" spans="1:16" x14ac:dyDescent="0.3">
      <c r="A1866" s="1">
        <v>45484</v>
      </c>
      <c r="B1866" t="s">
        <v>20</v>
      </c>
      <c r="C1866" t="s">
        <v>11</v>
      </c>
      <c r="D1866" t="s">
        <v>12</v>
      </c>
      <c r="E1866">
        <v>8</v>
      </c>
      <c r="F1866" s="3">
        <v>6488</v>
      </c>
      <c r="G1866" s="2">
        <v>1438.34</v>
      </c>
      <c r="H1866">
        <f>Master_ventas[[#This Row],[Profit]]/Master_ventas[[#This Row],[Sales]]</f>
        <v>0.22169235511713933</v>
      </c>
      <c r="I1866">
        <f ca="1">Referencia_Hoy-Master_ventas[[#This Row],[Order Date]]</f>
        <v>839</v>
      </c>
      <c r="J1866" t="str">
        <f>UPPER(Master_ventas[[#This Row],[Product Name]])</f>
        <v>MONITOR</v>
      </c>
      <c r="K1866" t="str">
        <f>UPPER(Master_ventas[[#This Row],[Category]])</f>
        <v>ACCESSORIES</v>
      </c>
      <c r="L1866">
        <f>YEAR(Master_ventas[[#This Row],[Order Date]])</f>
        <v>2024</v>
      </c>
      <c r="M1866" t="str">
        <f>CONCATENATE(LEFT(Master_ventas[[#This Row],[ProdUpper]],3),RIGHT(Master_ventas[[#This Row],[Ext-Year]],2),"-",MID(Master_ventas[[#This Row],[Category]],1,1))</f>
        <v>MON24-A</v>
      </c>
      <c r="N1866" t="str">
        <f>MID(Master_ventas[[#This Row],[ProdUpper]],1,3)</f>
        <v>MON</v>
      </c>
      <c r="O1866" t="str">
        <f>UPPER(IF(Master_ventas[[#This Row],[Profit]]&gt;500,"High","Std"))</f>
        <v>HIGH</v>
      </c>
      <c r="P1866">
        <v>1865</v>
      </c>
    </row>
    <row r="1867" spans="1:16" x14ac:dyDescent="0.3">
      <c r="A1867" s="1">
        <v>45325</v>
      </c>
      <c r="B1867" t="s">
        <v>18</v>
      </c>
      <c r="C1867" t="s">
        <v>11</v>
      </c>
      <c r="D1867" t="s">
        <v>16</v>
      </c>
      <c r="E1867">
        <v>9</v>
      </c>
      <c r="F1867" s="3">
        <v>7695</v>
      </c>
      <c r="G1867" s="2">
        <v>1749.26</v>
      </c>
      <c r="H1867">
        <f>Master_ventas[[#This Row],[Profit]]/Master_ventas[[#This Row],[Sales]]</f>
        <v>0.22732423651721897</v>
      </c>
      <c r="I1867">
        <f ca="1">Referencia_Hoy-Master_ventas[[#This Row],[Order Date]]</f>
        <v>998</v>
      </c>
      <c r="J1867" t="str">
        <f>UPPER(Master_ventas[[#This Row],[Product Name]])</f>
        <v>HEADPHONES</v>
      </c>
      <c r="K1867" t="str">
        <f>UPPER(Master_ventas[[#This Row],[Category]])</f>
        <v>ACCESSORIES</v>
      </c>
      <c r="L1867">
        <f>YEAR(Master_ventas[[#This Row],[Order Date]])</f>
        <v>2024</v>
      </c>
      <c r="M1867" t="str">
        <f>CONCATENATE(LEFT(Master_ventas[[#This Row],[ProdUpper]],3),RIGHT(Master_ventas[[#This Row],[Ext-Year]],2),"-",MID(Master_ventas[[#This Row],[Category]],1,1))</f>
        <v>HEA24-A</v>
      </c>
      <c r="N1867" t="str">
        <f>MID(Master_ventas[[#This Row],[ProdUpper]],1,3)</f>
        <v>HEA</v>
      </c>
      <c r="O1867" t="str">
        <f>UPPER(IF(Master_ventas[[#This Row],[Profit]]&gt;500,"High","Std"))</f>
        <v>HIGH</v>
      </c>
      <c r="P1867">
        <v>1866</v>
      </c>
    </row>
    <row r="1868" spans="1:16" x14ac:dyDescent="0.3">
      <c r="A1868" s="1">
        <v>45126</v>
      </c>
      <c r="B1868" t="s">
        <v>18</v>
      </c>
      <c r="C1868" t="s">
        <v>11</v>
      </c>
      <c r="D1868" t="s">
        <v>16</v>
      </c>
      <c r="E1868">
        <v>2</v>
      </c>
      <c r="F1868" s="3">
        <v>1856</v>
      </c>
      <c r="G1868" s="2">
        <v>468.19</v>
      </c>
      <c r="H1868">
        <f>Master_ventas[[#This Row],[Profit]]/Master_ventas[[#This Row],[Sales]]</f>
        <v>0.25225754310344828</v>
      </c>
      <c r="I1868">
        <f ca="1">Referencia_Hoy-Master_ventas[[#This Row],[Order Date]]</f>
        <v>1197</v>
      </c>
      <c r="J1868" t="str">
        <f>UPPER(Master_ventas[[#This Row],[Product Name]])</f>
        <v>HEADPHONES</v>
      </c>
      <c r="K1868" t="str">
        <f>UPPER(Master_ventas[[#This Row],[Category]])</f>
        <v>ACCESSORIES</v>
      </c>
      <c r="L1868">
        <f>YEAR(Master_ventas[[#This Row],[Order Date]])</f>
        <v>2023</v>
      </c>
      <c r="M1868" t="str">
        <f>CONCATENATE(LEFT(Master_ventas[[#This Row],[ProdUpper]],3),RIGHT(Master_ventas[[#This Row],[Ext-Year]],2),"-",MID(Master_ventas[[#This Row],[Category]],1,1))</f>
        <v>HEA23-A</v>
      </c>
      <c r="N1868" t="str">
        <f>MID(Master_ventas[[#This Row],[ProdUpper]],1,3)</f>
        <v>HEA</v>
      </c>
      <c r="O1868" t="str">
        <f>UPPER(IF(Master_ventas[[#This Row],[Profit]]&gt;500,"High","Std"))</f>
        <v>STD</v>
      </c>
      <c r="P1868">
        <v>1867</v>
      </c>
    </row>
    <row r="1869" spans="1:16" x14ac:dyDescent="0.3">
      <c r="A1869" s="1">
        <v>44665</v>
      </c>
      <c r="B1869" t="s">
        <v>19</v>
      </c>
      <c r="C1869" t="s">
        <v>14</v>
      </c>
      <c r="D1869" t="s">
        <v>9</v>
      </c>
      <c r="E1869">
        <v>7</v>
      </c>
      <c r="F1869" s="3">
        <v>1519</v>
      </c>
      <c r="G1869" s="2">
        <v>403.63</v>
      </c>
      <c r="H1869">
        <f>Master_ventas[[#This Row],[Profit]]/Master_ventas[[#This Row],[Sales]]</f>
        <v>0.26572086899275837</v>
      </c>
      <c r="I1869">
        <f ca="1">Referencia_Hoy-Master_ventas[[#This Row],[Order Date]]</f>
        <v>1658</v>
      </c>
      <c r="J1869" t="str">
        <f>UPPER(Master_ventas[[#This Row],[Product Name]])</f>
        <v>SMARTWATCH</v>
      </c>
      <c r="K1869" t="str">
        <f>UPPER(Master_ventas[[#This Row],[Category]])</f>
        <v>ELECTRONICS</v>
      </c>
      <c r="L1869">
        <f>YEAR(Master_ventas[[#This Row],[Order Date]])</f>
        <v>2022</v>
      </c>
      <c r="M1869" t="str">
        <f>CONCATENATE(LEFT(Master_ventas[[#This Row],[ProdUpper]],3),RIGHT(Master_ventas[[#This Row],[Ext-Year]],2),"-",MID(Master_ventas[[#This Row],[Category]],1,1))</f>
        <v>SMA22-E</v>
      </c>
      <c r="N1869" t="str">
        <f>MID(Master_ventas[[#This Row],[ProdUpper]],1,3)</f>
        <v>SMA</v>
      </c>
      <c r="O1869" t="str">
        <f>UPPER(IF(Master_ventas[[#This Row],[Profit]]&gt;500,"High","Std"))</f>
        <v>STD</v>
      </c>
      <c r="P1869">
        <v>1868</v>
      </c>
    </row>
    <row r="1870" spans="1:16" x14ac:dyDescent="0.3">
      <c r="A1870" s="1">
        <v>45310</v>
      </c>
      <c r="B1870" t="s">
        <v>13</v>
      </c>
      <c r="C1870" t="s">
        <v>14</v>
      </c>
      <c r="D1870" t="s">
        <v>16</v>
      </c>
      <c r="E1870">
        <v>3</v>
      </c>
      <c r="F1870" s="3">
        <v>3549</v>
      </c>
      <c r="G1870" s="2">
        <v>996.05</v>
      </c>
      <c r="H1870">
        <f>Master_ventas[[#This Row],[Profit]]/Master_ventas[[#This Row],[Sales]]</f>
        <v>0.28065652296421528</v>
      </c>
      <c r="I1870">
        <f ca="1">Referencia_Hoy-Master_ventas[[#This Row],[Order Date]]</f>
        <v>1013</v>
      </c>
      <c r="J1870" t="str">
        <f>UPPER(Master_ventas[[#This Row],[Product Name]])</f>
        <v>TABLET</v>
      </c>
      <c r="K1870" t="str">
        <f>UPPER(Master_ventas[[#This Row],[Category]])</f>
        <v>ELECTRONICS</v>
      </c>
      <c r="L1870">
        <f>YEAR(Master_ventas[[#This Row],[Order Date]])</f>
        <v>2024</v>
      </c>
      <c r="M1870" t="str">
        <f>CONCATENATE(LEFT(Master_ventas[[#This Row],[ProdUpper]],3),RIGHT(Master_ventas[[#This Row],[Ext-Year]],2),"-",MID(Master_ventas[[#This Row],[Category]],1,1))</f>
        <v>TAB24-E</v>
      </c>
      <c r="N1870" t="str">
        <f>MID(Master_ventas[[#This Row],[ProdUpper]],1,3)</f>
        <v>TAB</v>
      </c>
      <c r="O1870" t="str">
        <f>UPPER(IF(Master_ventas[[#This Row],[Profit]]&gt;500,"High","Std"))</f>
        <v>HIGH</v>
      </c>
      <c r="P1870">
        <v>1869</v>
      </c>
    </row>
    <row r="1871" spans="1:16" x14ac:dyDescent="0.3">
      <c r="A1871" s="1">
        <v>45547</v>
      </c>
      <c r="B1871" t="s">
        <v>23</v>
      </c>
      <c r="C1871" t="s">
        <v>14</v>
      </c>
      <c r="D1871" t="s">
        <v>12</v>
      </c>
      <c r="E1871">
        <v>3</v>
      </c>
      <c r="F1871" s="3">
        <v>1656</v>
      </c>
      <c r="G1871" s="2">
        <v>378.84</v>
      </c>
      <c r="H1871">
        <f>Master_ventas[[#This Row],[Profit]]/Master_ventas[[#This Row],[Sales]]</f>
        <v>0.22876811594202898</v>
      </c>
      <c r="I1871">
        <f ca="1">Referencia_Hoy-Master_ventas[[#This Row],[Order Date]]</f>
        <v>776</v>
      </c>
      <c r="J1871" t="str">
        <f>UPPER(Master_ventas[[#This Row],[Product Name]])</f>
        <v>LAPTOP</v>
      </c>
      <c r="K1871" t="str">
        <f>UPPER(Master_ventas[[#This Row],[Category]])</f>
        <v>ELECTRONICS</v>
      </c>
      <c r="L1871">
        <f>YEAR(Master_ventas[[#This Row],[Order Date]])</f>
        <v>2024</v>
      </c>
      <c r="M1871" t="str">
        <f>CONCATENATE(LEFT(Master_ventas[[#This Row],[ProdUpper]],3),RIGHT(Master_ventas[[#This Row],[Ext-Year]],2),"-",MID(Master_ventas[[#This Row],[Category]],1,1))</f>
        <v>LAP24-E</v>
      </c>
      <c r="N1871" t="str">
        <f>MID(Master_ventas[[#This Row],[ProdUpper]],1,3)</f>
        <v>LAP</v>
      </c>
      <c r="O1871" t="str">
        <f>UPPER(IF(Master_ventas[[#This Row],[Profit]]&gt;500,"High","Std"))</f>
        <v>STD</v>
      </c>
      <c r="P1871">
        <v>1870</v>
      </c>
    </row>
    <row r="1872" spans="1:16" x14ac:dyDescent="0.3">
      <c r="A1872" s="1">
        <v>45528</v>
      </c>
      <c r="B1872" t="s">
        <v>22</v>
      </c>
      <c r="C1872" t="s">
        <v>11</v>
      </c>
      <c r="D1872" t="s">
        <v>9</v>
      </c>
      <c r="E1872">
        <v>7</v>
      </c>
      <c r="F1872" s="3">
        <v>812</v>
      </c>
      <c r="G1872" s="2">
        <v>175.55</v>
      </c>
      <c r="H1872">
        <f>Master_ventas[[#This Row],[Profit]]/Master_ventas[[#This Row],[Sales]]</f>
        <v>0.2161945812807882</v>
      </c>
      <c r="I1872">
        <f ca="1">Referencia_Hoy-Master_ventas[[#This Row],[Order Date]]</f>
        <v>795</v>
      </c>
      <c r="J1872" t="str">
        <f>UPPER(Master_ventas[[#This Row],[Product Name]])</f>
        <v>KEYBOARD</v>
      </c>
      <c r="K1872" t="str">
        <f>UPPER(Master_ventas[[#This Row],[Category]])</f>
        <v>ACCESSORIES</v>
      </c>
      <c r="L1872">
        <f>YEAR(Master_ventas[[#This Row],[Order Date]])</f>
        <v>2024</v>
      </c>
      <c r="M1872" t="str">
        <f>CONCATENATE(LEFT(Master_ventas[[#This Row],[ProdUpper]],3),RIGHT(Master_ventas[[#This Row],[Ext-Year]],2),"-",MID(Master_ventas[[#This Row],[Category]],1,1))</f>
        <v>KEY24-A</v>
      </c>
      <c r="N1872" t="str">
        <f>MID(Master_ventas[[#This Row],[ProdUpper]],1,3)</f>
        <v>KEY</v>
      </c>
      <c r="O1872" t="str">
        <f>UPPER(IF(Master_ventas[[#This Row],[Profit]]&gt;500,"High","Std"))</f>
        <v>STD</v>
      </c>
      <c r="P1872">
        <v>1871</v>
      </c>
    </row>
    <row r="1873" spans="1:16" x14ac:dyDescent="0.3">
      <c r="A1873" s="1">
        <v>44920</v>
      </c>
      <c r="B1873" t="s">
        <v>10</v>
      </c>
      <c r="C1873" t="s">
        <v>11</v>
      </c>
      <c r="D1873" t="s">
        <v>9</v>
      </c>
      <c r="E1873">
        <v>5</v>
      </c>
      <c r="F1873" s="3">
        <v>3730</v>
      </c>
      <c r="G1873" s="2">
        <v>864.41</v>
      </c>
      <c r="H1873">
        <f>Master_ventas[[#This Row],[Profit]]/Master_ventas[[#This Row],[Sales]]</f>
        <v>0.23174530831099194</v>
      </c>
      <c r="I1873">
        <f ca="1">Referencia_Hoy-Master_ventas[[#This Row],[Order Date]]</f>
        <v>1403</v>
      </c>
      <c r="J1873" t="str">
        <f>UPPER(Master_ventas[[#This Row],[Product Name]])</f>
        <v>MOUSE</v>
      </c>
      <c r="K1873" t="str">
        <f>UPPER(Master_ventas[[#This Row],[Category]])</f>
        <v>ACCESSORIES</v>
      </c>
      <c r="L1873">
        <f>YEAR(Master_ventas[[#This Row],[Order Date]])</f>
        <v>2022</v>
      </c>
      <c r="M1873" t="str">
        <f>CONCATENATE(LEFT(Master_ventas[[#This Row],[ProdUpper]],3),RIGHT(Master_ventas[[#This Row],[Ext-Year]],2),"-",MID(Master_ventas[[#This Row],[Category]],1,1))</f>
        <v>MOU22-A</v>
      </c>
      <c r="N1873" t="str">
        <f>MID(Master_ventas[[#This Row],[ProdUpper]],1,3)</f>
        <v>MOU</v>
      </c>
      <c r="O1873" t="str">
        <f>UPPER(IF(Master_ventas[[#This Row],[Profit]]&gt;500,"High","Std"))</f>
        <v>HIGH</v>
      </c>
      <c r="P1873">
        <v>1872</v>
      </c>
    </row>
    <row r="1874" spans="1:16" x14ac:dyDescent="0.3">
      <c r="A1874" s="1">
        <v>45284</v>
      </c>
      <c r="B1874" t="s">
        <v>20</v>
      </c>
      <c r="C1874" t="s">
        <v>11</v>
      </c>
      <c r="D1874" t="s">
        <v>15</v>
      </c>
      <c r="E1874">
        <v>1</v>
      </c>
      <c r="F1874" s="3">
        <v>1161</v>
      </c>
      <c r="G1874" s="2">
        <v>210.87</v>
      </c>
      <c r="H1874">
        <f>Master_ventas[[#This Row],[Profit]]/Master_ventas[[#This Row],[Sales]]</f>
        <v>0.18162790697674419</v>
      </c>
      <c r="I1874">
        <f ca="1">Referencia_Hoy-Master_ventas[[#This Row],[Order Date]]</f>
        <v>1039</v>
      </c>
      <c r="J1874" t="str">
        <f>UPPER(Master_ventas[[#This Row],[Product Name]])</f>
        <v>MONITOR</v>
      </c>
      <c r="K1874" t="str">
        <f>UPPER(Master_ventas[[#This Row],[Category]])</f>
        <v>ACCESSORIES</v>
      </c>
      <c r="L1874">
        <f>YEAR(Master_ventas[[#This Row],[Order Date]])</f>
        <v>2023</v>
      </c>
      <c r="M1874" t="str">
        <f>CONCATENATE(LEFT(Master_ventas[[#This Row],[ProdUpper]],3),RIGHT(Master_ventas[[#This Row],[Ext-Year]],2),"-",MID(Master_ventas[[#This Row],[Category]],1,1))</f>
        <v>MON23-A</v>
      </c>
      <c r="N1874" t="str">
        <f>MID(Master_ventas[[#This Row],[ProdUpper]],1,3)</f>
        <v>MON</v>
      </c>
      <c r="O1874" t="str">
        <f>UPPER(IF(Master_ventas[[#This Row],[Profit]]&gt;500,"High","Std"))</f>
        <v>STD</v>
      </c>
      <c r="P1874">
        <v>1873</v>
      </c>
    </row>
    <row r="1875" spans="1:16" x14ac:dyDescent="0.3">
      <c r="A1875" s="1">
        <v>44699</v>
      </c>
      <c r="B1875" t="s">
        <v>18</v>
      </c>
      <c r="C1875" t="s">
        <v>11</v>
      </c>
      <c r="D1875" t="s">
        <v>9</v>
      </c>
      <c r="E1875">
        <v>3</v>
      </c>
      <c r="F1875" s="3">
        <v>2256</v>
      </c>
      <c r="G1875" s="2">
        <v>282.52</v>
      </c>
      <c r="H1875">
        <f>Master_ventas[[#This Row],[Profit]]/Master_ventas[[#This Row],[Sales]]</f>
        <v>0.12523049645390069</v>
      </c>
      <c r="I1875">
        <f ca="1">Referencia_Hoy-Master_ventas[[#This Row],[Order Date]]</f>
        <v>1624</v>
      </c>
      <c r="J1875" t="str">
        <f>UPPER(Master_ventas[[#This Row],[Product Name]])</f>
        <v>HEADPHONES</v>
      </c>
      <c r="K1875" t="str">
        <f>UPPER(Master_ventas[[#This Row],[Category]])</f>
        <v>ACCESSORIES</v>
      </c>
      <c r="L1875">
        <f>YEAR(Master_ventas[[#This Row],[Order Date]])</f>
        <v>2022</v>
      </c>
      <c r="M1875" t="str">
        <f>CONCATENATE(LEFT(Master_ventas[[#This Row],[ProdUpper]],3),RIGHT(Master_ventas[[#This Row],[Ext-Year]],2),"-",MID(Master_ventas[[#This Row],[Category]],1,1))</f>
        <v>HEA22-A</v>
      </c>
      <c r="N1875" t="str">
        <f>MID(Master_ventas[[#This Row],[ProdUpper]],1,3)</f>
        <v>HEA</v>
      </c>
      <c r="O1875" t="str">
        <f>UPPER(IF(Master_ventas[[#This Row],[Profit]]&gt;500,"High","Std"))</f>
        <v>STD</v>
      </c>
      <c r="P1875">
        <v>1874</v>
      </c>
    </row>
    <row r="1876" spans="1:16" x14ac:dyDescent="0.3">
      <c r="A1876" s="1">
        <v>45563</v>
      </c>
      <c r="B1876" t="s">
        <v>20</v>
      </c>
      <c r="C1876" t="s">
        <v>11</v>
      </c>
      <c r="D1876" t="s">
        <v>12</v>
      </c>
      <c r="E1876">
        <v>1</v>
      </c>
      <c r="F1876" s="3">
        <v>359</v>
      </c>
      <c r="G1876" s="2">
        <v>78.17</v>
      </c>
      <c r="H1876">
        <f>Master_ventas[[#This Row],[Profit]]/Master_ventas[[#This Row],[Sales]]</f>
        <v>0.21774373259052926</v>
      </c>
      <c r="I1876">
        <f ca="1">Referencia_Hoy-Master_ventas[[#This Row],[Order Date]]</f>
        <v>760</v>
      </c>
      <c r="J1876" t="str">
        <f>UPPER(Master_ventas[[#This Row],[Product Name]])</f>
        <v>MONITOR</v>
      </c>
      <c r="K1876" t="str">
        <f>UPPER(Master_ventas[[#This Row],[Category]])</f>
        <v>ACCESSORIES</v>
      </c>
      <c r="L1876">
        <f>YEAR(Master_ventas[[#This Row],[Order Date]])</f>
        <v>2024</v>
      </c>
      <c r="M1876" t="str">
        <f>CONCATENATE(LEFT(Master_ventas[[#This Row],[ProdUpper]],3),RIGHT(Master_ventas[[#This Row],[Ext-Year]],2),"-",MID(Master_ventas[[#This Row],[Category]],1,1))</f>
        <v>MON24-A</v>
      </c>
      <c r="N1876" t="str">
        <f>MID(Master_ventas[[#This Row],[ProdUpper]],1,3)</f>
        <v>MON</v>
      </c>
      <c r="O1876" t="str">
        <f>UPPER(IF(Master_ventas[[#This Row],[Profit]]&gt;500,"High","Std"))</f>
        <v>STD</v>
      </c>
      <c r="P1876">
        <v>1875</v>
      </c>
    </row>
    <row r="1877" spans="1:16" x14ac:dyDescent="0.3">
      <c r="A1877" s="1">
        <v>45374</v>
      </c>
      <c r="B1877" t="s">
        <v>18</v>
      </c>
      <c r="C1877" t="s">
        <v>11</v>
      </c>
      <c r="D1877" t="s">
        <v>12</v>
      </c>
      <c r="E1877">
        <v>2</v>
      </c>
      <c r="F1877" s="3">
        <v>130</v>
      </c>
      <c r="G1877" s="2">
        <v>11.1</v>
      </c>
      <c r="H1877">
        <f>Master_ventas[[#This Row],[Profit]]/Master_ventas[[#This Row],[Sales]]</f>
        <v>8.5384615384615378E-2</v>
      </c>
      <c r="I1877">
        <f ca="1">Referencia_Hoy-Master_ventas[[#This Row],[Order Date]]</f>
        <v>949</v>
      </c>
      <c r="J1877" t="str">
        <f>UPPER(Master_ventas[[#This Row],[Product Name]])</f>
        <v>HEADPHONES</v>
      </c>
      <c r="K1877" t="str">
        <f>UPPER(Master_ventas[[#This Row],[Category]])</f>
        <v>ACCESSORIES</v>
      </c>
      <c r="L1877">
        <f>YEAR(Master_ventas[[#This Row],[Order Date]])</f>
        <v>2024</v>
      </c>
      <c r="M1877" t="str">
        <f>CONCATENATE(LEFT(Master_ventas[[#This Row],[ProdUpper]],3),RIGHT(Master_ventas[[#This Row],[Ext-Year]],2),"-",MID(Master_ventas[[#This Row],[Category]],1,1))</f>
        <v>HEA24-A</v>
      </c>
      <c r="N1877" t="str">
        <f>MID(Master_ventas[[#This Row],[ProdUpper]],1,3)</f>
        <v>HEA</v>
      </c>
      <c r="O1877" t="str">
        <f>UPPER(IF(Master_ventas[[#This Row],[Profit]]&gt;500,"High","Std"))</f>
        <v>STD</v>
      </c>
      <c r="P1877">
        <v>1876</v>
      </c>
    </row>
    <row r="1878" spans="1:16" x14ac:dyDescent="0.3">
      <c r="A1878" s="1">
        <v>44830</v>
      </c>
      <c r="B1878" t="s">
        <v>10</v>
      </c>
      <c r="C1878" t="s">
        <v>11</v>
      </c>
      <c r="D1878" t="s">
        <v>15</v>
      </c>
      <c r="E1878">
        <v>8</v>
      </c>
      <c r="F1878" s="3">
        <v>4248</v>
      </c>
      <c r="G1878" s="2">
        <v>831.54</v>
      </c>
      <c r="H1878">
        <f>Master_ventas[[#This Row],[Profit]]/Master_ventas[[#This Row],[Sales]]</f>
        <v>0.19574858757062147</v>
      </c>
      <c r="I1878">
        <f ca="1">Referencia_Hoy-Master_ventas[[#This Row],[Order Date]]</f>
        <v>1493</v>
      </c>
      <c r="J1878" t="str">
        <f>UPPER(Master_ventas[[#This Row],[Product Name]])</f>
        <v>MOUSE</v>
      </c>
      <c r="K1878" t="str">
        <f>UPPER(Master_ventas[[#This Row],[Category]])</f>
        <v>ACCESSORIES</v>
      </c>
      <c r="L1878">
        <f>YEAR(Master_ventas[[#This Row],[Order Date]])</f>
        <v>2022</v>
      </c>
      <c r="M1878" t="str">
        <f>CONCATENATE(LEFT(Master_ventas[[#This Row],[ProdUpper]],3),RIGHT(Master_ventas[[#This Row],[Ext-Year]],2),"-",MID(Master_ventas[[#This Row],[Category]],1,1))</f>
        <v>MOU22-A</v>
      </c>
      <c r="N1878" t="str">
        <f>MID(Master_ventas[[#This Row],[ProdUpper]],1,3)</f>
        <v>MOU</v>
      </c>
      <c r="O1878" t="str">
        <f>UPPER(IF(Master_ventas[[#This Row],[Profit]]&gt;500,"High","Std"))</f>
        <v>HIGH</v>
      </c>
      <c r="P1878">
        <v>1877</v>
      </c>
    </row>
    <row r="1879" spans="1:16" x14ac:dyDescent="0.3">
      <c r="A1879" s="1">
        <v>45569</v>
      </c>
      <c r="B1879" t="s">
        <v>17</v>
      </c>
      <c r="C1879" t="s">
        <v>14</v>
      </c>
      <c r="D1879" t="s">
        <v>15</v>
      </c>
      <c r="E1879">
        <v>5</v>
      </c>
      <c r="F1879" s="3">
        <v>1825</v>
      </c>
      <c r="G1879" s="2">
        <v>221.47</v>
      </c>
      <c r="H1879">
        <f>Master_ventas[[#This Row],[Profit]]/Master_ventas[[#This Row],[Sales]]</f>
        <v>0.12135342465753425</v>
      </c>
      <c r="I1879">
        <f ca="1">Referencia_Hoy-Master_ventas[[#This Row],[Order Date]]</f>
        <v>754</v>
      </c>
      <c r="J1879" t="str">
        <f>UPPER(Master_ventas[[#This Row],[Product Name]])</f>
        <v>CAMERA</v>
      </c>
      <c r="K1879" t="str">
        <f>UPPER(Master_ventas[[#This Row],[Category]])</f>
        <v>ELECTRONICS</v>
      </c>
      <c r="L1879">
        <f>YEAR(Master_ventas[[#This Row],[Order Date]])</f>
        <v>2024</v>
      </c>
      <c r="M1879" t="str">
        <f>CONCATENATE(LEFT(Master_ventas[[#This Row],[ProdUpper]],3),RIGHT(Master_ventas[[#This Row],[Ext-Year]],2),"-",MID(Master_ventas[[#This Row],[Category]],1,1))</f>
        <v>CAM24-E</v>
      </c>
      <c r="N1879" t="str">
        <f>MID(Master_ventas[[#This Row],[ProdUpper]],1,3)</f>
        <v>CAM</v>
      </c>
      <c r="O1879" t="str">
        <f>UPPER(IF(Master_ventas[[#This Row],[Profit]]&gt;500,"High","Std"))</f>
        <v>STD</v>
      </c>
      <c r="P1879">
        <v>1878</v>
      </c>
    </row>
    <row r="1880" spans="1:16" x14ac:dyDescent="0.3">
      <c r="A1880" s="1">
        <v>45560</v>
      </c>
      <c r="B1880" t="s">
        <v>22</v>
      </c>
      <c r="C1880" t="s">
        <v>11</v>
      </c>
      <c r="D1880" t="s">
        <v>12</v>
      </c>
      <c r="E1880">
        <v>2</v>
      </c>
      <c r="F1880" s="3">
        <v>876</v>
      </c>
      <c r="G1880" s="2">
        <v>224.01</v>
      </c>
      <c r="H1880">
        <f>Master_ventas[[#This Row],[Profit]]/Master_ventas[[#This Row],[Sales]]</f>
        <v>0.25571917808219174</v>
      </c>
      <c r="I1880">
        <f ca="1">Referencia_Hoy-Master_ventas[[#This Row],[Order Date]]</f>
        <v>763</v>
      </c>
      <c r="J1880" t="str">
        <f>UPPER(Master_ventas[[#This Row],[Product Name]])</f>
        <v>KEYBOARD</v>
      </c>
      <c r="K1880" t="str">
        <f>UPPER(Master_ventas[[#This Row],[Category]])</f>
        <v>ACCESSORIES</v>
      </c>
      <c r="L1880">
        <f>YEAR(Master_ventas[[#This Row],[Order Date]])</f>
        <v>2024</v>
      </c>
      <c r="M1880" t="str">
        <f>CONCATENATE(LEFT(Master_ventas[[#This Row],[ProdUpper]],3),RIGHT(Master_ventas[[#This Row],[Ext-Year]],2),"-",MID(Master_ventas[[#This Row],[Category]],1,1))</f>
        <v>KEY24-A</v>
      </c>
      <c r="N1880" t="str">
        <f>MID(Master_ventas[[#This Row],[ProdUpper]],1,3)</f>
        <v>KEY</v>
      </c>
      <c r="O1880" t="str">
        <f>UPPER(IF(Master_ventas[[#This Row],[Profit]]&gt;500,"High","Std"))</f>
        <v>STD</v>
      </c>
      <c r="P1880">
        <v>1879</v>
      </c>
    </row>
    <row r="1881" spans="1:16" x14ac:dyDescent="0.3">
      <c r="A1881" s="1">
        <v>44929</v>
      </c>
      <c r="B1881" t="s">
        <v>17</v>
      </c>
      <c r="C1881" t="s">
        <v>14</v>
      </c>
      <c r="D1881" t="s">
        <v>9</v>
      </c>
      <c r="E1881">
        <v>9</v>
      </c>
      <c r="F1881" s="3">
        <v>9180</v>
      </c>
      <c r="G1881" s="2">
        <v>2752.84</v>
      </c>
      <c r="H1881">
        <f>Master_ventas[[#This Row],[Profit]]/Master_ventas[[#This Row],[Sales]]</f>
        <v>0.29987363834422659</v>
      </c>
      <c r="I1881">
        <f ca="1">Referencia_Hoy-Master_ventas[[#This Row],[Order Date]]</f>
        <v>1394</v>
      </c>
      <c r="J1881" t="str">
        <f>UPPER(Master_ventas[[#This Row],[Product Name]])</f>
        <v>CAMERA</v>
      </c>
      <c r="K1881" t="str">
        <f>UPPER(Master_ventas[[#This Row],[Category]])</f>
        <v>ELECTRONICS</v>
      </c>
      <c r="L1881">
        <f>YEAR(Master_ventas[[#This Row],[Order Date]])</f>
        <v>2023</v>
      </c>
      <c r="M1881" t="str">
        <f>CONCATENATE(LEFT(Master_ventas[[#This Row],[ProdUpper]],3),RIGHT(Master_ventas[[#This Row],[Ext-Year]],2),"-",MID(Master_ventas[[#This Row],[Category]],1,1))</f>
        <v>CAM23-E</v>
      </c>
      <c r="N1881" t="str">
        <f>MID(Master_ventas[[#This Row],[ProdUpper]],1,3)</f>
        <v>CAM</v>
      </c>
      <c r="O1881" t="str">
        <f>UPPER(IF(Master_ventas[[#This Row],[Profit]]&gt;500,"High","Std"))</f>
        <v>HIGH</v>
      </c>
      <c r="P1881">
        <v>1880</v>
      </c>
    </row>
    <row r="1882" spans="1:16" x14ac:dyDescent="0.3">
      <c r="A1882" s="1">
        <v>45377</v>
      </c>
      <c r="B1882" t="s">
        <v>20</v>
      </c>
      <c r="C1882" t="s">
        <v>11</v>
      </c>
      <c r="D1882" t="s">
        <v>16</v>
      </c>
      <c r="E1882">
        <v>5</v>
      </c>
      <c r="F1882" s="3">
        <v>1765</v>
      </c>
      <c r="G1882" s="2">
        <v>160.88999999999999</v>
      </c>
      <c r="H1882">
        <f>Master_ventas[[#This Row],[Profit]]/Master_ventas[[#This Row],[Sales]]</f>
        <v>9.1155807365439087E-2</v>
      </c>
      <c r="I1882">
        <f ca="1">Referencia_Hoy-Master_ventas[[#This Row],[Order Date]]</f>
        <v>946</v>
      </c>
      <c r="J1882" t="str">
        <f>UPPER(Master_ventas[[#This Row],[Product Name]])</f>
        <v>MONITOR</v>
      </c>
      <c r="K1882" t="str">
        <f>UPPER(Master_ventas[[#This Row],[Category]])</f>
        <v>ACCESSORIES</v>
      </c>
      <c r="L1882">
        <f>YEAR(Master_ventas[[#This Row],[Order Date]])</f>
        <v>2024</v>
      </c>
      <c r="M1882" t="str">
        <f>CONCATENATE(LEFT(Master_ventas[[#This Row],[ProdUpper]],3),RIGHT(Master_ventas[[#This Row],[Ext-Year]],2),"-",MID(Master_ventas[[#This Row],[Category]],1,1))</f>
        <v>MON24-A</v>
      </c>
      <c r="N1882" t="str">
        <f>MID(Master_ventas[[#This Row],[ProdUpper]],1,3)</f>
        <v>MON</v>
      </c>
      <c r="O1882" t="str">
        <f>UPPER(IF(Master_ventas[[#This Row],[Profit]]&gt;500,"High","Std"))</f>
        <v>STD</v>
      </c>
      <c r="P1882">
        <v>1881</v>
      </c>
    </row>
    <row r="1883" spans="1:16" x14ac:dyDescent="0.3">
      <c r="A1883" s="1">
        <v>44840</v>
      </c>
      <c r="B1883" t="s">
        <v>20</v>
      </c>
      <c r="C1883" t="s">
        <v>11</v>
      </c>
      <c r="D1883" t="s">
        <v>15</v>
      </c>
      <c r="E1883">
        <v>2</v>
      </c>
      <c r="F1883" s="3">
        <v>1504</v>
      </c>
      <c r="G1883" s="2">
        <v>164.51</v>
      </c>
      <c r="H1883">
        <f>Master_ventas[[#This Row],[Profit]]/Master_ventas[[#This Row],[Sales]]</f>
        <v>0.10938164893617021</v>
      </c>
      <c r="I1883">
        <f ca="1">Referencia_Hoy-Master_ventas[[#This Row],[Order Date]]</f>
        <v>1483</v>
      </c>
      <c r="J1883" t="str">
        <f>UPPER(Master_ventas[[#This Row],[Product Name]])</f>
        <v>MONITOR</v>
      </c>
      <c r="K1883" t="str">
        <f>UPPER(Master_ventas[[#This Row],[Category]])</f>
        <v>ACCESSORIES</v>
      </c>
      <c r="L1883">
        <f>YEAR(Master_ventas[[#This Row],[Order Date]])</f>
        <v>2022</v>
      </c>
      <c r="M1883" t="str">
        <f>CONCATENATE(LEFT(Master_ventas[[#This Row],[ProdUpper]],3),RIGHT(Master_ventas[[#This Row],[Ext-Year]],2),"-",MID(Master_ventas[[#This Row],[Category]],1,1))</f>
        <v>MON22-A</v>
      </c>
      <c r="N1883" t="str">
        <f>MID(Master_ventas[[#This Row],[ProdUpper]],1,3)</f>
        <v>MON</v>
      </c>
      <c r="O1883" t="str">
        <f>UPPER(IF(Master_ventas[[#This Row],[Profit]]&gt;500,"High","Std"))</f>
        <v>STD</v>
      </c>
      <c r="P1883">
        <v>1882</v>
      </c>
    </row>
    <row r="1884" spans="1:16" x14ac:dyDescent="0.3">
      <c r="A1884" s="1">
        <v>44742</v>
      </c>
      <c r="B1884" t="s">
        <v>22</v>
      </c>
      <c r="C1884" t="s">
        <v>11</v>
      </c>
      <c r="D1884" t="s">
        <v>15</v>
      </c>
      <c r="E1884">
        <v>9</v>
      </c>
      <c r="F1884" s="3">
        <v>1881</v>
      </c>
      <c r="G1884" s="2">
        <v>430.78</v>
      </c>
      <c r="H1884">
        <f>Master_ventas[[#This Row],[Profit]]/Master_ventas[[#This Row],[Sales]]</f>
        <v>0.22901648059542795</v>
      </c>
      <c r="I1884">
        <f ca="1">Referencia_Hoy-Master_ventas[[#This Row],[Order Date]]</f>
        <v>1581</v>
      </c>
      <c r="J1884" t="str">
        <f>UPPER(Master_ventas[[#This Row],[Product Name]])</f>
        <v>KEYBOARD</v>
      </c>
      <c r="K1884" t="str">
        <f>UPPER(Master_ventas[[#This Row],[Category]])</f>
        <v>ACCESSORIES</v>
      </c>
      <c r="L1884">
        <f>YEAR(Master_ventas[[#This Row],[Order Date]])</f>
        <v>2022</v>
      </c>
      <c r="M1884" t="str">
        <f>CONCATENATE(LEFT(Master_ventas[[#This Row],[ProdUpper]],3),RIGHT(Master_ventas[[#This Row],[Ext-Year]],2),"-",MID(Master_ventas[[#This Row],[Category]],1,1))</f>
        <v>KEY22-A</v>
      </c>
      <c r="N1884" t="str">
        <f>MID(Master_ventas[[#This Row],[ProdUpper]],1,3)</f>
        <v>KEY</v>
      </c>
      <c r="O1884" t="str">
        <f>UPPER(IF(Master_ventas[[#This Row],[Profit]]&gt;500,"High","Std"))</f>
        <v>STD</v>
      </c>
      <c r="P1884">
        <v>1883</v>
      </c>
    </row>
    <row r="1885" spans="1:16" x14ac:dyDescent="0.3">
      <c r="A1885" s="1">
        <v>44577</v>
      </c>
      <c r="B1885" t="s">
        <v>22</v>
      </c>
      <c r="C1885" t="s">
        <v>11</v>
      </c>
      <c r="D1885" t="s">
        <v>12</v>
      </c>
      <c r="E1885">
        <v>9</v>
      </c>
      <c r="F1885" s="3">
        <v>7425</v>
      </c>
      <c r="G1885" s="2">
        <v>1533.72</v>
      </c>
      <c r="H1885">
        <f>Master_ventas[[#This Row],[Profit]]/Master_ventas[[#This Row],[Sales]]</f>
        <v>0.20656161616161617</v>
      </c>
      <c r="I1885">
        <f ca="1">Referencia_Hoy-Master_ventas[[#This Row],[Order Date]]</f>
        <v>1746</v>
      </c>
      <c r="J1885" t="str">
        <f>UPPER(Master_ventas[[#This Row],[Product Name]])</f>
        <v>KEYBOARD</v>
      </c>
      <c r="K1885" t="str">
        <f>UPPER(Master_ventas[[#This Row],[Category]])</f>
        <v>ACCESSORIES</v>
      </c>
      <c r="L1885">
        <f>YEAR(Master_ventas[[#This Row],[Order Date]])</f>
        <v>2022</v>
      </c>
      <c r="M1885" t="str">
        <f>CONCATENATE(LEFT(Master_ventas[[#This Row],[ProdUpper]],3),RIGHT(Master_ventas[[#This Row],[Ext-Year]],2),"-",MID(Master_ventas[[#This Row],[Category]],1,1))</f>
        <v>KEY22-A</v>
      </c>
      <c r="N1885" t="str">
        <f>MID(Master_ventas[[#This Row],[ProdUpper]],1,3)</f>
        <v>KEY</v>
      </c>
      <c r="O1885" t="str">
        <f>UPPER(IF(Master_ventas[[#This Row],[Profit]]&gt;500,"High","Std"))</f>
        <v>HIGH</v>
      </c>
      <c r="P1885">
        <v>1884</v>
      </c>
    </row>
    <row r="1886" spans="1:16" x14ac:dyDescent="0.3">
      <c r="A1886" s="1">
        <v>44850</v>
      </c>
      <c r="B1886" t="s">
        <v>13</v>
      </c>
      <c r="C1886" t="s">
        <v>14</v>
      </c>
      <c r="D1886" t="s">
        <v>12</v>
      </c>
      <c r="E1886">
        <v>9</v>
      </c>
      <c r="F1886" s="3">
        <v>720</v>
      </c>
      <c r="G1886" s="2">
        <v>192.83</v>
      </c>
      <c r="H1886">
        <f>Master_ventas[[#This Row],[Profit]]/Master_ventas[[#This Row],[Sales]]</f>
        <v>0.26781944444444444</v>
      </c>
      <c r="I1886">
        <f ca="1">Referencia_Hoy-Master_ventas[[#This Row],[Order Date]]</f>
        <v>1473</v>
      </c>
      <c r="J1886" t="str">
        <f>UPPER(Master_ventas[[#This Row],[Product Name]])</f>
        <v>TABLET</v>
      </c>
      <c r="K1886" t="str">
        <f>UPPER(Master_ventas[[#This Row],[Category]])</f>
        <v>ELECTRONICS</v>
      </c>
      <c r="L1886">
        <f>YEAR(Master_ventas[[#This Row],[Order Date]])</f>
        <v>2022</v>
      </c>
      <c r="M1886" t="str">
        <f>CONCATENATE(LEFT(Master_ventas[[#This Row],[ProdUpper]],3),RIGHT(Master_ventas[[#This Row],[Ext-Year]],2),"-",MID(Master_ventas[[#This Row],[Category]],1,1))</f>
        <v>TAB22-E</v>
      </c>
      <c r="N1886" t="str">
        <f>MID(Master_ventas[[#This Row],[ProdUpper]],1,3)</f>
        <v>TAB</v>
      </c>
      <c r="O1886" t="str">
        <f>UPPER(IF(Master_ventas[[#This Row],[Profit]]&gt;500,"High","Std"))</f>
        <v>STD</v>
      </c>
      <c r="P1886">
        <v>1885</v>
      </c>
    </row>
    <row r="1887" spans="1:16" x14ac:dyDescent="0.3">
      <c r="A1887" s="1">
        <v>45419</v>
      </c>
      <c r="B1887" t="s">
        <v>21</v>
      </c>
      <c r="C1887" t="s">
        <v>14</v>
      </c>
      <c r="D1887" t="s">
        <v>16</v>
      </c>
      <c r="E1887">
        <v>5</v>
      </c>
      <c r="F1887" s="3">
        <v>2985</v>
      </c>
      <c r="G1887" s="2">
        <v>698.22</v>
      </c>
      <c r="H1887">
        <f>Master_ventas[[#This Row],[Profit]]/Master_ventas[[#This Row],[Sales]]</f>
        <v>0.23390954773869346</v>
      </c>
      <c r="I1887">
        <f ca="1">Referencia_Hoy-Master_ventas[[#This Row],[Order Date]]</f>
        <v>904</v>
      </c>
      <c r="J1887" t="str">
        <f>UPPER(Master_ventas[[#This Row],[Product Name]])</f>
        <v>SMARTPHONE</v>
      </c>
      <c r="K1887" t="str">
        <f>UPPER(Master_ventas[[#This Row],[Category]])</f>
        <v>ELECTRONICS</v>
      </c>
      <c r="L1887">
        <f>YEAR(Master_ventas[[#This Row],[Order Date]])</f>
        <v>2024</v>
      </c>
      <c r="M1887" t="str">
        <f>CONCATENATE(LEFT(Master_ventas[[#This Row],[ProdUpper]],3),RIGHT(Master_ventas[[#This Row],[Ext-Year]],2),"-",MID(Master_ventas[[#This Row],[Category]],1,1))</f>
        <v>SMA24-E</v>
      </c>
      <c r="N1887" t="str">
        <f>MID(Master_ventas[[#This Row],[ProdUpper]],1,3)</f>
        <v>SMA</v>
      </c>
      <c r="O1887" t="str">
        <f>UPPER(IF(Master_ventas[[#This Row],[Profit]]&gt;500,"High","Std"))</f>
        <v>HIGH</v>
      </c>
      <c r="P1887">
        <v>1886</v>
      </c>
    </row>
    <row r="1888" spans="1:16" x14ac:dyDescent="0.3">
      <c r="A1888" s="1">
        <v>44565</v>
      </c>
      <c r="B1888" t="s">
        <v>23</v>
      </c>
      <c r="C1888" t="s">
        <v>14</v>
      </c>
      <c r="D1888" t="s">
        <v>9</v>
      </c>
      <c r="E1888">
        <v>9</v>
      </c>
      <c r="F1888" s="3">
        <v>711</v>
      </c>
      <c r="G1888" s="2">
        <v>200.11</v>
      </c>
      <c r="H1888">
        <f>Master_ventas[[#This Row],[Profit]]/Master_ventas[[#This Row],[Sales]]</f>
        <v>0.28144866385372719</v>
      </c>
      <c r="I1888">
        <f ca="1">Referencia_Hoy-Master_ventas[[#This Row],[Order Date]]</f>
        <v>1758</v>
      </c>
      <c r="J1888" t="str">
        <f>UPPER(Master_ventas[[#This Row],[Product Name]])</f>
        <v>LAPTOP</v>
      </c>
      <c r="K1888" t="str">
        <f>UPPER(Master_ventas[[#This Row],[Category]])</f>
        <v>ELECTRONICS</v>
      </c>
      <c r="L1888">
        <f>YEAR(Master_ventas[[#This Row],[Order Date]])</f>
        <v>2022</v>
      </c>
      <c r="M1888" t="str">
        <f>CONCATENATE(LEFT(Master_ventas[[#This Row],[ProdUpper]],3),RIGHT(Master_ventas[[#This Row],[Ext-Year]],2),"-",MID(Master_ventas[[#This Row],[Category]],1,1))</f>
        <v>LAP22-E</v>
      </c>
      <c r="N1888" t="str">
        <f>MID(Master_ventas[[#This Row],[ProdUpper]],1,3)</f>
        <v>LAP</v>
      </c>
      <c r="O1888" t="str">
        <f>UPPER(IF(Master_ventas[[#This Row],[Profit]]&gt;500,"High","Std"))</f>
        <v>STD</v>
      </c>
      <c r="P1888">
        <v>1887</v>
      </c>
    </row>
    <row r="1889" spans="1:16" x14ac:dyDescent="0.3">
      <c r="A1889" s="1">
        <v>45517</v>
      </c>
      <c r="B1889" t="s">
        <v>7</v>
      </c>
      <c r="C1889" t="s">
        <v>8</v>
      </c>
      <c r="D1889" t="s">
        <v>15</v>
      </c>
      <c r="E1889">
        <v>6</v>
      </c>
      <c r="F1889" s="3">
        <v>6276</v>
      </c>
      <c r="G1889" s="2">
        <v>1396.25</v>
      </c>
      <c r="H1889">
        <f>Master_ventas[[#This Row],[Profit]]/Master_ventas[[#This Row],[Sales]]</f>
        <v>0.22247450605481198</v>
      </c>
      <c r="I1889">
        <f ca="1">Referencia_Hoy-Master_ventas[[#This Row],[Order Date]]</f>
        <v>806</v>
      </c>
      <c r="J1889" t="str">
        <f>UPPER(Master_ventas[[#This Row],[Product Name]])</f>
        <v>PRINTER</v>
      </c>
      <c r="K1889" t="str">
        <f>UPPER(Master_ventas[[#This Row],[Category]])</f>
        <v>OFFICE</v>
      </c>
      <c r="L1889">
        <f>YEAR(Master_ventas[[#This Row],[Order Date]])</f>
        <v>2024</v>
      </c>
      <c r="M1889" t="str">
        <f>CONCATENATE(LEFT(Master_ventas[[#This Row],[ProdUpper]],3),RIGHT(Master_ventas[[#This Row],[Ext-Year]],2),"-",MID(Master_ventas[[#This Row],[Category]],1,1))</f>
        <v>PRI24-O</v>
      </c>
      <c r="N1889" t="str">
        <f>MID(Master_ventas[[#This Row],[ProdUpper]],1,3)</f>
        <v>PRI</v>
      </c>
      <c r="O1889" t="str">
        <f>UPPER(IF(Master_ventas[[#This Row],[Profit]]&gt;500,"High","Std"))</f>
        <v>HIGH</v>
      </c>
      <c r="P1889">
        <v>1888</v>
      </c>
    </row>
    <row r="1890" spans="1:16" x14ac:dyDescent="0.3">
      <c r="A1890" s="1">
        <v>44939</v>
      </c>
      <c r="B1890" t="s">
        <v>10</v>
      </c>
      <c r="C1890" t="s">
        <v>11</v>
      </c>
      <c r="D1890" t="s">
        <v>12</v>
      </c>
      <c r="E1890">
        <v>7</v>
      </c>
      <c r="F1890" s="3">
        <v>7966</v>
      </c>
      <c r="G1890" s="2">
        <v>955.8</v>
      </c>
      <c r="H1890">
        <f>Master_ventas[[#This Row],[Profit]]/Master_ventas[[#This Row],[Sales]]</f>
        <v>0.11998493597790609</v>
      </c>
      <c r="I1890">
        <f ca="1">Referencia_Hoy-Master_ventas[[#This Row],[Order Date]]</f>
        <v>1384</v>
      </c>
      <c r="J1890" t="str">
        <f>UPPER(Master_ventas[[#This Row],[Product Name]])</f>
        <v>MOUSE</v>
      </c>
      <c r="K1890" t="str">
        <f>UPPER(Master_ventas[[#This Row],[Category]])</f>
        <v>ACCESSORIES</v>
      </c>
      <c r="L1890">
        <f>YEAR(Master_ventas[[#This Row],[Order Date]])</f>
        <v>2023</v>
      </c>
      <c r="M1890" t="str">
        <f>CONCATENATE(LEFT(Master_ventas[[#This Row],[ProdUpper]],3),RIGHT(Master_ventas[[#This Row],[Ext-Year]],2),"-",MID(Master_ventas[[#This Row],[Category]],1,1))</f>
        <v>MOU23-A</v>
      </c>
      <c r="N1890" t="str">
        <f>MID(Master_ventas[[#This Row],[ProdUpper]],1,3)</f>
        <v>MOU</v>
      </c>
      <c r="O1890" t="str">
        <f>UPPER(IF(Master_ventas[[#This Row],[Profit]]&gt;500,"High","Std"))</f>
        <v>HIGH</v>
      </c>
      <c r="P1890">
        <v>1889</v>
      </c>
    </row>
    <row r="1891" spans="1:16" x14ac:dyDescent="0.3">
      <c r="A1891" s="1">
        <v>44999</v>
      </c>
      <c r="B1891" t="s">
        <v>18</v>
      </c>
      <c r="C1891" t="s">
        <v>11</v>
      </c>
      <c r="D1891" t="s">
        <v>12</v>
      </c>
      <c r="E1891">
        <v>8</v>
      </c>
      <c r="F1891" s="3">
        <v>4200</v>
      </c>
      <c r="G1891" s="2">
        <v>854.89</v>
      </c>
      <c r="H1891">
        <f>Master_ventas[[#This Row],[Profit]]/Master_ventas[[#This Row],[Sales]]</f>
        <v>0.20354523809523808</v>
      </c>
      <c r="I1891">
        <f ca="1">Referencia_Hoy-Master_ventas[[#This Row],[Order Date]]</f>
        <v>1324</v>
      </c>
      <c r="J1891" t="str">
        <f>UPPER(Master_ventas[[#This Row],[Product Name]])</f>
        <v>HEADPHONES</v>
      </c>
      <c r="K1891" t="str">
        <f>UPPER(Master_ventas[[#This Row],[Category]])</f>
        <v>ACCESSORIES</v>
      </c>
      <c r="L1891">
        <f>YEAR(Master_ventas[[#This Row],[Order Date]])</f>
        <v>2023</v>
      </c>
      <c r="M1891" t="str">
        <f>CONCATENATE(LEFT(Master_ventas[[#This Row],[ProdUpper]],3),RIGHT(Master_ventas[[#This Row],[Ext-Year]],2),"-",MID(Master_ventas[[#This Row],[Category]],1,1))</f>
        <v>HEA23-A</v>
      </c>
      <c r="N1891" t="str">
        <f>MID(Master_ventas[[#This Row],[ProdUpper]],1,3)</f>
        <v>HEA</v>
      </c>
      <c r="O1891" t="str">
        <f>UPPER(IF(Master_ventas[[#This Row],[Profit]]&gt;500,"High","Std"))</f>
        <v>HIGH</v>
      </c>
      <c r="P1891">
        <v>1890</v>
      </c>
    </row>
    <row r="1892" spans="1:16" x14ac:dyDescent="0.3">
      <c r="A1892" s="1">
        <v>45429</v>
      </c>
      <c r="B1892" t="s">
        <v>23</v>
      </c>
      <c r="C1892" t="s">
        <v>14</v>
      </c>
      <c r="D1892" t="s">
        <v>12</v>
      </c>
      <c r="E1892">
        <v>7</v>
      </c>
      <c r="F1892" s="3">
        <v>455</v>
      </c>
      <c r="G1892" s="2">
        <v>80</v>
      </c>
      <c r="H1892">
        <f>Master_ventas[[#This Row],[Profit]]/Master_ventas[[#This Row],[Sales]]</f>
        <v>0.17582417582417584</v>
      </c>
      <c r="I1892">
        <f ca="1">Referencia_Hoy-Master_ventas[[#This Row],[Order Date]]</f>
        <v>894</v>
      </c>
      <c r="J1892" t="str">
        <f>UPPER(Master_ventas[[#This Row],[Product Name]])</f>
        <v>LAPTOP</v>
      </c>
      <c r="K1892" t="str">
        <f>UPPER(Master_ventas[[#This Row],[Category]])</f>
        <v>ELECTRONICS</v>
      </c>
      <c r="L1892">
        <f>YEAR(Master_ventas[[#This Row],[Order Date]])</f>
        <v>2024</v>
      </c>
      <c r="M1892" t="str">
        <f>CONCATENATE(LEFT(Master_ventas[[#This Row],[ProdUpper]],3),RIGHT(Master_ventas[[#This Row],[Ext-Year]],2),"-",MID(Master_ventas[[#This Row],[Category]],1,1))</f>
        <v>LAP24-E</v>
      </c>
      <c r="N1892" t="str">
        <f>MID(Master_ventas[[#This Row],[ProdUpper]],1,3)</f>
        <v>LAP</v>
      </c>
      <c r="O1892" t="str">
        <f>UPPER(IF(Master_ventas[[#This Row],[Profit]]&gt;500,"High","Std"))</f>
        <v>STD</v>
      </c>
      <c r="P1892">
        <v>1891</v>
      </c>
    </row>
    <row r="1893" spans="1:16" x14ac:dyDescent="0.3">
      <c r="A1893" s="1">
        <v>45580</v>
      </c>
      <c r="B1893" t="s">
        <v>22</v>
      </c>
      <c r="C1893" t="s">
        <v>11</v>
      </c>
      <c r="D1893" t="s">
        <v>15</v>
      </c>
      <c r="E1893">
        <v>8</v>
      </c>
      <c r="F1893" s="3">
        <v>5040</v>
      </c>
      <c r="G1893" s="2">
        <v>465.36</v>
      </c>
      <c r="H1893">
        <f>Master_ventas[[#This Row],[Profit]]/Master_ventas[[#This Row],[Sales]]</f>
        <v>9.2333333333333337E-2</v>
      </c>
      <c r="I1893">
        <f ca="1">Referencia_Hoy-Master_ventas[[#This Row],[Order Date]]</f>
        <v>743</v>
      </c>
      <c r="J1893" t="str">
        <f>UPPER(Master_ventas[[#This Row],[Product Name]])</f>
        <v>KEYBOARD</v>
      </c>
      <c r="K1893" t="str">
        <f>UPPER(Master_ventas[[#This Row],[Category]])</f>
        <v>ACCESSORIES</v>
      </c>
      <c r="L1893">
        <f>YEAR(Master_ventas[[#This Row],[Order Date]])</f>
        <v>2024</v>
      </c>
      <c r="M1893" t="str">
        <f>CONCATENATE(LEFT(Master_ventas[[#This Row],[ProdUpper]],3),RIGHT(Master_ventas[[#This Row],[Ext-Year]],2),"-",MID(Master_ventas[[#This Row],[Category]],1,1))</f>
        <v>KEY24-A</v>
      </c>
      <c r="N1893" t="str">
        <f>MID(Master_ventas[[#This Row],[ProdUpper]],1,3)</f>
        <v>KEY</v>
      </c>
      <c r="O1893" t="str">
        <f>UPPER(IF(Master_ventas[[#This Row],[Profit]]&gt;500,"High","Std"))</f>
        <v>STD</v>
      </c>
      <c r="P1893">
        <v>1892</v>
      </c>
    </row>
    <row r="1894" spans="1:16" x14ac:dyDescent="0.3">
      <c r="A1894" s="1">
        <v>45180</v>
      </c>
      <c r="B1894" t="s">
        <v>10</v>
      </c>
      <c r="C1894" t="s">
        <v>11</v>
      </c>
      <c r="D1894" t="s">
        <v>12</v>
      </c>
      <c r="E1894">
        <v>1</v>
      </c>
      <c r="F1894" s="3">
        <v>856</v>
      </c>
      <c r="G1894" s="2">
        <v>87.69</v>
      </c>
      <c r="H1894">
        <f>Master_ventas[[#This Row],[Profit]]/Master_ventas[[#This Row],[Sales]]</f>
        <v>0.10244158878504672</v>
      </c>
      <c r="I1894">
        <f ca="1">Referencia_Hoy-Master_ventas[[#This Row],[Order Date]]</f>
        <v>1143</v>
      </c>
      <c r="J1894" t="str">
        <f>UPPER(Master_ventas[[#This Row],[Product Name]])</f>
        <v>MOUSE</v>
      </c>
      <c r="K1894" t="str">
        <f>UPPER(Master_ventas[[#This Row],[Category]])</f>
        <v>ACCESSORIES</v>
      </c>
      <c r="L1894">
        <f>YEAR(Master_ventas[[#This Row],[Order Date]])</f>
        <v>2023</v>
      </c>
      <c r="M1894" t="str">
        <f>CONCATENATE(LEFT(Master_ventas[[#This Row],[ProdUpper]],3),RIGHT(Master_ventas[[#This Row],[Ext-Year]],2),"-",MID(Master_ventas[[#This Row],[Category]],1,1))</f>
        <v>MOU23-A</v>
      </c>
      <c r="N1894" t="str">
        <f>MID(Master_ventas[[#This Row],[ProdUpper]],1,3)</f>
        <v>MOU</v>
      </c>
      <c r="O1894" t="str">
        <f>UPPER(IF(Master_ventas[[#This Row],[Profit]]&gt;500,"High","Std"))</f>
        <v>STD</v>
      </c>
      <c r="P1894">
        <v>1893</v>
      </c>
    </row>
    <row r="1895" spans="1:16" x14ac:dyDescent="0.3">
      <c r="A1895" s="1">
        <v>45127</v>
      </c>
      <c r="B1895" t="s">
        <v>20</v>
      </c>
      <c r="C1895" t="s">
        <v>11</v>
      </c>
      <c r="D1895" t="s">
        <v>16</v>
      </c>
      <c r="E1895">
        <v>5</v>
      </c>
      <c r="F1895" s="3">
        <v>5230</v>
      </c>
      <c r="G1895" s="2">
        <v>385.77</v>
      </c>
      <c r="H1895">
        <f>Master_ventas[[#This Row],[Profit]]/Master_ventas[[#This Row],[Sales]]</f>
        <v>7.3760994263862331E-2</v>
      </c>
      <c r="I1895">
        <f ca="1">Referencia_Hoy-Master_ventas[[#This Row],[Order Date]]</f>
        <v>1196</v>
      </c>
      <c r="J1895" t="str">
        <f>UPPER(Master_ventas[[#This Row],[Product Name]])</f>
        <v>MONITOR</v>
      </c>
      <c r="K1895" t="str">
        <f>UPPER(Master_ventas[[#This Row],[Category]])</f>
        <v>ACCESSORIES</v>
      </c>
      <c r="L1895">
        <f>YEAR(Master_ventas[[#This Row],[Order Date]])</f>
        <v>2023</v>
      </c>
      <c r="M1895" t="str">
        <f>CONCATENATE(LEFT(Master_ventas[[#This Row],[ProdUpper]],3),RIGHT(Master_ventas[[#This Row],[Ext-Year]],2),"-",MID(Master_ventas[[#This Row],[Category]],1,1))</f>
        <v>MON23-A</v>
      </c>
      <c r="N1895" t="str">
        <f>MID(Master_ventas[[#This Row],[ProdUpper]],1,3)</f>
        <v>MON</v>
      </c>
      <c r="O1895" t="str">
        <f>UPPER(IF(Master_ventas[[#This Row],[Profit]]&gt;500,"High","Std"))</f>
        <v>STD</v>
      </c>
      <c r="P1895">
        <v>1894</v>
      </c>
    </row>
    <row r="1896" spans="1:16" x14ac:dyDescent="0.3">
      <c r="A1896" s="1">
        <v>44639</v>
      </c>
      <c r="B1896" t="s">
        <v>23</v>
      </c>
      <c r="C1896" t="s">
        <v>14</v>
      </c>
      <c r="D1896" t="s">
        <v>15</v>
      </c>
      <c r="E1896">
        <v>5</v>
      </c>
      <c r="F1896" s="3">
        <v>4635</v>
      </c>
      <c r="G1896" s="2">
        <v>769.03</v>
      </c>
      <c r="H1896">
        <f>Master_ventas[[#This Row],[Profit]]/Master_ventas[[#This Row],[Sales]]</f>
        <v>0.16591801510248111</v>
      </c>
      <c r="I1896">
        <f ca="1">Referencia_Hoy-Master_ventas[[#This Row],[Order Date]]</f>
        <v>1684</v>
      </c>
      <c r="J1896" t="str">
        <f>UPPER(Master_ventas[[#This Row],[Product Name]])</f>
        <v>LAPTOP</v>
      </c>
      <c r="K1896" t="str">
        <f>UPPER(Master_ventas[[#This Row],[Category]])</f>
        <v>ELECTRONICS</v>
      </c>
      <c r="L1896">
        <f>YEAR(Master_ventas[[#This Row],[Order Date]])</f>
        <v>2022</v>
      </c>
      <c r="M1896" t="str">
        <f>CONCATENATE(LEFT(Master_ventas[[#This Row],[ProdUpper]],3),RIGHT(Master_ventas[[#This Row],[Ext-Year]],2),"-",MID(Master_ventas[[#This Row],[Category]],1,1))</f>
        <v>LAP22-E</v>
      </c>
      <c r="N1896" t="str">
        <f>MID(Master_ventas[[#This Row],[ProdUpper]],1,3)</f>
        <v>LAP</v>
      </c>
      <c r="O1896" t="str">
        <f>UPPER(IF(Master_ventas[[#This Row],[Profit]]&gt;500,"High","Std"))</f>
        <v>HIGH</v>
      </c>
      <c r="P1896">
        <v>1895</v>
      </c>
    </row>
    <row r="1897" spans="1:16" x14ac:dyDescent="0.3">
      <c r="A1897" s="1">
        <v>45633</v>
      </c>
      <c r="B1897" t="s">
        <v>23</v>
      </c>
      <c r="C1897" t="s">
        <v>14</v>
      </c>
      <c r="D1897" t="s">
        <v>12</v>
      </c>
      <c r="E1897">
        <v>6</v>
      </c>
      <c r="F1897" s="3">
        <v>5508</v>
      </c>
      <c r="G1897" s="2">
        <v>360.28</v>
      </c>
      <c r="H1897">
        <f>Master_ventas[[#This Row],[Profit]]/Master_ventas[[#This Row],[Sales]]</f>
        <v>6.5410312273057367E-2</v>
      </c>
      <c r="I1897">
        <f ca="1">Referencia_Hoy-Master_ventas[[#This Row],[Order Date]]</f>
        <v>690</v>
      </c>
      <c r="J1897" t="str">
        <f>UPPER(Master_ventas[[#This Row],[Product Name]])</f>
        <v>LAPTOP</v>
      </c>
      <c r="K1897" t="str">
        <f>UPPER(Master_ventas[[#This Row],[Category]])</f>
        <v>ELECTRONICS</v>
      </c>
      <c r="L1897">
        <f>YEAR(Master_ventas[[#This Row],[Order Date]])</f>
        <v>2024</v>
      </c>
      <c r="M1897" t="str">
        <f>CONCATENATE(LEFT(Master_ventas[[#This Row],[ProdUpper]],3),RIGHT(Master_ventas[[#This Row],[Ext-Year]],2),"-",MID(Master_ventas[[#This Row],[Category]],1,1))</f>
        <v>LAP24-E</v>
      </c>
      <c r="N1897" t="str">
        <f>MID(Master_ventas[[#This Row],[ProdUpper]],1,3)</f>
        <v>LAP</v>
      </c>
      <c r="O1897" t="str">
        <f>UPPER(IF(Master_ventas[[#This Row],[Profit]]&gt;500,"High","Std"))</f>
        <v>STD</v>
      </c>
      <c r="P1897">
        <v>1896</v>
      </c>
    </row>
    <row r="1898" spans="1:16" x14ac:dyDescent="0.3">
      <c r="A1898" s="1">
        <v>45083</v>
      </c>
      <c r="B1898" t="s">
        <v>21</v>
      </c>
      <c r="C1898" t="s">
        <v>14</v>
      </c>
      <c r="D1898" t="s">
        <v>9</v>
      </c>
      <c r="E1898">
        <v>1</v>
      </c>
      <c r="F1898" s="3">
        <v>258</v>
      </c>
      <c r="G1898" s="2">
        <v>27.01</v>
      </c>
      <c r="H1898">
        <f>Master_ventas[[#This Row],[Profit]]/Master_ventas[[#This Row],[Sales]]</f>
        <v>0.10468992248062016</v>
      </c>
      <c r="I1898">
        <f ca="1">Referencia_Hoy-Master_ventas[[#This Row],[Order Date]]</f>
        <v>1240</v>
      </c>
      <c r="J1898" t="str">
        <f>UPPER(Master_ventas[[#This Row],[Product Name]])</f>
        <v>SMARTPHONE</v>
      </c>
      <c r="K1898" t="str">
        <f>UPPER(Master_ventas[[#This Row],[Category]])</f>
        <v>ELECTRONICS</v>
      </c>
      <c r="L1898">
        <f>YEAR(Master_ventas[[#This Row],[Order Date]])</f>
        <v>2023</v>
      </c>
      <c r="M1898" t="str">
        <f>CONCATENATE(LEFT(Master_ventas[[#This Row],[ProdUpper]],3),RIGHT(Master_ventas[[#This Row],[Ext-Year]],2),"-",MID(Master_ventas[[#This Row],[Category]],1,1))</f>
        <v>SMA23-E</v>
      </c>
      <c r="N1898" t="str">
        <f>MID(Master_ventas[[#This Row],[ProdUpper]],1,3)</f>
        <v>SMA</v>
      </c>
      <c r="O1898" t="str">
        <f>UPPER(IF(Master_ventas[[#This Row],[Profit]]&gt;500,"High","Std"))</f>
        <v>STD</v>
      </c>
      <c r="P1898">
        <v>1897</v>
      </c>
    </row>
    <row r="1899" spans="1:16" x14ac:dyDescent="0.3">
      <c r="A1899" s="1">
        <v>45120</v>
      </c>
      <c r="B1899" t="s">
        <v>21</v>
      </c>
      <c r="C1899" t="s">
        <v>14</v>
      </c>
      <c r="D1899" t="s">
        <v>12</v>
      </c>
      <c r="E1899">
        <v>1</v>
      </c>
      <c r="F1899" s="3">
        <v>677</v>
      </c>
      <c r="G1899" s="2">
        <v>88.41</v>
      </c>
      <c r="H1899">
        <f>Master_ventas[[#This Row],[Profit]]/Master_ventas[[#This Row],[Sales]]</f>
        <v>0.13059084194977844</v>
      </c>
      <c r="I1899">
        <f ca="1">Referencia_Hoy-Master_ventas[[#This Row],[Order Date]]</f>
        <v>1203</v>
      </c>
      <c r="J1899" t="str">
        <f>UPPER(Master_ventas[[#This Row],[Product Name]])</f>
        <v>SMARTPHONE</v>
      </c>
      <c r="K1899" t="str">
        <f>UPPER(Master_ventas[[#This Row],[Category]])</f>
        <v>ELECTRONICS</v>
      </c>
      <c r="L1899">
        <f>YEAR(Master_ventas[[#This Row],[Order Date]])</f>
        <v>2023</v>
      </c>
      <c r="M1899" t="str">
        <f>CONCATENATE(LEFT(Master_ventas[[#This Row],[ProdUpper]],3),RIGHT(Master_ventas[[#This Row],[Ext-Year]],2),"-",MID(Master_ventas[[#This Row],[Category]],1,1))</f>
        <v>SMA23-E</v>
      </c>
      <c r="N1899" t="str">
        <f>MID(Master_ventas[[#This Row],[ProdUpper]],1,3)</f>
        <v>SMA</v>
      </c>
      <c r="O1899" t="str">
        <f>UPPER(IF(Master_ventas[[#This Row],[Profit]]&gt;500,"High","Std"))</f>
        <v>STD</v>
      </c>
      <c r="P1899">
        <v>1898</v>
      </c>
    </row>
    <row r="1900" spans="1:16" x14ac:dyDescent="0.3">
      <c r="A1900" s="1">
        <v>45117</v>
      </c>
      <c r="B1900" t="s">
        <v>20</v>
      </c>
      <c r="C1900" t="s">
        <v>11</v>
      </c>
      <c r="D1900" t="s">
        <v>16</v>
      </c>
      <c r="E1900">
        <v>5</v>
      </c>
      <c r="F1900" s="3">
        <v>4545</v>
      </c>
      <c r="G1900" s="2">
        <v>755.05</v>
      </c>
      <c r="H1900">
        <f>Master_ventas[[#This Row],[Profit]]/Master_ventas[[#This Row],[Sales]]</f>
        <v>0.16612761276127611</v>
      </c>
      <c r="I1900">
        <f ca="1">Referencia_Hoy-Master_ventas[[#This Row],[Order Date]]</f>
        <v>1206</v>
      </c>
      <c r="J1900" t="str">
        <f>UPPER(Master_ventas[[#This Row],[Product Name]])</f>
        <v>MONITOR</v>
      </c>
      <c r="K1900" t="str">
        <f>UPPER(Master_ventas[[#This Row],[Category]])</f>
        <v>ACCESSORIES</v>
      </c>
      <c r="L1900">
        <f>YEAR(Master_ventas[[#This Row],[Order Date]])</f>
        <v>2023</v>
      </c>
      <c r="M1900" t="str">
        <f>CONCATENATE(LEFT(Master_ventas[[#This Row],[ProdUpper]],3),RIGHT(Master_ventas[[#This Row],[Ext-Year]],2),"-",MID(Master_ventas[[#This Row],[Category]],1,1))</f>
        <v>MON23-A</v>
      </c>
      <c r="N1900" t="str">
        <f>MID(Master_ventas[[#This Row],[ProdUpper]],1,3)</f>
        <v>MON</v>
      </c>
      <c r="O1900" t="str">
        <f>UPPER(IF(Master_ventas[[#This Row],[Profit]]&gt;500,"High","Std"))</f>
        <v>HIGH</v>
      </c>
      <c r="P1900">
        <v>1899</v>
      </c>
    </row>
    <row r="1901" spans="1:16" x14ac:dyDescent="0.3">
      <c r="A1901" s="1">
        <v>45544</v>
      </c>
      <c r="B1901" t="s">
        <v>21</v>
      </c>
      <c r="C1901" t="s">
        <v>14</v>
      </c>
      <c r="D1901" t="s">
        <v>15</v>
      </c>
      <c r="E1901">
        <v>5</v>
      </c>
      <c r="F1901" s="3">
        <v>4370</v>
      </c>
      <c r="G1901" s="2">
        <v>1255.3599999999999</v>
      </c>
      <c r="H1901">
        <f>Master_ventas[[#This Row],[Profit]]/Master_ventas[[#This Row],[Sales]]</f>
        <v>0.28726773455377574</v>
      </c>
      <c r="I1901">
        <f ca="1">Referencia_Hoy-Master_ventas[[#This Row],[Order Date]]</f>
        <v>779</v>
      </c>
      <c r="J1901" t="str">
        <f>UPPER(Master_ventas[[#This Row],[Product Name]])</f>
        <v>SMARTPHONE</v>
      </c>
      <c r="K1901" t="str">
        <f>UPPER(Master_ventas[[#This Row],[Category]])</f>
        <v>ELECTRONICS</v>
      </c>
      <c r="L1901">
        <f>YEAR(Master_ventas[[#This Row],[Order Date]])</f>
        <v>2024</v>
      </c>
      <c r="M1901" t="str">
        <f>CONCATENATE(LEFT(Master_ventas[[#This Row],[ProdUpper]],3),RIGHT(Master_ventas[[#This Row],[Ext-Year]],2),"-",MID(Master_ventas[[#This Row],[Category]],1,1))</f>
        <v>SMA24-E</v>
      </c>
      <c r="N1901" t="str">
        <f>MID(Master_ventas[[#This Row],[ProdUpper]],1,3)</f>
        <v>SMA</v>
      </c>
      <c r="O1901" t="str">
        <f>UPPER(IF(Master_ventas[[#This Row],[Profit]]&gt;500,"High","Std"))</f>
        <v>HIGH</v>
      </c>
      <c r="P1901">
        <v>1900</v>
      </c>
    </row>
    <row r="1902" spans="1:16" x14ac:dyDescent="0.3">
      <c r="A1902" s="1">
        <v>44932</v>
      </c>
      <c r="B1902" t="s">
        <v>22</v>
      </c>
      <c r="C1902" t="s">
        <v>11</v>
      </c>
      <c r="D1902" t="s">
        <v>12</v>
      </c>
      <c r="E1902">
        <v>3</v>
      </c>
      <c r="F1902" s="3">
        <v>372</v>
      </c>
      <c r="G1902" s="2">
        <v>57.51</v>
      </c>
      <c r="H1902">
        <f>Master_ventas[[#This Row],[Profit]]/Master_ventas[[#This Row],[Sales]]</f>
        <v>0.15459677419354839</v>
      </c>
      <c r="I1902">
        <f ca="1">Referencia_Hoy-Master_ventas[[#This Row],[Order Date]]</f>
        <v>1391</v>
      </c>
      <c r="J1902" t="str">
        <f>UPPER(Master_ventas[[#This Row],[Product Name]])</f>
        <v>KEYBOARD</v>
      </c>
      <c r="K1902" t="str">
        <f>UPPER(Master_ventas[[#This Row],[Category]])</f>
        <v>ACCESSORIES</v>
      </c>
      <c r="L1902">
        <f>YEAR(Master_ventas[[#This Row],[Order Date]])</f>
        <v>2023</v>
      </c>
      <c r="M1902" t="str">
        <f>CONCATENATE(LEFT(Master_ventas[[#This Row],[ProdUpper]],3),RIGHT(Master_ventas[[#This Row],[Ext-Year]],2),"-",MID(Master_ventas[[#This Row],[Category]],1,1))</f>
        <v>KEY23-A</v>
      </c>
      <c r="N1902" t="str">
        <f>MID(Master_ventas[[#This Row],[ProdUpper]],1,3)</f>
        <v>KEY</v>
      </c>
      <c r="O1902" t="str">
        <f>UPPER(IF(Master_ventas[[#This Row],[Profit]]&gt;500,"High","Std"))</f>
        <v>STD</v>
      </c>
      <c r="P1902">
        <v>1901</v>
      </c>
    </row>
    <row r="1903" spans="1:16" x14ac:dyDescent="0.3">
      <c r="A1903" s="1">
        <v>45540</v>
      </c>
      <c r="B1903" t="s">
        <v>17</v>
      </c>
      <c r="C1903" t="s">
        <v>14</v>
      </c>
      <c r="D1903" t="s">
        <v>16</v>
      </c>
      <c r="E1903">
        <v>9</v>
      </c>
      <c r="F1903" s="3">
        <v>3177</v>
      </c>
      <c r="G1903" s="2">
        <v>629.96</v>
      </c>
      <c r="H1903">
        <f>Master_ventas[[#This Row],[Profit]]/Master_ventas[[#This Row],[Sales]]</f>
        <v>0.19828769279194208</v>
      </c>
      <c r="I1903">
        <f ca="1">Referencia_Hoy-Master_ventas[[#This Row],[Order Date]]</f>
        <v>783</v>
      </c>
      <c r="J1903" t="str">
        <f>UPPER(Master_ventas[[#This Row],[Product Name]])</f>
        <v>CAMERA</v>
      </c>
      <c r="K1903" t="str">
        <f>UPPER(Master_ventas[[#This Row],[Category]])</f>
        <v>ELECTRONICS</v>
      </c>
      <c r="L1903">
        <f>YEAR(Master_ventas[[#This Row],[Order Date]])</f>
        <v>2024</v>
      </c>
      <c r="M1903" t="str">
        <f>CONCATENATE(LEFT(Master_ventas[[#This Row],[ProdUpper]],3),RIGHT(Master_ventas[[#This Row],[Ext-Year]],2),"-",MID(Master_ventas[[#This Row],[Category]],1,1))</f>
        <v>CAM24-E</v>
      </c>
      <c r="N1903" t="str">
        <f>MID(Master_ventas[[#This Row],[ProdUpper]],1,3)</f>
        <v>CAM</v>
      </c>
      <c r="O1903" t="str">
        <f>UPPER(IF(Master_ventas[[#This Row],[Profit]]&gt;500,"High","Std"))</f>
        <v>HIGH</v>
      </c>
      <c r="P1903">
        <v>1902</v>
      </c>
    </row>
    <row r="1904" spans="1:16" x14ac:dyDescent="0.3">
      <c r="A1904" s="1">
        <v>45035</v>
      </c>
      <c r="B1904" t="s">
        <v>7</v>
      </c>
      <c r="C1904" t="s">
        <v>8</v>
      </c>
      <c r="D1904" t="s">
        <v>15</v>
      </c>
      <c r="E1904">
        <v>7</v>
      </c>
      <c r="F1904" s="3">
        <v>1659</v>
      </c>
      <c r="G1904" s="2">
        <v>127.48</v>
      </c>
      <c r="H1904">
        <f>Master_ventas[[#This Row],[Profit]]/Master_ventas[[#This Row],[Sales]]</f>
        <v>7.6841470765521405E-2</v>
      </c>
      <c r="I1904">
        <f ca="1">Referencia_Hoy-Master_ventas[[#This Row],[Order Date]]</f>
        <v>1288</v>
      </c>
      <c r="J1904" t="str">
        <f>UPPER(Master_ventas[[#This Row],[Product Name]])</f>
        <v>PRINTER</v>
      </c>
      <c r="K1904" t="str">
        <f>UPPER(Master_ventas[[#This Row],[Category]])</f>
        <v>OFFICE</v>
      </c>
      <c r="L1904">
        <f>YEAR(Master_ventas[[#This Row],[Order Date]])</f>
        <v>2023</v>
      </c>
      <c r="M1904" t="str">
        <f>CONCATENATE(LEFT(Master_ventas[[#This Row],[ProdUpper]],3),RIGHT(Master_ventas[[#This Row],[Ext-Year]],2),"-",MID(Master_ventas[[#This Row],[Category]],1,1))</f>
        <v>PRI23-O</v>
      </c>
      <c r="N1904" t="str">
        <f>MID(Master_ventas[[#This Row],[ProdUpper]],1,3)</f>
        <v>PRI</v>
      </c>
      <c r="O1904" t="str">
        <f>UPPER(IF(Master_ventas[[#This Row],[Profit]]&gt;500,"High","Std"))</f>
        <v>STD</v>
      </c>
      <c r="P1904">
        <v>1903</v>
      </c>
    </row>
    <row r="1905" spans="1:16" x14ac:dyDescent="0.3">
      <c r="A1905" s="1">
        <v>45036</v>
      </c>
      <c r="B1905" t="s">
        <v>13</v>
      </c>
      <c r="C1905" t="s">
        <v>14</v>
      </c>
      <c r="D1905" t="s">
        <v>15</v>
      </c>
      <c r="E1905">
        <v>3</v>
      </c>
      <c r="F1905" s="3">
        <v>3360</v>
      </c>
      <c r="G1905" s="2">
        <v>759.31</v>
      </c>
      <c r="H1905">
        <f>Master_ventas[[#This Row],[Profit]]/Master_ventas[[#This Row],[Sales]]</f>
        <v>0.22598511904761903</v>
      </c>
      <c r="I1905">
        <f ca="1">Referencia_Hoy-Master_ventas[[#This Row],[Order Date]]</f>
        <v>1287</v>
      </c>
      <c r="J1905" t="str">
        <f>UPPER(Master_ventas[[#This Row],[Product Name]])</f>
        <v>TABLET</v>
      </c>
      <c r="K1905" t="str">
        <f>UPPER(Master_ventas[[#This Row],[Category]])</f>
        <v>ELECTRONICS</v>
      </c>
      <c r="L1905">
        <f>YEAR(Master_ventas[[#This Row],[Order Date]])</f>
        <v>2023</v>
      </c>
      <c r="M1905" t="str">
        <f>CONCATENATE(LEFT(Master_ventas[[#This Row],[ProdUpper]],3),RIGHT(Master_ventas[[#This Row],[Ext-Year]],2),"-",MID(Master_ventas[[#This Row],[Category]],1,1))</f>
        <v>TAB23-E</v>
      </c>
      <c r="N1905" t="str">
        <f>MID(Master_ventas[[#This Row],[ProdUpper]],1,3)</f>
        <v>TAB</v>
      </c>
      <c r="O1905" t="str">
        <f>UPPER(IF(Master_ventas[[#This Row],[Profit]]&gt;500,"High","Std"))</f>
        <v>HIGH</v>
      </c>
      <c r="P1905">
        <v>1904</v>
      </c>
    </row>
    <row r="1906" spans="1:16" x14ac:dyDescent="0.3">
      <c r="A1906" s="1">
        <v>44987</v>
      </c>
      <c r="B1906" t="s">
        <v>21</v>
      </c>
      <c r="C1906" t="s">
        <v>14</v>
      </c>
      <c r="D1906" t="s">
        <v>16</v>
      </c>
      <c r="E1906">
        <v>2</v>
      </c>
      <c r="F1906" s="3">
        <v>1132</v>
      </c>
      <c r="G1906" s="2">
        <v>290.56</v>
      </c>
      <c r="H1906">
        <f>Master_ventas[[#This Row],[Profit]]/Master_ventas[[#This Row],[Sales]]</f>
        <v>0.25667844522968197</v>
      </c>
      <c r="I1906">
        <f ca="1">Referencia_Hoy-Master_ventas[[#This Row],[Order Date]]</f>
        <v>1336</v>
      </c>
      <c r="J1906" t="str">
        <f>UPPER(Master_ventas[[#This Row],[Product Name]])</f>
        <v>SMARTPHONE</v>
      </c>
      <c r="K1906" t="str">
        <f>UPPER(Master_ventas[[#This Row],[Category]])</f>
        <v>ELECTRONICS</v>
      </c>
      <c r="L1906">
        <f>YEAR(Master_ventas[[#This Row],[Order Date]])</f>
        <v>2023</v>
      </c>
      <c r="M1906" t="str">
        <f>CONCATENATE(LEFT(Master_ventas[[#This Row],[ProdUpper]],3),RIGHT(Master_ventas[[#This Row],[Ext-Year]],2),"-",MID(Master_ventas[[#This Row],[Category]],1,1))</f>
        <v>SMA23-E</v>
      </c>
      <c r="N1906" t="str">
        <f>MID(Master_ventas[[#This Row],[ProdUpper]],1,3)</f>
        <v>SMA</v>
      </c>
      <c r="O1906" t="str">
        <f>UPPER(IF(Master_ventas[[#This Row],[Profit]]&gt;500,"High","Std"))</f>
        <v>STD</v>
      </c>
      <c r="P1906">
        <v>1905</v>
      </c>
    </row>
    <row r="1907" spans="1:16" x14ac:dyDescent="0.3">
      <c r="A1907" s="1">
        <v>45570</v>
      </c>
      <c r="B1907" t="s">
        <v>19</v>
      </c>
      <c r="C1907" t="s">
        <v>14</v>
      </c>
      <c r="D1907" t="s">
        <v>12</v>
      </c>
      <c r="E1907">
        <v>5</v>
      </c>
      <c r="F1907" s="3">
        <v>1815</v>
      </c>
      <c r="G1907" s="2">
        <v>468.62</v>
      </c>
      <c r="H1907">
        <f>Master_ventas[[#This Row],[Profit]]/Master_ventas[[#This Row],[Sales]]</f>
        <v>0.25819283746556476</v>
      </c>
      <c r="I1907">
        <f ca="1">Referencia_Hoy-Master_ventas[[#This Row],[Order Date]]</f>
        <v>753</v>
      </c>
      <c r="J1907" t="str">
        <f>UPPER(Master_ventas[[#This Row],[Product Name]])</f>
        <v>SMARTWATCH</v>
      </c>
      <c r="K1907" t="str">
        <f>UPPER(Master_ventas[[#This Row],[Category]])</f>
        <v>ELECTRONICS</v>
      </c>
      <c r="L1907">
        <f>YEAR(Master_ventas[[#This Row],[Order Date]])</f>
        <v>2024</v>
      </c>
      <c r="M1907" t="str">
        <f>CONCATENATE(LEFT(Master_ventas[[#This Row],[ProdUpper]],3),RIGHT(Master_ventas[[#This Row],[Ext-Year]],2),"-",MID(Master_ventas[[#This Row],[Category]],1,1))</f>
        <v>SMA24-E</v>
      </c>
      <c r="N1907" t="str">
        <f>MID(Master_ventas[[#This Row],[ProdUpper]],1,3)</f>
        <v>SMA</v>
      </c>
      <c r="O1907" t="str">
        <f>UPPER(IF(Master_ventas[[#This Row],[Profit]]&gt;500,"High","Std"))</f>
        <v>STD</v>
      </c>
      <c r="P1907">
        <v>1906</v>
      </c>
    </row>
    <row r="1908" spans="1:16" x14ac:dyDescent="0.3">
      <c r="A1908" s="1">
        <v>45241</v>
      </c>
      <c r="B1908" t="s">
        <v>10</v>
      </c>
      <c r="C1908" t="s">
        <v>11</v>
      </c>
      <c r="D1908" t="s">
        <v>9</v>
      </c>
      <c r="E1908">
        <v>1</v>
      </c>
      <c r="F1908" s="3">
        <v>459</v>
      </c>
      <c r="G1908" s="2">
        <v>125.19</v>
      </c>
      <c r="H1908">
        <f>Master_ventas[[#This Row],[Profit]]/Master_ventas[[#This Row],[Sales]]</f>
        <v>0.27274509803921571</v>
      </c>
      <c r="I1908">
        <f ca="1">Referencia_Hoy-Master_ventas[[#This Row],[Order Date]]</f>
        <v>1082</v>
      </c>
      <c r="J1908" t="str">
        <f>UPPER(Master_ventas[[#This Row],[Product Name]])</f>
        <v>MOUSE</v>
      </c>
      <c r="K1908" t="str">
        <f>UPPER(Master_ventas[[#This Row],[Category]])</f>
        <v>ACCESSORIES</v>
      </c>
      <c r="L1908">
        <f>YEAR(Master_ventas[[#This Row],[Order Date]])</f>
        <v>2023</v>
      </c>
      <c r="M1908" t="str">
        <f>CONCATENATE(LEFT(Master_ventas[[#This Row],[ProdUpper]],3),RIGHT(Master_ventas[[#This Row],[Ext-Year]],2),"-",MID(Master_ventas[[#This Row],[Category]],1,1))</f>
        <v>MOU23-A</v>
      </c>
      <c r="N1908" t="str">
        <f>MID(Master_ventas[[#This Row],[ProdUpper]],1,3)</f>
        <v>MOU</v>
      </c>
      <c r="O1908" t="str">
        <f>UPPER(IF(Master_ventas[[#This Row],[Profit]]&gt;500,"High","Std"))</f>
        <v>STD</v>
      </c>
      <c r="P1908">
        <v>1907</v>
      </c>
    </row>
    <row r="1909" spans="1:16" x14ac:dyDescent="0.3">
      <c r="A1909" s="1">
        <v>45245</v>
      </c>
      <c r="B1909" t="s">
        <v>21</v>
      </c>
      <c r="C1909" t="s">
        <v>14</v>
      </c>
      <c r="D1909" t="s">
        <v>16</v>
      </c>
      <c r="E1909">
        <v>1</v>
      </c>
      <c r="F1909" s="3">
        <v>1128</v>
      </c>
      <c r="G1909" s="2">
        <v>73.739999999999995</v>
      </c>
      <c r="H1909">
        <f>Master_ventas[[#This Row],[Profit]]/Master_ventas[[#This Row],[Sales]]</f>
        <v>6.5372340425531916E-2</v>
      </c>
      <c r="I1909">
        <f ca="1">Referencia_Hoy-Master_ventas[[#This Row],[Order Date]]</f>
        <v>1078</v>
      </c>
      <c r="J1909" t="str">
        <f>UPPER(Master_ventas[[#This Row],[Product Name]])</f>
        <v>SMARTPHONE</v>
      </c>
      <c r="K1909" t="str">
        <f>UPPER(Master_ventas[[#This Row],[Category]])</f>
        <v>ELECTRONICS</v>
      </c>
      <c r="L1909">
        <f>YEAR(Master_ventas[[#This Row],[Order Date]])</f>
        <v>2023</v>
      </c>
      <c r="M1909" t="str">
        <f>CONCATENATE(LEFT(Master_ventas[[#This Row],[ProdUpper]],3),RIGHT(Master_ventas[[#This Row],[Ext-Year]],2),"-",MID(Master_ventas[[#This Row],[Category]],1,1))</f>
        <v>SMA23-E</v>
      </c>
      <c r="N1909" t="str">
        <f>MID(Master_ventas[[#This Row],[ProdUpper]],1,3)</f>
        <v>SMA</v>
      </c>
      <c r="O1909" t="str">
        <f>UPPER(IF(Master_ventas[[#This Row],[Profit]]&gt;500,"High","Std"))</f>
        <v>STD</v>
      </c>
      <c r="P1909">
        <v>1908</v>
      </c>
    </row>
    <row r="1910" spans="1:16" x14ac:dyDescent="0.3">
      <c r="A1910" s="1">
        <v>45595</v>
      </c>
      <c r="B1910" t="s">
        <v>20</v>
      </c>
      <c r="C1910" t="s">
        <v>11</v>
      </c>
      <c r="D1910" t="s">
        <v>12</v>
      </c>
      <c r="E1910">
        <v>6</v>
      </c>
      <c r="F1910" s="3">
        <v>1170</v>
      </c>
      <c r="G1910" s="2">
        <v>104.63</v>
      </c>
      <c r="H1910">
        <f>Master_ventas[[#This Row],[Profit]]/Master_ventas[[#This Row],[Sales]]</f>
        <v>8.9427350427350422E-2</v>
      </c>
      <c r="I1910">
        <f ca="1">Referencia_Hoy-Master_ventas[[#This Row],[Order Date]]</f>
        <v>728</v>
      </c>
      <c r="J1910" t="str">
        <f>UPPER(Master_ventas[[#This Row],[Product Name]])</f>
        <v>MONITOR</v>
      </c>
      <c r="K1910" t="str">
        <f>UPPER(Master_ventas[[#This Row],[Category]])</f>
        <v>ACCESSORIES</v>
      </c>
      <c r="L1910">
        <f>YEAR(Master_ventas[[#This Row],[Order Date]])</f>
        <v>2024</v>
      </c>
      <c r="M1910" t="str">
        <f>CONCATENATE(LEFT(Master_ventas[[#This Row],[ProdUpper]],3),RIGHT(Master_ventas[[#This Row],[Ext-Year]],2),"-",MID(Master_ventas[[#This Row],[Category]],1,1))</f>
        <v>MON24-A</v>
      </c>
      <c r="N1910" t="str">
        <f>MID(Master_ventas[[#This Row],[ProdUpper]],1,3)</f>
        <v>MON</v>
      </c>
      <c r="O1910" t="str">
        <f>UPPER(IF(Master_ventas[[#This Row],[Profit]]&gt;500,"High","Std"))</f>
        <v>STD</v>
      </c>
      <c r="P1910">
        <v>1909</v>
      </c>
    </row>
    <row r="1911" spans="1:16" x14ac:dyDescent="0.3">
      <c r="A1911" s="1">
        <v>44774</v>
      </c>
      <c r="B1911" t="s">
        <v>19</v>
      </c>
      <c r="C1911" t="s">
        <v>14</v>
      </c>
      <c r="D1911" t="s">
        <v>9</v>
      </c>
      <c r="E1911">
        <v>5</v>
      </c>
      <c r="F1911" s="3">
        <v>4420</v>
      </c>
      <c r="G1911" s="2">
        <v>380.69</v>
      </c>
      <c r="H1911">
        <f>Master_ventas[[#This Row],[Profit]]/Master_ventas[[#This Row],[Sales]]</f>
        <v>8.6128959276018102E-2</v>
      </c>
      <c r="I1911">
        <f ca="1">Referencia_Hoy-Master_ventas[[#This Row],[Order Date]]</f>
        <v>1549</v>
      </c>
      <c r="J1911" t="str">
        <f>UPPER(Master_ventas[[#This Row],[Product Name]])</f>
        <v>SMARTWATCH</v>
      </c>
      <c r="K1911" t="str">
        <f>UPPER(Master_ventas[[#This Row],[Category]])</f>
        <v>ELECTRONICS</v>
      </c>
      <c r="L1911">
        <f>YEAR(Master_ventas[[#This Row],[Order Date]])</f>
        <v>2022</v>
      </c>
      <c r="M1911" t="str">
        <f>CONCATENATE(LEFT(Master_ventas[[#This Row],[ProdUpper]],3),RIGHT(Master_ventas[[#This Row],[Ext-Year]],2),"-",MID(Master_ventas[[#This Row],[Category]],1,1))</f>
        <v>SMA22-E</v>
      </c>
      <c r="N1911" t="str">
        <f>MID(Master_ventas[[#This Row],[ProdUpper]],1,3)</f>
        <v>SMA</v>
      </c>
      <c r="O1911" t="str">
        <f>UPPER(IF(Master_ventas[[#This Row],[Profit]]&gt;500,"High","Std"))</f>
        <v>STD</v>
      </c>
      <c r="P1911">
        <v>1910</v>
      </c>
    </row>
    <row r="1912" spans="1:16" x14ac:dyDescent="0.3">
      <c r="A1912" s="1">
        <v>45351</v>
      </c>
      <c r="B1912" t="s">
        <v>21</v>
      </c>
      <c r="C1912" t="s">
        <v>14</v>
      </c>
      <c r="D1912" t="s">
        <v>16</v>
      </c>
      <c r="E1912">
        <v>6</v>
      </c>
      <c r="F1912" s="3">
        <v>456</v>
      </c>
      <c r="G1912" s="2">
        <v>69.150000000000006</v>
      </c>
      <c r="H1912">
        <f>Master_ventas[[#This Row],[Profit]]/Master_ventas[[#This Row],[Sales]]</f>
        <v>0.15164473684210528</v>
      </c>
      <c r="I1912">
        <f ca="1">Referencia_Hoy-Master_ventas[[#This Row],[Order Date]]</f>
        <v>972</v>
      </c>
      <c r="J1912" t="str">
        <f>UPPER(Master_ventas[[#This Row],[Product Name]])</f>
        <v>SMARTPHONE</v>
      </c>
      <c r="K1912" t="str">
        <f>UPPER(Master_ventas[[#This Row],[Category]])</f>
        <v>ELECTRONICS</v>
      </c>
      <c r="L1912">
        <f>YEAR(Master_ventas[[#This Row],[Order Date]])</f>
        <v>2024</v>
      </c>
      <c r="M1912" t="str">
        <f>CONCATENATE(LEFT(Master_ventas[[#This Row],[ProdUpper]],3),RIGHT(Master_ventas[[#This Row],[Ext-Year]],2),"-",MID(Master_ventas[[#This Row],[Category]],1,1))</f>
        <v>SMA24-E</v>
      </c>
      <c r="N1912" t="str">
        <f>MID(Master_ventas[[#This Row],[ProdUpper]],1,3)</f>
        <v>SMA</v>
      </c>
      <c r="O1912" t="str">
        <f>UPPER(IF(Master_ventas[[#This Row],[Profit]]&gt;500,"High","Std"))</f>
        <v>STD</v>
      </c>
      <c r="P1912">
        <v>1911</v>
      </c>
    </row>
    <row r="1913" spans="1:16" x14ac:dyDescent="0.3">
      <c r="A1913" s="1">
        <v>45347</v>
      </c>
      <c r="B1913" t="s">
        <v>13</v>
      </c>
      <c r="C1913" t="s">
        <v>14</v>
      </c>
      <c r="D1913" t="s">
        <v>9</v>
      </c>
      <c r="E1913">
        <v>2</v>
      </c>
      <c r="F1913" s="3">
        <v>1458</v>
      </c>
      <c r="G1913" s="2">
        <v>154.79</v>
      </c>
      <c r="H1913">
        <f>Master_ventas[[#This Row],[Profit]]/Master_ventas[[#This Row],[Sales]]</f>
        <v>0.10616598079561042</v>
      </c>
      <c r="I1913">
        <f ca="1">Referencia_Hoy-Master_ventas[[#This Row],[Order Date]]</f>
        <v>976</v>
      </c>
      <c r="J1913" t="str">
        <f>UPPER(Master_ventas[[#This Row],[Product Name]])</f>
        <v>TABLET</v>
      </c>
      <c r="K1913" t="str">
        <f>UPPER(Master_ventas[[#This Row],[Category]])</f>
        <v>ELECTRONICS</v>
      </c>
      <c r="L1913">
        <f>YEAR(Master_ventas[[#This Row],[Order Date]])</f>
        <v>2024</v>
      </c>
      <c r="M1913" t="str">
        <f>CONCATENATE(LEFT(Master_ventas[[#This Row],[ProdUpper]],3),RIGHT(Master_ventas[[#This Row],[Ext-Year]],2),"-",MID(Master_ventas[[#This Row],[Category]],1,1))</f>
        <v>TAB24-E</v>
      </c>
      <c r="N1913" t="str">
        <f>MID(Master_ventas[[#This Row],[ProdUpper]],1,3)</f>
        <v>TAB</v>
      </c>
      <c r="O1913" t="str">
        <f>UPPER(IF(Master_ventas[[#This Row],[Profit]]&gt;500,"High","Std"))</f>
        <v>STD</v>
      </c>
      <c r="P1913">
        <v>1912</v>
      </c>
    </row>
    <row r="1914" spans="1:16" x14ac:dyDescent="0.3">
      <c r="A1914" s="1">
        <v>45467</v>
      </c>
      <c r="B1914" t="s">
        <v>20</v>
      </c>
      <c r="C1914" t="s">
        <v>11</v>
      </c>
      <c r="D1914" t="s">
        <v>16</v>
      </c>
      <c r="E1914">
        <v>7</v>
      </c>
      <c r="F1914" s="3">
        <v>2989</v>
      </c>
      <c r="G1914" s="2">
        <v>197.58</v>
      </c>
      <c r="H1914">
        <f>Master_ventas[[#This Row],[Profit]]/Master_ventas[[#This Row],[Sales]]</f>
        <v>6.6102375376380071E-2</v>
      </c>
      <c r="I1914">
        <f ca="1">Referencia_Hoy-Master_ventas[[#This Row],[Order Date]]</f>
        <v>856</v>
      </c>
      <c r="J1914" t="str">
        <f>UPPER(Master_ventas[[#This Row],[Product Name]])</f>
        <v>MONITOR</v>
      </c>
      <c r="K1914" t="str">
        <f>UPPER(Master_ventas[[#This Row],[Category]])</f>
        <v>ACCESSORIES</v>
      </c>
      <c r="L1914">
        <f>YEAR(Master_ventas[[#This Row],[Order Date]])</f>
        <v>2024</v>
      </c>
      <c r="M1914" t="str">
        <f>CONCATENATE(LEFT(Master_ventas[[#This Row],[ProdUpper]],3),RIGHT(Master_ventas[[#This Row],[Ext-Year]],2),"-",MID(Master_ventas[[#This Row],[Category]],1,1))</f>
        <v>MON24-A</v>
      </c>
      <c r="N1914" t="str">
        <f>MID(Master_ventas[[#This Row],[ProdUpper]],1,3)</f>
        <v>MON</v>
      </c>
      <c r="O1914" t="str">
        <f>UPPER(IF(Master_ventas[[#This Row],[Profit]]&gt;500,"High","Std"))</f>
        <v>STD</v>
      </c>
      <c r="P1914">
        <v>1913</v>
      </c>
    </row>
    <row r="1915" spans="1:16" x14ac:dyDescent="0.3">
      <c r="A1915" s="1">
        <v>45646</v>
      </c>
      <c r="B1915" t="s">
        <v>17</v>
      </c>
      <c r="C1915" t="s">
        <v>14</v>
      </c>
      <c r="D1915" t="s">
        <v>9</v>
      </c>
      <c r="E1915">
        <v>4</v>
      </c>
      <c r="F1915" s="3">
        <v>3424</v>
      </c>
      <c r="G1915" s="2">
        <v>845.68</v>
      </c>
      <c r="H1915">
        <f>Master_ventas[[#This Row],[Profit]]/Master_ventas[[#This Row],[Sales]]</f>
        <v>0.24698598130841121</v>
      </c>
      <c r="I1915">
        <f ca="1">Referencia_Hoy-Master_ventas[[#This Row],[Order Date]]</f>
        <v>677</v>
      </c>
      <c r="J1915" t="str">
        <f>UPPER(Master_ventas[[#This Row],[Product Name]])</f>
        <v>CAMERA</v>
      </c>
      <c r="K1915" t="str">
        <f>UPPER(Master_ventas[[#This Row],[Category]])</f>
        <v>ELECTRONICS</v>
      </c>
      <c r="L1915">
        <f>YEAR(Master_ventas[[#This Row],[Order Date]])</f>
        <v>2024</v>
      </c>
      <c r="M1915" t="str">
        <f>CONCATENATE(LEFT(Master_ventas[[#This Row],[ProdUpper]],3),RIGHT(Master_ventas[[#This Row],[Ext-Year]],2),"-",MID(Master_ventas[[#This Row],[Category]],1,1))</f>
        <v>CAM24-E</v>
      </c>
      <c r="N1915" t="str">
        <f>MID(Master_ventas[[#This Row],[ProdUpper]],1,3)</f>
        <v>CAM</v>
      </c>
      <c r="O1915" t="str">
        <f>UPPER(IF(Master_ventas[[#This Row],[Profit]]&gt;500,"High","Std"))</f>
        <v>HIGH</v>
      </c>
      <c r="P1915">
        <v>1914</v>
      </c>
    </row>
    <row r="1916" spans="1:16" x14ac:dyDescent="0.3">
      <c r="A1916" s="1">
        <v>45579</v>
      </c>
      <c r="B1916" t="s">
        <v>10</v>
      </c>
      <c r="C1916" t="s">
        <v>11</v>
      </c>
      <c r="D1916" t="s">
        <v>16</v>
      </c>
      <c r="E1916">
        <v>2</v>
      </c>
      <c r="F1916" s="3">
        <v>1226</v>
      </c>
      <c r="G1916" s="2">
        <v>124.25</v>
      </c>
      <c r="H1916">
        <f>Master_ventas[[#This Row],[Profit]]/Master_ventas[[#This Row],[Sales]]</f>
        <v>0.10134584013050571</v>
      </c>
      <c r="I1916">
        <f ca="1">Referencia_Hoy-Master_ventas[[#This Row],[Order Date]]</f>
        <v>744</v>
      </c>
      <c r="J1916" t="str">
        <f>UPPER(Master_ventas[[#This Row],[Product Name]])</f>
        <v>MOUSE</v>
      </c>
      <c r="K1916" t="str">
        <f>UPPER(Master_ventas[[#This Row],[Category]])</f>
        <v>ACCESSORIES</v>
      </c>
      <c r="L1916">
        <f>YEAR(Master_ventas[[#This Row],[Order Date]])</f>
        <v>2024</v>
      </c>
      <c r="M1916" t="str">
        <f>CONCATENATE(LEFT(Master_ventas[[#This Row],[ProdUpper]],3),RIGHT(Master_ventas[[#This Row],[Ext-Year]],2),"-",MID(Master_ventas[[#This Row],[Category]],1,1))</f>
        <v>MOU24-A</v>
      </c>
      <c r="N1916" t="str">
        <f>MID(Master_ventas[[#This Row],[ProdUpper]],1,3)</f>
        <v>MOU</v>
      </c>
      <c r="O1916" t="str">
        <f>UPPER(IF(Master_ventas[[#This Row],[Profit]]&gt;500,"High","Std"))</f>
        <v>STD</v>
      </c>
      <c r="P1916">
        <v>1915</v>
      </c>
    </row>
    <row r="1917" spans="1:16" x14ac:dyDescent="0.3">
      <c r="A1917" s="1">
        <v>45612</v>
      </c>
      <c r="B1917" t="s">
        <v>23</v>
      </c>
      <c r="C1917" t="s">
        <v>14</v>
      </c>
      <c r="D1917" t="s">
        <v>9</v>
      </c>
      <c r="E1917">
        <v>8</v>
      </c>
      <c r="F1917" s="3">
        <v>6760</v>
      </c>
      <c r="G1917" s="2">
        <v>1097.6300000000001</v>
      </c>
      <c r="H1917">
        <f>Master_ventas[[#This Row],[Profit]]/Master_ventas[[#This Row],[Sales]]</f>
        <v>0.16237130177514794</v>
      </c>
      <c r="I1917">
        <f ca="1">Referencia_Hoy-Master_ventas[[#This Row],[Order Date]]</f>
        <v>711</v>
      </c>
      <c r="J1917" t="str">
        <f>UPPER(Master_ventas[[#This Row],[Product Name]])</f>
        <v>LAPTOP</v>
      </c>
      <c r="K1917" t="str">
        <f>UPPER(Master_ventas[[#This Row],[Category]])</f>
        <v>ELECTRONICS</v>
      </c>
      <c r="L1917">
        <f>YEAR(Master_ventas[[#This Row],[Order Date]])</f>
        <v>2024</v>
      </c>
      <c r="M1917" t="str">
        <f>CONCATENATE(LEFT(Master_ventas[[#This Row],[ProdUpper]],3),RIGHT(Master_ventas[[#This Row],[Ext-Year]],2),"-",MID(Master_ventas[[#This Row],[Category]],1,1))</f>
        <v>LAP24-E</v>
      </c>
      <c r="N1917" t="str">
        <f>MID(Master_ventas[[#This Row],[ProdUpper]],1,3)</f>
        <v>LAP</v>
      </c>
      <c r="O1917" t="str">
        <f>UPPER(IF(Master_ventas[[#This Row],[Profit]]&gt;500,"High","Std"))</f>
        <v>HIGH</v>
      </c>
      <c r="P1917">
        <v>1916</v>
      </c>
    </row>
    <row r="1918" spans="1:16" x14ac:dyDescent="0.3">
      <c r="A1918" s="1">
        <v>45194</v>
      </c>
      <c r="B1918" t="s">
        <v>21</v>
      </c>
      <c r="C1918" t="s">
        <v>14</v>
      </c>
      <c r="D1918" t="s">
        <v>16</v>
      </c>
      <c r="E1918">
        <v>1</v>
      </c>
      <c r="F1918" s="3">
        <v>111</v>
      </c>
      <c r="G1918" s="2">
        <v>13.61</v>
      </c>
      <c r="H1918">
        <f>Master_ventas[[#This Row],[Profit]]/Master_ventas[[#This Row],[Sales]]</f>
        <v>0.12261261261261261</v>
      </c>
      <c r="I1918">
        <f ca="1">Referencia_Hoy-Master_ventas[[#This Row],[Order Date]]</f>
        <v>1129</v>
      </c>
      <c r="J1918" t="str">
        <f>UPPER(Master_ventas[[#This Row],[Product Name]])</f>
        <v>SMARTPHONE</v>
      </c>
      <c r="K1918" t="str">
        <f>UPPER(Master_ventas[[#This Row],[Category]])</f>
        <v>ELECTRONICS</v>
      </c>
      <c r="L1918">
        <f>YEAR(Master_ventas[[#This Row],[Order Date]])</f>
        <v>2023</v>
      </c>
      <c r="M1918" t="str">
        <f>CONCATENATE(LEFT(Master_ventas[[#This Row],[ProdUpper]],3),RIGHT(Master_ventas[[#This Row],[Ext-Year]],2),"-",MID(Master_ventas[[#This Row],[Category]],1,1))</f>
        <v>SMA23-E</v>
      </c>
      <c r="N1918" t="str">
        <f>MID(Master_ventas[[#This Row],[ProdUpper]],1,3)</f>
        <v>SMA</v>
      </c>
      <c r="O1918" t="str">
        <f>UPPER(IF(Master_ventas[[#This Row],[Profit]]&gt;500,"High","Std"))</f>
        <v>STD</v>
      </c>
      <c r="P1918">
        <v>1917</v>
      </c>
    </row>
    <row r="1919" spans="1:16" x14ac:dyDescent="0.3">
      <c r="A1919" s="1">
        <v>45086</v>
      </c>
      <c r="B1919" t="s">
        <v>7</v>
      </c>
      <c r="C1919" t="s">
        <v>8</v>
      </c>
      <c r="D1919" t="s">
        <v>9</v>
      </c>
      <c r="E1919">
        <v>5</v>
      </c>
      <c r="F1919" s="3">
        <v>3275</v>
      </c>
      <c r="G1919" s="2">
        <v>222.29</v>
      </c>
      <c r="H1919">
        <f>Master_ventas[[#This Row],[Profit]]/Master_ventas[[#This Row],[Sales]]</f>
        <v>6.7874809160305347E-2</v>
      </c>
      <c r="I1919">
        <f ca="1">Referencia_Hoy-Master_ventas[[#This Row],[Order Date]]</f>
        <v>1237</v>
      </c>
      <c r="J1919" t="str">
        <f>UPPER(Master_ventas[[#This Row],[Product Name]])</f>
        <v>PRINTER</v>
      </c>
      <c r="K1919" t="str">
        <f>UPPER(Master_ventas[[#This Row],[Category]])</f>
        <v>OFFICE</v>
      </c>
      <c r="L1919">
        <f>YEAR(Master_ventas[[#This Row],[Order Date]])</f>
        <v>2023</v>
      </c>
      <c r="M1919" t="str">
        <f>CONCATENATE(LEFT(Master_ventas[[#This Row],[ProdUpper]],3),RIGHT(Master_ventas[[#This Row],[Ext-Year]],2),"-",MID(Master_ventas[[#This Row],[Category]],1,1))</f>
        <v>PRI23-O</v>
      </c>
      <c r="N1919" t="str">
        <f>MID(Master_ventas[[#This Row],[ProdUpper]],1,3)</f>
        <v>PRI</v>
      </c>
      <c r="O1919" t="str">
        <f>UPPER(IF(Master_ventas[[#This Row],[Profit]]&gt;500,"High","Std"))</f>
        <v>STD</v>
      </c>
      <c r="P1919">
        <v>1918</v>
      </c>
    </row>
    <row r="1920" spans="1:16" x14ac:dyDescent="0.3">
      <c r="A1920" s="1">
        <v>45543</v>
      </c>
      <c r="B1920" t="s">
        <v>18</v>
      </c>
      <c r="C1920" t="s">
        <v>11</v>
      </c>
      <c r="D1920" t="s">
        <v>9</v>
      </c>
      <c r="E1920">
        <v>3</v>
      </c>
      <c r="F1920" s="3">
        <v>2508</v>
      </c>
      <c r="G1920" s="2">
        <v>498.69</v>
      </c>
      <c r="H1920">
        <f>Master_ventas[[#This Row],[Profit]]/Master_ventas[[#This Row],[Sales]]</f>
        <v>0.19883971291866029</v>
      </c>
      <c r="I1920">
        <f ca="1">Referencia_Hoy-Master_ventas[[#This Row],[Order Date]]</f>
        <v>780</v>
      </c>
      <c r="J1920" t="str">
        <f>UPPER(Master_ventas[[#This Row],[Product Name]])</f>
        <v>HEADPHONES</v>
      </c>
      <c r="K1920" t="str">
        <f>UPPER(Master_ventas[[#This Row],[Category]])</f>
        <v>ACCESSORIES</v>
      </c>
      <c r="L1920">
        <f>YEAR(Master_ventas[[#This Row],[Order Date]])</f>
        <v>2024</v>
      </c>
      <c r="M1920" t="str">
        <f>CONCATENATE(LEFT(Master_ventas[[#This Row],[ProdUpper]],3),RIGHT(Master_ventas[[#This Row],[Ext-Year]],2),"-",MID(Master_ventas[[#This Row],[Category]],1,1))</f>
        <v>HEA24-A</v>
      </c>
      <c r="N1920" t="str">
        <f>MID(Master_ventas[[#This Row],[ProdUpper]],1,3)</f>
        <v>HEA</v>
      </c>
      <c r="O1920" t="str">
        <f>UPPER(IF(Master_ventas[[#This Row],[Profit]]&gt;500,"High","Std"))</f>
        <v>STD</v>
      </c>
      <c r="P1920">
        <v>1919</v>
      </c>
    </row>
    <row r="1921" spans="1:16" x14ac:dyDescent="0.3">
      <c r="A1921" s="1">
        <v>45536</v>
      </c>
      <c r="B1921" t="s">
        <v>22</v>
      </c>
      <c r="C1921" t="s">
        <v>11</v>
      </c>
      <c r="D1921" t="s">
        <v>15</v>
      </c>
      <c r="E1921">
        <v>8</v>
      </c>
      <c r="F1921" s="3">
        <v>904</v>
      </c>
      <c r="G1921" s="2">
        <v>202.35</v>
      </c>
      <c r="H1921">
        <f>Master_ventas[[#This Row],[Profit]]/Master_ventas[[#This Row],[Sales]]</f>
        <v>0.22383849557522123</v>
      </c>
      <c r="I1921">
        <f ca="1">Referencia_Hoy-Master_ventas[[#This Row],[Order Date]]</f>
        <v>787</v>
      </c>
      <c r="J1921" t="str">
        <f>UPPER(Master_ventas[[#This Row],[Product Name]])</f>
        <v>KEYBOARD</v>
      </c>
      <c r="K1921" t="str">
        <f>UPPER(Master_ventas[[#This Row],[Category]])</f>
        <v>ACCESSORIES</v>
      </c>
      <c r="L1921">
        <f>YEAR(Master_ventas[[#This Row],[Order Date]])</f>
        <v>2024</v>
      </c>
      <c r="M1921" t="str">
        <f>CONCATENATE(LEFT(Master_ventas[[#This Row],[ProdUpper]],3),RIGHT(Master_ventas[[#This Row],[Ext-Year]],2),"-",MID(Master_ventas[[#This Row],[Category]],1,1))</f>
        <v>KEY24-A</v>
      </c>
      <c r="N1921" t="str">
        <f>MID(Master_ventas[[#This Row],[ProdUpper]],1,3)</f>
        <v>KEY</v>
      </c>
      <c r="O1921" t="str">
        <f>UPPER(IF(Master_ventas[[#This Row],[Profit]]&gt;500,"High","Std"))</f>
        <v>STD</v>
      </c>
      <c r="P1921">
        <v>1920</v>
      </c>
    </row>
    <row r="1922" spans="1:16" x14ac:dyDescent="0.3">
      <c r="A1922" s="1">
        <v>45540</v>
      </c>
      <c r="B1922" t="s">
        <v>7</v>
      </c>
      <c r="C1922" t="s">
        <v>8</v>
      </c>
      <c r="D1922" t="s">
        <v>16</v>
      </c>
      <c r="E1922">
        <v>3</v>
      </c>
      <c r="F1922" s="3">
        <v>1506</v>
      </c>
      <c r="G1922" s="2">
        <v>427.84</v>
      </c>
      <c r="H1922">
        <f>Master_ventas[[#This Row],[Profit]]/Master_ventas[[#This Row],[Sales]]</f>
        <v>0.28409030544488711</v>
      </c>
      <c r="I1922">
        <f ca="1">Referencia_Hoy-Master_ventas[[#This Row],[Order Date]]</f>
        <v>783</v>
      </c>
      <c r="J1922" t="str">
        <f>UPPER(Master_ventas[[#This Row],[Product Name]])</f>
        <v>PRINTER</v>
      </c>
      <c r="K1922" t="str">
        <f>UPPER(Master_ventas[[#This Row],[Category]])</f>
        <v>OFFICE</v>
      </c>
      <c r="L1922">
        <f>YEAR(Master_ventas[[#This Row],[Order Date]])</f>
        <v>2024</v>
      </c>
      <c r="M1922" t="str">
        <f>CONCATENATE(LEFT(Master_ventas[[#This Row],[ProdUpper]],3),RIGHT(Master_ventas[[#This Row],[Ext-Year]],2),"-",MID(Master_ventas[[#This Row],[Category]],1,1))</f>
        <v>PRI24-O</v>
      </c>
      <c r="N1922" t="str">
        <f>MID(Master_ventas[[#This Row],[ProdUpper]],1,3)</f>
        <v>PRI</v>
      </c>
      <c r="O1922" t="str">
        <f>UPPER(IF(Master_ventas[[#This Row],[Profit]]&gt;500,"High","Std"))</f>
        <v>STD</v>
      </c>
      <c r="P1922">
        <v>1921</v>
      </c>
    </row>
    <row r="1923" spans="1:16" x14ac:dyDescent="0.3">
      <c r="A1923" s="1">
        <v>44857</v>
      </c>
      <c r="B1923" t="s">
        <v>21</v>
      </c>
      <c r="C1923" t="s">
        <v>14</v>
      </c>
      <c r="D1923" t="s">
        <v>15</v>
      </c>
      <c r="E1923">
        <v>3</v>
      </c>
      <c r="F1923" s="3">
        <v>987</v>
      </c>
      <c r="G1923" s="2">
        <v>97.01</v>
      </c>
      <c r="H1923">
        <f>Master_ventas[[#This Row],[Profit]]/Master_ventas[[#This Row],[Sales]]</f>
        <v>9.828774062816617E-2</v>
      </c>
      <c r="I1923">
        <f ca="1">Referencia_Hoy-Master_ventas[[#This Row],[Order Date]]</f>
        <v>1466</v>
      </c>
      <c r="J1923" t="str">
        <f>UPPER(Master_ventas[[#This Row],[Product Name]])</f>
        <v>SMARTPHONE</v>
      </c>
      <c r="K1923" t="str">
        <f>UPPER(Master_ventas[[#This Row],[Category]])</f>
        <v>ELECTRONICS</v>
      </c>
      <c r="L1923">
        <f>YEAR(Master_ventas[[#This Row],[Order Date]])</f>
        <v>2022</v>
      </c>
      <c r="M1923" t="str">
        <f>CONCATENATE(LEFT(Master_ventas[[#This Row],[ProdUpper]],3),RIGHT(Master_ventas[[#This Row],[Ext-Year]],2),"-",MID(Master_ventas[[#This Row],[Category]],1,1))</f>
        <v>SMA22-E</v>
      </c>
      <c r="N1923" t="str">
        <f>MID(Master_ventas[[#This Row],[ProdUpper]],1,3)</f>
        <v>SMA</v>
      </c>
      <c r="O1923" t="str">
        <f>UPPER(IF(Master_ventas[[#This Row],[Profit]]&gt;500,"High","Std"))</f>
        <v>STD</v>
      </c>
      <c r="P1923">
        <v>1922</v>
      </c>
    </row>
    <row r="1924" spans="1:16" x14ac:dyDescent="0.3">
      <c r="A1924" s="1">
        <v>44590</v>
      </c>
      <c r="B1924" t="s">
        <v>21</v>
      </c>
      <c r="C1924" t="s">
        <v>14</v>
      </c>
      <c r="D1924" t="s">
        <v>12</v>
      </c>
      <c r="E1924">
        <v>7</v>
      </c>
      <c r="F1924" s="3">
        <v>2968</v>
      </c>
      <c r="G1924" s="2">
        <v>728.94</v>
      </c>
      <c r="H1924">
        <f>Master_ventas[[#This Row],[Profit]]/Master_ventas[[#This Row],[Sales]]</f>
        <v>0.24559973045822103</v>
      </c>
      <c r="I1924">
        <f ca="1">Referencia_Hoy-Master_ventas[[#This Row],[Order Date]]</f>
        <v>1733</v>
      </c>
      <c r="J1924" t="str">
        <f>UPPER(Master_ventas[[#This Row],[Product Name]])</f>
        <v>SMARTPHONE</v>
      </c>
      <c r="K1924" t="str">
        <f>UPPER(Master_ventas[[#This Row],[Category]])</f>
        <v>ELECTRONICS</v>
      </c>
      <c r="L1924">
        <f>YEAR(Master_ventas[[#This Row],[Order Date]])</f>
        <v>2022</v>
      </c>
      <c r="M1924" t="str">
        <f>CONCATENATE(LEFT(Master_ventas[[#This Row],[ProdUpper]],3),RIGHT(Master_ventas[[#This Row],[Ext-Year]],2),"-",MID(Master_ventas[[#This Row],[Category]],1,1))</f>
        <v>SMA22-E</v>
      </c>
      <c r="N1924" t="str">
        <f>MID(Master_ventas[[#This Row],[ProdUpper]],1,3)</f>
        <v>SMA</v>
      </c>
      <c r="O1924" t="str">
        <f>UPPER(IF(Master_ventas[[#This Row],[Profit]]&gt;500,"High","Std"))</f>
        <v>HIGH</v>
      </c>
      <c r="P1924">
        <v>1923</v>
      </c>
    </row>
    <row r="1925" spans="1:16" x14ac:dyDescent="0.3">
      <c r="A1925" s="1">
        <v>44637</v>
      </c>
      <c r="B1925" t="s">
        <v>10</v>
      </c>
      <c r="C1925" t="s">
        <v>11</v>
      </c>
      <c r="D1925" t="s">
        <v>15</v>
      </c>
      <c r="E1925">
        <v>5</v>
      </c>
      <c r="F1925" s="3">
        <v>4200</v>
      </c>
      <c r="G1925" s="2">
        <v>746.86</v>
      </c>
      <c r="H1925">
        <f>Master_ventas[[#This Row],[Profit]]/Master_ventas[[#This Row],[Sales]]</f>
        <v>0.17782380952380952</v>
      </c>
      <c r="I1925">
        <f ca="1">Referencia_Hoy-Master_ventas[[#This Row],[Order Date]]</f>
        <v>1686</v>
      </c>
      <c r="J1925" t="str">
        <f>UPPER(Master_ventas[[#This Row],[Product Name]])</f>
        <v>MOUSE</v>
      </c>
      <c r="K1925" t="str">
        <f>UPPER(Master_ventas[[#This Row],[Category]])</f>
        <v>ACCESSORIES</v>
      </c>
      <c r="L1925">
        <f>YEAR(Master_ventas[[#This Row],[Order Date]])</f>
        <v>2022</v>
      </c>
      <c r="M1925" t="str">
        <f>CONCATENATE(LEFT(Master_ventas[[#This Row],[ProdUpper]],3),RIGHT(Master_ventas[[#This Row],[Ext-Year]],2),"-",MID(Master_ventas[[#This Row],[Category]],1,1))</f>
        <v>MOU22-A</v>
      </c>
      <c r="N1925" t="str">
        <f>MID(Master_ventas[[#This Row],[ProdUpper]],1,3)</f>
        <v>MOU</v>
      </c>
      <c r="O1925" t="str">
        <f>UPPER(IF(Master_ventas[[#This Row],[Profit]]&gt;500,"High","Std"))</f>
        <v>HIGH</v>
      </c>
      <c r="P1925">
        <v>1924</v>
      </c>
    </row>
    <row r="1926" spans="1:16" x14ac:dyDescent="0.3">
      <c r="A1926" s="1">
        <v>45307</v>
      </c>
      <c r="B1926" t="s">
        <v>19</v>
      </c>
      <c r="C1926" t="s">
        <v>14</v>
      </c>
      <c r="D1926" t="s">
        <v>9</v>
      </c>
      <c r="E1926">
        <v>5</v>
      </c>
      <c r="F1926" s="3">
        <v>1645</v>
      </c>
      <c r="G1926" s="2">
        <v>313.66000000000003</v>
      </c>
      <c r="H1926">
        <f>Master_ventas[[#This Row],[Profit]]/Master_ventas[[#This Row],[Sales]]</f>
        <v>0.19067477203647418</v>
      </c>
      <c r="I1926">
        <f ca="1">Referencia_Hoy-Master_ventas[[#This Row],[Order Date]]</f>
        <v>1016</v>
      </c>
      <c r="J1926" t="str">
        <f>UPPER(Master_ventas[[#This Row],[Product Name]])</f>
        <v>SMARTWATCH</v>
      </c>
      <c r="K1926" t="str">
        <f>UPPER(Master_ventas[[#This Row],[Category]])</f>
        <v>ELECTRONICS</v>
      </c>
      <c r="L1926">
        <f>YEAR(Master_ventas[[#This Row],[Order Date]])</f>
        <v>2024</v>
      </c>
      <c r="M1926" t="str">
        <f>CONCATENATE(LEFT(Master_ventas[[#This Row],[ProdUpper]],3),RIGHT(Master_ventas[[#This Row],[Ext-Year]],2),"-",MID(Master_ventas[[#This Row],[Category]],1,1))</f>
        <v>SMA24-E</v>
      </c>
      <c r="N1926" t="str">
        <f>MID(Master_ventas[[#This Row],[ProdUpper]],1,3)</f>
        <v>SMA</v>
      </c>
      <c r="O1926" t="str">
        <f>UPPER(IF(Master_ventas[[#This Row],[Profit]]&gt;500,"High","Std"))</f>
        <v>STD</v>
      </c>
      <c r="P1926">
        <v>1925</v>
      </c>
    </row>
    <row r="1927" spans="1:16" x14ac:dyDescent="0.3">
      <c r="A1927" s="1">
        <v>45621</v>
      </c>
      <c r="B1927" t="s">
        <v>7</v>
      </c>
      <c r="C1927" t="s">
        <v>8</v>
      </c>
      <c r="D1927" t="s">
        <v>12</v>
      </c>
      <c r="E1927">
        <v>3</v>
      </c>
      <c r="F1927" s="3">
        <v>3282</v>
      </c>
      <c r="G1927" s="2">
        <v>492.59</v>
      </c>
      <c r="H1927">
        <f>Master_ventas[[#This Row],[Profit]]/Master_ventas[[#This Row],[Sales]]</f>
        <v>0.15008836075563681</v>
      </c>
      <c r="I1927">
        <f ca="1">Referencia_Hoy-Master_ventas[[#This Row],[Order Date]]</f>
        <v>702</v>
      </c>
      <c r="J1927" t="str">
        <f>UPPER(Master_ventas[[#This Row],[Product Name]])</f>
        <v>PRINTER</v>
      </c>
      <c r="K1927" t="str">
        <f>UPPER(Master_ventas[[#This Row],[Category]])</f>
        <v>OFFICE</v>
      </c>
      <c r="L1927">
        <f>YEAR(Master_ventas[[#This Row],[Order Date]])</f>
        <v>2024</v>
      </c>
      <c r="M1927" t="str">
        <f>CONCATENATE(LEFT(Master_ventas[[#This Row],[ProdUpper]],3),RIGHT(Master_ventas[[#This Row],[Ext-Year]],2),"-",MID(Master_ventas[[#This Row],[Category]],1,1))</f>
        <v>PRI24-O</v>
      </c>
      <c r="N1927" t="str">
        <f>MID(Master_ventas[[#This Row],[ProdUpper]],1,3)</f>
        <v>PRI</v>
      </c>
      <c r="O1927" t="str">
        <f>UPPER(IF(Master_ventas[[#This Row],[Profit]]&gt;500,"High","Std"))</f>
        <v>STD</v>
      </c>
      <c r="P1927">
        <v>1926</v>
      </c>
    </row>
    <row r="1928" spans="1:16" x14ac:dyDescent="0.3">
      <c r="A1928" s="1">
        <v>44605</v>
      </c>
      <c r="B1928" t="s">
        <v>18</v>
      </c>
      <c r="C1928" t="s">
        <v>11</v>
      </c>
      <c r="D1928" t="s">
        <v>12</v>
      </c>
      <c r="E1928">
        <v>9</v>
      </c>
      <c r="F1928" s="3">
        <v>4914</v>
      </c>
      <c r="G1928" s="2">
        <v>1160.45</v>
      </c>
      <c r="H1928">
        <f>Master_ventas[[#This Row],[Profit]]/Master_ventas[[#This Row],[Sales]]</f>
        <v>0.23615181115181116</v>
      </c>
      <c r="I1928">
        <f ca="1">Referencia_Hoy-Master_ventas[[#This Row],[Order Date]]</f>
        <v>1718</v>
      </c>
      <c r="J1928" t="str">
        <f>UPPER(Master_ventas[[#This Row],[Product Name]])</f>
        <v>HEADPHONES</v>
      </c>
      <c r="K1928" t="str">
        <f>UPPER(Master_ventas[[#This Row],[Category]])</f>
        <v>ACCESSORIES</v>
      </c>
      <c r="L1928">
        <f>YEAR(Master_ventas[[#This Row],[Order Date]])</f>
        <v>2022</v>
      </c>
      <c r="M1928" t="str">
        <f>CONCATENATE(LEFT(Master_ventas[[#This Row],[ProdUpper]],3),RIGHT(Master_ventas[[#This Row],[Ext-Year]],2),"-",MID(Master_ventas[[#This Row],[Category]],1,1))</f>
        <v>HEA22-A</v>
      </c>
      <c r="N1928" t="str">
        <f>MID(Master_ventas[[#This Row],[ProdUpper]],1,3)</f>
        <v>HEA</v>
      </c>
      <c r="O1928" t="str">
        <f>UPPER(IF(Master_ventas[[#This Row],[Profit]]&gt;500,"High","Std"))</f>
        <v>HIGH</v>
      </c>
      <c r="P1928">
        <v>1927</v>
      </c>
    </row>
    <row r="1929" spans="1:16" x14ac:dyDescent="0.3">
      <c r="A1929" s="1">
        <v>45015</v>
      </c>
      <c r="B1929" t="s">
        <v>23</v>
      </c>
      <c r="C1929" t="s">
        <v>14</v>
      </c>
      <c r="D1929" t="s">
        <v>9</v>
      </c>
      <c r="E1929">
        <v>6</v>
      </c>
      <c r="F1929" s="3">
        <v>3924</v>
      </c>
      <c r="G1929" s="2">
        <v>762.96</v>
      </c>
      <c r="H1929">
        <f>Master_ventas[[#This Row],[Profit]]/Master_ventas[[#This Row],[Sales]]</f>
        <v>0.194434250764526</v>
      </c>
      <c r="I1929">
        <f ca="1">Referencia_Hoy-Master_ventas[[#This Row],[Order Date]]</f>
        <v>1308</v>
      </c>
      <c r="J1929" t="str">
        <f>UPPER(Master_ventas[[#This Row],[Product Name]])</f>
        <v>LAPTOP</v>
      </c>
      <c r="K1929" t="str">
        <f>UPPER(Master_ventas[[#This Row],[Category]])</f>
        <v>ELECTRONICS</v>
      </c>
      <c r="L1929">
        <f>YEAR(Master_ventas[[#This Row],[Order Date]])</f>
        <v>2023</v>
      </c>
      <c r="M1929" t="str">
        <f>CONCATENATE(LEFT(Master_ventas[[#This Row],[ProdUpper]],3),RIGHT(Master_ventas[[#This Row],[Ext-Year]],2),"-",MID(Master_ventas[[#This Row],[Category]],1,1))</f>
        <v>LAP23-E</v>
      </c>
      <c r="N1929" t="str">
        <f>MID(Master_ventas[[#This Row],[ProdUpper]],1,3)</f>
        <v>LAP</v>
      </c>
      <c r="O1929" t="str">
        <f>UPPER(IF(Master_ventas[[#This Row],[Profit]]&gt;500,"High","Std"))</f>
        <v>HIGH</v>
      </c>
      <c r="P1929">
        <v>1928</v>
      </c>
    </row>
    <row r="1930" spans="1:16" x14ac:dyDescent="0.3">
      <c r="A1930" s="1">
        <v>45181</v>
      </c>
      <c r="B1930" t="s">
        <v>18</v>
      </c>
      <c r="C1930" t="s">
        <v>11</v>
      </c>
      <c r="D1930" t="s">
        <v>15</v>
      </c>
      <c r="E1930">
        <v>6</v>
      </c>
      <c r="F1930" s="3">
        <v>420</v>
      </c>
      <c r="G1930" s="2">
        <v>65.62</v>
      </c>
      <c r="H1930">
        <f>Master_ventas[[#This Row],[Profit]]/Master_ventas[[#This Row],[Sales]]</f>
        <v>0.15623809523809526</v>
      </c>
      <c r="I1930">
        <f ca="1">Referencia_Hoy-Master_ventas[[#This Row],[Order Date]]</f>
        <v>1142</v>
      </c>
      <c r="J1930" t="str">
        <f>UPPER(Master_ventas[[#This Row],[Product Name]])</f>
        <v>HEADPHONES</v>
      </c>
      <c r="K1930" t="str">
        <f>UPPER(Master_ventas[[#This Row],[Category]])</f>
        <v>ACCESSORIES</v>
      </c>
      <c r="L1930">
        <f>YEAR(Master_ventas[[#This Row],[Order Date]])</f>
        <v>2023</v>
      </c>
      <c r="M1930" t="str">
        <f>CONCATENATE(LEFT(Master_ventas[[#This Row],[ProdUpper]],3),RIGHT(Master_ventas[[#This Row],[Ext-Year]],2),"-",MID(Master_ventas[[#This Row],[Category]],1,1))</f>
        <v>HEA23-A</v>
      </c>
      <c r="N1930" t="str">
        <f>MID(Master_ventas[[#This Row],[ProdUpper]],1,3)</f>
        <v>HEA</v>
      </c>
      <c r="O1930" t="str">
        <f>UPPER(IF(Master_ventas[[#This Row],[Profit]]&gt;500,"High","Std"))</f>
        <v>STD</v>
      </c>
      <c r="P1930">
        <v>1929</v>
      </c>
    </row>
    <row r="1931" spans="1:16" x14ac:dyDescent="0.3">
      <c r="A1931" s="1">
        <v>45471</v>
      </c>
      <c r="B1931" t="s">
        <v>7</v>
      </c>
      <c r="C1931" t="s">
        <v>8</v>
      </c>
      <c r="D1931" t="s">
        <v>16</v>
      </c>
      <c r="E1931">
        <v>4</v>
      </c>
      <c r="F1931" s="3">
        <v>1544</v>
      </c>
      <c r="G1931" s="2">
        <v>106.02</v>
      </c>
      <c r="H1931">
        <f>Master_ventas[[#This Row],[Profit]]/Master_ventas[[#This Row],[Sales]]</f>
        <v>6.8665803108808293E-2</v>
      </c>
      <c r="I1931">
        <f ca="1">Referencia_Hoy-Master_ventas[[#This Row],[Order Date]]</f>
        <v>852</v>
      </c>
      <c r="J1931" t="str">
        <f>UPPER(Master_ventas[[#This Row],[Product Name]])</f>
        <v>PRINTER</v>
      </c>
      <c r="K1931" t="str">
        <f>UPPER(Master_ventas[[#This Row],[Category]])</f>
        <v>OFFICE</v>
      </c>
      <c r="L1931">
        <f>YEAR(Master_ventas[[#This Row],[Order Date]])</f>
        <v>2024</v>
      </c>
      <c r="M1931" t="str">
        <f>CONCATENATE(LEFT(Master_ventas[[#This Row],[ProdUpper]],3),RIGHT(Master_ventas[[#This Row],[Ext-Year]],2),"-",MID(Master_ventas[[#This Row],[Category]],1,1))</f>
        <v>PRI24-O</v>
      </c>
      <c r="N1931" t="str">
        <f>MID(Master_ventas[[#This Row],[ProdUpper]],1,3)</f>
        <v>PRI</v>
      </c>
      <c r="O1931" t="str">
        <f>UPPER(IF(Master_ventas[[#This Row],[Profit]]&gt;500,"High","Std"))</f>
        <v>STD</v>
      </c>
      <c r="P1931">
        <v>1930</v>
      </c>
    </row>
    <row r="1932" spans="1:16" x14ac:dyDescent="0.3">
      <c r="A1932" s="1">
        <v>44802</v>
      </c>
      <c r="B1932" t="s">
        <v>18</v>
      </c>
      <c r="C1932" t="s">
        <v>11</v>
      </c>
      <c r="D1932" t="s">
        <v>12</v>
      </c>
      <c r="E1932">
        <v>2</v>
      </c>
      <c r="F1932" s="3">
        <v>2046</v>
      </c>
      <c r="G1932" s="2">
        <v>233.47</v>
      </c>
      <c r="H1932">
        <f>Master_ventas[[#This Row],[Profit]]/Master_ventas[[#This Row],[Sales]]</f>
        <v>0.11411045943304007</v>
      </c>
      <c r="I1932">
        <f ca="1">Referencia_Hoy-Master_ventas[[#This Row],[Order Date]]</f>
        <v>1521</v>
      </c>
      <c r="J1932" t="str">
        <f>UPPER(Master_ventas[[#This Row],[Product Name]])</f>
        <v>HEADPHONES</v>
      </c>
      <c r="K1932" t="str">
        <f>UPPER(Master_ventas[[#This Row],[Category]])</f>
        <v>ACCESSORIES</v>
      </c>
      <c r="L1932">
        <f>YEAR(Master_ventas[[#This Row],[Order Date]])</f>
        <v>2022</v>
      </c>
      <c r="M1932" t="str">
        <f>CONCATENATE(LEFT(Master_ventas[[#This Row],[ProdUpper]],3),RIGHT(Master_ventas[[#This Row],[Ext-Year]],2),"-",MID(Master_ventas[[#This Row],[Category]],1,1))</f>
        <v>HEA22-A</v>
      </c>
      <c r="N1932" t="str">
        <f>MID(Master_ventas[[#This Row],[ProdUpper]],1,3)</f>
        <v>HEA</v>
      </c>
      <c r="O1932" t="str">
        <f>UPPER(IF(Master_ventas[[#This Row],[Profit]]&gt;500,"High","Std"))</f>
        <v>STD</v>
      </c>
      <c r="P1932">
        <v>1931</v>
      </c>
    </row>
    <row r="1933" spans="1:16" x14ac:dyDescent="0.3">
      <c r="A1933" s="1">
        <v>45252</v>
      </c>
      <c r="B1933" t="s">
        <v>18</v>
      </c>
      <c r="C1933" t="s">
        <v>11</v>
      </c>
      <c r="D1933" t="s">
        <v>16</v>
      </c>
      <c r="E1933">
        <v>2</v>
      </c>
      <c r="F1933" s="3">
        <v>1548</v>
      </c>
      <c r="G1933" s="2">
        <v>157.47999999999999</v>
      </c>
      <c r="H1933">
        <f>Master_ventas[[#This Row],[Profit]]/Master_ventas[[#This Row],[Sales]]</f>
        <v>0.1017312661498708</v>
      </c>
      <c r="I1933">
        <f ca="1">Referencia_Hoy-Master_ventas[[#This Row],[Order Date]]</f>
        <v>1071</v>
      </c>
      <c r="J1933" t="str">
        <f>UPPER(Master_ventas[[#This Row],[Product Name]])</f>
        <v>HEADPHONES</v>
      </c>
      <c r="K1933" t="str">
        <f>UPPER(Master_ventas[[#This Row],[Category]])</f>
        <v>ACCESSORIES</v>
      </c>
      <c r="L1933">
        <f>YEAR(Master_ventas[[#This Row],[Order Date]])</f>
        <v>2023</v>
      </c>
      <c r="M1933" t="str">
        <f>CONCATENATE(LEFT(Master_ventas[[#This Row],[ProdUpper]],3),RIGHT(Master_ventas[[#This Row],[Ext-Year]],2),"-",MID(Master_ventas[[#This Row],[Category]],1,1))</f>
        <v>HEA23-A</v>
      </c>
      <c r="N1933" t="str">
        <f>MID(Master_ventas[[#This Row],[ProdUpper]],1,3)</f>
        <v>HEA</v>
      </c>
      <c r="O1933" t="str">
        <f>UPPER(IF(Master_ventas[[#This Row],[Profit]]&gt;500,"High","Std"))</f>
        <v>STD</v>
      </c>
      <c r="P1933">
        <v>1932</v>
      </c>
    </row>
    <row r="1934" spans="1:16" x14ac:dyDescent="0.3">
      <c r="A1934" s="1">
        <v>45056</v>
      </c>
      <c r="B1934" t="s">
        <v>22</v>
      </c>
      <c r="C1934" t="s">
        <v>11</v>
      </c>
      <c r="D1934" t="s">
        <v>9</v>
      </c>
      <c r="E1934">
        <v>4</v>
      </c>
      <c r="F1934" s="3">
        <v>3184</v>
      </c>
      <c r="G1934" s="2">
        <v>478.27</v>
      </c>
      <c r="H1934">
        <f>Master_ventas[[#This Row],[Profit]]/Master_ventas[[#This Row],[Sales]]</f>
        <v>0.15021042713567839</v>
      </c>
      <c r="I1934">
        <f ca="1">Referencia_Hoy-Master_ventas[[#This Row],[Order Date]]</f>
        <v>1267</v>
      </c>
      <c r="J1934" t="str">
        <f>UPPER(Master_ventas[[#This Row],[Product Name]])</f>
        <v>KEYBOARD</v>
      </c>
      <c r="K1934" t="str">
        <f>UPPER(Master_ventas[[#This Row],[Category]])</f>
        <v>ACCESSORIES</v>
      </c>
      <c r="L1934">
        <f>YEAR(Master_ventas[[#This Row],[Order Date]])</f>
        <v>2023</v>
      </c>
      <c r="M1934" t="str">
        <f>CONCATENATE(LEFT(Master_ventas[[#This Row],[ProdUpper]],3),RIGHT(Master_ventas[[#This Row],[Ext-Year]],2),"-",MID(Master_ventas[[#This Row],[Category]],1,1))</f>
        <v>KEY23-A</v>
      </c>
      <c r="N1934" t="str">
        <f>MID(Master_ventas[[#This Row],[ProdUpper]],1,3)</f>
        <v>KEY</v>
      </c>
      <c r="O1934" t="str">
        <f>UPPER(IF(Master_ventas[[#This Row],[Profit]]&gt;500,"High","Std"))</f>
        <v>STD</v>
      </c>
      <c r="P1934">
        <v>1933</v>
      </c>
    </row>
    <row r="1935" spans="1:16" x14ac:dyDescent="0.3">
      <c r="A1935" s="1">
        <v>45582</v>
      </c>
      <c r="B1935" t="s">
        <v>7</v>
      </c>
      <c r="C1935" t="s">
        <v>8</v>
      </c>
      <c r="D1935" t="s">
        <v>15</v>
      </c>
      <c r="E1935">
        <v>5</v>
      </c>
      <c r="F1935" s="3">
        <v>3385</v>
      </c>
      <c r="G1935" s="2">
        <v>774.86</v>
      </c>
      <c r="H1935">
        <f>Master_ventas[[#This Row],[Profit]]/Master_ventas[[#This Row],[Sales]]</f>
        <v>0.22890989660265879</v>
      </c>
      <c r="I1935">
        <f ca="1">Referencia_Hoy-Master_ventas[[#This Row],[Order Date]]</f>
        <v>741</v>
      </c>
      <c r="J1935" t="str">
        <f>UPPER(Master_ventas[[#This Row],[Product Name]])</f>
        <v>PRINTER</v>
      </c>
      <c r="K1935" t="str">
        <f>UPPER(Master_ventas[[#This Row],[Category]])</f>
        <v>OFFICE</v>
      </c>
      <c r="L1935">
        <f>YEAR(Master_ventas[[#This Row],[Order Date]])</f>
        <v>2024</v>
      </c>
      <c r="M1935" t="str">
        <f>CONCATENATE(LEFT(Master_ventas[[#This Row],[ProdUpper]],3),RIGHT(Master_ventas[[#This Row],[Ext-Year]],2),"-",MID(Master_ventas[[#This Row],[Category]],1,1))</f>
        <v>PRI24-O</v>
      </c>
      <c r="N1935" t="str">
        <f>MID(Master_ventas[[#This Row],[ProdUpper]],1,3)</f>
        <v>PRI</v>
      </c>
      <c r="O1935" t="str">
        <f>UPPER(IF(Master_ventas[[#This Row],[Profit]]&gt;500,"High","Std"))</f>
        <v>HIGH</v>
      </c>
      <c r="P1935">
        <v>1934</v>
      </c>
    </row>
    <row r="1936" spans="1:16" x14ac:dyDescent="0.3">
      <c r="A1936" s="1">
        <v>45210</v>
      </c>
      <c r="B1936" t="s">
        <v>20</v>
      </c>
      <c r="C1936" t="s">
        <v>11</v>
      </c>
      <c r="D1936" t="s">
        <v>9</v>
      </c>
      <c r="E1936">
        <v>1</v>
      </c>
      <c r="F1936" s="3">
        <v>59</v>
      </c>
      <c r="G1936" s="2">
        <v>10.32</v>
      </c>
      <c r="H1936">
        <f>Master_ventas[[#This Row],[Profit]]/Master_ventas[[#This Row],[Sales]]</f>
        <v>0.17491525423728815</v>
      </c>
      <c r="I1936">
        <f ca="1">Referencia_Hoy-Master_ventas[[#This Row],[Order Date]]</f>
        <v>1113</v>
      </c>
      <c r="J1936" t="str">
        <f>UPPER(Master_ventas[[#This Row],[Product Name]])</f>
        <v>MONITOR</v>
      </c>
      <c r="K1936" t="str">
        <f>UPPER(Master_ventas[[#This Row],[Category]])</f>
        <v>ACCESSORIES</v>
      </c>
      <c r="L1936">
        <f>YEAR(Master_ventas[[#This Row],[Order Date]])</f>
        <v>2023</v>
      </c>
      <c r="M1936" t="str">
        <f>CONCATENATE(LEFT(Master_ventas[[#This Row],[ProdUpper]],3),RIGHT(Master_ventas[[#This Row],[Ext-Year]],2),"-",MID(Master_ventas[[#This Row],[Category]],1,1))</f>
        <v>MON23-A</v>
      </c>
      <c r="N1936" t="str">
        <f>MID(Master_ventas[[#This Row],[ProdUpper]],1,3)</f>
        <v>MON</v>
      </c>
      <c r="O1936" t="str">
        <f>UPPER(IF(Master_ventas[[#This Row],[Profit]]&gt;500,"High","Std"))</f>
        <v>STD</v>
      </c>
      <c r="P1936">
        <v>1935</v>
      </c>
    </row>
    <row r="1937" spans="1:16" x14ac:dyDescent="0.3">
      <c r="A1937" s="1">
        <v>45430</v>
      </c>
      <c r="B1937" t="s">
        <v>20</v>
      </c>
      <c r="C1937" t="s">
        <v>11</v>
      </c>
      <c r="D1937" t="s">
        <v>15</v>
      </c>
      <c r="E1937">
        <v>8</v>
      </c>
      <c r="F1937" s="3">
        <v>5976</v>
      </c>
      <c r="G1937" s="2">
        <v>1016.99</v>
      </c>
      <c r="H1937">
        <f>Master_ventas[[#This Row],[Profit]]/Master_ventas[[#This Row],[Sales]]</f>
        <v>0.17017904953145918</v>
      </c>
      <c r="I1937">
        <f ca="1">Referencia_Hoy-Master_ventas[[#This Row],[Order Date]]</f>
        <v>893</v>
      </c>
      <c r="J1937" t="str">
        <f>UPPER(Master_ventas[[#This Row],[Product Name]])</f>
        <v>MONITOR</v>
      </c>
      <c r="K1937" t="str">
        <f>UPPER(Master_ventas[[#This Row],[Category]])</f>
        <v>ACCESSORIES</v>
      </c>
      <c r="L1937">
        <f>YEAR(Master_ventas[[#This Row],[Order Date]])</f>
        <v>2024</v>
      </c>
      <c r="M1937" t="str">
        <f>CONCATENATE(LEFT(Master_ventas[[#This Row],[ProdUpper]],3),RIGHT(Master_ventas[[#This Row],[Ext-Year]],2),"-",MID(Master_ventas[[#This Row],[Category]],1,1))</f>
        <v>MON24-A</v>
      </c>
      <c r="N1937" t="str">
        <f>MID(Master_ventas[[#This Row],[ProdUpper]],1,3)</f>
        <v>MON</v>
      </c>
      <c r="O1937" t="str">
        <f>UPPER(IF(Master_ventas[[#This Row],[Profit]]&gt;500,"High","Std"))</f>
        <v>HIGH</v>
      </c>
      <c r="P1937">
        <v>1936</v>
      </c>
    </row>
    <row r="1938" spans="1:16" x14ac:dyDescent="0.3">
      <c r="A1938" s="1">
        <v>44956</v>
      </c>
      <c r="B1938" t="s">
        <v>10</v>
      </c>
      <c r="C1938" t="s">
        <v>11</v>
      </c>
      <c r="D1938" t="s">
        <v>16</v>
      </c>
      <c r="E1938">
        <v>3</v>
      </c>
      <c r="F1938" s="3">
        <v>1791</v>
      </c>
      <c r="G1938" s="2">
        <v>122.5</v>
      </c>
      <c r="H1938">
        <f>Master_ventas[[#This Row],[Profit]]/Master_ventas[[#This Row],[Sales]]</f>
        <v>6.8397543271915134E-2</v>
      </c>
      <c r="I1938">
        <f ca="1">Referencia_Hoy-Master_ventas[[#This Row],[Order Date]]</f>
        <v>1367</v>
      </c>
      <c r="J1938" t="str">
        <f>UPPER(Master_ventas[[#This Row],[Product Name]])</f>
        <v>MOUSE</v>
      </c>
      <c r="K1938" t="str">
        <f>UPPER(Master_ventas[[#This Row],[Category]])</f>
        <v>ACCESSORIES</v>
      </c>
      <c r="L1938">
        <f>YEAR(Master_ventas[[#This Row],[Order Date]])</f>
        <v>2023</v>
      </c>
      <c r="M1938" t="str">
        <f>CONCATENATE(LEFT(Master_ventas[[#This Row],[ProdUpper]],3),RIGHT(Master_ventas[[#This Row],[Ext-Year]],2),"-",MID(Master_ventas[[#This Row],[Category]],1,1))</f>
        <v>MOU23-A</v>
      </c>
      <c r="N1938" t="str">
        <f>MID(Master_ventas[[#This Row],[ProdUpper]],1,3)</f>
        <v>MOU</v>
      </c>
      <c r="O1938" t="str">
        <f>UPPER(IF(Master_ventas[[#This Row],[Profit]]&gt;500,"High","Std"))</f>
        <v>STD</v>
      </c>
      <c r="P1938">
        <v>1937</v>
      </c>
    </row>
    <row r="1939" spans="1:16" x14ac:dyDescent="0.3">
      <c r="A1939" s="1">
        <v>44939</v>
      </c>
      <c r="B1939" t="s">
        <v>19</v>
      </c>
      <c r="C1939" t="s">
        <v>14</v>
      </c>
      <c r="D1939" t="s">
        <v>16</v>
      </c>
      <c r="E1939">
        <v>2</v>
      </c>
      <c r="F1939" s="3">
        <v>1644</v>
      </c>
      <c r="G1939" s="2">
        <v>189.32</v>
      </c>
      <c r="H1939">
        <f>Master_ventas[[#This Row],[Profit]]/Master_ventas[[#This Row],[Sales]]</f>
        <v>0.1151581508515815</v>
      </c>
      <c r="I1939">
        <f ca="1">Referencia_Hoy-Master_ventas[[#This Row],[Order Date]]</f>
        <v>1384</v>
      </c>
      <c r="J1939" t="str">
        <f>UPPER(Master_ventas[[#This Row],[Product Name]])</f>
        <v>SMARTWATCH</v>
      </c>
      <c r="K1939" t="str">
        <f>UPPER(Master_ventas[[#This Row],[Category]])</f>
        <v>ELECTRONICS</v>
      </c>
      <c r="L1939">
        <f>YEAR(Master_ventas[[#This Row],[Order Date]])</f>
        <v>2023</v>
      </c>
      <c r="M1939" t="str">
        <f>CONCATENATE(LEFT(Master_ventas[[#This Row],[ProdUpper]],3),RIGHT(Master_ventas[[#This Row],[Ext-Year]],2),"-",MID(Master_ventas[[#This Row],[Category]],1,1))</f>
        <v>SMA23-E</v>
      </c>
      <c r="N1939" t="str">
        <f>MID(Master_ventas[[#This Row],[ProdUpper]],1,3)</f>
        <v>SMA</v>
      </c>
      <c r="O1939" t="str">
        <f>UPPER(IF(Master_ventas[[#This Row],[Profit]]&gt;500,"High","Std"))</f>
        <v>STD</v>
      </c>
      <c r="P1939">
        <v>1938</v>
      </c>
    </row>
    <row r="1940" spans="1:16" x14ac:dyDescent="0.3">
      <c r="A1940" s="1">
        <v>45429</v>
      </c>
      <c r="B1940" t="s">
        <v>13</v>
      </c>
      <c r="C1940" t="s">
        <v>14</v>
      </c>
      <c r="D1940" t="s">
        <v>16</v>
      </c>
      <c r="E1940">
        <v>8</v>
      </c>
      <c r="F1940" s="3">
        <v>6584</v>
      </c>
      <c r="G1940" s="2">
        <v>544.62</v>
      </c>
      <c r="H1940">
        <f>Master_ventas[[#This Row],[Profit]]/Master_ventas[[#This Row],[Sales]]</f>
        <v>8.2718712029161603E-2</v>
      </c>
      <c r="I1940">
        <f ca="1">Referencia_Hoy-Master_ventas[[#This Row],[Order Date]]</f>
        <v>894</v>
      </c>
      <c r="J1940" t="str">
        <f>UPPER(Master_ventas[[#This Row],[Product Name]])</f>
        <v>TABLET</v>
      </c>
      <c r="K1940" t="str">
        <f>UPPER(Master_ventas[[#This Row],[Category]])</f>
        <v>ELECTRONICS</v>
      </c>
      <c r="L1940">
        <f>YEAR(Master_ventas[[#This Row],[Order Date]])</f>
        <v>2024</v>
      </c>
      <c r="M1940" t="str">
        <f>CONCATENATE(LEFT(Master_ventas[[#This Row],[ProdUpper]],3),RIGHT(Master_ventas[[#This Row],[Ext-Year]],2),"-",MID(Master_ventas[[#This Row],[Category]],1,1))</f>
        <v>TAB24-E</v>
      </c>
      <c r="N1940" t="str">
        <f>MID(Master_ventas[[#This Row],[ProdUpper]],1,3)</f>
        <v>TAB</v>
      </c>
      <c r="O1940" t="str">
        <f>UPPER(IF(Master_ventas[[#This Row],[Profit]]&gt;500,"High","Std"))</f>
        <v>HIGH</v>
      </c>
      <c r="P1940">
        <v>1939</v>
      </c>
    </row>
    <row r="1941" spans="1:16" x14ac:dyDescent="0.3">
      <c r="A1941" s="1">
        <v>44776</v>
      </c>
      <c r="B1941" t="s">
        <v>18</v>
      </c>
      <c r="C1941" t="s">
        <v>11</v>
      </c>
      <c r="D1941" t="s">
        <v>12</v>
      </c>
      <c r="E1941">
        <v>5</v>
      </c>
      <c r="F1941" s="3">
        <v>1620</v>
      </c>
      <c r="G1941" s="2">
        <v>325.87</v>
      </c>
      <c r="H1941">
        <f>Master_ventas[[#This Row],[Profit]]/Master_ventas[[#This Row],[Sales]]</f>
        <v>0.20115432098765432</v>
      </c>
      <c r="I1941">
        <f ca="1">Referencia_Hoy-Master_ventas[[#This Row],[Order Date]]</f>
        <v>1547</v>
      </c>
      <c r="J1941" t="str">
        <f>UPPER(Master_ventas[[#This Row],[Product Name]])</f>
        <v>HEADPHONES</v>
      </c>
      <c r="K1941" t="str">
        <f>UPPER(Master_ventas[[#This Row],[Category]])</f>
        <v>ACCESSORIES</v>
      </c>
      <c r="L1941">
        <f>YEAR(Master_ventas[[#This Row],[Order Date]])</f>
        <v>2022</v>
      </c>
      <c r="M1941" t="str">
        <f>CONCATENATE(LEFT(Master_ventas[[#This Row],[ProdUpper]],3),RIGHT(Master_ventas[[#This Row],[Ext-Year]],2),"-",MID(Master_ventas[[#This Row],[Category]],1,1))</f>
        <v>HEA22-A</v>
      </c>
      <c r="N1941" t="str">
        <f>MID(Master_ventas[[#This Row],[ProdUpper]],1,3)</f>
        <v>HEA</v>
      </c>
      <c r="O1941" t="str">
        <f>UPPER(IF(Master_ventas[[#This Row],[Profit]]&gt;500,"High","Std"))</f>
        <v>STD</v>
      </c>
      <c r="P1941">
        <v>1940</v>
      </c>
    </row>
    <row r="1942" spans="1:16" x14ac:dyDescent="0.3">
      <c r="A1942" s="1">
        <v>45328</v>
      </c>
      <c r="B1942" t="s">
        <v>10</v>
      </c>
      <c r="C1942" t="s">
        <v>11</v>
      </c>
      <c r="D1942" t="s">
        <v>16</v>
      </c>
      <c r="E1942">
        <v>9</v>
      </c>
      <c r="F1942" s="3">
        <v>2736</v>
      </c>
      <c r="G1942" s="2">
        <v>407.22</v>
      </c>
      <c r="H1942">
        <f>Master_ventas[[#This Row],[Profit]]/Master_ventas[[#This Row],[Sales]]</f>
        <v>0.14883771929824563</v>
      </c>
      <c r="I1942">
        <f ca="1">Referencia_Hoy-Master_ventas[[#This Row],[Order Date]]</f>
        <v>995</v>
      </c>
      <c r="J1942" t="str">
        <f>UPPER(Master_ventas[[#This Row],[Product Name]])</f>
        <v>MOUSE</v>
      </c>
      <c r="K1942" t="str">
        <f>UPPER(Master_ventas[[#This Row],[Category]])</f>
        <v>ACCESSORIES</v>
      </c>
      <c r="L1942">
        <f>YEAR(Master_ventas[[#This Row],[Order Date]])</f>
        <v>2024</v>
      </c>
      <c r="M1942" t="str">
        <f>CONCATENATE(LEFT(Master_ventas[[#This Row],[ProdUpper]],3),RIGHT(Master_ventas[[#This Row],[Ext-Year]],2),"-",MID(Master_ventas[[#This Row],[Category]],1,1))</f>
        <v>MOU24-A</v>
      </c>
      <c r="N1942" t="str">
        <f>MID(Master_ventas[[#This Row],[ProdUpper]],1,3)</f>
        <v>MOU</v>
      </c>
      <c r="O1942" t="str">
        <f>UPPER(IF(Master_ventas[[#This Row],[Profit]]&gt;500,"High","Std"))</f>
        <v>STD</v>
      </c>
      <c r="P1942">
        <v>1941</v>
      </c>
    </row>
    <row r="1943" spans="1:16" x14ac:dyDescent="0.3">
      <c r="A1943" s="1">
        <v>45393</v>
      </c>
      <c r="B1943" t="s">
        <v>20</v>
      </c>
      <c r="C1943" t="s">
        <v>11</v>
      </c>
      <c r="D1943" t="s">
        <v>15</v>
      </c>
      <c r="E1943">
        <v>4</v>
      </c>
      <c r="F1943" s="3">
        <v>1064</v>
      </c>
      <c r="G1943" s="2">
        <v>274.47000000000003</v>
      </c>
      <c r="H1943">
        <f>Master_ventas[[#This Row],[Profit]]/Master_ventas[[#This Row],[Sales]]</f>
        <v>0.25796052631578947</v>
      </c>
      <c r="I1943">
        <f ca="1">Referencia_Hoy-Master_ventas[[#This Row],[Order Date]]</f>
        <v>930</v>
      </c>
      <c r="J1943" t="str">
        <f>UPPER(Master_ventas[[#This Row],[Product Name]])</f>
        <v>MONITOR</v>
      </c>
      <c r="K1943" t="str">
        <f>UPPER(Master_ventas[[#This Row],[Category]])</f>
        <v>ACCESSORIES</v>
      </c>
      <c r="L1943">
        <f>YEAR(Master_ventas[[#This Row],[Order Date]])</f>
        <v>2024</v>
      </c>
      <c r="M1943" t="str">
        <f>CONCATENATE(LEFT(Master_ventas[[#This Row],[ProdUpper]],3),RIGHT(Master_ventas[[#This Row],[Ext-Year]],2),"-",MID(Master_ventas[[#This Row],[Category]],1,1))</f>
        <v>MON24-A</v>
      </c>
      <c r="N1943" t="str">
        <f>MID(Master_ventas[[#This Row],[ProdUpper]],1,3)</f>
        <v>MON</v>
      </c>
      <c r="O1943" t="str">
        <f>UPPER(IF(Master_ventas[[#This Row],[Profit]]&gt;500,"High","Std"))</f>
        <v>STD</v>
      </c>
      <c r="P1943">
        <v>1942</v>
      </c>
    </row>
    <row r="1944" spans="1:16" x14ac:dyDescent="0.3">
      <c r="A1944" s="1">
        <v>45461</v>
      </c>
      <c r="B1944" t="s">
        <v>17</v>
      </c>
      <c r="C1944" t="s">
        <v>14</v>
      </c>
      <c r="D1944" t="s">
        <v>15</v>
      </c>
      <c r="E1944">
        <v>7</v>
      </c>
      <c r="F1944" s="3">
        <v>2667</v>
      </c>
      <c r="G1944" s="2">
        <v>363.5</v>
      </c>
      <c r="H1944">
        <f>Master_ventas[[#This Row],[Profit]]/Master_ventas[[#This Row],[Sales]]</f>
        <v>0.13629546306711662</v>
      </c>
      <c r="I1944">
        <f ca="1">Referencia_Hoy-Master_ventas[[#This Row],[Order Date]]</f>
        <v>862</v>
      </c>
      <c r="J1944" t="str">
        <f>UPPER(Master_ventas[[#This Row],[Product Name]])</f>
        <v>CAMERA</v>
      </c>
      <c r="K1944" t="str">
        <f>UPPER(Master_ventas[[#This Row],[Category]])</f>
        <v>ELECTRONICS</v>
      </c>
      <c r="L1944">
        <f>YEAR(Master_ventas[[#This Row],[Order Date]])</f>
        <v>2024</v>
      </c>
      <c r="M1944" t="str">
        <f>CONCATENATE(LEFT(Master_ventas[[#This Row],[ProdUpper]],3),RIGHT(Master_ventas[[#This Row],[Ext-Year]],2),"-",MID(Master_ventas[[#This Row],[Category]],1,1))</f>
        <v>CAM24-E</v>
      </c>
      <c r="N1944" t="str">
        <f>MID(Master_ventas[[#This Row],[ProdUpper]],1,3)</f>
        <v>CAM</v>
      </c>
      <c r="O1944" t="str">
        <f>UPPER(IF(Master_ventas[[#This Row],[Profit]]&gt;500,"High","Std"))</f>
        <v>STD</v>
      </c>
      <c r="P1944">
        <v>1943</v>
      </c>
    </row>
    <row r="1945" spans="1:16" x14ac:dyDescent="0.3">
      <c r="A1945" s="1">
        <v>45019</v>
      </c>
      <c r="B1945" t="s">
        <v>18</v>
      </c>
      <c r="C1945" t="s">
        <v>11</v>
      </c>
      <c r="D1945" t="s">
        <v>15</v>
      </c>
      <c r="E1945">
        <v>3</v>
      </c>
      <c r="F1945" s="3">
        <v>735</v>
      </c>
      <c r="G1945" s="2">
        <v>217.79</v>
      </c>
      <c r="H1945">
        <f>Master_ventas[[#This Row],[Profit]]/Master_ventas[[#This Row],[Sales]]</f>
        <v>0.29631292517006802</v>
      </c>
      <c r="I1945">
        <f ca="1">Referencia_Hoy-Master_ventas[[#This Row],[Order Date]]</f>
        <v>1304</v>
      </c>
      <c r="J1945" t="str">
        <f>UPPER(Master_ventas[[#This Row],[Product Name]])</f>
        <v>HEADPHONES</v>
      </c>
      <c r="K1945" t="str">
        <f>UPPER(Master_ventas[[#This Row],[Category]])</f>
        <v>ACCESSORIES</v>
      </c>
      <c r="L1945">
        <f>YEAR(Master_ventas[[#This Row],[Order Date]])</f>
        <v>2023</v>
      </c>
      <c r="M1945" t="str">
        <f>CONCATENATE(LEFT(Master_ventas[[#This Row],[ProdUpper]],3),RIGHT(Master_ventas[[#This Row],[Ext-Year]],2),"-",MID(Master_ventas[[#This Row],[Category]],1,1))</f>
        <v>HEA23-A</v>
      </c>
      <c r="N1945" t="str">
        <f>MID(Master_ventas[[#This Row],[ProdUpper]],1,3)</f>
        <v>HEA</v>
      </c>
      <c r="O1945" t="str">
        <f>UPPER(IF(Master_ventas[[#This Row],[Profit]]&gt;500,"High","Std"))</f>
        <v>STD</v>
      </c>
      <c r="P1945">
        <v>1944</v>
      </c>
    </row>
    <row r="1946" spans="1:16" x14ac:dyDescent="0.3">
      <c r="A1946" s="1">
        <v>45644</v>
      </c>
      <c r="B1946" t="s">
        <v>23</v>
      </c>
      <c r="C1946" t="s">
        <v>14</v>
      </c>
      <c r="D1946" t="s">
        <v>12</v>
      </c>
      <c r="E1946">
        <v>1</v>
      </c>
      <c r="F1946" s="3">
        <v>58</v>
      </c>
      <c r="G1946" s="2">
        <v>11.25</v>
      </c>
      <c r="H1946">
        <f>Master_ventas[[#This Row],[Profit]]/Master_ventas[[#This Row],[Sales]]</f>
        <v>0.19396551724137931</v>
      </c>
      <c r="I1946">
        <f ca="1">Referencia_Hoy-Master_ventas[[#This Row],[Order Date]]</f>
        <v>679</v>
      </c>
      <c r="J1946" t="str">
        <f>UPPER(Master_ventas[[#This Row],[Product Name]])</f>
        <v>LAPTOP</v>
      </c>
      <c r="K1946" t="str">
        <f>UPPER(Master_ventas[[#This Row],[Category]])</f>
        <v>ELECTRONICS</v>
      </c>
      <c r="L1946">
        <f>YEAR(Master_ventas[[#This Row],[Order Date]])</f>
        <v>2024</v>
      </c>
      <c r="M1946" t="str">
        <f>CONCATENATE(LEFT(Master_ventas[[#This Row],[ProdUpper]],3),RIGHT(Master_ventas[[#This Row],[Ext-Year]],2),"-",MID(Master_ventas[[#This Row],[Category]],1,1))</f>
        <v>LAP24-E</v>
      </c>
      <c r="N1946" t="str">
        <f>MID(Master_ventas[[#This Row],[ProdUpper]],1,3)</f>
        <v>LAP</v>
      </c>
      <c r="O1946" t="str">
        <f>UPPER(IF(Master_ventas[[#This Row],[Profit]]&gt;500,"High","Std"))</f>
        <v>STD</v>
      </c>
      <c r="P1946">
        <v>1945</v>
      </c>
    </row>
    <row r="1947" spans="1:16" x14ac:dyDescent="0.3">
      <c r="A1947" s="1">
        <v>45041</v>
      </c>
      <c r="B1947" t="s">
        <v>17</v>
      </c>
      <c r="C1947" t="s">
        <v>14</v>
      </c>
      <c r="D1947" t="s">
        <v>15</v>
      </c>
      <c r="E1947">
        <v>7</v>
      </c>
      <c r="F1947" s="3">
        <v>3136</v>
      </c>
      <c r="G1947" s="2">
        <v>850.3</v>
      </c>
      <c r="H1947">
        <f>Master_ventas[[#This Row],[Profit]]/Master_ventas[[#This Row],[Sales]]</f>
        <v>0.27114158163265306</v>
      </c>
      <c r="I1947">
        <f ca="1">Referencia_Hoy-Master_ventas[[#This Row],[Order Date]]</f>
        <v>1282</v>
      </c>
      <c r="J1947" t="str">
        <f>UPPER(Master_ventas[[#This Row],[Product Name]])</f>
        <v>CAMERA</v>
      </c>
      <c r="K1947" t="str">
        <f>UPPER(Master_ventas[[#This Row],[Category]])</f>
        <v>ELECTRONICS</v>
      </c>
      <c r="L1947">
        <f>YEAR(Master_ventas[[#This Row],[Order Date]])</f>
        <v>2023</v>
      </c>
      <c r="M1947" t="str">
        <f>CONCATENATE(LEFT(Master_ventas[[#This Row],[ProdUpper]],3),RIGHT(Master_ventas[[#This Row],[Ext-Year]],2),"-",MID(Master_ventas[[#This Row],[Category]],1,1))</f>
        <v>CAM23-E</v>
      </c>
      <c r="N1947" t="str">
        <f>MID(Master_ventas[[#This Row],[ProdUpper]],1,3)</f>
        <v>CAM</v>
      </c>
      <c r="O1947" t="str">
        <f>UPPER(IF(Master_ventas[[#This Row],[Profit]]&gt;500,"High","Std"))</f>
        <v>HIGH</v>
      </c>
      <c r="P1947">
        <v>1946</v>
      </c>
    </row>
    <row r="1948" spans="1:16" x14ac:dyDescent="0.3">
      <c r="A1948" s="1">
        <v>45186</v>
      </c>
      <c r="B1948" t="s">
        <v>10</v>
      </c>
      <c r="C1948" t="s">
        <v>11</v>
      </c>
      <c r="D1948" t="s">
        <v>12</v>
      </c>
      <c r="E1948">
        <v>4</v>
      </c>
      <c r="F1948" s="3">
        <v>3936</v>
      </c>
      <c r="G1948" s="2">
        <v>374.34</v>
      </c>
      <c r="H1948">
        <f>Master_ventas[[#This Row],[Profit]]/Master_ventas[[#This Row],[Sales]]</f>
        <v>9.5106707317073158E-2</v>
      </c>
      <c r="I1948">
        <f ca="1">Referencia_Hoy-Master_ventas[[#This Row],[Order Date]]</f>
        <v>1137</v>
      </c>
      <c r="J1948" t="str">
        <f>UPPER(Master_ventas[[#This Row],[Product Name]])</f>
        <v>MOUSE</v>
      </c>
      <c r="K1948" t="str">
        <f>UPPER(Master_ventas[[#This Row],[Category]])</f>
        <v>ACCESSORIES</v>
      </c>
      <c r="L1948">
        <f>YEAR(Master_ventas[[#This Row],[Order Date]])</f>
        <v>2023</v>
      </c>
      <c r="M1948" t="str">
        <f>CONCATENATE(LEFT(Master_ventas[[#This Row],[ProdUpper]],3),RIGHT(Master_ventas[[#This Row],[Ext-Year]],2),"-",MID(Master_ventas[[#This Row],[Category]],1,1))</f>
        <v>MOU23-A</v>
      </c>
      <c r="N1948" t="str">
        <f>MID(Master_ventas[[#This Row],[ProdUpper]],1,3)</f>
        <v>MOU</v>
      </c>
      <c r="O1948" t="str">
        <f>UPPER(IF(Master_ventas[[#This Row],[Profit]]&gt;500,"High","Std"))</f>
        <v>STD</v>
      </c>
      <c r="P1948">
        <v>1947</v>
      </c>
    </row>
    <row r="1949" spans="1:16" x14ac:dyDescent="0.3">
      <c r="A1949" s="1">
        <v>44888</v>
      </c>
      <c r="B1949" t="s">
        <v>21</v>
      </c>
      <c r="C1949" t="s">
        <v>14</v>
      </c>
      <c r="D1949" t="s">
        <v>12</v>
      </c>
      <c r="E1949">
        <v>9</v>
      </c>
      <c r="F1949" s="3">
        <v>6102</v>
      </c>
      <c r="G1949" s="2">
        <v>947.91</v>
      </c>
      <c r="H1949">
        <f>Master_ventas[[#This Row],[Profit]]/Master_ventas[[#This Row],[Sales]]</f>
        <v>0.1553441494591937</v>
      </c>
      <c r="I1949">
        <f ca="1">Referencia_Hoy-Master_ventas[[#This Row],[Order Date]]</f>
        <v>1435</v>
      </c>
      <c r="J1949" t="str">
        <f>UPPER(Master_ventas[[#This Row],[Product Name]])</f>
        <v>SMARTPHONE</v>
      </c>
      <c r="K1949" t="str">
        <f>UPPER(Master_ventas[[#This Row],[Category]])</f>
        <v>ELECTRONICS</v>
      </c>
      <c r="L1949">
        <f>YEAR(Master_ventas[[#This Row],[Order Date]])</f>
        <v>2022</v>
      </c>
      <c r="M1949" t="str">
        <f>CONCATENATE(LEFT(Master_ventas[[#This Row],[ProdUpper]],3),RIGHT(Master_ventas[[#This Row],[Ext-Year]],2),"-",MID(Master_ventas[[#This Row],[Category]],1,1))</f>
        <v>SMA22-E</v>
      </c>
      <c r="N1949" t="str">
        <f>MID(Master_ventas[[#This Row],[ProdUpper]],1,3)</f>
        <v>SMA</v>
      </c>
      <c r="O1949" t="str">
        <f>UPPER(IF(Master_ventas[[#This Row],[Profit]]&gt;500,"High","Std"))</f>
        <v>HIGH</v>
      </c>
      <c r="P1949">
        <v>1948</v>
      </c>
    </row>
    <row r="1950" spans="1:16" x14ac:dyDescent="0.3">
      <c r="A1950" s="1">
        <v>45429</v>
      </c>
      <c r="B1950" t="s">
        <v>21</v>
      </c>
      <c r="C1950" t="s">
        <v>14</v>
      </c>
      <c r="D1950" t="s">
        <v>9</v>
      </c>
      <c r="E1950">
        <v>8</v>
      </c>
      <c r="F1950" s="3">
        <v>9408</v>
      </c>
      <c r="G1950" s="2">
        <v>552.44000000000005</v>
      </c>
      <c r="H1950">
        <f>Master_ventas[[#This Row],[Profit]]/Master_ventas[[#This Row],[Sales]]</f>
        <v>5.8720238095238103E-2</v>
      </c>
      <c r="I1950">
        <f ca="1">Referencia_Hoy-Master_ventas[[#This Row],[Order Date]]</f>
        <v>894</v>
      </c>
      <c r="J1950" t="str">
        <f>UPPER(Master_ventas[[#This Row],[Product Name]])</f>
        <v>SMARTPHONE</v>
      </c>
      <c r="K1950" t="str">
        <f>UPPER(Master_ventas[[#This Row],[Category]])</f>
        <v>ELECTRONICS</v>
      </c>
      <c r="L1950">
        <f>YEAR(Master_ventas[[#This Row],[Order Date]])</f>
        <v>2024</v>
      </c>
      <c r="M1950" t="str">
        <f>CONCATENATE(LEFT(Master_ventas[[#This Row],[ProdUpper]],3),RIGHT(Master_ventas[[#This Row],[Ext-Year]],2),"-",MID(Master_ventas[[#This Row],[Category]],1,1))</f>
        <v>SMA24-E</v>
      </c>
      <c r="N1950" t="str">
        <f>MID(Master_ventas[[#This Row],[ProdUpper]],1,3)</f>
        <v>SMA</v>
      </c>
      <c r="O1950" t="str">
        <f>UPPER(IF(Master_ventas[[#This Row],[Profit]]&gt;500,"High","Std"))</f>
        <v>HIGH</v>
      </c>
      <c r="P1950">
        <v>1949</v>
      </c>
    </row>
    <row r="1951" spans="1:16" x14ac:dyDescent="0.3">
      <c r="A1951" s="1">
        <v>44909</v>
      </c>
      <c r="B1951" t="s">
        <v>10</v>
      </c>
      <c r="C1951" t="s">
        <v>11</v>
      </c>
      <c r="D1951" t="s">
        <v>15</v>
      </c>
      <c r="E1951">
        <v>9</v>
      </c>
      <c r="F1951" s="3">
        <v>7875</v>
      </c>
      <c r="G1951" s="2">
        <v>1243.56</v>
      </c>
      <c r="H1951">
        <f>Master_ventas[[#This Row],[Profit]]/Master_ventas[[#This Row],[Sales]]</f>
        <v>0.15791238095238094</v>
      </c>
      <c r="I1951">
        <f ca="1">Referencia_Hoy-Master_ventas[[#This Row],[Order Date]]</f>
        <v>1414</v>
      </c>
      <c r="J1951" t="str">
        <f>UPPER(Master_ventas[[#This Row],[Product Name]])</f>
        <v>MOUSE</v>
      </c>
      <c r="K1951" t="str">
        <f>UPPER(Master_ventas[[#This Row],[Category]])</f>
        <v>ACCESSORIES</v>
      </c>
      <c r="L1951">
        <f>YEAR(Master_ventas[[#This Row],[Order Date]])</f>
        <v>2022</v>
      </c>
      <c r="M1951" t="str">
        <f>CONCATENATE(LEFT(Master_ventas[[#This Row],[ProdUpper]],3),RIGHT(Master_ventas[[#This Row],[Ext-Year]],2),"-",MID(Master_ventas[[#This Row],[Category]],1,1))</f>
        <v>MOU22-A</v>
      </c>
      <c r="N1951" t="str">
        <f>MID(Master_ventas[[#This Row],[ProdUpper]],1,3)</f>
        <v>MOU</v>
      </c>
      <c r="O1951" t="str">
        <f>UPPER(IF(Master_ventas[[#This Row],[Profit]]&gt;500,"High","Std"))</f>
        <v>HIGH</v>
      </c>
      <c r="P1951">
        <v>1950</v>
      </c>
    </row>
    <row r="1952" spans="1:16" x14ac:dyDescent="0.3">
      <c r="A1952" s="1">
        <v>45578</v>
      </c>
      <c r="B1952" t="s">
        <v>22</v>
      </c>
      <c r="C1952" t="s">
        <v>11</v>
      </c>
      <c r="D1952" t="s">
        <v>9</v>
      </c>
      <c r="E1952">
        <v>9</v>
      </c>
      <c r="F1952" s="3">
        <v>9900</v>
      </c>
      <c r="G1952" s="2">
        <v>576.79999999999995</v>
      </c>
      <c r="H1952">
        <f>Master_ventas[[#This Row],[Profit]]/Master_ventas[[#This Row],[Sales]]</f>
        <v>5.8262626262626259E-2</v>
      </c>
      <c r="I1952">
        <f ca="1">Referencia_Hoy-Master_ventas[[#This Row],[Order Date]]</f>
        <v>745</v>
      </c>
      <c r="J1952" t="str">
        <f>UPPER(Master_ventas[[#This Row],[Product Name]])</f>
        <v>KEYBOARD</v>
      </c>
      <c r="K1952" t="str">
        <f>UPPER(Master_ventas[[#This Row],[Category]])</f>
        <v>ACCESSORIES</v>
      </c>
      <c r="L1952">
        <f>YEAR(Master_ventas[[#This Row],[Order Date]])</f>
        <v>2024</v>
      </c>
      <c r="M1952" t="str">
        <f>CONCATENATE(LEFT(Master_ventas[[#This Row],[ProdUpper]],3),RIGHT(Master_ventas[[#This Row],[Ext-Year]],2),"-",MID(Master_ventas[[#This Row],[Category]],1,1))</f>
        <v>KEY24-A</v>
      </c>
      <c r="N1952" t="str">
        <f>MID(Master_ventas[[#This Row],[ProdUpper]],1,3)</f>
        <v>KEY</v>
      </c>
      <c r="O1952" t="str">
        <f>UPPER(IF(Master_ventas[[#This Row],[Profit]]&gt;500,"High","Std"))</f>
        <v>HIGH</v>
      </c>
      <c r="P1952">
        <v>1951</v>
      </c>
    </row>
    <row r="1953" spans="1:16" x14ac:dyDescent="0.3">
      <c r="A1953" s="1">
        <v>45581</v>
      </c>
      <c r="B1953" t="s">
        <v>22</v>
      </c>
      <c r="C1953" t="s">
        <v>11</v>
      </c>
      <c r="D1953" t="s">
        <v>9</v>
      </c>
      <c r="E1953">
        <v>2</v>
      </c>
      <c r="F1953" s="3">
        <v>430</v>
      </c>
      <c r="G1953" s="2">
        <v>114.91</v>
      </c>
      <c r="H1953">
        <f>Master_ventas[[#This Row],[Profit]]/Master_ventas[[#This Row],[Sales]]</f>
        <v>0.26723255813953489</v>
      </c>
      <c r="I1953">
        <f ca="1">Referencia_Hoy-Master_ventas[[#This Row],[Order Date]]</f>
        <v>742</v>
      </c>
      <c r="J1953" t="str">
        <f>UPPER(Master_ventas[[#This Row],[Product Name]])</f>
        <v>KEYBOARD</v>
      </c>
      <c r="K1953" t="str">
        <f>UPPER(Master_ventas[[#This Row],[Category]])</f>
        <v>ACCESSORIES</v>
      </c>
      <c r="L1953">
        <f>YEAR(Master_ventas[[#This Row],[Order Date]])</f>
        <v>2024</v>
      </c>
      <c r="M1953" t="str">
        <f>CONCATENATE(LEFT(Master_ventas[[#This Row],[ProdUpper]],3),RIGHT(Master_ventas[[#This Row],[Ext-Year]],2),"-",MID(Master_ventas[[#This Row],[Category]],1,1))</f>
        <v>KEY24-A</v>
      </c>
      <c r="N1953" t="str">
        <f>MID(Master_ventas[[#This Row],[ProdUpper]],1,3)</f>
        <v>KEY</v>
      </c>
      <c r="O1953" t="str">
        <f>UPPER(IF(Master_ventas[[#This Row],[Profit]]&gt;500,"High","Std"))</f>
        <v>STD</v>
      </c>
      <c r="P1953">
        <v>1952</v>
      </c>
    </row>
    <row r="1954" spans="1:16" x14ac:dyDescent="0.3">
      <c r="A1954" s="1">
        <v>45187</v>
      </c>
      <c r="B1954" t="s">
        <v>10</v>
      </c>
      <c r="C1954" t="s">
        <v>11</v>
      </c>
      <c r="D1954" t="s">
        <v>15</v>
      </c>
      <c r="E1954">
        <v>3</v>
      </c>
      <c r="F1954" s="3">
        <v>813</v>
      </c>
      <c r="G1954" s="2">
        <v>238.1</v>
      </c>
      <c r="H1954">
        <f>Master_ventas[[#This Row],[Profit]]/Master_ventas[[#This Row],[Sales]]</f>
        <v>0.29286592865928657</v>
      </c>
      <c r="I1954">
        <f ca="1">Referencia_Hoy-Master_ventas[[#This Row],[Order Date]]</f>
        <v>1136</v>
      </c>
      <c r="J1954" t="str">
        <f>UPPER(Master_ventas[[#This Row],[Product Name]])</f>
        <v>MOUSE</v>
      </c>
      <c r="K1954" t="str">
        <f>UPPER(Master_ventas[[#This Row],[Category]])</f>
        <v>ACCESSORIES</v>
      </c>
      <c r="L1954">
        <f>YEAR(Master_ventas[[#This Row],[Order Date]])</f>
        <v>2023</v>
      </c>
      <c r="M1954" t="str">
        <f>CONCATENATE(LEFT(Master_ventas[[#This Row],[ProdUpper]],3),RIGHT(Master_ventas[[#This Row],[Ext-Year]],2),"-",MID(Master_ventas[[#This Row],[Category]],1,1))</f>
        <v>MOU23-A</v>
      </c>
      <c r="N1954" t="str">
        <f>MID(Master_ventas[[#This Row],[ProdUpper]],1,3)</f>
        <v>MOU</v>
      </c>
      <c r="O1954" t="str">
        <f>UPPER(IF(Master_ventas[[#This Row],[Profit]]&gt;500,"High","Std"))</f>
        <v>STD</v>
      </c>
      <c r="P1954">
        <v>1953</v>
      </c>
    </row>
    <row r="1955" spans="1:16" x14ac:dyDescent="0.3">
      <c r="A1955" s="1">
        <v>45269</v>
      </c>
      <c r="B1955" t="s">
        <v>17</v>
      </c>
      <c r="C1955" t="s">
        <v>14</v>
      </c>
      <c r="D1955" t="s">
        <v>15</v>
      </c>
      <c r="E1955">
        <v>4</v>
      </c>
      <c r="F1955" s="3">
        <v>4176</v>
      </c>
      <c r="G1955" s="2">
        <v>980.11</v>
      </c>
      <c r="H1955">
        <f>Master_ventas[[#This Row],[Profit]]/Master_ventas[[#This Row],[Sales]]</f>
        <v>0.2347006704980843</v>
      </c>
      <c r="I1955">
        <f ca="1">Referencia_Hoy-Master_ventas[[#This Row],[Order Date]]</f>
        <v>1054</v>
      </c>
      <c r="J1955" t="str">
        <f>UPPER(Master_ventas[[#This Row],[Product Name]])</f>
        <v>CAMERA</v>
      </c>
      <c r="K1955" t="str">
        <f>UPPER(Master_ventas[[#This Row],[Category]])</f>
        <v>ELECTRONICS</v>
      </c>
      <c r="L1955">
        <f>YEAR(Master_ventas[[#This Row],[Order Date]])</f>
        <v>2023</v>
      </c>
      <c r="M1955" t="str">
        <f>CONCATENATE(LEFT(Master_ventas[[#This Row],[ProdUpper]],3),RIGHT(Master_ventas[[#This Row],[Ext-Year]],2),"-",MID(Master_ventas[[#This Row],[Category]],1,1))</f>
        <v>CAM23-E</v>
      </c>
      <c r="N1955" t="str">
        <f>MID(Master_ventas[[#This Row],[ProdUpper]],1,3)</f>
        <v>CAM</v>
      </c>
      <c r="O1955" t="str">
        <f>UPPER(IF(Master_ventas[[#This Row],[Profit]]&gt;500,"High","Std"))</f>
        <v>HIGH</v>
      </c>
      <c r="P1955">
        <v>1954</v>
      </c>
    </row>
    <row r="1956" spans="1:16" x14ac:dyDescent="0.3">
      <c r="A1956" s="1">
        <v>45201</v>
      </c>
      <c r="B1956" t="s">
        <v>17</v>
      </c>
      <c r="C1956" t="s">
        <v>14</v>
      </c>
      <c r="D1956" t="s">
        <v>15</v>
      </c>
      <c r="E1956">
        <v>4</v>
      </c>
      <c r="F1956" s="3">
        <v>3084</v>
      </c>
      <c r="G1956" s="2">
        <v>348.38</v>
      </c>
      <c r="H1956">
        <f>Master_ventas[[#This Row],[Profit]]/Master_ventas[[#This Row],[Sales]]</f>
        <v>0.11296368352788586</v>
      </c>
      <c r="I1956">
        <f ca="1">Referencia_Hoy-Master_ventas[[#This Row],[Order Date]]</f>
        <v>1122</v>
      </c>
      <c r="J1956" t="str">
        <f>UPPER(Master_ventas[[#This Row],[Product Name]])</f>
        <v>CAMERA</v>
      </c>
      <c r="K1956" t="str">
        <f>UPPER(Master_ventas[[#This Row],[Category]])</f>
        <v>ELECTRONICS</v>
      </c>
      <c r="L1956">
        <f>YEAR(Master_ventas[[#This Row],[Order Date]])</f>
        <v>2023</v>
      </c>
      <c r="M1956" t="str">
        <f>CONCATENATE(LEFT(Master_ventas[[#This Row],[ProdUpper]],3),RIGHT(Master_ventas[[#This Row],[Ext-Year]],2),"-",MID(Master_ventas[[#This Row],[Category]],1,1))</f>
        <v>CAM23-E</v>
      </c>
      <c r="N1956" t="str">
        <f>MID(Master_ventas[[#This Row],[ProdUpper]],1,3)</f>
        <v>CAM</v>
      </c>
      <c r="O1956" t="str">
        <f>UPPER(IF(Master_ventas[[#This Row],[Profit]]&gt;500,"High","Std"))</f>
        <v>STD</v>
      </c>
      <c r="P1956">
        <v>1955</v>
      </c>
    </row>
    <row r="1957" spans="1:16" x14ac:dyDescent="0.3">
      <c r="A1957" s="1">
        <v>44651</v>
      </c>
      <c r="B1957" t="s">
        <v>10</v>
      </c>
      <c r="C1957" t="s">
        <v>11</v>
      </c>
      <c r="D1957" t="s">
        <v>16</v>
      </c>
      <c r="E1957">
        <v>7</v>
      </c>
      <c r="F1957" s="3">
        <v>8008</v>
      </c>
      <c r="G1957" s="2">
        <v>1593.65</v>
      </c>
      <c r="H1957">
        <f>Master_ventas[[#This Row],[Profit]]/Master_ventas[[#This Row],[Sales]]</f>
        <v>0.19900724275724277</v>
      </c>
      <c r="I1957">
        <f ca="1">Referencia_Hoy-Master_ventas[[#This Row],[Order Date]]</f>
        <v>1672</v>
      </c>
      <c r="J1957" t="str">
        <f>UPPER(Master_ventas[[#This Row],[Product Name]])</f>
        <v>MOUSE</v>
      </c>
      <c r="K1957" t="str">
        <f>UPPER(Master_ventas[[#This Row],[Category]])</f>
        <v>ACCESSORIES</v>
      </c>
      <c r="L1957">
        <f>YEAR(Master_ventas[[#This Row],[Order Date]])</f>
        <v>2022</v>
      </c>
      <c r="M1957" t="str">
        <f>CONCATENATE(LEFT(Master_ventas[[#This Row],[ProdUpper]],3),RIGHT(Master_ventas[[#This Row],[Ext-Year]],2),"-",MID(Master_ventas[[#This Row],[Category]],1,1))</f>
        <v>MOU22-A</v>
      </c>
      <c r="N1957" t="str">
        <f>MID(Master_ventas[[#This Row],[ProdUpper]],1,3)</f>
        <v>MOU</v>
      </c>
      <c r="O1957" t="str">
        <f>UPPER(IF(Master_ventas[[#This Row],[Profit]]&gt;500,"High","Std"))</f>
        <v>HIGH</v>
      </c>
      <c r="P1957">
        <v>1956</v>
      </c>
    </row>
    <row r="1958" spans="1:16" x14ac:dyDescent="0.3">
      <c r="A1958" s="1">
        <v>45455</v>
      </c>
      <c r="B1958" t="s">
        <v>19</v>
      </c>
      <c r="C1958" t="s">
        <v>14</v>
      </c>
      <c r="D1958" t="s">
        <v>15</v>
      </c>
      <c r="E1958">
        <v>4</v>
      </c>
      <c r="F1958" s="3">
        <v>4608</v>
      </c>
      <c r="G1958" s="2">
        <v>963.5</v>
      </c>
      <c r="H1958">
        <f>Master_ventas[[#This Row],[Profit]]/Master_ventas[[#This Row],[Sales]]</f>
        <v>0.20909288194444445</v>
      </c>
      <c r="I1958">
        <f ca="1">Referencia_Hoy-Master_ventas[[#This Row],[Order Date]]</f>
        <v>868</v>
      </c>
      <c r="J1958" t="str">
        <f>UPPER(Master_ventas[[#This Row],[Product Name]])</f>
        <v>SMARTWATCH</v>
      </c>
      <c r="K1958" t="str">
        <f>UPPER(Master_ventas[[#This Row],[Category]])</f>
        <v>ELECTRONICS</v>
      </c>
      <c r="L1958">
        <f>YEAR(Master_ventas[[#This Row],[Order Date]])</f>
        <v>2024</v>
      </c>
      <c r="M1958" t="str">
        <f>CONCATENATE(LEFT(Master_ventas[[#This Row],[ProdUpper]],3),RIGHT(Master_ventas[[#This Row],[Ext-Year]],2),"-",MID(Master_ventas[[#This Row],[Category]],1,1))</f>
        <v>SMA24-E</v>
      </c>
      <c r="N1958" t="str">
        <f>MID(Master_ventas[[#This Row],[ProdUpper]],1,3)</f>
        <v>SMA</v>
      </c>
      <c r="O1958" t="str">
        <f>UPPER(IF(Master_ventas[[#This Row],[Profit]]&gt;500,"High","Std"))</f>
        <v>HIGH</v>
      </c>
      <c r="P1958">
        <v>1957</v>
      </c>
    </row>
    <row r="1959" spans="1:16" x14ac:dyDescent="0.3">
      <c r="A1959" s="1">
        <v>45459</v>
      </c>
      <c r="B1959" t="s">
        <v>18</v>
      </c>
      <c r="C1959" t="s">
        <v>11</v>
      </c>
      <c r="D1959" t="s">
        <v>16</v>
      </c>
      <c r="E1959">
        <v>4</v>
      </c>
      <c r="F1959" s="3">
        <v>4356</v>
      </c>
      <c r="G1959" s="2">
        <v>614.62</v>
      </c>
      <c r="H1959">
        <f>Master_ventas[[#This Row],[Profit]]/Master_ventas[[#This Row],[Sales]]</f>
        <v>0.1410973370064279</v>
      </c>
      <c r="I1959">
        <f ca="1">Referencia_Hoy-Master_ventas[[#This Row],[Order Date]]</f>
        <v>864</v>
      </c>
      <c r="J1959" t="str">
        <f>UPPER(Master_ventas[[#This Row],[Product Name]])</f>
        <v>HEADPHONES</v>
      </c>
      <c r="K1959" t="str">
        <f>UPPER(Master_ventas[[#This Row],[Category]])</f>
        <v>ACCESSORIES</v>
      </c>
      <c r="L1959">
        <f>YEAR(Master_ventas[[#This Row],[Order Date]])</f>
        <v>2024</v>
      </c>
      <c r="M1959" t="str">
        <f>CONCATENATE(LEFT(Master_ventas[[#This Row],[ProdUpper]],3),RIGHT(Master_ventas[[#This Row],[Ext-Year]],2),"-",MID(Master_ventas[[#This Row],[Category]],1,1))</f>
        <v>HEA24-A</v>
      </c>
      <c r="N1959" t="str">
        <f>MID(Master_ventas[[#This Row],[ProdUpper]],1,3)</f>
        <v>HEA</v>
      </c>
      <c r="O1959" t="str">
        <f>UPPER(IF(Master_ventas[[#This Row],[Profit]]&gt;500,"High","Std"))</f>
        <v>HIGH</v>
      </c>
      <c r="P1959">
        <v>1958</v>
      </c>
    </row>
    <row r="1960" spans="1:16" x14ac:dyDescent="0.3">
      <c r="A1960" s="1">
        <v>45173</v>
      </c>
      <c r="B1960" t="s">
        <v>7</v>
      </c>
      <c r="C1960" t="s">
        <v>8</v>
      </c>
      <c r="D1960" t="s">
        <v>15</v>
      </c>
      <c r="E1960">
        <v>1</v>
      </c>
      <c r="F1960" s="3">
        <v>566</v>
      </c>
      <c r="G1960" s="2">
        <v>169.17</v>
      </c>
      <c r="H1960">
        <f>Master_ventas[[#This Row],[Profit]]/Master_ventas[[#This Row],[Sales]]</f>
        <v>0.29888692579505299</v>
      </c>
      <c r="I1960">
        <f ca="1">Referencia_Hoy-Master_ventas[[#This Row],[Order Date]]</f>
        <v>1150</v>
      </c>
      <c r="J1960" t="str">
        <f>UPPER(Master_ventas[[#This Row],[Product Name]])</f>
        <v>PRINTER</v>
      </c>
      <c r="K1960" t="str">
        <f>UPPER(Master_ventas[[#This Row],[Category]])</f>
        <v>OFFICE</v>
      </c>
      <c r="L1960">
        <f>YEAR(Master_ventas[[#This Row],[Order Date]])</f>
        <v>2023</v>
      </c>
      <c r="M1960" t="str">
        <f>CONCATENATE(LEFT(Master_ventas[[#This Row],[ProdUpper]],3),RIGHT(Master_ventas[[#This Row],[Ext-Year]],2),"-",MID(Master_ventas[[#This Row],[Category]],1,1))</f>
        <v>PRI23-O</v>
      </c>
      <c r="N1960" t="str">
        <f>MID(Master_ventas[[#This Row],[ProdUpper]],1,3)</f>
        <v>PRI</v>
      </c>
      <c r="O1960" t="str">
        <f>UPPER(IF(Master_ventas[[#This Row],[Profit]]&gt;500,"High","Std"))</f>
        <v>STD</v>
      </c>
      <c r="P1960">
        <v>1959</v>
      </c>
    </row>
    <row r="1961" spans="1:16" x14ac:dyDescent="0.3">
      <c r="A1961" s="1">
        <v>44897</v>
      </c>
      <c r="B1961" t="s">
        <v>23</v>
      </c>
      <c r="C1961" t="s">
        <v>14</v>
      </c>
      <c r="D1961" t="s">
        <v>12</v>
      </c>
      <c r="E1961">
        <v>7</v>
      </c>
      <c r="F1961" s="3">
        <v>945</v>
      </c>
      <c r="G1961" s="2">
        <v>75.209999999999994</v>
      </c>
      <c r="H1961">
        <f>Master_ventas[[#This Row],[Profit]]/Master_ventas[[#This Row],[Sales]]</f>
        <v>7.9587301587301582E-2</v>
      </c>
      <c r="I1961">
        <f ca="1">Referencia_Hoy-Master_ventas[[#This Row],[Order Date]]</f>
        <v>1426</v>
      </c>
      <c r="J1961" t="str">
        <f>UPPER(Master_ventas[[#This Row],[Product Name]])</f>
        <v>LAPTOP</v>
      </c>
      <c r="K1961" t="str">
        <f>UPPER(Master_ventas[[#This Row],[Category]])</f>
        <v>ELECTRONICS</v>
      </c>
      <c r="L1961">
        <f>YEAR(Master_ventas[[#This Row],[Order Date]])</f>
        <v>2022</v>
      </c>
      <c r="M1961" t="str">
        <f>CONCATENATE(LEFT(Master_ventas[[#This Row],[ProdUpper]],3),RIGHT(Master_ventas[[#This Row],[Ext-Year]],2),"-",MID(Master_ventas[[#This Row],[Category]],1,1))</f>
        <v>LAP22-E</v>
      </c>
      <c r="N1961" t="str">
        <f>MID(Master_ventas[[#This Row],[ProdUpper]],1,3)</f>
        <v>LAP</v>
      </c>
      <c r="O1961" t="str">
        <f>UPPER(IF(Master_ventas[[#This Row],[Profit]]&gt;500,"High","Std"))</f>
        <v>STD</v>
      </c>
      <c r="P1961">
        <v>1960</v>
      </c>
    </row>
    <row r="1962" spans="1:16" x14ac:dyDescent="0.3">
      <c r="A1962" s="1">
        <v>44877</v>
      </c>
      <c r="B1962" t="s">
        <v>19</v>
      </c>
      <c r="C1962" t="s">
        <v>14</v>
      </c>
      <c r="D1962" t="s">
        <v>9</v>
      </c>
      <c r="E1962">
        <v>4</v>
      </c>
      <c r="F1962" s="3">
        <v>2200</v>
      </c>
      <c r="G1962" s="2">
        <v>484.33</v>
      </c>
      <c r="H1962">
        <f>Master_ventas[[#This Row],[Profit]]/Master_ventas[[#This Row],[Sales]]</f>
        <v>0.22014999999999998</v>
      </c>
      <c r="I1962">
        <f ca="1">Referencia_Hoy-Master_ventas[[#This Row],[Order Date]]</f>
        <v>1446</v>
      </c>
      <c r="J1962" t="str">
        <f>UPPER(Master_ventas[[#This Row],[Product Name]])</f>
        <v>SMARTWATCH</v>
      </c>
      <c r="K1962" t="str">
        <f>UPPER(Master_ventas[[#This Row],[Category]])</f>
        <v>ELECTRONICS</v>
      </c>
      <c r="L1962">
        <f>YEAR(Master_ventas[[#This Row],[Order Date]])</f>
        <v>2022</v>
      </c>
      <c r="M1962" t="str">
        <f>CONCATENATE(LEFT(Master_ventas[[#This Row],[ProdUpper]],3),RIGHT(Master_ventas[[#This Row],[Ext-Year]],2),"-",MID(Master_ventas[[#This Row],[Category]],1,1))</f>
        <v>SMA22-E</v>
      </c>
      <c r="N1962" t="str">
        <f>MID(Master_ventas[[#This Row],[ProdUpper]],1,3)</f>
        <v>SMA</v>
      </c>
      <c r="O1962" t="str">
        <f>UPPER(IF(Master_ventas[[#This Row],[Profit]]&gt;500,"High","Std"))</f>
        <v>STD</v>
      </c>
      <c r="P1962">
        <v>1961</v>
      </c>
    </row>
    <row r="1963" spans="1:16" x14ac:dyDescent="0.3">
      <c r="A1963" s="1">
        <v>45656</v>
      </c>
      <c r="B1963" t="s">
        <v>10</v>
      </c>
      <c r="C1963" t="s">
        <v>11</v>
      </c>
      <c r="D1963" t="s">
        <v>9</v>
      </c>
      <c r="E1963">
        <v>1</v>
      </c>
      <c r="F1963" s="3">
        <v>746</v>
      </c>
      <c r="G1963" s="2">
        <v>131.25</v>
      </c>
      <c r="H1963">
        <f>Master_ventas[[#This Row],[Profit]]/Master_ventas[[#This Row],[Sales]]</f>
        <v>0.17593833780160859</v>
      </c>
      <c r="I1963">
        <f ca="1">Referencia_Hoy-Master_ventas[[#This Row],[Order Date]]</f>
        <v>667</v>
      </c>
      <c r="J1963" t="str">
        <f>UPPER(Master_ventas[[#This Row],[Product Name]])</f>
        <v>MOUSE</v>
      </c>
      <c r="K1963" t="str">
        <f>UPPER(Master_ventas[[#This Row],[Category]])</f>
        <v>ACCESSORIES</v>
      </c>
      <c r="L1963">
        <f>YEAR(Master_ventas[[#This Row],[Order Date]])</f>
        <v>2024</v>
      </c>
      <c r="M1963" t="str">
        <f>CONCATENATE(LEFT(Master_ventas[[#This Row],[ProdUpper]],3),RIGHT(Master_ventas[[#This Row],[Ext-Year]],2),"-",MID(Master_ventas[[#This Row],[Category]],1,1))</f>
        <v>MOU24-A</v>
      </c>
      <c r="N1963" t="str">
        <f>MID(Master_ventas[[#This Row],[ProdUpper]],1,3)</f>
        <v>MOU</v>
      </c>
      <c r="O1963" t="str">
        <f>UPPER(IF(Master_ventas[[#This Row],[Profit]]&gt;500,"High","Std"))</f>
        <v>STD</v>
      </c>
      <c r="P1963">
        <v>1962</v>
      </c>
    </row>
    <row r="1964" spans="1:16" x14ac:dyDescent="0.3">
      <c r="A1964" s="1">
        <v>45632</v>
      </c>
      <c r="B1964" t="s">
        <v>20</v>
      </c>
      <c r="C1964" t="s">
        <v>11</v>
      </c>
      <c r="D1964" t="s">
        <v>12</v>
      </c>
      <c r="E1964">
        <v>5</v>
      </c>
      <c r="F1964" s="3">
        <v>3505</v>
      </c>
      <c r="G1964" s="2">
        <v>678.18</v>
      </c>
      <c r="H1964">
        <f>Master_ventas[[#This Row],[Profit]]/Master_ventas[[#This Row],[Sales]]</f>
        <v>0.19348930099857345</v>
      </c>
      <c r="I1964">
        <f ca="1">Referencia_Hoy-Master_ventas[[#This Row],[Order Date]]</f>
        <v>691</v>
      </c>
      <c r="J1964" t="str">
        <f>UPPER(Master_ventas[[#This Row],[Product Name]])</f>
        <v>MONITOR</v>
      </c>
      <c r="K1964" t="str">
        <f>UPPER(Master_ventas[[#This Row],[Category]])</f>
        <v>ACCESSORIES</v>
      </c>
      <c r="L1964">
        <f>YEAR(Master_ventas[[#This Row],[Order Date]])</f>
        <v>2024</v>
      </c>
      <c r="M1964" t="str">
        <f>CONCATENATE(LEFT(Master_ventas[[#This Row],[ProdUpper]],3),RIGHT(Master_ventas[[#This Row],[Ext-Year]],2),"-",MID(Master_ventas[[#This Row],[Category]],1,1))</f>
        <v>MON24-A</v>
      </c>
      <c r="N1964" t="str">
        <f>MID(Master_ventas[[#This Row],[ProdUpper]],1,3)</f>
        <v>MON</v>
      </c>
      <c r="O1964" t="str">
        <f>UPPER(IF(Master_ventas[[#This Row],[Profit]]&gt;500,"High","Std"))</f>
        <v>HIGH</v>
      </c>
      <c r="P1964">
        <v>1963</v>
      </c>
    </row>
    <row r="1965" spans="1:16" x14ac:dyDescent="0.3">
      <c r="A1965" s="1">
        <v>45438</v>
      </c>
      <c r="B1965" t="s">
        <v>20</v>
      </c>
      <c r="C1965" t="s">
        <v>11</v>
      </c>
      <c r="D1965" t="s">
        <v>12</v>
      </c>
      <c r="E1965">
        <v>5</v>
      </c>
      <c r="F1965" s="3">
        <v>4795</v>
      </c>
      <c r="G1965" s="2">
        <v>819.12</v>
      </c>
      <c r="H1965">
        <f>Master_ventas[[#This Row],[Profit]]/Master_ventas[[#This Row],[Sales]]</f>
        <v>0.1708279457768509</v>
      </c>
      <c r="I1965">
        <f ca="1">Referencia_Hoy-Master_ventas[[#This Row],[Order Date]]</f>
        <v>885</v>
      </c>
      <c r="J1965" t="str">
        <f>UPPER(Master_ventas[[#This Row],[Product Name]])</f>
        <v>MONITOR</v>
      </c>
      <c r="K1965" t="str">
        <f>UPPER(Master_ventas[[#This Row],[Category]])</f>
        <v>ACCESSORIES</v>
      </c>
      <c r="L1965">
        <f>YEAR(Master_ventas[[#This Row],[Order Date]])</f>
        <v>2024</v>
      </c>
      <c r="M1965" t="str">
        <f>CONCATENATE(LEFT(Master_ventas[[#This Row],[ProdUpper]],3),RIGHT(Master_ventas[[#This Row],[Ext-Year]],2),"-",MID(Master_ventas[[#This Row],[Category]],1,1))</f>
        <v>MON24-A</v>
      </c>
      <c r="N1965" t="str">
        <f>MID(Master_ventas[[#This Row],[ProdUpper]],1,3)</f>
        <v>MON</v>
      </c>
      <c r="O1965" t="str">
        <f>UPPER(IF(Master_ventas[[#This Row],[Profit]]&gt;500,"High","Std"))</f>
        <v>HIGH</v>
      </c>
      <c r="P1965">
        <v>1964</v>
      </c>
    </row>
    <row r="1966" spans="1:16" x14ac:dyDescent="0.3">
      <c r="A1966" s="1">
        <v>45585</v>
      </c>
      <c r="B1966" t="s">
        <v>20</v>
      </c>
      <c r="C1966" t="s">
        <v>11</v>
      </c>
      <c r="D1966" t="s">
        <v>9</v>
      </c>
      <c r="E1966">
        <v>5</v>
      </c>
      <c r="F1966" s="3">
        <v>4590</v>
      </c>
      <c r="G1966" s="2">
        <v>650.04999999999995</v>
      </c>
      <c r="H1966">
        <f>Master_ventas[[#This Row],[Profit]]/Master_ventas[[#This Row],[Sales]]</f>
        <v>0.14162309368191719</v>
      </c>
      <c r="I1966">
        <f ca="1">Referencia_Hoy-Master_ventas[[#This Row],[Order Date]]</f>
        <v>738</v>
      </c>
      <c r="J1966" t="str">
        <f>UPPER(Master_ventas[[#This Row],[Product Name]])</f>
        <v>MONITOR</v>
      </c>
      <c r="K1966" t="str">
        <f>UPPER(Master_ventas[[#This Row],[Category]])</f>
        <v>ACCESSORIES</v>
      </c>
      <c r="L1966">
        <f>YEAR(Master_ventas[[#This Row],[Order Date]])</f>
        <v>2024</v>
      </c>
      <c r="M1966" t="str">
        <f>CONCATENATE(LEFT(Master_ventas[[#This Row],[ProdUpper]],3),RIGHT(Master_ventas[[#This Row],[Ext-Year]],2),"-",MID(Master_ventas[[#This Row],[Category]],1,1))</f>
        <v>MON24-A</v>
      </c>
      <c r="N1966" t="str">
        <f>MID(Master_ventas[[#This Row],[ProdUpper]],1,3)</f>
        <v>MON</v>
      </c>
      <c r="O1966" t="str">
        <f>UPPER(IF(Master_ventas[[#This Row],[Profit]]&gt;500,"High","Std"))</f>
        <v>HIGH</v>
      </c>
      <c r="P1966">
        <v>1965</v>
      </c>
    </row>
    <row r="1967" spans="1:16" x14ac:dyDescent="0.3">
      <c r="A1967" s="1">
        <v>45050</v>
      </c>
      <c r="B1967" t="s">
        <v>20</v>
      </c>
      <c r="C1967" t="s">
        <v>11</v>
      </c>
      <c r="D1967" t="s">
        <v>9</v>
      </c>
      <c r="E1967">
        <v>4</v>
      </c>
      <c r="F1967" s="3">
        <v>2092</v>
      </c>
      <c r="G1967" s="2">
        <v>467.02</v>
      </c>
      <c r="H1967">
        <f>Master_ventas[[#This Row],[Profit]]/Master_ventas[[#This Row],[Sales]]</f>
        <v>0.22324091778202676</v>
      </c>
      <c r="I1967">
        <f ca="1">Referencia_Hoy-Master_ventas[[#This Row],[Order Date]]</f>
        <v>1273</v>
      </c>
      <c r="J1967" t="str">
        <f>UPPER(Master_ventas[[#This Row],[Product Name]])</f>
        <v>MONITOR</v>
      </c>
      <c r="K1967" t="str">
        <f>UPPER(Master_ventas[[#This Row],[Category]])</f>
        <v>ACCESSORIES</v>
      </c>
      <c r="L1967">
        <f>YEAR(Master_ventas[[#This Row],[Order Date]])</f>
        <v>2023</v>
      </c>
      <c r="M1967" t="str">
        <f>CONCATENATE(LEFT(Master_ventas[[#This Row],[ProdUpper]],3),RIGHT(Master_ventas[[#This Row],[Ext-Year]],2),"-",MID(Master_ventas[[#This Row],[Category]],1,1))</f>
        <v>MON23-A</v>
      </c>
      <c r="N1967" t="str">
        <f>MID(Master_ventas[[#This Row],[ProdUpper]],1,3)</f>
        <v>MON</v>
      </c>
      <c r="O1967" t="str">
        <f>UPPER(IF(Master_ventas[[#This Row],[Profit]]&gt;500,"High","Std"))</f>
        <v>STD</v>
      </c>
      <c r="P1967">
        <v>1966</v>
      </c>
    </row>
    <row r="1968" spans="1:16" x14ac:dyDescent="0.3">
      <c r="A1968" s="1">
        <v>45421</v>
      </c>
      <c r="B1968" t="s">
        <v>10</v>
      </c>
      <c r="C1968" t="s">
        <v>11</v>
      </c>
      <c r="D1968" t="s">
        <v>15</v>
      </c>
      <c r="E1968">
        <v>8</v>
      </c>
      <c r="F1968" s="3">
        <v>3568</v>
      </c>
      <c r="G1968" s="2">
        <v>334.13</v>
      </c>
      <c r="H1968">
        <f>Master_ventas[[#This Row],[Profit]]/Master_ventas[[#This Row],[Sales]]</f>
        <v>9.3646300448430489E-2</v>
      </c>
      <c r="I1968">
        <f ca="1">Referencia_Hoy-Master_ventas[[#This Row],[Order Date]]</f>
        <v>902</v>
      </c>
      <c r="J1968" t="str">
        <f>UPPER(Master_ventas[[#This Row],[Product Name]])</f>
        <v>MOUSE</v>
      </c>
      <c r="K1968" t="str">
        <f>UPPER(Master_ventas[[#This Row],[Category]])</f>
        <v>ACCESSORIES</v>
      </c>
      <c r="L1968">
        <f>YEAR(Master_ventas[[#This Row],[Order Date]])</f>
        <v>2024</v>
      </c>
      <c r="M1968" t="str">
        <f>CONCATENATE(LEFT(Master_ventas[[#This Row],[ProdUpper]],3),RIGHT(Master_ventas[[#This Row],[Ext-Year]],2),"-",MID(Master_ventas[[#This Row],[Category]],1,1))</f>
        <v>MOU24-A</v>
      </c>
      <c r="N1968" t="str">
        <f>MID(Master_ventas[[#This Row],[ProdUpper]],1,3)</f>
        <v>MOU</v>
      </c>
      <c r="O1968" t="str">
        <f>UPPER(IF(Master_ventas[[#This Row],[Profit]]&gt;500,"High","Std"))</f>
        <v>STD</v>
      </c>
      <c r="P1968">
        <v>1967</v>
      </c>
    </row>
    <row r="1969" spans="1:16" x14ac:dyDescent="0.3">
      <c r="A1969" s="1">
        <v>45267</v>
      </c>
      <c r="B1969" t="s">
        <v>21</v>
      </c>
      <c r="C1969" t="s">
        <v>14</v>
      </c>
      <c r="D1969" t="s">
        <v>16</v>
      </c>
      <c r="E1969">
        <v>9</v>
      </c>
      <c r="F1969" s="3">
        <v>10404</v>
      </c>
      <c r="G1969" s="2">
        <v>2028.21</v>
      </c>
      <c r="H1969">
        <f>Master_ventas[[#This Row],[Profit]]/Master_ventas[[#This Row],[Sales]]</f>
        <v>0.19494521337946943</v>
      </c>
      <c r="I1969">
        <f ca="1">Referencia_Hoy-Master_ventas[[#This Row],[Order Date]]</f>
        <v>1056</v>
      </c>
      <c r="J1969" t="str">
        <f>UPPER(Master_ventas[[#This Row],[Product Name]])</f>
        <v>SMARTPHONE</v>
      </c>
      <c r="K1969" t="str">
        <f>UPPER(Master_ventas[[#This Row],[Category]])</f>
        <v>ELECTRONICS</v>
      </c>
      <c r="L1969">
        <f>YEAR(Master_ventas[[#This Row],[Order Date]])</f>
        <v>2023</v>
      </c>
      <c r="M1969" t="str">
        <f>CONCATENATE(LEFT(Master_ventas[[#This Row],[ProdUpper]],3),RIGHT(Master_ventas[[#This Row],[Ext-Year]],2),"-",MID(Master_ventas[[#This Row],[Category]],1,1))</f>
        <v>SMA23-E</v>
      </c>
      <c r="N1969" t="str">
        <f>MID(Master_ventas[[#This Row],[ProdUpper]],1,3)</f>
        <v>SMA</v>
      </c>
      <c r="O1969" t="str">
        <f>UPPER(IF(Master_ventas[[#This Row],[Profit]]&gt;500,"High","Std"))</f>
        <v>HIGH</v>
      </c>
      <c r="P1969">
        <v>1968</v>
      </c>
    </row>
    <row r="1970" spans="1:16" x14ac:dyDescent="0.3">
      <c r="A1970" s="1">
        <v>44905</v>
      </c>
      <c r="B1970" t="s">
        <v>7</v>
      </c>
      <c r="C1970" t="s">
        <v>8</v>
      </c>
      <c r="D1970" t="s">
        <v>15</v>
      </c>
      <c r="E1970">
        <v>9</v>
      </c>
      <c r="F1970" s="3">
        <v>7029</v>
      </c>
      <c r="G1970" s="2">
        <v>1005.58</v>
      </c>
      <c r="H1970">
        <f>Master_ventas[[#This Row],[Profit]]/Master_ventas[[#This Row],[Sales]]</f>
        <v>0.14306160193484138</v>
      </c>
      <c r="I1970">
        <f ca="1">Referencia_Hoy-Master_ventas[[#This Row],[Order Date]]</f>
        <v>1418</v>
      </c>
      <c r="J1970" t="str">
        <f>UPPER(Master_ventas[[#This Row],[Product Name]])</f>
        <v>PRINTER</v>
      </c>
      <c r="K1970" t="str">
        <f>UPPER(Master_ventas[[#This Row],[Category]])</f>
        <v>OFFICE</v>
      </c>
      <c r="L1970">
        <f>YEAR(Master_ventas[[#This Row],[Order Date]])</f>
        <v>2022</v>
      </c>
      <c r="M1970" t="str">
        <f>CONCATENATE(LEFT(Master_ventas[[#This Row],[ProdUpper]],3),RIGHT(Master_ventas[[#This Row],[Ext-Year]],2),"-",MID(Master_ventas[[#This Row],[Category]],1,1))</f>
        <v>PRI22-O</v>
      </c>
      <c r="N1970" t="str">
        <f>MID(Master_ventas[[#This Row],[ProdUpper]],1,3)</f>
        <v>PRI</v>
      </c>
      <c r="O1970" t="str">
        <f>UPPER(IF(Master_ventas[[#This Row],[Profit]]&gt;500,"High","Std"))</f>
        <v>HIGH</v>
      </c>
      <c r="P1970">
        <v>1969</v>
      </c>
    </row>
    <row r="1971" spans="1:16" x14ac:dyDescent="0.3">
      <c r="A1971" s="1">
        <v>44886</v>
      </c>
      <c r="B1971" t="s">
        <v>23</v>
      </c>
      <c r="C1971" t="s">
        <v>14</v>
      </c>
      <c r="D1971" t="s">
        <v>16</v>
      </c>
      <c r="E1971">
        <v>8</v>
      </c>
      <c r="F1971" s="3">
        <v>664</v>
      </c>
      <c r="G1971" s="2">
        <v>126.6</v>
      </c>
      <c r="H1971">
        <f>Master_ventas[[#This Row],[Profit]]/Master_ventas[[#This Row],[Sales]]</f>
        <v>0.19066265060240964</v>
      </c>
      <c r="I1971">
        <f ca="1">Referencia_Hoy-Master_ventas[[#This Row],[Order Date]]</f>
        <v>1437</v>
      </c>
      <c r="J1971" t="str">
        <f>UPPER(Master_ventas[[#This Row],[Product Name]])</f>
        <v>LAPTOP</v>
      </c>
      <c r="K1971" t="str">
        <f>UPPER(Master_ventas[[#This Row],[Category]])</f>
        <v>ELECTRONICS</v>
      </c>
      <c r="L1971">
        <f>YEAR(Master_ventas[[#This Row],[Order Date]])</f>
        <v>2022</v>
      </c>
      <c r="M1971" t="str">
        <f>CONCATENATE(LEFT(Master_ventas[[#This Row],[ProdUpper]],3),RIGHT(Master_ventas[[#This Row],[Ext-Year]],2),"-",MID(Master_ventas[[#This Row],[Category]],1,1))</f>
        <v>LAP22-E</v>
      </c>
      <c r="N1971" t="str">
        <f>MID(Master_ventas[[#This Row],[ProdUpper]],1,3)</f>
        <v>LAP</v>
      </c>
      <c r="O1971" t="str">
        <f>UPPER(IF(Master_ventas[[#This Row],[Profit]]&gt;500,"High","Std"))</f>
        <v>STD</v>
      </c>
      <c r="P1971">
        <v>1970</v>
      </c>
    </row>
    <row r="1972" spans="1:16" x14ac:dyDescent="0.3">
      <c r="A1972" s="1">
        <v>45616</v>
      </c>
      <c r="B1972" t="s">
        <v>13</v>
      </c>
      <c r="C1972" t="s">
        <v>14</v>
      </c>
      <c r="D1972" t="s">
        <v>16</v>
      </c>
      <c r="E1972">
        <v>3</v>
      </c>
      <c r="F1972" s="3">
        <v>1923</v>
      </c>
      <c r="G1972" s="2">
        <v>274</v>
      </c>
      <c r="H1972">
        <f>Master_ventas[[#This Row],[Profit]]/Master_ventas[[#This Row],[Sales]]</f>
        <v>0.14248569942797712</v>
      </c>
      <c r="I1972">
        <f ca="1">Referencia_Hoy-Master_ventas[[#This Row],[Order Date]]</f>
        <v>707</v>
      </c>
      <c r="J1972" t="str">
        <f>UPPER(Master_ventas[[#This Row],[Product Name]])</f>
        <v>TABLET</v>
      </c>
      <c r="K1972" t="str">
        <f>UPPER(Master_ventas[[#This Row],[Category]])</f>
        <v>ELECTRONICS</v>
      </c>
      <c r="L1972">
        <f>YEAR(Master_ventas[[#This Row],[Order Date]])</f>
        <v>2024</v>
      </c>
      <c r="M1972" t="str">
        <f>CONCATENATE(LEFT(Master_ventas[[#This Row],[ProdUpper]],3),RIGHT(Master_ventas[[#This Row],[Ext-Year]],2),"-",MID(Master_ventas[[#This Row],[Category]],1,1))</f>
        <v>TAB24-E</v>
      </c>
      <c r="N1972" t="str">
        <f>MID(Master_ventas[[#This Row],[ProdUpper]],1,3)</f>
        <v>TAB</v>
      </c>
      <c r="O1972" t="str">
        <f>UPPER(IF(Master_ventas[[#This Row],[Profit]]&gt;500,"High","Std"))</f>
        <v>STD</v>
      </c>
      <c r="P1972">
        <v>1971</v>
      </c>
    </row>
    <row r="1973" spans="1:16" x14ac:dyDescent="0.3">
      <c r="A1973" s="1">
        <v>44895</v>
      </c>
      <c r="B1973" t="s">
        <v>7</v>
      </c>
      <c r="C1973" t="s">
        <v>8</v>
      </c>
      <c r="D1973" t="s">
        <v>16</v>
      </c>
      <c r="E1973">
        <v>7</v>
      </c>
      <c r="F1973" s="3">
        <v>2471</v>
      </c>
      <c r="G1973" s="2">
        <v>566.51</v>
      </c>
      <c r="H1973">
        <f>Master_ventas[[#This Row],[Profit]]/Master_ventas[[#This Row],[Sales]]</f>
        <v>0.22926345609065155</v>
      </c>
      <c r="I1973">
        <f ca="1">Referencia_Hoy-Master_ventas[[#This Row],[Order Date]]</f>
        <v>1428</v>
      </c>
      <c r="J1973" t="str">
        <f>UPPER(Master_ventas[[#This Row],[Product Name]])</f>
        <v>PRINTER</v>
      </c>
      <c r="K1973" t="str">
        <f>UPPER(Master_ventas[[#This Row],[Category]])</f>
        <v>OFFICE</v>
      </c>
      <c r="L1973">
        <f>YEAR(Master_ventas[[#This Row],[Order Date]])</f>
        <v>2022</v>
      </c>
      <c r="M1973" t="str">
        <f>CONCATENATE(LEFT(Master_ventas[[#This Row],[ProdUpper]],3),RIGHT(Master_ventas[[#This Row],[Ext-Year]],2),"-",MID(Master_ventas[[#This Row],[Category]],1,1))</f>
        <v>PRI22-O</v>
      </c>
      <c r="N1973" t="str">
        <f>MID(Master_ventas[[#This Row],[ProdUpper]],1,3)</f>
        <v>PRI</v>
      </c>
      <c r="O1973" t="str">
        <f>UPPER(IF(Master_ventas[[#This Row],[Profit]]&gt;500,"High","Std"))</f>
        <v>HIGH</v>
      </c>
      <c r="P1973">
        <v>1972</v>
      </c>
    </row>
    <row r="1974" spans="1:16" x14ac:dyDescent="0.3">
      <c r="A1974" s="1">
        <v>45294</v>
      </c>
      <c r="B1974" t="s">
        <v>21</v>
      </c>
      <c r="C1974" t="s">
        <v>14</v>
      </c>
      <c r="D1974" t="s">
        <v>9</v>
      </c>
      <c r="E1974">
        <v>2</v>
      </c>
      <c r="F1974" s="3">
        <v>258</v>
      </c>
      <c r="G1974" s="2">
        <v>64.12</v>
      </c>
      <c r="H1974">
        <f>Master_ventas[[#This Row],[Profit]]/Master_ventas[[#This Row],[Sales]]</f>
        <v>0.24852713178294575</v>
      </c>
      <c r="I1974">
        <f ca="1">Referencia_Hoy-Master_ventas[[#This Row],[Order Date]]</f>
        <v>1029</v>
      </c>
      <c r="J1974" t="str">
        <f>UPPER(Master_ventas[[#This Row],[Product Name]])</f>
        <v>SMARTPHONE</v>
      </c>
      <c r="K1974" t="str">
        <f>UPPER(Master_ventas[[#This Row],[Category]])</f>
        <v>ELECTRONICS</v>
      </c>
      <c r="L1974">
        <f>YEAR(Master_ventas[[#This Row],[Order Date]])</f>
        <v>2024</v>
      </c>
      <c r="M1974" t="str">
        <f>CONCATENATE(LEFT(Master_ventas[[#This Row],[ProdUpper]],3),RIGHT(Master_ventas[[#This Row],[Ext-Year]],2),"-",MID(Master_ventas[[#This Row],[Category]],1,1))</f>
        <v>SMA24-E</v>
      </c>
      <c r="N1974" t="str">
        <f>MID(Master_ventas[[#This Row],[ProdUpper]],1,3)</f>
        <v>SMA</v>
      </c>
      <c r="O1974" t="str">
        <f>UPPER(IF(Master_ventas[[#This Row],[Profit]]&gt;500,"High","Std"))</f>
        <v>STD</v>
      </c>
      <c r="P1974">
        <v>1973</v>
      </c>
    </row>
    <row r="1975" spans="1:16" x14ac:dyDescent="0.3">
      <c r="A1975" s="1">
        <v>45594</v>
      </c>
      <c r="B1975" t="s">
        <v>19</v>
      </c>
      <c r="C1975" t="s">
        <v>14</v>
      </c>
      <c r="D1975" t="s">
        <v>12</v>
      </c>
      <c r="E1975">
        <v>9</v>
      </c>
      <c r="F1975" s="3">
        <v>1134</v>
      </c>
      <c r="G1975" s="2">
        <v>267.26</v>
      </c>
      <c r="H1975">
        <f>Master_ventas[[#This Row],[Profit]]/Master_ventas[[#This Row],[Sales]]</f>
        <v>0.23567901234567901</v>
      </c>
      <c r="I1975">
        <f ca="1">Referencia_Hoy-Master_ventas[[#This Row],[Order Date]]</f>
        <v>729</v>
      </c>
      <c r="J1975" t="str">
        <f>UPPER(Master_ventas[[#This Row],[Product Name]])</f>
        <v>SMARTWATCH</v>
      </c>
      <c r="K1975" t="str">
        <f>UPPER(Master_ventas[[#This Row],[Category]])</f>
        <v>ELECTRONICS</v>
      </c>
      <c r="L1975">
        <f>YEAR(Master_ventas[[#This Row],[Order Date]])</f>
        <v>2024</v>
      </c>
      <c r="M1975" t="str">
        <f>CONCATENATE(LEFT(Master_ventas[[#This Row],[ProdUpper]],3),RIGHT(Master_ventas[[#This Row],[Ext-Year]],2),"-",MID(Master_ventas[[#This Row],[Category]],1,1))</f>
        <v>SMA24-E</v>
      </c>
      <c r="N1975" t="str">
        <f>MID(Master_ventas[[#This Row],[ProdUpper]],1,3)</f>
        <v>SMA</v>
      </c>
      <c r="O1975" t="str">
        <f>UPPER(IF(Master_ventas[[#This Row],[Profit]]&gt;500,"High","Std"))</f>
        <v>STD</v>
      </c>
      <c r="P1975">
        <v>1974</v>
      </c>
    </row>
    <row r="1976" spans="1:16" x14ac:dyDescent="0.3">
      <c r="A1976" s="1">
        <v>45559</v>
      </c>
      <c r="B1976" t="s">
        <v>18</v>
      </c>
      <c r="C1976" t="s">
        <v>11</v>
      </c>
      <c r="D1976" t="s">
        <v>12</v>
      </c>
      <c r="E1976">
        <v>5</v>
      </c>
      <c r="F1976" s="3">
        <v>855</v>
      </c>
      <c r="G1976" s="2">
        <v>238.83</v>
      </c>
      <c r="H1976">
        <f>Master_ventas[[#This Row],[Profit]]/Master_ventas[[#This Row],[Sales]]</f>
        <v>0.27933333333333332</v>
      </c>
      <c r="I1976">
        <f ca="1">Referencia_Hoy-Master_ventas[[#This Row],[Order Date]]</f>
        <v>764</v>
      </c>
      <c r="J1976" t="str">
        <f>UPPER(Master_ventas[[#This Row],[Product Name]])</f>
        <v>HEADPHONES</v>
      </c>
      <c r="K1976" t="str">
        <f>UPPER(Master_ventas[[#This Row],[Category]])</f>
        <v>ACCESSORIES</v>
      </c>
      <c r="L1976">
        <f>YEAR(Master_ventas[[#This Row],[Order Date]])</f>
        <v>2024</v>
      </c>
      <c r="M1976" t="str">
        <f>CONCATENATE(LEFT(Master_ventas[[#This Row],[ProdUpper]],3),RIGHT(Master_ventas[[#This Row],[Ext-Year]],2),"-",MID(Master_ventas[[#This Row],[Category]],1,1))</f>
        <v>HEA24-A</v>
      </c>
      <c r="N1976" t="str">
        <f>MID(Master_ventas[[#This Row],[ProdUpper]],1,3)</f>
        <v>HEA</v>
      </c>
      <c r="O1976" t="str">
        <f>UPPER(IF(Master_ventas[[#This Row],[Profit]]&gt;500,"High","Std"))</f>
        <v>STD</v>
      </c>
      <c r="P1976">
        <v>1975</v>
      </c>
    </row>
    <row r="1977" spans="1:16" x14ac:dyDescent="0.3">
      <c r="A1977" s="1">
        <v>45391</v>
      </c>
      <c r="B1977" t="s">
        <v>19</v>
      </c>
      <c r="C1977" t="s">
        <v>14</v>
      </c>
      <c r="D1977" t="s">
        <v>16</v>
      </c>
      <c r="E1977">
        <v>9</v>
      </c>
      <c r="F1977" s="3">
        <v>3231</v>
      </c>
      <c r="G1977" s="2">
        <v>670.85</v>
      </c>
      <c r="H1977">
        <f>Master_ventas[[#This Row],[Profit]]/Master_ventas[[#This Row],[Sales]]</f>
        <v>0.20762921696069328</v>
      </c>
      <c r="I1977">
        <f ca="1">Referencia_Hoy-Master_ventas[[#This Row],[Order Date]]</f>
        <v>932</v>
      </c>
      <c r="J1977" t="str">
        <f>UPPER(Master_ventas[[#This Row],[Product Name]])</f>
        <v>SMARTWATCH</v>
      </c>
      <c r="K1977" t="str">
        <f>UPPER(Master_ventas[[#This Row],[Category]])</f>
        <v>ELECTRONICS</v>
      </c>
      <c r="L1977">
        <f>YEAR(Master_ventas[[#This Row],[Order Date]])</f>
        <v>2024</v>
      </c>
      <c r="M1977" t="str">
        <f>CONCATENATE(LEFT(Master_ventas[[#This Row],[ProdUpper]],3),RIGHT(Master_ventas[[#This Row],[Ext-Year]],2),"-",MID(Master_ventas[[#This Row],[Category]],1,1))</f>
        <v>SMA24-E</v>
      </c>
      <c r="N1977" t="str">
        <f>MID(Master_ventas[[#This Row],[ProdUpper]],1,3)</f>
        <v>SMA</v>
      </c>
      <c r="O1977" t="str">
        <f>UPPER(IF(Master_ventas[[#This Row],[Profit]]&gt;500,"High","Std"))</f>
        <v>HIGH</v>
      </c>
      <c r="P1977">
        <v>1976</v>
      </c>
    </row>
    <row r="1978" spans="1:16" x14ac:dyDescent="0.3">
      <c r="A1978" s="1">
        <v>45540</v>
      </c>
      <c r="B1978" t="s">
        <v>13</v>
      </c>
      <c r="C1978" t="s">
        <v>14</v>
      </c>
      <c r="D1978" t="s">
        <v>15</v>
      </c>
      <c r="E1978">
        <v>7</v>
      </c>
      <c r="F1978" s="3">
        <v>3591</v>
      </c>
      <c r="G1978" s="2">
        <v>266.58999999999997</v>
      </c>
      <c r="H1978">
        <f>Master_ventas[[#This Row],[Profit]]/Master_ventas[[#This Row],[Sales]]</f>
        <v>7.4238373712057909E-2</v>
      </c>
      <c r="I1978">
        <f ca="1">Referencia_Hoy-Master_ventas[[#This Row],[Order Date]]</f>
        <v>783</v>
      </c>
      <c r="J1978" t="str">
        <f>UPPER(Master_ventas[[#This Row],[Product Name]])</f>
        <v>TABLET</v>
      </c>
      <c r="K1978" t="str">
        <f>UPPER(Master_ventas[[#This Row],[Category]])</f>
        <v>ELECTRONICS</v>
      </c>
      <c r="L1978">
        <f>YEAR(Master_ventas[[#This Row],[Order Date]])</f>
        <v>2024</v>
      </c>
      <c r="M1978" t="str">
        <f>CONCATENATE(LEFT(Master_ventas[[#This Row],[ProdUpper]],3),RIGHT(Master_ventas[[#This Row],[Ext-Year]],2),"-",MID(Master_ventas[[#This Row],[Category]],1,1))</f>
        <v>TAB24-E</v>
      </c>
      <c r="N1978" t="str">
        <f>MID(Master_ventas[[#This Row],[ProdUpper]],1,3)</f>
        <v>TAB</v>
      </c>
      <c r="O1978" t="str">
        <f>UPPER(IF(Master_ventas[[#This Row],[Profit]]&gt;500,"High","Std"))</f>
        <v>STD</v>
      </c>
      <c r="P1978">
        <v>1977</v>
      </c>
    </row>
    <row r="1979" spans="1:16" x14ac:dyDescent="0.3">
      <c r="A1979" s="1">
        <v>45325</v>
      </c>
      <c r="B1979" t="s">
        <v>17</v>
      </c>
      <c r="C1979" t="s">
        <v>14</v>
      </c>
      <c r="D1979" t="s">
        <v>12</v>
      </c>
      <c r="E1979">
        <v>2</v>
      </c>
      <c r="F1979" s="3">
        <v>254</v>
      </c>
      <c r="G1979" s="2">
        <v>20.48</v>
      </c>
      <c r="H1979">
        <f>Master_ventas[[#This Row],[Profit]]/Master_ventas[[#This Row],[Sales]]</f>
        <v>8.0629921259842516E-2</v>
      </c>
      <c r="I1979">
        <f ca="1">Referencia_Hoy-Master_ventas[[#This Row],[Order Date]]</f>
        <v>998</v>
      </c>
      <c r="J1979" t="str">
        <f>UPPER(Master_ventas[[#This Row],[Product Name]])</f>
        <v>CAMERA</v>
      </c>
      <c r="K1979" t="str">
        <f>UPPER(Master_ventas[[#This Row],[Category]])</f>
        <v>ELECTRONICS</v>
      </c>
      <c r="L1979">
        <f>YEAR(Master_ventas[[#This Row],[Order Date]])</f>
        <v>2024</v>
      </c>
      <c r="M1979" t="str">
        <f>CONCATENATE(LEFT(Master_ventas[[#This Row],[ProdUpper]],3),RIGHT(Master_ventas[[#This Row],[Ext-Year]],2),"-",MID(Master_ventas[[#This Row],[Category]],1,1))</f>
        <v>CAM24-E</v>
      </c>
      <c r="N1979" t="str">
        <f>MID(Master_ventas[[#This Row],[ProdUpper]],1,3)</f>
        <v>CAM</v>
      </c>
      <c r="O1979" t="str">
        <f>UPPER(IF(Master_ventas[[#This Row],[Profit]]&gt;500,"High","Std"))</f>
        <v>STD</v>
      </c>
      <c r="P1979">
        <v>1978</v>
      </c>
    </row>
    <row r="1980" spans="1:16" x14ac:dyDescent="0.3">
      <c r="A1980" s="1">
        <v>45002</v>
      </c>
      <c r="B1980" t="s">
        <v>21</v>
      </c>
      <c r="C1980" t="s">
        <v>14</v>
      </c>
      <c r="D1980" t="s">
        <v>15</v>
      </c>
      <c r="E1980">
        <v>5</v>
      </c>
      <c r="F1980" s="3">
        <v>5930</v>
      </c>
      <c r="G1980" s="2">
        <v>1193.32</v>
      </c>
      <c r="H1980">
        <f>Master_ventas[[#This Row],[Profit]]/Master_ventas[[#This Row],[Sales]]</f>
        <v>0.2012344013490725</v>
      </c>
      <c r="I1980">
        <f ca="1">Referencia_Hoy-Master_ventas[[#This Row],[Order Date]]</f>
        <v>1321</v>
      </c>
      <c r="J1980" t="str">
        <f>UPPER(Master_ventas[[#This Row],[Product Name]])</f>
        <v>SMARTPHONE</v>
      </c>
      <c r="K1980" t="str">
        <f>UPPER(Master_ventas[[#This Row],[Category]])</f>
        <v>ELECTRONICS</v>
      </c>
      <c r="L1980">
        <f>YEAR(Master_ventas[[#This Row],[Order Date]])</f>
        <v>2023</v>
      </c>
      <c r="M1980" t="str">
        <f>CONCATENATE(LEFT(Master_ventas[[#This Row],[ProdUpper]],3),RIGHT(Master_ventas[[#This Row],[Ext-Year]],2),"-",MID(Master_ventas[[#This Row],[Category]],1,1))</f>
        <v>SMA23-E</v>
      </c>
      <c r="N1980" t="str">
        <f>MID(Master_ventas[[#This Row],[ProdUpper]],1,3)</f>
        <v>SMA</v>
      </c>
      <c r="O1980" t="str">
        <f>UPPER(IF(Master_ventas[[#This Row],[Profit]]&gt;500,"High","Std"))</f>
        <v>HIGH</v>
      </c>
      <c r="P1980">
        <v>1979</v>
      </c>
    </row>
    <row r="1981" spans="1:16" x14ac:dyDescent="0.3">
      <c r="A1981" s="1">
        <v>45488</v>
      </c>
      <c r="B1981" t="s">
        <v>18</v>
      </c>
      <c r="C1981" t="s">
        <v>11</v>
      </c>
      <c r="D1981" t="s">
        <v>16</v>
      </c>
      <c r="E1981">
        <v>2</v>
      </c>
      <c r="F1981" s="3">
        <v>1344</v>
      </c>
      <c r="G1981" s="2">
        <v>297.99</v>
      </c>
      <c r="H1981">
        <f>Master_ventas[[#This Row],[Profit]]/Master_ventas[[#This Row],[Sales]]</f>
        <v>0.22171875000000002</v>
      </c>
      <c r="I1981">
        <f ca="1">Referencia_Hoy-Master_ventas[[#This Row],[Order Date]]</f>
        <v>835</v>
      </c>
      <c r="J1981" t="str">
        <f>UPPER(Master_ventas[[#This Row],[Product Name]])</f>
        <v>HEADPHONES</v>
      </c>
      <c r="K1981" t="str">
        <f>UPPER(Master_ventas[[#This Row],[Category]])</f>
        <v>ACCESSORIES</v>
      </c>
      <c r="L1981">
        <f>YEAR(Master_ventas[[#This Row],[Order Date]])</f>
        <v>2024</v>
      </c>
      <c r="M1981" t="str">
        <f>CONCATENATE(LEFT(Master_ventas[[#This Row],[ProdUpper]],3),RIGHT(Master_ventas[[#This Row],[Ext-Year]],2),"-",MID(Master_ventas[[#This Row],[Category]],1,1))</f>
        <v>HEA24-A</v>
      </c>
      <c r="N1981" t="str">
        <f>MID(Master_ventas[[#This Row],[ProdUpper]],1,3)</f>
        <v>HEA</v>
      </c>
      <c r="O1981" t="str">
        <f>UPPER(IF(Master_ventas[[#This Row],[Profit]]&gt;500,"High","Std"))</f>
        <v>STD</v>
      </c>
      <c r="P1981">
        <v>1980</v>
      </c>
    </row>
    <row r="1982" spans="1:16" x14ac:dyDescent="0.3">
      <c r="A1982" s="1">
        <v>45005</v>
      </c>
      <c r="B1982" t="s">
        <v>23</v>
      </c>
      <c r="C1982" t="s">
        <v>14</v>
      </c>
      <c r="D1982" t="s">
        <v>12</v>
      </c>
      <c r="E1982">
        <v>1</v>
      </c>
      <c r="F1982" s="3">
        <v>920</v>
      </c>
      <c r="G1982" s="2">
        <v>98.31</v>
      </c>
      <c r="H1982">
        <f>Master_ventas[[#This Row],[Profit]]/Master_ventas[[#This Row],[Sales]]</f>
        <v>0.10685869565217392</v>
      </c>
      <c r="I1982">
        <f ca="1">Referencia_Hoy-Master_ventas[[#This Row],[Order Date]]</f>
        <v>1318</v>
      </c>
      <c r="J1982" t="str">
        <f>UPPER(Master_ventas[[#This Row],[Product Name]])</f>
        <v>LAPTOP</v>
      </c>
      <c r="K1982" t="str">
        <f>UPPER(Master_ventas[[#This Row],[Category]])</f>
        <v>ELECTRONICS</v>
      </c>
      <c r="L1982">
        <f>YEAR(Master_ventas[[#This Row],[Order Date]])</f>
        <v>2023</v>
      </c>
      <c r="M1982" t="str">
        <f>CONCATENATE(LEFT(Master_ventas[[#This Row],[ProdUpper]],3),RIGHT(Master_ventas[[#This Row],[Ext-Year]],2),"-",MID(Master_ventas[[#This Row],[Category]],1,1))</f>
        <v>LAP23-E</v>
      </c>
      <c r="N1982" t="str">
        <f>MID(Master_ventas[[#This Row],[ProdUpper]],1,3)</f>
        <v>LAP</v>
      </c>
      <c r="O1982" t="str">
        <f>UPPER(IF(Master_ventas[[#This Row],[Profit]]&gt;500,"High","Std"))</f>
        <v>STD</v>
      </c>
      <c r="P1982">
        <v>1981</v>
      </c>
    </row>
    <row r="1983" spans="1:16" x14ac:dyDescent="0.3">
      <c r="A1983" s="1">
        <v>44801</v>
      </c>
      <c r="B1983" t="s">
        <v>7</v>
      </c>
      <c r="C1983" t="s">
        <v>8</v>
      </c>
      <c r="D1983" t="s">
        <v>9</v>
      </c>
      <c r="E1983">
        <v>9</v>
      </c>
      <c r="F1983" s="3">
        <v>5454</v>
      </c>
      <c r="G1983" s="2">
        <v>385.51</v>
      </c>
      <c r="H1983">
        <f>Master_ventas[[#This Row],[Profit]]/Master_ventas[[#This Row],[Sales]]</f>
        <v>7.0683901723505679E-2</v>
      </c>
      <c r="I1983">
        <f ca="1">Referencia_Hoy-Master_ventas[[#This Row],[Order Date]]</f>
        <v>1522</v>
      </c>
      <c r="J1983" t="str">
        <f>UPPER(Master_ventas[[#This Row],[Product Name]])</f>
        <v>PRINTER</v>
      </c>
      <c r="K1983" t="str">
        <f>UPPER(Master_ventas[[#This Row],[Category]])</f>
        <v>OFFICE</v>
      </c>
      <c r="L1983">
        <f>YEAR(Master_ventas[[#This Row],[Order Date]])</f>
        <v>2022</v>
      </c>
      <c r="M1983" t="str">
        <f>CONCATENATE(LEFT(Master_ventas[[#This Row],[ProdUpper]],3),RIGHT(Master_ventas[[#This Row],[Ext-Year]],2),"-",MID(Master_ventas[[#This Row],[Category]],1,1))</f>
        <v>PRI22-O</v>
      </c>
      <c r="N1983" t="str">
        <f>MID(Master_ventas[[#This Row],[ProdUpper]],1,3)</f>
        <v>PRI</v>
      </c>
      <c r="O1983" t="str">
        <f>UPPER(IF(Master_ventas[[#This Row],[Profit]]&gt;500,"High","Std"))</f>
        <v>STD</v>
      </c>
      <c r="P1983">
        <v>1982</v>
      </c>
    </row>
    <row r="1984" spans="1:16" x14ac:dyDescent="0.3">
      <c r="A1984" s="1">
        <v>44896</v>
      </c>
      <c r="B1984" t="s">
        <v>23</v>
      </c>
      <c r="C1984" t="s">
        <v>14</v>
      </c>
      <c r="D1984" t="s">
        <v>16</v>
      </c>
      <c r="E1984">
        <v>8</v>
      </c>
      <c r="F1984" s="3">
        <v>9512</v>
      </c>
      <c r="G1984" s="2">
        <v>663.23</v>
      </c>
      <c r="H1984">
        <f>Master_ventas[[#This Row],[Profit]]/Master_ventas[[#This Row],[Sales]]</f>
        <v>6.9725609756097567E-2</v>
      </c>
      <c r="I1984">
        <f ca="1">Referencia_Hoy-Master_ventas[[#This Row],[Order Date]]</f>
        <v>1427</v>
      </c>
      <c r="J1984" t="str">
        <f>UPPER(Master_ventas[[#This Row],[Product Name]])</f>
        <v>LAPTOP</v>
      </c>
      <c r="K1984" t="str">
        <f>UPPER(Master_ventas[[#This Row],[Category]])</f>
        <v>ELECTRONICS</v>
      </c>
      <c r="L1984">
        <f>YEAR(Master_ventas[[#This Row],[Order Date]])</f>
        <v>2022</v>
      </c>
      <c r="M1984" t="str">
        <f>CONCATENATE(LEFT(Master_ventas[[#This Row],[ProdUpper]],3),RIGHT(Master_ventas[[#This Row],[Ext-Year]],2),"-",MID(Master_ventas[[#This Row],[Category]],1,1))</f>
        <v>LAP22-E</v>
      </c>
      <c r="N1984" t="str">
        <f>MID(Master_ventas[[#This Row],[ProdUpper]],1,3)</f>
        <v>LAP</v>
      </c>
      <c r="O1984" t="str">
        <f>UPPER(IF(Master_ventas[[#This Row],[Profit]]&gt;500,"High","Std"))</f>
        <v>HIGH</v>
      </c>
      <c r="P1984">
        <v>1983</v>
      </c>
    </row>
    <row r="1985" spans="1:16" x14ac:dyDescent="0.3">
      <c r="A1985" s="1">
        <v>44947</v>
      </c>
      <c r="B1985" t="s">
        <v>10</v>
      </c>
      <c r="C1985" t="s">
        <v>11</v>
      </c>
      <c r="D1985" t="s">
        <v>9</v>
      </c>
      <c r="E1985">
        <v>4</v>
      </c>
      <c r="F1985" s="3">
        <v>2972</v>
      </c>
      <c r="G1985" s="2">
        <v>827.46</v>
      </c>
      <c r="H1985">
        <f>Master_ventas[[#This Row],[Profit]]/Master_ventas[[#This Row],[Sales]]</f>
        <v>0.27841857335127862</v>
      </c>
      <c r="I1985">
        <f ca="1">Referencia_Hoy-Master_ventas[[#This Row],[Order Date]]</f>
        <v>1376</v>
      </c>
      <c r="J1985" t="str">
        <f>UPPER(Master_ventas[[#This Row],[Product Name]])</f>
        <v>MOUSE</v>
      </c>
      <c r="K1985" t="str">
        <f>UPPER(Master_ventas[[#This Row],[Category]])</f>
        <v>ACCESSORIES</v>
      </c>
      <c r="L1985">
        <f>YEAR(Master_ventas[[#This Row],[Order Date]])</f>
        <v>2023</v>
      </c>
      <c r="M1985" t="str">
        <f>CONCATENATE(LEFT(Master_ventas[[#This Row],[ProdUpper]],3),RIGHT(Master_ventas[[#This Row],[Ext-Year]],2),"-",MID(Master_ventas[[#This Row],[Category]],1,1))</f>
        <v>MOU23-A</v>
      </c>
      <c r="N1985" t="str">
        <f>MID(Master_ventas[[#This Row],[ProdUpper]],1,3)</f>
        <v>MOU</v>
      </c>
      <c r="O1985" t="str">
        <f>UPPER(IF(Master_ventas[[#This Row],[Profit]]&gt;500,"High","Std"))</f>
        <v>HIGH</v>
      </c>
      <c r="P1985">
        <v>1984</v>
      </c>
    </row>
    <row r="1986" spans="1:16" x14ac:dyDescent="0.3">
      <c r="A1986" s="1">
        <v>45435</v>
      </c>
      <c r="B1986" t="s">
        <v>19</v>
      </c>
      <c r="C1986" t="s">
        <v>14</v>
      </c>
      <c r="D1986" t="s">
        <v>16</v>
      </c>
      <c r="E1986">
        <v>3</v>
      </c>
      <c r="F1986" s="3">
        <v>3360</v>
      </c>
      <c r="G1986" s="2">
        <v>465.02</v>
      </c>
      <c r="H1986">
        <f>Master_ventas[[#This Row],[Profit]]/Master_ventas[[#This Row],[Sales]]</f>
        <v>0.13839880952380951</v>
      </c>
      <c r="I1986">
        <f ca="1">Referencia_Hoy-Master_ventas[[#This Row],[Order Date]]</f>
        <v>888</v>
      </c>
      <c r="J1986" t="str">
        <f>UPPER(Master_ventas[[#This Row],[Product Name]])</f>
        <v>SMARTWATCH</v>
      </c>
      <c r="K1986" t="str">
        <f>UPPER(Master_ventas[[#This Row],[Category]])</f>
        <v>ELECTRONICS</v>
      </c>
      <c r="L1986">
        <f>YEAR(Master_ventas[[#This Row],[Order Date]])</f>
        <v>2024</v>
      </c>
      <c r="M1986" t="str">
        <f>CONCATENATE(LEFT(Master_ventas[[#This Row],[ProdUpper]],3),RIGHT(Master_ventas[[#This Row],[Ext-Year]],2),"-",MID(Master_ventas[[#This Row],[Category]],1,1))</f>
        <v>SMA24-E</v>
      </c>
      <c r="N1986" t="str">
        <f>MID(Master_ventas[[#This Row],[ProdUpper]],1,3)</f>
        <v>SMA</v>
      </c>
      <c r="O1986" t="str">
        <f>UPPER(IF(Master_ventas[[#This Row],[Profit]]&gt;500,"High","Std"))</f>
        <v>STD</v>
      </c>
      <c r="P1986">
        <v>1985</v>
      </c>
    </row>
    <row r="1987" spans="1:16" x14ac:dyDescent="0.3">
      <c r="A1987" s="1">
        <v>44858</v>
      </c>
      <c r="B1987" t="s">
        <v>13</v>
      </c>
      <c r="C1987" t="s">
        <v>14</v>
      </c>
      <c r="D1987" t="s">
        <v>16</v>
      </c>
      <c r="E1987">
        <v>4</v>
      </c>
      <c r="F1987" s="3">
        <v>1004</v>
      </c>
      <c r="G1987" s="2">
        <v>240.13</v>
      </c>
      <c r="H1987">
        <f>Master_ventas[[#This Row],[Profit]]/Master_ventas[[#This Row],[Sales]]</f>
        <v>0.23917330677290835</v>
      </c>
      <c r="I1987">
        <f ca="1">Referencia_Hoy-Master_ventas[[#This Row],[Order Date]]</f>
        <v>1465</v>
      </c>
      <c r="J1987" t="str">
        <f>UPPER(Master_ventas[[#This Row],[Product Name]])</f>
        <v>TABLET</v>
      </c>
      <c r="K1987" t="str">
        <f>UPPER(Master_ventas[[#This Row],[Category]])</f>
        <v>ELECTRONICS</v>
      </c>
      <c r="L1987">
        <f>YEAR(Master_ventas[[#This Row],[Order Date]])</f>
        <v>2022</v>
      </c>
      <c r="M1987" t="str">
        <f>CONCATENATE(LEFT(Master_ventas[[#This Row],[ProdUpper]],3),RIGHT(Master_ventas[[#This Row],[Ext-Year]],2),"-",MID(Master_ventas[[#This Row],[Category]],1,1))</f>
        <v>TAB22-E</v>
      </c>
      <c r="N1987" t="str">
        <f>MID(Master_ventas[[#This Row],[ProdUpper]],1,3)</f>
        <v>TAB</v>
      </c>
      <c r="O1987" t="str">
        <f>UPPER(IF(Master_ventas[[#This Row],[Profit]]&gt;500,"High","Std"))</f>
        <v>STD</v>
      </c>
      <c r="P1987">
        <v>1986</v>
      </c>
    </row>
    <row r="1988" spans="1:16" x14ac:dyDescent="0.3">
      <c r="A1988" s="1">
        <v>45651</v>
      </c>
      <c r="B1988" t="s">
        <v>18</v>
      </c>
      <c r="C1988" t="s">
        <v>11</v>
      </c>
      <c r="D1988" t="s">
        <v>16</v>
      </c>
      <c r="E1988">
        <v>2</v>
      </c>
      <c r="F1988" s="3">
        <v>1944</v>
      </c>
      <c r="G1988" s="2">
        <v>332.55</v>
      </c>
      <c r="H1988">
        <f>Master_ventas[[#This Row],[Profit]]/Master_ventas[[#This Row],[Sales]]</f>
        <v>0.17106481481481481</v>
      </c>
      <c r="I1988">
        <f ca="1">Referencia_Hoy-Master_ventas[[#This Row],[Order Date]]</f>
        <v>672</v>
      </c>
      <c r="J1988" t="str">
        <f>UPPER(Master_ventas[[#This Row],[Product Name]])</f>
        <v>HEADPHONES</v>
      </c>
      <c r="K1988" t="str">
        <f>UPPER(Master_ventas[[#This Row],[Category]])</f>
        <v>ACCESSORIES</v>
      </c>
      <c r="L1988">
        <f>YEAR(Master_ventas[[#This Row],[Order Date]])</f>
        <v>2024</v>
      </c>
      <c r="M1988" t="str">
        <f>CONCATENATE(LEFT(Master_ventas[[#This Row],[ProdUpper]],3),RIGHT(Master_ventas[[#This Row],[Ext-Year]],2),"-",MID(Master_ventas[[#This Row],[Category]],1,1))</f>
        <v>HEA24-A</v>
      </c>
      <c r="N1988" t="str">
        <f>MID(Master_ventas[[#This Row],[ProdUpper]],1,3)</f>
        <v>HEA</v>
      </c>
      <c r="O1988" t="str">
        <f>UPPER(IF(Master_ventas[[#This Row],[Profit]]&gt;500,"High","Std"))</f>
        <v>STD</v>
      </c>
      <c r="P1988">
        <v>1987</v>
      </c>
    </row>
    <row r="1989" spans="1:16" x14ac:dyDescent="0.3">
      <c r="A1989" s="1">
        <v>45187</v>
      </c>
      <c r="B1989" t="s">
        <v>20</v>
      </c>
      <c r="C1989" t="s">
        <v>11</v>
      </c>
      <c r="D1989" t="s">
        <v>12</v>
      </c>
      <c r="E1989">
        <v>5</v>
      </c>
      <c r="F1989" s="3">
        <v>5055</v>
      </c>
      <c r="G1989" s="2">
        <v>1200.0899999999999</v>
      </c>
      <c r="H1989">
        <f>Master_ventas[[#This Row],[Profit]]/Master_ventas[[#This Row],[Sales]]</f>
        <v>0.23740652818991095</v>
      </c>
      <c r="I1989">
        <f ca="1">Referencia_Hoy-Master_ventas[[#This Row],[Order Date]]</f>
        <v>1136</v>
      </c>
      <c r="J1989" t="str">
        <f>UPPER(Master_ventas[[#This Row],[Product Name]])</f>
        <v>MONITOR</v>
      </c>
      <c r="K1989" t="str">
        <f>UPPER(Master_ventas[[#This Row],[Category]])</f>
        <v>ACCESSORIES</v>
      </c>
      <c r="L1989">
        <f>YEAR(Master_ventas[[#This Row],[Order Date]])</f>
        <v>2023</v>
      </c>
      <c r="M1989" t="str">
        <f>CONCATENATE(LEFT(Master_ventas[[#This Row],[ProdUpper]],3),RIGHT(Master_ventas[[#This Row],[Ext-Year]],2),"-",MID(Master_ventas[[#This Row],[Category]],1,1))</f>
        <v>MON23-A</v>
      </c>
      <c r="N1989" t="str">
        <f>MID(Master_ventas[[#This Row],[ProdUpper]],1,3)</f>
        <v>MON</v>
      </c>
      <c r="O1989" t="str">
        <f>UPPER(IF(Master_ventas[[#This Row],[Profit]]&gt;500,"High","Std"))</f>
        <v>HIGH</v>
      </c>
      <c r="P1989">
        <v>1988</v>
      </c>
    </row>
    <row r="1990" spans="1:16" x14ac:dyDescent="0.3">
      <c r="A1990" s="1">
        <v>44760</v>
      </c>
      <c r="B1990" t="s">
        <v>19</v>
      </c>
      <c r="C1990" t="s">
        <v>14</v>
      </c>
      <c r="D1990" t="s">
        <v>16</v>
      </c>
      <c r="E1990">
        <v>2</v>
      </c>
      <c r="F1990" s="3">
        <v>128</v>
      </c>
      <c r="G1990" s="2">
        <v>8.33</v>
      </c>
      <c r="H1990">
        <f>Master_ventas[[#This Row],[Profit]]/Master_ventas[[#This Row],[Sales]]</f>
        <v>6.5078125000000001E-2</v>
      </c>
      <c r="I1990">
        <f ca="1">Referencia_Hoy-Master_ventas[[#This Row],[Order Date]]</f>
        <v>1563</v>
      </c>
      <c r="J1990" t="str">
        <f>UPPER(Master_ventas[[#This Row],[Product Name]])</f>
        <v>SMARTWATCH</v>
      </c>
      <c r="K1990" t="str">
        <f>UPPER(Master_ventas[[#This Row],[Category]])</f>
        <v>ELECTRONICS</v>
      </c>
      <c r="L1990">
        <f>YEAR(Master_ventas[[#This Row],[Order Date]])</f>
        <v>2022</v>
      </c>
      <c r="M1990" t="str">
        <f>CONCATENATE(LEFT(Master_ventas[[#This Row],[ProdUpper]],3),RIGHT(Master_ventas[[#This Row],[Ext-Year]],2),"-",MID(Master_ventas[[#This Row],[Category]],1,1))</f>
        <v>SMA22-E</v>
      </c>
      <c r="N1990" t="str">
        <f>MID(Master_ventas[[#This Row],[ProdUpper]],1,3)</f>
        <v>SMA</v>
      </c>
      <c r="O1990" t="str">
        <f>UPPER(IF(Master_ventas[[#This Row],[Profit]]&gt;500,"High","Std"))</f>
        <v>STD</v>
      </c>
      <c r="P1990">
        <v>1989</v>
      </c>
    </row>
    <row r="1991" spans="1:16" x14ac:dyDescent="0.3">
      <c r="A1991" s="1">
        <v>45360</v>
      </c>
      <c r="B1991" t="s">
        <v>21</v>
      </c>
      <c r="C1991" t="s">
        <v>14</v>
      </c>
      <c r="D1991" t="s">
        <v>12</v>
      </c>
      <c r="E1991">
        <v>3</v>
      </c>
      <c r="F1991" s="3">
        <v>633</v>
      </c>
      <c r="G1991" s="2">
        <v>163.03</v>
      </c>
      <c r="H1991">
        <f>Master_ventas[[#This Row],[Profit]]/Master_ventas[[#This Row],[Sales]]</f>
        <v>0.25755134281200631</v>
      </c>
      <c r="I1991">
        <f ca="1">Referencia_Hoy-Master_ventas[[#This Row],[Order Date]]</f>
        <v>963</v>
      </c>
      <c r="J1991" t="str">
        <f>UPPER(Master_ventas[[#This Row],[Product Name]])</f>
        <v>SMARTPHONE</v>
      </c>
      <c r="K1991" t="str">
        <f>UPPER(Master_ventas[[#This Row],[Category]])</f>
        <v>ELECTRONICS</v>
      </c>
      <c r="L1991">
        <f>YEAR(Master_ventas[[#This Row],[Order Date]])</f>
        <v>2024</v>
      </c>
      <c r="M1991" t="str">
        <f>CONCATENATE(LEFT(Master_ventas[[#This Row],[ProdUpper]],3),RIGHT(Master_ventas[[#This Row],[Ext-Year]],2),"-",MID(Master_ventas[[#This Row],[Category]],1,1))</f>
        <v>SMA24-E</v>
      </c>
      <c r="N1991" t="str">
        <f>MID(Master_ventas[[#This Row],[ProdUpper]],1,3)</f>
        <v>SMA</v>
      </c>
      <c r="O1991" t="str">
        <f>UPPER(IF(Master_ventas[[#This Row],[Profit]]&gt;500,"High","Std"))</f>
        <v>STD</v>
      </c>
      <c r="P1991">
        <v>1990</v>
      </c>
    </row>
    <row r="1992" spans="1:16" x14ac:dyDescent="0.3">
      <c r="A1992" s="1">
        <v>44909</v>
      </c>
      <c r="B1992" t="s">
        <v>7</v>
      </c>
      <c r="C1992" t="s">
        <v>8</v>
      </c>
      <c r="D1992" t="s">
        <v>15</v>
      </c>
      <c r="E1992">
        <v>3</v>
      </c>
      <c r="F1992" s="3">
        <v>2523</v>
      </c>
      <c r="G1992" s="2">
        <v>506.7</v>
      </c>
      <c r="H1992">
        <f>Master_ventas[[#This Row],[Profit]]/Master_ventas[[#This Row],[Sales]]</f>
        <v>0.20083234244946491</v>
      </c>
      <c r="I1992">
        <f ca="1">Referencia_Hoy-Master_ventas[[#This Row],[Order Date]]</f>
        <v>1414</v>
      </c>
      <c r="J1992" t="str">
        <f>UPPER(Master_ventas[[#This Row],[Product Name]])</f>
        <v>PRINTER</v>
      </c>
      <c r="K1992" t="str">
        <f>UPPER(Master_ventas[[#This Row],[Category]])</f>
        <v>OFFICE</v>
      </c>
      <c r="L1992">
        <f>YEAR(Master_ventas[[#This Row],[Order Date]])</f>
        <v>2022</v>
      </c>
      <c r="M1992" t="str">
        <f>CONCATENATE(LEFT(Master_ventas[[#This Row],[ProdUpper]],3),RIGHT(Master_ventas[[#This Row],[Ext-Year]],2),"-",MID(Master_ventas[[#This Row],[Category]],1,1))</f>
        <v>PRI22-O</v>
      </c>
      <c r="N1992" t="str">
        <f>MID(Master_ventas[[#This Row],[ProdUpper]],1,3)</f>
        <v>PRI</v>
      </c>
      <c r="O1992" t="str">
        <f>UPPER(IF(Master_ventas[[#This Row],[Profit]]&gt;500,"High","Std"))</f>
        <v>HIGH</v>
      </c>
      <c r="P1992">
        <v>1991</v>
      </c>
    </row>
    <row r="1993" spans="1:16" x14ac:dyDescent="0.3">
      <c r="A1993" s="1">
        <v>45236</v>
      </c>
      <c r="B1993" t="s">
        <v>7</v>
      </c>
      <c r="C1993" t="s">
        <v>8</v>
      </c>
      <c r="D1993" t="s">
        <v>16</v>
      </c>
      <c r="E1993">
        <v>1</v>
      </c>
      <c r="F1993" s="3">
        <v>196</v>
      </c>
      <c r="G1993" s="2">
        <v>39.6</v>
      </c>
      <c r="H1993">
        <f>Master_ventas[[#This Row],[Profit]]/Master_ventas[[#This Row],[Sales]]</f>
        <v>0.20204081632653062</v>
      </c>
      <c r="I1993">
        <f ca="1">Referencia_Hoy-Master_ventas[[#This Row],[Order Date]]</f>
        <v>1087</v>
      </c>
      <c r="J1993" t="str">
        <f>UPPER(Master_ventas[[#This Row],[Product Name]])</f>
        <v>PRINTER</v>
      </c>
      <c r="K1993" t="str">
        <f>UPPER(Master_ventas[[#This Row],[Category]])</f>
        <v>OFFICE</v>
      </c>
      <c r="L1993">
        <f>YEAR(Master_ventas[[#This Row],[Order Date]])</f>
        <v>2023</v>
      </c>
      <c r="M1993" t="str">
        <f>CONCATENATE(LEFT(Master_ventas[[#This Row],[ProdUpper]],3),RIGHT(Master_ventas[[#This Row],[Ext-Year]],2),"-",MID(Master_ventas[[#This Row],[Category]],1,1))</f>
        <v>PRI23-O</v>
      </c>
      <c r="N1993" t="str">
        <f>MID(Master_ventas[[#This Row],[ProdUpper]],1,3)</f>
        <v>PRI</v>
      </c>
      <c r="O1993" t="str">
        <f>UPPER(IF(Master_ventas[[#This Row],[Profit]]&gt;500,"High","Std"))</f>
        <v>STD</v>
      </c>
      <c r="P1993">
        <v>1992</v>
      </c>
    </row>
    <row r="1994" spans="1:16" x14ac:dyDescent="0.3">
      <c r="A1994" s="1">
        <v>44603</v>
      </c>
      <c r="B1994" t="s">
        <v>7</v>
      </c>
      <c r="C1994" t="s">
        <v>8</v>
      </c>
      <c r="D1994" t="s">
        <v>12</v>
      </c>
      <c r="E1994">
        <v>9</v>
      </c>
      <c r="F1994" s="3">
        <v>4212</v>
      </c>
      <c r="G1994" s="2">
        <v>552.96</v>
      </c>
      <c r="H1994">
        <f>Master_ventas[[#This Row],[Profit]]/Master_ventas[[#This Row],[Sales]]</f>
        <v>0.13128205128205128</v>
      </c>
      <c r="I1994">
        <f ca="1">Referencia_Hoy-Master_ventas[[#This Row],[Order Date]]</f>
        <v>1720</v>
      </c>
      <c r="J1994" t="str">
        <f>UPPER(Master_ventas[[#This Row],[Product Name]])</f>
        <v>PRINTER</v>
      </c>
      <c r="K1994" t="str">
        <f>UPPER(Master_ventas[[#This Row],[Category]])</f>
        <v>OFFICE</v>
      </c>
      <c r="L1994">
        <f>YEAR(Master_ventas[[#This Row],[Order Date]])</f>
        <v>2022</v>
      </c>
      <c r="M1994" t="str">
        <f>CONCATENATE(LEFT(Master_ventas[[#This Row],[ProdUpper]],3),RIGHT(Master_ventas[[#This Row],[Ext-Year]],2),"-",MID(Master_ventas[[#This Row],[Category]],1,1))</f>
        <v>PRI22-O</v>
      </c>
      <c r="N1994" t="str">
        <f>MID(Master_ventas[[#This Row],[ProdUpper]],1,3)</f>
        <v>PRI</v>
      </c>
      <c r="O1994" t="str">
        <f>UPPER(IF(Master_ventas[[#This Row],[Profit]]&gt;500,"High","Std"))</f>
        <v>HIGH</v>
      </c>
      <c r="P1994">
        <v>1993</v>
      </c>
    </row>
    <row r="1995" spans="1:16" x14ac:dyDescent="0.3">
      <c r="A1995" s="1">
        <v>45379</v>
      </c>
      <c r="B1995" t="s">
        <v>20</v>
      </c>
      <c r="C1995" t="s">
        <v>11</v>
      </c>
      <c r="D1995" t="s">
        <v>9</v>
      </c>
      <c r="E1995">
        <v>1</v>
      </c>
      <c r="F1995" s="3">
        <v>63</v>
      </c>
      <c r="G1995" s="2">
        <v>17.29</v>
      </c>
      <c r="H1995">
        <f>Master_ventas[[#This Row],[Profit]]/Master_ventas[[#This Row],[Sales]]</f>
        <v>0.27444444444444444</v>
      </c>
      <c r="I1995">
        <f ca="1">Referencia_Hoy-Master_ventas[[#This Row],[Order Date]]</f>
        <v>944</v>
      </c>
      <c r="J1995" t="str">
        <f>UPPER(Master_ventas[[#This Row],[Product Name]])</f>
        <v>MONITOR</v>
      </c>
      <c r="K1995" t="str">
        <f>UPPER(Master_ventas[[#This Row],[Category]])</f>
        <v>ACCESSORIES</v>
      </c>
      <c r="L1995">
        <f>YEAR(Master_ventas[[#This Row],[Order Date]])</f>
        <v>2024</v>
      </c>
      <c r="M1995" t="str">
        <f>CONCATENATE(LEFT(Master_ventas[[#This Row],[ProdUpper]],3),RIGHT(Master_ventas[[#This Row],[Ext-Year]],2),"-",MID(Master_ventas[[#This Row],[Category]],1,1))</f>
        <v>MON24-A</v>
      </c>
      <c r="N1995" t="str">
        <f>MID(Master_ventas[[#This Row],[ProdUpper]],1,3)</f>
        <v>MON</v>
      </c>
      <c r="O1995" t="str">
        <f>UPPER(IF(Master_ventas[[#This Row],[Profit]]&gt;500,"High","Std"))</f>
        <v>STD</v>
      </c>
      <c r="P1995">
        <v>1994</v>
      </c>
    </row>
    <row r="1996" spans="1:16" x14ac:dyDescent="0.3">
      <c r="A1996" s="1">
        <v>45109</v>
      </c>
      <c r="B1996" t="s">
        <v>10</v>
      </c>
      <c r="C1996" t="s">
        <v>11</v>
      </c>
      <c r="D1996" t="s">
        <v>15</v>
      </c>
      <c r="E1996">
        <v>8</v>
      </c>
      <c r="F1996" s="3">
        <v>2752</v>
      </c>
      <c r="G1996" s="2">
        <v>394.66</v>
      </c>
      <c r="H1996">
        <f>Master_ventas[[#This Row],[Profit]]/Master_ventas[[#This Row],[Sales]]</f>
        <v>0.14340843023255814</v>
      </c>
      <c r="I1996">
        <f ca="1">Referencia_Hoy-Master_ventas[[#This Row],[Order Date]]</f>
        <v>1214</v>
      </c>
      <c r="J1996" t="str">
        <f>UPPER(Master_ventas[[#This Row],[Product Name]])</f>
        <v>MOUSE</v>
      </c>
      <c r="K1996" t="str">
        <f>UPPER(Master_ventas[[#This Row],[Category]])</f>
        <v>ACCESSORIES</v>
      </c>
      <c r="L1996">
        <f>YEAR(Master_ventas[[#This Row],[Order Date]])</f>
        <v>2023</v>
      </c>
      <c r="M1996" t="str">
        <f>CONCATENATE(LEFT(Master_ventas[[#This Row],[ProdUpper]],3),RIGHT(Master_ventas[[#This Row],[Ext-Year]],2),"-",MID(Master_ventas[[#This Row],[Category]],1,1))</f>
        <v>MOU23-A</v>
      </c>
      <c r="N1996" t="str">
        <f>MID(Master_ventas[[#This Row],[ProdUpper]],1,3)</f>
        <v>MOU</v>
      </c>
      <c r="O1996" t="str">
        <f>UPPER(IF(Master_ventas[[#This Row],[Profit]]&gt;500,"High","Std"))</f>
        <v>STD</v>
      </c>
      <c r="P1996">
        <v>1995</v>
      </c>
    </row>
    <row r="1997" spans="1:16" x14ac:dyDescent="0.3">
      <c r="A1997" s="1">
        <v>45607</v>
      </c>
      <c r="B1997" t="s">
        <v>10</v>
      </c>
      <c r="C1997" t="s">
        <v>11</v>
      </c>
      <c r="D1997" t="s">
        <v>16</v>
      </c>
      <c r="E1997">
        <v>3</v>
      </c>
      <c r="F1997" s="3">
        <v>1989</v>
      </c>
      <c r="G1997" s="2">
        <v>419.61</v>
      </c>
      <c r="H1997">
        <f>Master_ventas[[#This Row],[Profit]]/Master_ventas[[#This Row],[Sales]]</f>
        <v>0.21096530920060333</v>
      </c>
      <c r="I1997">
        <f ca="1">Referencia_Hoy-Master_ventas[[#This Row],[Order Date]]</f>
        <v>716</v>
      </c>
      <c r="J1997" t="str">
        <f>UPPER(Master_ventas[[#This Row],[Product Name]])</f>
        <v>MOUSE</v>
      </c>
      <c r="K1997" t="str">
        <f>UPPER(Master_ventas[[#This Row],[Category]])</f>
        <v>ACCESSORIES</v>
      </c>
      <c r="L1997">
        <f>YEAR(Master_ventas[[#This Row],[Order Date]])</f>
        <v>2024</v>
      </c>
      <c r="M1997" t="str">
        <f>CONCATENATE(LEFT(Master_ventas[[#This Row],[ProdUpper]],3),RIGHT(Master_ventas[[#This Row],[Ext-Year]],2),"-",MID(Master_ventas[[#This Row],[Category]],1,1))</f>
        <v>MOU24-A</v>
      </c>
      <c r="N1997" t="str">
        <f>MID(Master_ventas[[#This Row],[ProdUpper]],1,3)</f>
        <v>MOU</v>
      </c>
      <c r="O1997" t="str">
        <f>UPPER(IF(Master_ventas[[#This Row],[Profit]]&gt;500,"High","Std"))</f>
        <v>STD</v>
      </c>
      <c r="P1997">
        <v>1996</v>
      </c>
    </row>
    <row r="1998" spans="1:16" x14ac:dyDescent="0.3">
      <c r="A1998" s="1">
        <v>45360</v>
      </c>
      <c r="B1998" t="s">
        <v>23</v>
      </c>
      <c r="C1998" t="s">
        <v>14</v>
      </c>
      <c r="D1998" t="s">
        <v>12</v>
      </c>
      <c r="E1998">
        <v>8</v>
      </c>
      <c r="F1998" s="3">
        <v>8032</v>
      </c>
      <c r="G1998" s="2">
        <v>466.19</v>
      </c>
      <c r="H1998">
        <f>Master_ventas[[#This Row],[Profit]]/Master_ventas[[#This Row],[Sales]]</f>
        <v>5.8041583665338646E-2</v>
      </c>
      <c r="I1998">
        <f ca="1">Referencia_Hoy-Master_ventas[[#This Row],[Order Date]]</f>
        <v>963</v>
      </c>
      <c r="J1998" t="str">
        <f>UPPER(Master_ventas[[#This Row],[Product Name]])</f>
        <v>LAPTOP</v>
      </c>
      <c r="K1998" t="str">
        <f>UPPER(Master_ventas[[#This Row],[Category]])</f>
        <v>ELECTRONICS</v>
      </c>
      <c r="L1998">
        <f>YEAR(Master_ventas[[#This Row],[Order Date]])</f>
        <v>2024</v>
      </c>
      <c r="M1998" t="str">
        <f>CONCATENATE(LEFT(Master_ventas[[#This Row],[ProdUpper]],3),RIGHT(Master_ventas[[#This Row],[Ext-Year]],2),"-",MID(Master_ventas[[#This Row],[Category]],1,1))</f>
        <v>LAP24-E</v>
      </c>
      <c r="N1998" t="str">
        <f>MID(Master_ventas[[#This Row],[ProdUpper]],1,3)</f>
        <v>LAP</v>
      </c>
      <c r="O1998" t="str">
        <f>UPPER(IF(Master_ventas[[#This Row],[Profit]]&gt;500,"High","Std"))</f>
        <v>STD</v>
      </c>
      <c r="P1998">
        <v>1997</v>
      </c>
    </row>
    <row r="1999" spans="1:16" x14ac:dyDescent="0.3">
      <c r="A1999" s="1">
        <v>44582</v>
      </c>
      <c r="B1999" t="s">
        <v>13</v>
      </c>
      <c r="C1999" t="s">
        <v>14</v>
      </c>
      <c r="D1999" t="s">
        <v>15</v>
      </c>
      <c r="E1999">
        <v>6</v>
      </c>
      <c r="F1999" s="3">
        <v>3702</v>
      </c>
      <c r="G1999" s="2">
        <v>407.34</v>
      </c>
      <c r="H1999">
        <f>Master_ventas[[#This Row],[Profit]]/Master_ventas[[#This Row],[Sales]]</f>
        <v>0.11003241491085899</v>
      </c>
      <c r="I1999">
        <f ca="1">Referencia_Hoy-Master_ventas[[#This Row],[Order Date]]</f>
        <v>1741</v>
      </c>
      <c r="J1999" t="str">
        <f>UPPER(Master_ventas[[#This Row],[Product Name]])</f>
        <v>TABLET</v>
      </c>
      <c r="K1999" t="str">
        <f>UPPER(Master_ventas[[#This Row],[Category]])</f>
        <v>ELECTRONICS</v>
      </c>
      <c r="L1999">
        <f>YEAR(Master_ventas[[#This Row],[Order Date]])</f>
        <v>2022</v>
      </c>
      <c r="M1999" t="str">
        <f>CONCATENATE(LEFT(Master_ventas[[#This Row],[ProdUpper]],3),RIGHT(Master_ventas[[#This Row],[Ext-Year]],2),"-",MID(Master_ventas[[#This Row],[Category]],1,1))</f>
        <v>TAB22-E</v>
      </c>
      <c r="N1999" t="str">
        <f>MID(Master_ventas[[#This Row],[ProdUpper]],1,3)</f>
        <v>TAB</v>
      </c>
      <c r="O1999" t="str">
        <f>UPPER(IF(Master_ventas[[#This Row],[Profit]]&gt;500,"High","Std"))</f>
        <v>STD</v>
      </c>
      <c r="P1999">
        <v>1998</v>
      </c>
    </row>
    <row r="2000" spans="1:16" x14ac:dyDescent="0.3">
      <c r="A2000" s="1">
        <v>44851</v>
      </c>
      <c r="B2000" t="s">
        <v>19</v>
      </c>
      <c r="C2000" t="s">
        <v>14</v>
      </c>
      <c r="D2000" t="s">
        <v>12</v>
      </c>
      <c r="E2000">
        <v>8</v>
      </c>
      <c r="F2000" s="3">
        <v>456</v>
      </c>
      <c r="G2000" s="2">
        <v>90.24</v>
      </c>
      <c r="H2000">
        <f>Master_ventas[[#This Row],[Profit]]/Master_ventas[[#This Row],[Sales]]</f>
        <v>0.19789473684210526</v>
      </c>
      <c r="I2000">
        <f ca="1">Referencia_Hoy-Master_ventas[[#This Row],[Order Date]]</f>
        <v>1472</v>
      </c>
      <c r="J2000" t="str">
        <f>UPPER(Master_ventas[[#This Row],[Product Name]])</f>
        <v>SMARTWATCH</v>
      </c>
      <c r="K2000" t="str">
        <f>UPPER(Master_ventas[[#This Row],[Category]])</f>
        <v>ELECTRONICS</v>
      </c>
      <c r="L2000">
        <f>YEAR(Master_ventas[[#This Row],[Order Date]])</f>
        <v>2022</v>
      </c>
      <c r="M2000" t="str">
        <f>CONCATENATE(LEFT(Master_ventas[[#This Row],[ProdUpper]],3),RIGHT(Master_ventas[[#This Row],[Ext-Year]],2),"-",MID(Master_ventas[[#This Row],[Category]],1,1))</f>
        <v>SMA22-E</v>
      </c>
      <c r="N2000" t="str">
        <f>MID(Master_ventas[[#This Row],[ProdUpper]],1,3)</f>
        <v>SMA</v>
      </c>
      <c r="O2000" t="str">
        <f>UPPER(IF(Master_ventas[[#This Row],[Profit]]&gt;500,"High","Std"))</f>
        <v>STD</v>
      </c>
      <c r="P2000">
        <v>1999</v>
      </c>
    </row>
    <row r="2001" spans="1:16" x14ac:dyDescent="0.3">
      <c r="A2001" s="1">
        <v>44967</v>
      </c>
      <c r="B2001" t="s">
        <v>17</v>
      </c>
      <c r="C2001" t="s">
        <v>14</v>
      </c>
      <c r="D2001" t="s">
        <v>16</v>
      </c>
      <c r="E2001">
        <v>7</v>
      </c>
      <c r="F2001" s="3">
        <v>5355</v>
      </c>
      <c r="G2001" s="2">
        <v>1143.1600000000001</v>
      </c>
      <c r="H2001">
        <f>Master_ventas[[#This Row],[Profit]]/Master_ventas[[#This Row],[Sales]]</f>
        <v>0.21347525676937443</v>
      </c>
      <c r="I2001">
        <f ca="1">Referencia_Hoy-Master_ventas[[#This Row],[Order Date]]</f>
        <v>1356</v>
      </c>
      <c r="J2001" t="str">
        <f>UPPER(Master_ventas[[#This Row],[Product Name]])</f>
        <v>CAMERA</v>
      </c>
      <c r="K2001" t="str">
        <f>UPPER(Master_ventas[[#This Row],[Category]])</f>
        <v>ELECTRONICS</v>
      </c>
      <c r="L2001">
        <f>YEAR(Master_ventas[[#This Row],[Order Date]])</f>
        <v>2023</v>
      </c>
      <c r="M2001" t="str">
        <f>CONCATENATE(LEFT(Master_ventas[[#This Row],[ProdUpper]],3),RIGHT(Master_ventas[[#This Row],[Ext-Year]],2),"-",MID(Master_ventas[[#This Row],[Category]],1,1))</f>
        <v>CAM23-E</v>
      </c>
      <c r="N2001" t="str">
        <f>MID(Master_ventas[[#This Row],[ProdUpper]],1,3)</f>
        <v>CAM</v>
      </c>
      <c r="O2001" t="str">
        <f>UPPER(IF(Master_ventas[[#This Row],[Profit]]&gt;500,"High","Std"))</f>
        <v>HIGH</v>
      </c>
      <c r="P2001">
        <v>2000</v>
      </c>
    </row>
    <row r="2002" spans="1:16" x14ac:dyDescent="0.3">
      <c r="A2002" s="1">
        <v>45355</v>
      </c>
      <c r="B2002" t="s">
        <v>17</v>
      </c>
      <c r="C2002" t="s">
        <v>14</v>
      </c>
      <c r="D2002" t="s">
        <v>16</v>
      </c>
      <c r="E2002">
        <v>1</v>
      </c>
      <c r="F2002" s="3">
        <v>972</v>
      </c>
      <c r="G2002" s="2">
        <v>261.91000000000003</v>
      </c>
      <c r="H2002">
        <f>Master_ventas[[#This Row],[Profit]]/Master_ventas[[#This Row],[Sales]]</f>
        <v>0.26945473251028806</v>
      </c>
      <c r="I2002">
        <f ca="1">Referencia_Hoy-Master_ventas[[#This Row],[Order Date]]</f>
        <v>968</v>
      </c>
      <c r="J2002" t="str">
        <f>UPPER(Master_ventas[[#This Row],[Product Name]])</f>
        <v>CAMERA</v>
      </c>
      <c r="K2002" t="str">
        <f>UPPER(Master_ventas[[#This Row],[Category]])</f>
        <v>ELECTRONICS</v>
      </c>
      <c r="L2002">
        <f>YEAR(Master_ventas[[#This Row],[Order Date]])</f>
        <v>2024</v>
      </c>
      <c r="M2002" t="str">
        <f>CONCATENATE(LEFT(Master_ventas[[#This Row],[ProdUpper]],3),RIGHT(Master_ventas[[#This Row],[Ext-Year]],2),"-",MID(Master_ventas[[#This Row],[Category]],1,1))</f>
        <v>CAM24-E</v>
      </c>
      <c r="N2002" t="str">
        <f>MID(Master_ventas[[#This Row],[ProdUpper]],1,3)</f>
        <v>CAM</v>
      </c>
      <c r="O2002" t="str">
        <f>UPPER(IF(Master_ventas[[#This Row],[Profit]]&gt;500,"High","Std"))</f>
        <v>STD</v>
      </c>
      <c r="P2002">
        <v>2001</v>
      </c>
    </row>
    <row r="2003" spans="1:16" x14ac:dyDescent="0.3">
      <c r="A2003" s="1">
        <v>44569</v>
      </c>
      <c r="B2003" t="s">
        <v>18</v>
      </c>
      <c r="C2003" t="s">
        <v>11</v>
      </c>
      <c r="D2003" t="s">
        <v>15</v>
      </c>
      <c r="E2003">
        <v>5</v>
      </c>
      <c r="F2003" s="3">
        <v>3290</v>
      </c>
      <c r="G2003" s="2">
        <v>797.82</v>
      </c>
      <c r="H2003">
        <f>Master_ventas[[#This Row],[Profit]]/Master_ventas[[#This Row],[Sales]]</f>
        <v>0.24249848024316112</v>
      </c>
      <c r="I2003">
        <f ca="1">Referencia_Hoy-Master_ventas[[#This Row],[Order Date]]</f>
        <v>1754</v>
      </c>
      <c r="J2003" t="str">
        <f>UPPER(Master_ventas[[#This Row],[Product Name]])</f>
        <v>HEADPHONES</v>
      </c>
      <c r="K2003" t="str">
        <f>UPPER(Master_ventas[[#This Row],[Category]])</f>
        <v>ACCESSORIES</v>
      </c>
      <c r="L2003">
        <f>YEAR(Master_ventas[[#This Row],[Order Date]])</f>
        <v>2022</v>
      </c>
      <c r="M2003" t="str">
        <f>CONCATENATE(LEFT(Master_ventas[[#This Row],[ProdUpper]],3),RIGHT(Master_ventas[[#This Row],[Ext-Year]],2),"-",MID(Master_ventas[[#This Row],[Category]],1,1))</f>
        <v>HEA22-A</v>
      </c>
      <c r="N2003" t="str">
        <f>MID(Master_ventas[[#This Row],[ProdUpper]],1,3)</f>
        <v>HEA</v>
      </c>
      <c r="O2003" t="str">
        <f>UPPER(IF(Master_ventas[[#This Row],[Profit]]&gt;500,"High","Std"))</f>
        <v>HIGH</v>
      </c>
      <c r="P2003">
        <v>2002</v>
      </c>
    </row>
    <row r="2004" spans="1:16" x14ac:dyDescent="0.3">
      <c r="A2004" s="1">
        <v>44889</v>
      </c>
      <c r="B2004" t="s">
        <v>23</v>
      </c>
      <c r="C2004" t="s">
        <v>14</v>
      </c>
      <c r="D2004" t="s">
        <v>12</v>
      </c>
      <c r="E2004">
        <v>1</v>
      </c>
      <c r="F2004" s="3">
        <v>735</v>
      </c>
      <c r="G2004" s="2">
        <v>139.31</v>
      </c>
      <c r="H2004">
        <f>Master_ventas[[#This Row],[Profit]]/Master_ventas[[#This Row],[Sales]]</f>
        <v>0.18953741496598639</v>
      </c>
      <c r="I2004">
        <f ca="1">Referencia_Hoy-Master_ventas[[#This Row],[Order Date]]</f>
        <v>1434</v>
      </c>
      <c r="J2004" t="str">
        <f>UPPER(Master_ventas[[#This Row],[Product Name]])</f>
        <v>LAPTOP</v>
      </c>
      <c r="K2004" t="str">
        <f>UPPER(Master_ventas[[#This Row],[Category]])</f>
        <v>ELECTRONICS</v>
      </c>
      <c r="L2004">
        <f>YEAR(Master_ventas[[#This Row],[Order Date]])</f>
        <v>2022</v>
      </c>
      <c r="M2004" t="str">
        <f>CONCATENATE(LEFT(Master_ventas[[#This Row],[ProdUpper]],3),RIGHT(Master_ventas[[#This Row],[Ext-Year]],2),"-",MID(Master_ventas[[#This Row],[Category]],1,1))</f>
        <v>LAP22-E</v>
      </c>
      <c r="N2004" t="str">
        <f>MID(Master_ventas[[#This Row],[ProdUpper]],1,3)</f>
        <v>LAP</v>
      </c>
      <c r="O2004" t="str">
        <f>UPPER(IF(Master_ventas[[#This Row],[Profit]]&gt;500,"High","Std"))</f>
        <v>STD</v>
      </c>
      <c r="P2004">
        <v>2003</v>
      </c>
    </row>
    <row r="2005" spans="1:16" x14ac:dyDescent="0.3">
      <c r="A2005" s="1">
        <v>45589</v>
      </c>
      <c r="B2005" t="s">
        <v>13</v>
      </c>
      <c r="C2005" t="s">
        <v>14</v>
      </c>
      <c r="D2005" t="s">
        <v>9</v>
      </c>
      <c r="E2005">
        <v>3</v>
      </c>
      <c r="F2005" s="3">
        <v>3336</v>
      </c>
      <c r="G2005" s="2">
        <v>798.26</v>
      </c>
      <c r="H2005">
        <f>Master_ventas[[#This Row],[Profit]]/Master_ventas[[#This Row],[Sales]]</f>
        <v>0.23928657074340529</v>
      </c>
      <c r="I2005">
        <f ca="1">Referencia_Hoy-Master_ventas[[#This Row],[Order Date]]</f>
        <v>734</v>
      </c>
      <c r="J2005" t="str">
        <f>UPPER(Master_ventas[[#This Row],[Product Name]])</f>
        <v>TABLET</v>
      </c>
      <c r="K2005" t="str">
        <f>UPPER(Master_ventas[[#This Row],[Category]])</f>
        <v>ELECTRONICS</v>
      </c>
      <c r="L2005">
        <f>YEAR(Master_ventas[[#This Row],[Order Date]])</f>
        <v>2024</v>
      </c>
      <c r="M2005" t="str">
        <f>CONCATENATE(LEFT(Master_ventas[[#This Row],[ProdUpper]],3),RIGHT(Master_ventas[[#This Row],[Ext-Year]],2),"-",MID(Master_ventas[[#This Row],[Category]],1,1))</f>
        <v>TAB24-E</v>
      </c>
      <c r="N2005" t="str">
        <f>MID(Master_ventas[[#This Row],[ProdUpper]],1,3)</f>
        <v>TAB</v>
      </c>
      <c r="O2005" t="str">
        <f>UPPER(IF(Master_ventas[[#This Row],[Profit]]&gt;500,"High","Std"))</f>
        <v>HIGH</v>
      </c>
      <c r="P2005">
        <v>2004</v>
      </c>
    </row>
    <row r="2006" spans="1:16" x14ac:dyDescent="0.3">
      <c r="A2006" s="1">
        <v>44837</v>
      </c>
      <c r="B2006" t="s">
        <v>22</v>
      </c>
      <c r="C2006" t="s">
        <v>11</v>
      </c>
      <c r="D2006" t="s">
        <v>16</v>
      </c>
      <c r="E2006">
        <v>3</v>
      </c>
      <c r="F2006" s="3">
        <v>2082</v>
      </c>
      <c r="G2006" s="2">
        <v>346.53</v>
      </c>
      <c r="H2006">
        <f>Master_ventas[[#This Row],[Profit]]/Master_ventas[[#This Row],[Sales]]</f>
        <v>0.16644092219020171</v>
      </c>
      <c r="I2006">
        <f ca="1">Referencia_Hoy-Master_ventas[[#This Row],[Order Date]]</f>
        <v>1486</v>
      </c>
      <c r="J2006" t="str">
        <f>UPPER(Master_ventas[[#This Row],[Product Name]])</f>
        <v>KEYBOARD</v>
      </c>
      <c r="K2006" t="str">
        <f>UPPER(Master_ventas[[#This Row],[Category]])</f>
        <v>ACCESSORIES</v>
      </c>
      <c r="L2006">
        <f>YEAR(Master_ventas[[#This Row],[Order Date]])</f>
        <v>2022</v>
      </c>
      <c r="M2006" t="str">
        <f>CONCATENATE(LEFT(Master_ventas[[#This Row],[ProdUpper]],3),RIGHT(Master_ventas[[#This Row],[Ext-Year]],2),"-",MID(Master_ventas[[#This Row],[Category]],1,1))</f>
        <v>KEY22-A</v>
      </c>
      <c r="N2006" t="str">
        <f>MID(Master_ventas[[#This Row],[ProdUpper]],1,3)</f>
        <v>KEY</v>
      </c>
      <c r="O2006" t="str">
        <f>UPPER(IF(Master_ventas[[#This Row],[Profit]]&gt;500,"High","Std"))</f>
        <v>STD</v>
      </c>
      <c r="P2006">
        <v>2005</v>
      </c>
    </row>
    <row r="2007" spans="1:16" x14ac:dyDescent="0.3">
      <c r="A2007" s="1">
        <v>45491</v>
      </c>
      <c r="B2007" t="s">
        <v>22</v>
      </c>
      <c r="C2007" t="s">
        <v>11</v>
      </c>
      <c r="D2007" t="s">
        <v>12</v>
      </c>
      <c r="E2007">
        <v>2</v>
      </c>
      <c r="F2007" s="3">
        <v>1340</v>
      </c>
      <c r="G2007" s="2">
        <v>129.88999999999999</v>
      </c>
      <c r="H2007">
        <f>Master_ventas[[#This Row],[Profit]]/Master_ventas[[#This Row],[Sales]]</f>
        <v>9.6932835820895513E-2</v>
      </c>
      <c r="I2007">
        <f ca="1">Referencia_Hoy-Master_ventas[[#This Row],[Order Date]]</f>
        <v>832</v>
      </c>
      <c r="J2007" t="str">
        <f>UPPER(Master_ventas[[#This Row],[Product Name]])</f>
        <v>KEYBOARD</v>
      </c>
      <c r="K2007" t="str">
        <f>UPPER(Master_ventas[[#This Row],[Category]])</f>
        <v>ACCESSORIES</v>
      </c>
      <c r="L2007">
        <f>YEAR(Master_ventas[[#This Row],[Order Date]])</f>
        <v>2024</v>
      </c>
      <c r="M2007" t="str">
        <f>CONCATENATE(LEFT(Master_ventas[[#This Row],[ProdUpper]],3),RIGHT(Master_ventas[[#This Row],[Ext-Year]],2),"-",MID(Master_ventas[[#This Row],[Category]],1,1))</f>
        <v>KEY24-A</v>
      </c>
      <c r="N2007" t="str">
        <f>MID(Master_ventas[[#This Row],[ProdUpper]],1,3)</f>
        <v>KEY</v>
      </c>
      <c r="O2007" t="str">
        <f>UPPER(IF(Master_ventas[[#This Row],[Profit]]&gt;500,"High","Std"))</f>
        <v>STD</v>
      </c>
      <c r="P2007">
        <v>2006</v>
      </c>
    </row>
    <row r="2008" spans="1:16" x14ac:dyDescent="0.3">
      <c r="A2008" s="1">
        <v>44633</v>
      </c>
      <c r="B2008" t="s">
        <v>23</v>
      </c>
      <c r="C2008" t="s">
        <v>14</v>
      </c>
      <c r="D2008" t="s">
        <v>12</v>
      </c>
      <c r="E2008">
        <v>5</v>
      </c>
      <c r="F2008" s="3">
        <v>1160</v>
      </c>
      <c r="G2008" s="2">
        <v>227.13</v>
      </c>
      <c r="H2008">
        <f>Master_ventas[[#This Row],[Profit]]/Master_ventas[[#This Row],[Sales]]</f>
        <v>0.19580172413793104</v>
      </c>
      <c r="I2008">
        <f ca="1">Referencia_Hoy-Master_ventas[[#This Row],[Order Date]]</f>
        <v>1690</v>
      </c>
      <c r="J2008" t="str">
        <f>UPPER(Master_ventas[[#This Row],[Product Name]])</f>
        <v>LAPTOP</v>
      </c>
      <c r="K2008" t="str">
        <f>UPPER(Master_ventas[[#This Row],[Category]])</f>
        <v>ELECTRONICS</v>
      </c>
      <c r="L2008">
        <f>YEAR(Master_ventas[[#This Row],[Order Date]])</f>
        <v>2022</v>
      </c>
      <c r="M2008" t="str">
        <f>CONCATENATE(LEFT(Master_ventas[[#This Row],[ProdUpper]],3),RIGHT(Master_ventas[[#This Row],[Ext-Year]],2),"-",MID(Master_ventas[[#This Row],[Category]],1,1))</f>
        <v>LAP22-E</v>
      </c>
      <c r="N2008" t="str">
        <f>MID(Master_ventas[[#This Row],[ProdUpper]],1,3)</f>
        <v>LAP</v>
      </c>
      <c r="O2008" t="str">
        <f>UPPER(IF(Master_ventas[[#This Row],[Profit]]&gt;500,"High","Std"))</f>
        <v>STD</v>
      </c>
      <c r="P2008">
        <v>2007</v>
      </c>
    </row>
    <row r="2009" spans="1:16" x14ac:dyDescent="0.3">
      <c r="A2009" s="1">
        <v>45556</v>
      </c>
      <c r="B2009" t="s">
        <v>20</v>
      </c>
      <c r="C2009" t="s">
        <v>11</v>
      </c>
      <c r="D2009" t="s">
        <v>12</v>
      </c>
      <c r="E2009">
        <v>4</v>
      </c>
      <c r="F2009" s="3">
        <v>1272</v>
      </c>
      <c r="G2009" s="2">
        <v>299.83999999999997</v>
      </c>
      <c r="H2009">
        <f>Master_ventas[[#This Row],[Profit]]/Master_ventas[[#This Row],[Sales]]</f>
        <v>0.23572327044025154</v>
      </c>
      <c r="I2009">
        <f ca="1">Referencia_Hoy-Master_ventas[[#This Row],[Order Date]]</f>
        <v>767</v>
      </c>
      <c r="J2009" t="str">
        <f>UPPER(Master_ventas[[#This Row],[Product Name]])</f>
        <v>MONITOR</v>
      </c>
      <c r="K2009" t="str">
        <f>UPPER(Master_ventas[[#This Row],[Category]])</f>
        <v>ACCESSORIES</v>
      </c>
      <c r="L2009">
        <f>YEAR(Master_ventas[[#This Row],[Order Date]])</f>
        <v>2024</v>
      </c>
      <c r="M2009" t="str">
        <f>CONCATENATE(LEFT(Master_ventas[[#This Row],[ProdUpper]],3),RIGHT(Master_ventas[[#This Row],[Ext-Year]],2),"-",MID(Master_ventas[[#This Row],[Category]],1,1))</f>
        <v>MON24-A</v>
      </c>
      <c r="N2009" t="str">
        <f>MID(Master_ventas[[#This Row],[ProdUpper]],1,3)</f>
        <v>MON</v>
      </c>
      <c r="O2009" t="str">
        <f>UPPER(IF(Master_ventas[[#This Row],[Profit]]&gt;500,"High","Std"))</f>
        <v>STD</v>
      </c>
      <c r="P2009">
        <v>2008</v>
      </c>
    </row>
    <row r="2010" spans="1:16" x14ac:dyDescent="0.3">
      <c r="A2010" s="1">
        <v>44575</v>
      </c>
      <c r="B2010" t="s">
        <v>7</v>
      </c>
      <c r="C2010" t="s">
        <v>8</v>
      </c>
      <c r="D2010" t="s">
        <v>16</v>
      </c>
      <c r="E2010">
        <v>3</v>
      </c>
      <c r="F2010" s="3">
        <v>2817</v>
      </c>
      <c r="G2010" s="2">
        <v>588.47</v>
      </c>
      <c r="H2010">
        <f>Master_ventas[[#This Row],[Profit]]/Master_ventas[[#This Row],[Sales]]</f>
        <v>0.20889953851615195</v>
      </c>
      <c r="I2010">
        <f ca="1">Referencia_Hoy-Master_ventas[[#This Row],[Order Date]]</f>
        <v>1748</v>
      </c>
      <c r="J2010" t="str">
        <f>UPPER(Master_ventas[[#This Row],[Product Name]])</f>
        <v>PRINTER</v>
      </c>
      <c r="K2010" t="str">
        <f>UPPER(Master_ventas[[#This Row],[Category]])</f>
        <v>OFFICE</v>
      </c>
      <c r="L2010">
        <f>YEAR(Master_ventas[[#This Row],[Order Date]])</f>
        <v>2022</v>
      </c>
      <c r="M2010" t="str">
        <f>CONCATENATE(LEFT(Master_ventas[[#This Row],[ProdUpper]],3),RIGHT(Master_ventas[[#This Row],[Ext-Year]],2),"-",MID(Master_ventas[[#This Row],[Category]],1,1))</f>
        <v>PRI22-O</v>
      </c>
      <c r="N2010" t="str">
        <f>MID(Master_ventas[[#This Row],[ProdUpper]],1,3)</f>
        <v>PRI</v>
      </c>
      <c r="O2010" t="str">
        <f>UPPER(IF(Master_ventas[[#This Row],[Profit]]&gt;500,"High","Std"))</f>
        <v>HIGH</v>
      </c>
      <c r="P2010">
        <v>2009</v>
      </c>
    </row>
    <row r="2011" spans="1:16" x14ac:dyDescent="0.3">
      <c r="A2011" s="1">
        <v>45356</v>
      </c>
      <c r="B2011" t="s">
        <v>20</v>
      </c>
      <c r="C2011" t="s">
        <v>11</v>
      </c>
      <c r="D2011" t="s">
        <v>12</v>
      </c>
      <c r="E2011">
        <v>3</v>
      </c>
      <c r="F2011" s="3">
        <v>1464</v>
      </c>
      <c r="G2011" s="2">
        <v>264.67</v>
      </c>
      <c r="H2011">
        <f>Master_ventas[[#This Row],[Profit]]/Master_ventas[[#This Row],[Sales]]</f>
        <v>0.18078551912568308</v>
      </c>
      <c r="I2011">
        <f ca="1">Referencia_Hoy-Master_ventas[[#This Row],[Order Date]]</f>
        <v>967</v>
      </c>
      <c r="J2011" t="str">
        <f>UPPER(Master_ventas[[#This Row],[Product Name]])</f>
        <v>MONITOR</v>
      </c>
      <c r="K2011" t="str">
        <f>UPPER(Master_ventas[[#This Row],[Category]])</f>
        <v>ACCESSORIES</v>
      </c>
      <c r="L2011">
        <f>YEAR(Master_ventas[[#This Row],[Order Date]])</f>
        <v>2024</v>
      </c>
      <c r="M2011" t="str">
        <f>CONCATENATE(LEFT(Master_ventas[[#This Row],[ProdUpper]],3),RIGHT(Master_ventas[[#This Row],[Ext-Year]],2),"-",MID(Master_ventas[[#This Row],[Category]],1,1))</f>
        <v>MON24-A</v>
      </c>
      <c r="N2011" t="str">
        <f>MID(Master_ventas[[#This Row],[ProdUpper]],1,3)</f>
        <v>MON</v>
      </c>
      <c r="O2011" t="str">
        <f>UPPER(IF(Master_ventas[[#This Row],[Profit]]&gt;500,"High","Std"))</f>
        <v>STD</v>
      </c>
      <c r="P2011">
        <v>2010</v>
      </c>
    </row>
    <row r="2012" spans="1:16" x14ac:dyDescent="0.3">
      <c r="A2012" s="1">
        <v>44970</v>
      </c>
      <c r="B2012" t="s">
        <v>18</v>
      </c>
      <c r="C2012" t="s">
        <v>11</v>
      </c>
      <c r="D2012" t="s">
        <v>16</v>
      </c>
      <c r="E2012">
        <v>1</v>
      </c>
      <c r="F2012" s="3">
        <v>307</v>
      </c>
      <c r="G2012" s="2">
        <v>60.51</v>
      </c>
      <c r="H2012">
        <f>Master_ventas[[#This Row],[Profit]]/Master_ventas[[#This Row],[Sales]]</f>
        <v>0.19710097719869707</v>
      </c>
      <c r="I2012">
        <f ca="1">Referencia_Hoy-Master_ventas[[#This Row],[Order Date]]</f>
        <v>1353</v>
      </c>
      <c r="J2012" t="str">
        <f>UPPER(Master_ventas[[#This Row],[Product Name]])</f>
        <v>HEADPHONES</v>
      </c>
      <c r="K2012" t="str">
        <f>UPPER(Master_ventas[[#This Row],[Category]])</f>
        <v>ACCESSORIES</v>
      </c>
      <c r="L2012">
        <f>YEAR(Master_ventas[[#This Row],[Order Date]])</f>
        <v>2023</v>
      </c>
      <c r="M2012" t="str">
        <f>CONCATENATE(LEFT(Master_ventas[[#This Row],[ProdUpper]],3),RIGHT(Master_ventas[[#This Row],[Ext-Year]],2),"-",MID(Master_ventas[[#This Row],[Category]],1,1))</f>
        <v>HEA23-A</v>
      </c>
      <c r="N2012" t="str">
        <f>MID(Master_ventas[[#This Row],[ProdUpper]],1,3)</f>
        <v>HEA</v>
      </c>
      <c r="O2012" t="str">
        <f>UPPER(IF(Master_ventas[[#This Row],[Profit]]&gt;500,"High","Std"))</f>
        <v>STD</v>
      </c>
      <c r="P2012">
        <v>2011</v>
      </c>
    </row>
    <row r="2013" spans="1:16" x14ac:dyDescent="0.3">
      <c r="A2013" s="1">
        <v>44835</v>
      </c>
      <c r="B2013" t="s">
        <v>13</v>
      </c>
      <c r="C2013" t="s">
        <v>14</v>
      </c>
      <c r="D2013" t="s">
        <v>16</v>
      </c>
      <c r="E2013">
        <v>6</v>
      </c>
      <c r="F2013" s="3">
        <v>5706</v>
      </c>
      <c r="G2013" s="2">
        <v>1306.92</v>
      </c>
      <c r="H2013">
        <f>Master_ventas[[#This Row],[Profit]]/Master_ventas[[#This Row],[Sales]]</f>
        <v>0.22904311251314408</v>
      </c>
      <c r="I2013">
        <f ca="1">Referencia_Hoy-Master_ventas[[#This Row],[Order Date]]</f>
        <v>1488</v>
      </c>
      <c r="J2013" t="str">
        <f>UPPER(Master_ventas[[#This Row],[Product Name]])</f>
        <v>TABLET</v>
      </c>
      <c r="K2013" t="str">
        <f>UPPER(Master_ventas[[#This Row],[Category]])</f>
        <v>ELECTRONICS</v>
      </c>
      <c r="L2013">
        <f>YEAR(Master_ventas[[#This Row],[Order Date]])</f>
        <v>2022</v>
      </c>
      <c r="M2013" t="str">
        <f>CONCATENATE(LEFT(Master_ventas[[#This Row],[ProdUpper]],3),RIGHT(Master_ventas[[#This Row],[Ext-Year]],2),"-",MID(Master_ventas[[#This Row],[Category]],1,1))</f>
        <v>TAB22-E</v>
      </c>
      <c r="N2013" t="str">
        <f>MID(Master_ventas[[#This Row],[ProdUpper]],1,3)</f>
        <v>TAB</v>
      </c>
      <c r="O2013" t="str">
        <f>UPPER(IF(Master_ventas[[#This Row],[Profit]]&gt;500,"High","Std"))</f>
        <v>HIGH</v>
      </c>
      <c r="P2013">
        <v>2012</v>
      </c>
    </row>
    <row r="2014" spans="1:16" x14ac:dyDescent="0.3">
      <c r="A2014" s="1">
        <v>45437</v>
      </c>
      <c r="B2014" t="s">
        <v>18</v>
      </c>
      <c r="C2014" t="s">
        <v>11</v>
      </c>
      <c r="D2014" t="s">
        <v>9</v>
      </c>
      <c r="E2014">
        <v>1</v>
      </c>
      <c r="F2014" s="3">
        <v>1112</v>
      </c>
      <c r="G2014" s="2">
        <v>100.47</v>
      </c>
      <c r="H2014">
        <f>Master_ventas[[#This Row],[Profit]]/Master_ventas[[#This Row],[Sales]]</f>
        <v>9.0350719424460435E-2</v>
      </c>
      <c r="I2014">
        <f ca="1">Referencia_Hoy-Master_ventas[[#This Row],[Order Date]]</f>
        <v>886</v>
      </c>
      <c r="J2014" t="str">
        <f>UPPER(Master_ventas[[#This Row],[Product Name]])</f>
        <v>HEADPHONES</v>
      </c>
      <c r="K2014" t="str">
        <f>UPPER(Master_ventas[[#This Row],[Category]])</f>
        <v>ACCESSORIES</v>
      </c>
      <c r="L2014">
        <f>YEAR(Master_ventas[[#This Row],[Order Date]])</f>
        <v>2024</v>
      </c>
      <c r="M2014" t="str">
        <f>CONCATENATE(LEFT(Master_ventas[[#This Row],[ProdUpper]],3),RIGHT(Master_ventas[[#This Row],[Ext-Year]],2),"-",MID(Master_ventas[[#This Row],[Category]],1,1))</f>
        <v>HEA24-A</v>
      </c>
      <c r="N2014" t="str">
        <f>MID(Master_ventas[[#This Row],[ProdUpper]],1,3)</f>
        <v>HEA</v>
      </c>
      <c r="O2014" t="str">
        <f>UPPER(IF(Master_ventas[[#This Row],[Profit]]&gt;500,"High","Std"))</f>
        <v>STD</v>
      </c>
      <c r="P2014">
        <v>2013</v>
      </c>
    </row>
    <row r="2015" spans="1:16" x14ac:dyDescent="0.3">
      <c r="A2015" s="1">
        <v>45122</v>
      </c>
      <c r="B2015" t="s">
        <v>22</v>
      </c>
      <c r="C2015" t="s">
        <v>11</v>
      </c>
      <c r="D2015" t="s">
        <v>16</v>
      </c>
      <c r="E2015">
        <v>1</v>
      </c>
      <c r="F2015" s="3">
        <v>1147</v>
      </c>
      <c r="G2015" s="2">
        <v>133.47999999999999</v>
      </c>
      <c r="H2015">
        <f>Master_ventas[[#This Row],[Profit]]/Master_ventas[[#This Row],[Sales]]</f>
        <v>0.11637314734088927</v>
      </c>
      <c r="I2015">
        <f ca="1">Referencia_Hoy-Master_ventas[[#This Row],[Order Date]]</f>
        <v>1201</v>
      </c>
      <c r="J2015" t="str">
        <f>UPPER(Master_ventas[[#This Row],[Product Name]])</f>
        <v>KEYBOARD</v>
      </c>
      <c r="K2015" t="str">
        <f>UPPER(Master_ventas[[#This Row],[Category]])</f>
        <v>ACCESSORIES</v>
      </c>
      <c r="L2015">
        <f>YEAR(Master_ventas[[#This Row],[Order Date]])</f>
        <v>2023</v>
      </c>
      <c r="M2015" t="str">
        <f>CONCATENATE(LEFT(Master_ventas[[#This Row],[ProdUpper]],3),RIGHT(Master_ventas[[#This Row],[Ext-Year]],2),"-",MID(Master_ventas[[#This Row],[Category]],1,1))</f>
        <v>KEY23-A</v>
      </c>
      <c r="N2015" t="str">
        <f>MID(Master_ventas[[#This Row],[ProdUpper]],1,3)</f>
        <v>KEY</v>
      </c>
      <c r="O2015" t="str">
        <f>UPPER(IF(Master_ventas[[#This Row],[Profit]]&gt;500,"High","Std"))</f>
        <v>STD</v>
      </c>
      <c r="P2015">
        <v>2014</v>
      </c>
    </row>
    <row r="2016" spans="1:16" x14ac:dyDescent="0.3">
      <c r="A2016" s="1">
        <v>44968</v>
      </c>
      <c r="B2016" t="s">
        <v>23</v>
      </c>
      <c r="C2016" t="s">
        <v>14</v>
      </c>
      <c r="D2016" t="s">
        <v>9</v>
      </c>
      <c r="E2016">
        <v>2</v>
      </c>
      <c r="F2016" s="3">
        <v>330</v>
      </c>
      <c r="G2016" s="2">
        <v>66.569999999999993</v>
      </c>
      <c r="H2016">
        <f>Master_ventas[[#This Row],[Profit]]/Master_ventas[[#This Row],[Sales]]</f>
        <v>0.2017272727272727</v>
      </c>
      <c r="I2016">
        <f ca="1">Referencia_Hoy-Master_ventas[[#This Row],[Order Date]]</f>
        <v>1355</v>
      </c>
      <c r="J2016" t="str">
        <f>UPPER(Master_ventas[[#This Row],[Product Name]])</f>
        <v>LAPTOP</v>
      </c>
      <c r="K2016" t="str">
        <f>UPPER(Master_ventas[[#This Row],[Category]])</f>
        <v>ELECTRONICS</v>
      </c>
      <c r="L2016">
        <f>YEAR(Master_ventas[[#This Row],[Order Date]])</f>
        <v>2023</v>
      </c>
      <c r="M2016" t="str">
        <f>CONCATENATE(LEFT(Master_ventas[[#This Row],[ProdUpper]],3),RIGHT(Master_ventas[[#This Row],[Ext-Year]],2),"-",MID(Master_ventas[[#This Row],[Category]],1,1))</f>
        <v>LAP23-E</v>
      </c>
      <c r="N2016" t="str">
        <f>MID(Master_ventas[[#This Row],[ProdUpper]],1,3)</f>
        <v>LAP</v>
      </c>
      <c r="O2016" t="str">
        <f>UPPER(IF(Master_ventas[[#This Row],[Profit]]&gt;500,"High","Std"))</f>
        <v>STD</v>
      </c>
      <c r="P2016">
        <v>2015</v>
      </c>
    </row>
    <row r="2017" spans="1:16" x14ac:dyDescent="0.3">
      <c r="A2017" s="1">
        <v>45119</v>
      </c>
      <c r="B2017" t="s">
        <v>20</v>
      </c>
      <c r="C2017" t="s">
        <v>11</v>
      </c>
      <c r="D2017" t="s">
        <v>9</v>
      </c>
      <c r="E2017">
        <v>4</v>
      </c>
      <c r="F2017" s="3">
        <v>2176</v>
      </c>
      <c r="G2017" s="2">
        <v>250.89</v>
      </c>
      <c r="H2017">
        <f>Master_ventas[[#This Row],[Profit]]/Master_ventas[[#This Row],[Sales]]</f>
        <v>0.11529871323529411</v>
      </c>
      <c r="I2017">
        <f ca="1">Referencia_Hoy-Master_ventas[[#This Row],[Order Date]]</f>
        <v>1204</v>
      </c>
      <c r="J2017" t="str">
        <f>UPPER(Master_ventas[[#This Row],[Product Name]])</f>
        <v>MONITOR</v>
      </c>
      <c r="K2017" t="str">
        <f>UPPER(Master_ventas[[#This Row],[Category]])</f>
        <v>ACCESSORIES</v>
      </c>
      <c r="L2017">
        <f>YEAR(Master_ventas[[#This Row],[Order Date]])</f>
        <v>2023</v>
      </c>
      <c r="M2017" t="str">
        <f>CONCATENATE(LEFT(Master_ventas[[#This Row],[ProdUpper]],3),RIGHT(Master_ventas[[#This Row],[Ext-Year]],2),"-",MID(Master_ventas[[#This Row],[Category]],1,1))</f>
        <v>MON23-A</v>
      </c>
      <c r="N2017" t="str">
        <f>MID(Master_ventas[[#This Row],[ProdUpper]],1,3)</f>
        <v>MON</v>
      </c>
      <c r="O2017" t="str">
        <f>UPPER(IF(Master_ventas[[#This Row],[Profit]]&gt;500,"High","Std"))</f>
        <v>STD</v>
      </c>
      <c r="P2017">
        <v>2016</v>
      </c>
    </row>
    <row r="2018" spans="1:16" x14ac:dyDescent="0.3">
      <c r="A2018" s="1">
        <v>44639</v>
      </c>
      <c r="B2018" t="s">
        <v>18</v>
      </c>
      <c r="C2018" t="s">
        <v>11</v>
      </c>
      <c r="D2018" t="s">
        <v>15</v>
      </c>
      <c r="E2018">
        <v>7</v>
      </c>
      <c r="F2018" s="3">
        <v>7616</v>
      </c>
      <c r="G2018" s="2">
        <v>1317.79</v>
      </c>
      <c r="H2018">
        <f>Master_ventas[[#This Row],[Profit]]/Master_ventas[[#This Row],[Sales]]</f>
        <v>0.17302914915966386</v>
      </c>
      <c r="I2018">
        <f ca="1">Referencia_Hoy-Master_ventas[[#This Row],[Order Date]]</f>
        <v>1684</v>
      </c>
      <c r="J2018" t="str">
        <f>UPPER(Master_ventas[[#This Row],[Product Name]])</f>
        <v>HEADPHONES</v>
      </c>
      <c r="K2018" t="str">
        <f>UPPER(Master_ventas[[#This Row],[Category]])</f>
        <v>ACCESSORIES</v>
      </c>
      <c r="L2018">
        <f>YEAR(Master_ventas[[#This Row],[Order Date]])</f>
        <v>2022</v>
      </c>
      <c r="M2018" t="str">
        <f>CONCATENATE(LEFT(Master_ventas[[#This Row],[ProdUpper]],3),RIGHT(Master_ventas[[#This Row],[Ext-Year]],2),"-",MID(Master_ventas[[#This Row],[Category]],1,1))</f>
        <v>HEA22-A</v>
      </c>
      <c r="N2018" t="str">
        <f>MID(Master_ventas[[#This Row],[ProdUpper]],1,3)</f>
        <v>HEA</v>
      </c>
      <c r="O2018" t="str">
        <f>UPPER(IF(Master_ventas[[#This Row],[Profit]]&gt;500,"High","Std"))</f>
        <v>HIGH</v>
      </c>
      <c r="P2018">
        <v>2017</v>
      </c>
    </row>
    <row r="2019" spans="1:16" x14ac:dyDescent="0.3">
      <c r="A2019" s="1">
        <v>45489</v>
      </c>
      <c r="B2019" t="s">
        <v>7</v>
      </c>
      <c r="C2019" t="s">
        <v>8</v>
      </c>
      <c r="D2019" t="s">
        <v>9</v>
      </c>
      <c r="E2019">
        <v>1</v>
      </c>
      <c r="F2019" s="3">
        <v>1091</v>
      </c>
      <c r="G2019" s="2">
        <v>258.3</v>
      </c>
      <c r="H2019">
        <f>Master_ventas[[#This Row],[Profit]]/Master_ventas[[#This Row],[Sales]]</f>
        <v>0.23675527039413383</v>
      </c>
      <c r="I2019">
        <f ca="1">Referencia_Hoy-Master_ventas[[#This Row],[Order Date]]</f>
        <v>834</v>
      </c>
      <c r="J2019" t="str">
        <f>UPPER(Master_ventas[[#This Row],[Product Name]])</f>
        <v>PRINTER</v>
      </c>
      <c r="K2019" t="str">
        <f>UPPER(Master_ventas[[#This Row],[Category]])</f>
        <v>OFFICE</v>
      </c>
      <c r="L2019">
        <f>YEAR(Master_ventas[[#This Row],[Order Date]])</f>
        <v>2024</v>
      </c>
      <c r="M2019" t="str">
        <f>CONCATENATE(LEFT(Master_ventas[[#This Row],[ProdUpper]],3),RIGHT(Master_ventas[[#This Row],[Ext-Year]],2),"-",MID(Master_ventas[[#This Row],[Category]],1,1))</f>
        <v>PRI24-O</v>
      </c>
      <c r="N2019" t="str">
        <f>MID(Master_ventas[[#This Row],[ProdUpper]],1,3)</f>
        <v>PRI</v>
      </c>
      <c r="O2019" t="str">
        <f>UPPER(IF(Master_ventas[[#This Row],[Profit]]&gt;500,"High","Std"))</f>
        <v>STD</v>
      </c>
      <c r="P2019">
        <v>2018</v>
      </c>
    </row>
    <row r="2020" spans="1:16" x14ac:dyDescent="0.3">
      <c r="A2020" s="1">
        <v>45385</v>
      </c>
      <c r="B2020" t="s">
        <v>13</v>
      </c>
      <c r="C2020" t="s">
        <v>14</v>
      </c>
      <c r="D2020" t="s">
        <v>12</v>
      </c>
      <c r="E2020">
        <v>2</v>
      </c>
      <c r="F2020" s="3">
        <v>1026</v>
      </c>
      <c r="G2020" s="2">
        <v>279.76</v>
      </c>
      <c r="H2020">
        <f>Master_ventas[[#This Row],[Profit]]/Master_ventas[[#This Row],[Sales]]</f>
        <v>0.27267056530214423</v>
      </c>
      <c r="I2020">
        <f ca="1">Referencia_Hoy-Master_ventas[[#This Row],[Order Date]]</f>
        <v>938</v>
      </c>
      <c r="J2020" t="str">
        <f>UPPER(Master_ventas[[#This Row],[Product Name]])</f>
        <v>TABLET</v>
      </c>
      <c r="K2020" t="str">
        <f>UPPER(Master_ventas[[#This Row],[Category]])</f>
        <v>ELECTRONICS</v>
      </c>
      <c r="L2020">
        <f>YEAR(Master_ventas[[#This Row],[Order Date]])</f>
        <v>2024</v>
      </c>
      <c r="M2020" t="str">
        <f>CONCATENATE(LEFT(Master_ventas[[#This Row],[ProdUpper]],3),RIGHT(Master_ventas[[#This Row],[Ext-Year]],2),"-",MID(Master_ventas[[#This Row],[Category]],1,1))</f>
        <v>TAB24-E</v>
      </c>
      <c r="N2020" t="str">
        <f>MID(Master_ventas[[#This Row],[ProdUpper]],1,3)</f>
        <v>TAB</v>
      </c>
      <c r="O2020" t="str">
        <f>UPPER(IF(Master_ventas[[#This Row],[Profit]]&gt;500,"High","Std"))</f>
        <v>STD</v>
      </c>
      <c r="P2020">
        <v>2019</v>
      </c>
    </row>
    <row r="2021" spans="1:16" x14ac:dyDescent="0.3">
      <c r="A2021" s="1">
        <v>45613</v>
      </c>
      <c r="B2021" t="s">
        <v>13</v>
      </c>
      <c r="C2021" t="s">
        <v>14</v>
      </c>
      <c r="D2021" t="s">
        <v>16</v>
      </c>
      <c r="E2021">
        <v>2</v>
      </c>
      <c r="F2021" s="3">
        <v>210</v>
      </c>
      <c r="G2021" s="2">
        <v>42.04</v>
      </c>
      <c r="H2021">
        <f>Master_ventas[[#This Row],[Profit]]/Master_ventas[[#This Row],[Sales]]</f>
        <v>0.2001904761904762</v>
      </c>
      <c r="I2021">
        <f ca="1">Referencia_Hoy-Master_ventas[[#This Row],[Order Date]]</f>
        <v>710</v>
      </c>
      <c r="J2021" t="str">
        <f>UPPER(Master_ventas[[#This Row],[Product Name]])</f>
        <v>TABLET</v>
      </c>
      <c r="K2021" t="str">
        <f>UPPER(Master_ventas[[#This Row],[Category]])</f>
        <v>ELECTRONICS</v>
      </c>
      <c r="L2021">
        <f>YEAR(Master_ventas[[#This Row],[Order Date]])</f>
        <v>2024</v>
      </c>
      <c r="M2021" t="str">
        <f>CONCATENATE(LEFT(Master_ventas[[#This Row],[ProdUpper]],3),RIGHT(Master_ventas[[#This Row],[Ext-Year]],2),"-",MID(Master_ventas[[#This Row],[Category]],1,1))</f>
        <v>TAB24-E</v>
      </c>
      <c r="N2021" t="str">
        <f>MID(Master_ventas[[#This Row],[ProdUpper]],1,3)</f>
        <v>TAB</v>
      </c>
      <c r="O2021" t="str">
        <f>UPPER(IF(Master_ventas[[#This Row],[Profit]]&gt;500,"High","Std"))</f>
        <v>STD</v>
      </c>
      <c r="P2021">
        <v>2020</v>
      </c>
    </row>
    <row r="2022" spans="1:16" x14ac:dyDescent="0.3">
      <c r="A2022" s="1">
        <v>44821</v>
      </c>
      <c r="B2022" t="s">
        <v>7</v>
      </c>
      <c r="C2022" t="s">
        <v>8</v>
      </c>
      <c r="D2022" t="s">
        <v>9</v>
      </c>
      <c r="E2022">
        <v>2</v>
      </c>
      <c r="F2022" s="3">
        <v>180</v>
      </c>
      <c r="G2022" s="2">
        <v>10.78</v>
      </c>
      <c r="H2022">
        <f>Master_ventas[[#This Row],[Profit]]/Master_ventas[[#This Row],[Sales]]</f>
        <v>5.9888888888888887E-2</v>
      </c>
      <c r="I2022">
        <f ca="1">Referencia_Hoy-Master_ventas[[#This Row],[Order Date]]</f>
        <v>1502</v>
      </c>
      <c r="J2022" t="str">
        <f>UPPER(Master_ventas[[#This Row],[Product Name]])</f>
        <v>PRINTER</v>
      </c>
      <c r="K2022" t="str">
        <f>UPPER(Master_ventas[[#This Row],[Category]])</f>
        <v>OFFICE</v>
      </c>
      <c r="L2022">
        <f>YEAR(Master_ventas[[#This Row],[Order Date]])</f>
        <v>2022</v>
      </c>
      <c r="M2022" t="str">
        <f>CONCATENATE(LEFT(Master_ventas[[#This Row],[ProdUpper]],3),RIGHT(Master_ventas[[#This Row],[Ext-Year]],2),"-",MID(Master_ventas[[#This Row],[Category]],1,1))</f>
        <v>PRI22-O</v>
      </c>
      <c r="N2022" t="str">
        <f>MID(Master_ventas[[#This Row],[ProdUpper]],1,3)</f>
        <v>PRI</v>
      </c>
      <c r="O2022" t="str">
        <f>UPPER(IF(Master_ventas[[#This Row],[Profit]]&gt;500,"High","Std"))</f>
        <v>STD</v>
      </c>
      <c r="P2022">
        <v>2021</v>
      </c>
    </row>
    <row r="2023" spans="1:16" x14ac:dyDescent="0.3">
      <c r="A2023" s="1">
        <v>45547</v>
      </c>
      <c r="B2023" t="s">
        <v>13</v>
      </c>
      <c r="C2023" t="s">
        <v>14</v>
      </c>
      <c r="D2023" t="s">
        <v>9</v>
      </c>
      <c r="E2023">
        <v>4</v>
      </c>
      <c r="F2023" s="3">
        <v>380</v>
      </c>
      <c r="G2023" s="2">
        <v>72.88</v>
      </c>
      <c r="H2023">
        <f>Master_ventas[[#This Row],[Profit]]/Master_ventas[[#This Row],[Sales]]</f>
        <v>0.19178947368421051</v>
      </c>
      <c r="I2023">
        <f ca="1">Referencia_Hoy-Master_ventas[[#This Row],[Order Date]]</f>
        <v>776</v>
      </c>
      <c r="J2023" t="str">
        <f>UPPER(Master_ventas[[#This Row],[Product Name]])</f>
        <v>TABLET</v>
      </c>
      <c r="K2023" t="str">
        <f>UPPER(Master_ventas[[#This Row],[Category]])</f>
        <v>ELECTRONICS</v>
      </c>
      <c r="L2023">
        <f>YEAR(Master_ventas[[#This Row],[Order Date]])</f>
        <v>2024</v>
      </c>
      <c r="M2023" t="str">
        <f>CONCATENATE(LEFT(Master_ventas[[#This Row],[ProdUpper]],3),RIGHT(Master_ventas[[#This Row],[Ext-Year]],2),"-",MID(Master_ventas[[#This Row],[Category]],1,1))</f>
        <v>TAB24-E</v>
      </c>
      <c r="N2023" t="str">
        <f>MID(Master_ventas[[#This Row],[ProdUpper]],1,3)</f>
        <v>TAB</v>
      </c>
      <c r="O2023" t="str">
        <f>UPPER(IF(Master_ventas[[#This Row],[Profit]]&gt;500,"High","Std"))</f>
        <v>STD</v>
      </c>
      <c r="P2023">
        <v>2022</v>
      </c>
    </row>
    <row r="2024" spans="1:16" x14ac:dyDescent="0.3">
      <c r="A2024" s="1">
        <v>45151</v>
      </c>
      <c r="B2024" t="s">
        <v>20</v>
      </c>
      <c r="C2024" t="s">
        <v>11</v>
      </c>
      <c r="D2024" t="s">
        <v>16</v>
      </c>
      <c r="E2024">
        <v>8</v>
      </c>
      <c r="F2024" s="3">
        <v>7664</v>
      </c>
      <c r="G2024" s="2">
        <v>1580.55</v>
      </c>
      <c r="H2024">
        <f>Master_ventas[[#This Row],[Profit]]/Master_ventas[[#This Row],[Sales]]</f>
        <v>0.20623042797494781</v>
      </c>
      <c r="I2024">
        <f ca="1">Referencia_Hoy-Master_ventas[[#This Row],[Order Date]]</f>
        <v>1172</v>
      </c>
      <c r="J2024" t="str">
        <f>UPPER(Master_ventas[[#This Row],[Product Name]])</f>
        <v>MONITOR</v>
      </c>
      <c r="K2024" t="str">
        <f>UPPER(Master_ventas[[#This Row],[Category]])</f>
        <v>ACCESSORIES</v>
      </c>
      <c r="L2024">
        <f>YEAR(Master_ventas[[#This Row],[Order Date]])</f>
        <v>2023</v>
      </c>
      <c r="M2024" t="str">
        <f>CONCATENATE(LEFT(Master_ventas[[#This Row],[ProdUpper]],3),RIGHT(Master_ventas[[#This Row],[Ext-Year]],2),"-",MID(Master_ventas[[#This Row],[Category]],1,1))</f>
        <v>MON23-A</v>
      </c>
      <c r="N2024" t="str">
        <f>MID(Master_ventas[[#This Row],[ProdUpper]],1,3)</f>
        <v>MON</v>
      </c>
      <c r="O2024" t="str">
        <f>UPPER(IF(Master_ventas[[#This Row],[Profit]]&gt;500,"High","Std"))</f>
        <v>HIGH</v>
      </c>
      <c r="P2024">
        <v>2023</v>
      </c>
    </row>
    <row r="2025" spans="1:16" x14ac:dyDescent="0.3">
      <c r="A2025" s="1">
        <v>44856</v>
      </c>
      <c r="B2025" t="s">
        <v>21</v>
      </c>
      <c r="C2025" t="s">
        <v>14</v>
      </c>
      <c r="D2025" t="s">
        <v>12</v>
      </c>
      <c r="E2025">
        <v>8</v>
      </c>
      <c r="F2025" s="3">
        <v>6056</v>
      </c>
      <c r="G2025" s="2">
        <v>1029.9000000000001</v>
      </c>
      <c r="H2025">
        <f>Master_ventas[[#This Row],[Profit]]/Master_ventas[[#This Row],[Sales]]</f>
        <v>0.17006274768824309</v>
      </c>
      <c r="I2025">
        <f ca="1">Referencia_Hoy-Master_ventas[[#This Row],[Order Date]]</f>
        <v>1467</v>
      </c>
      <c r="J2025" t="str">
        <f>UPPER(Master_ventas[[#This Row],[Product Name]])</f>
        <v>SMARTPHONE</v>
      </c>
      <c r="K2025" t="str">
        <f>UPPER(Master_ventas[[#This Row],[Category]])</f>
        <v>ELECTRONICS</v>
      </c>
      <c r="L2025">
        <f>YEAR(Master_ventas[[#This Row],[Order Date]])</f>
        <v>2022</v>
      </c>
      <c r="M2025" t="str">
        <f>CONCATENATE(LEFT(Master_ventas[[#This Row],[ProdUpper]],3),RIGHT(Master_ventas[[#This Row],[Ext-Year]],2),"-",MID(Master_ventas[[#This Row],[Category]],1,1))</f>
        <v>SMA22-E</v>
      </c>
      <c r="N2025" t="str">
        <f>MID(Master_ventas[[#This Row],[ProdUpper]],1,3)</f>
        <v>SMA</v>
      </c>
      <c r="O2025" t="str">
        <f>UPPER(IF(Master_ventas[[#This Row],[Profit]]&gt;500,"High","Std"))</f>
        <v>HIGH</v>
      </c>
      <c r="P2025">
        <v>2024</v>
      </c>
    </row>
    <row r="2026" spans="1:16" x14ac:dyDescent="0.3">
      <c r="A2026" s="1">
        <v>44589</v>
      </c>
      <c r="B2026" t="s">
        <v>10</v>
      </c>
      <c r="C2026" t="s">
        <v>11</v>
      </c>
      <c r="D2026" t="s">
        <v>9</v>
      </c>
      <c r="E2026">
        <v>6</v>
      </c>
      <c r="F2026" s="3">
        <v>606</v>
      </c>
      <c r="G2026" s="2">
        <v>104.52</v>
      </c>
      <c r="H2026">
        <f>Master_ventas[[#This Row],[Profit]]/Master_ventas[[#This Row],[Sales]]</f>
        <v>0.17247524752475246</v>
      </c>
      <c r="I2026">
        <f ca="1">Referencia_Hoy-Master_ventas[[#This Row],[Order Date]]</f>
        <v>1734</v>
      </c>
      <c r="J2026" t="str">
        <f>UPPER(Master_ventas[[#This Row],[Product Name]])</f>
        <v>MOUSE</v>
      </c>
      <c r="K2026" t="str">
        <f>UPPER(Master_ventas[[#This Row],[Category]])</f>
        <v>ACCESSORIES</v>
      </c>
      <c r="L2026">
        <f>YEAR(Master_ventas[[#This Row],[Order Date]])</f>
        <v>2022</v>
      </c>
      <c r="M2026" t="str">
        <f>CONCATENATE(LEFT(Master_ventas[[#This Row],[ProdUpper]],3),RIGHT(Master_ventas[[#This Row],[Ext-Year]],2),"-",MID(Master_ventas[[#This Row],[Category]],1,1))</f>
        <v>MOU22-A</v>
      </c>
      <c r="N2026" t="str">
        <f>MID(Master_ventas[[#This Row],[ProdUpper]],1,3)</f>
        <v>MOU</v>
      </c>
      <c r="O2026" t="str">
        <f>UPPER(IF(Master_ventas[[#This Row],[Profit]]&gt;500,"High","Std"))</f>
        <v>STD</v>
      </c>
      <c r="P2026">
        <v>2025</v>
      </c>
    </row>
    <row r="2027" spans="1:16" x14ac:dyDescent="0.3">
      <c r="A2027" s="1">
        <v>45381</v>
      </c>
      <c r="B2027" t="s">
        <v>20</v>
      </c>
      <c r="C2027" t="s">
        <v>11</v>
      </c>
      <c r="D2027" t="s">
        <v>9</v>
      </c>
      <c r="E2027">
        <v>3</v>
      </c>
      <c r="F2027" s="3">
        <v>750</v>
      </c>
      <c r="G2027" s="2">
        <v>193.86</v>
      </c>
      <c r="H2027">
        <f>Master_ventas[[#This Row],[Profit]]/Master_ventas[[#This Row],[Sales]]</f>
        <v>0.25848000000000004</v>
      </c>
      <c r="I2027">
        <f ca="1">Referencia_Hoy-Master_ventas[[#This Row],[Order Date]]</f>
        <v>942</v>
      </c>
      <c r="J2027" t="str">
        <f>UPPER(Master_ventas[[#This Row],[Product Name]])</f>
        <v>MONITOR</v>
      </c>
      <c r="K2027" t="str">
        <f>UPPER(Master_ventas[[#This Row],[Category]])</f>
        <v>ACCESSORIES</v>
      </c>
      <c r="L2027">
        <f>YEAR(Master_ventas[[#This Row],[Order Date]])</f>
        <v>2024</v>
      </c>
      <c r="M2027" t="str">
        <f>CONCATENATE(LEFT(Master_ventas[[#This Row],[ProdUpper]],3),RIGHT(Master_ventas[[#This Row],[Ext-Year]],2),"-",MID(Master_ventas[[#This Row],[Category]],1,1))</f>
        <v>MON24-A</v>
      </c>
      <c r="N2027" t="str">
        <f>MID(Master_ventas[[#This Row],[ProdUpper]],1,3)</f>
        <v>MON</v>
      </c>
      <c r="O2027" t="str">
        <f>UPPER(IF(Master_ventas[[#This Row],[Profit]]&gt;500,"High","Std"))</f>
        <v>STD</v>
      </c>
      <c r="P2027">
        <v>2026</v>
      </c>
    </row>
    <row r="2028" spans="1:16" x14ac:dyDescent="0.3">
      <c r="A2028" s="1">
        <v>45637</v>
      </c>
      <c r="B2028" t="s">
        <v>7</v>
      </c>
      <c r="C2028" t="s">
        <v>8</v>
      </c>
      <c r="D2028" t="s">
        <v>12</v>
      </c>
      <c r="E2028">
        <v>2</v>
      </c>
      <c r="F2028" s="3">
        <v>1218</v>
      </c>
      <c r="G2028" s="2">
        <v>218.88</v>
      </c>
      <c r="H2028">
        <f>Master_ventas[[#This Row],[Profit]]/Master_ventas[[#This Row],[Sales]]</f>
        <v>0.17970443349753695</v>
      </c>
      <c r="I2028">
        <f ca="1">Referencia_Hoy-Master_ventas[[#This Row],[Order Date]]</f>
        <v>686</v>
      </c>
      <c r="J2028" t="str">
        <f>UPPER(Master_ventas[[#This Row],[Product Name]])</f>
        <v>PRINTER</v>
      </c>
      <c r="K2028" t="str">
        <f>UPPER(Master_ventas[[#This Row],[Category]])</f>
        <v>OFFICE</v>
      </c>
      <c r="L2028">
        <f>YEAR(Master_ventas[[#This Row],[Order Date]])</f>
        <v>2024</v>
      </c>
      <c r="M2028" t="str">
        <f>CONCATENATE(LEFT(Master_ventas[[#This Row],[ProdUpper]],3),RIGHT(Master_ventas[[#This Row],[Ext-Year]],2),"-",MID(Master_ventas[[#This Row],[Category]],1,1))</f>
        <v>PRI24-O</v>
      </c>
      <c r="N2028" t="str">
        <f>MID(Master_ventas[[#This Row],[ProdUpper]],1,3)</f>
        <v>PRI</v>
      </c>
      <c r="O2028" t="str">
        <f>UPPER(IF(Master_ventas[[#This Row],[Profit]]&gt;500,"High","Std"))</f>
        <v>STD</v>
      </c>
      <c r="P2028">
        <v>2027</v>
      </c>
    </row>
    <row r="2029" spans="1:16" x14ac:dyDescent="0.3">
      <c r="A2029" s="1">
        <v>45011</v>
      </c>
      <c r="B2029" t="s">
        <v>23</v>
      </c>
      <c r="C2029" t="s">
        <v>14</v>
      </c>
      <c r="D2029" t="s">
        <v>16</v>
      </c>
      <c r="E2029">
        <v>2</v>
      </c>
      <c r="F2029" s="3">
        <v>2162</v>
      </c>
      <c r="G2029" s="2">
        <v>355.45</v>
      </c>
      <c r="H2029">
        <f>Master_ventas[[#This Row],[Profit]]/Master_ventas[[#This Row],[Sales]]</f>
        <v>0.16440795559666974</v>
      </c>
      <c r="I2029">
        <f ca="1">Referencia_Hoy-Master_ventas[[#This Row],[Order Date]]</f>
        <v>1312</v>
      </c>
      <c r="J2029" t="str">
        <f>UPPER(Master_ventas[[#This Row],[Product Name]])</f>
        <v>LAPTOP</v>
      </c>
      <c r="K2029" t="str">
        <f>UPPER(Master_ventas[[#This Row],[Category]])</f>
        <v>ELECTRONICS</v>
      </c>
      <c r="L2029">
        <f>YEAR(Master_ventas[[#This Row],[Order Date]])</f>
        <v>2023</v>
      </c>
      <c r="M2029" t="str">
        <f>CONCATENATE(LEFT(Master_ventas[[#This Row],[ProdUpper]],3),RIGHT(Master_ventas[[#This Row],[Ext-Year]],2),"-",MID(Master_ventas[[#This Row],[Category]],1,1))</f>
        <v>LAP23-E</v>
      </c>
      <c r="N2029" t="str">
        <f>MID(Master_ventas[[#This Row],[ProdUpper]],1,3)</f>
        <v>LAP</v>
      </c>
      <c r="O2029" t="str">
        <f>UPPER(IF(Master_ventas[[#This Row],[Profit]]&gt;500,"High","Std"))</f>
        <v>STD</v>
      </c>
      <c r="P2029">
        <v>2028</v>
      </c>
    </row>
    <row r="2030" spans="1:16" x14ac:dyDescent="0.3">
      <c r="A2030" s="1">
        <v>44998</v>
      </c>
      <c r="B2030" t="s">
        <v>18</v>
      </c>
      <c r="C2030" t="s">
        <v>11</v>
      </c>
      <c r="D2030" t="s">
        <v>12</v>
      </c>
      <c r="E2030">
        <v>9</v>
      </c>
      <c r="F2030" s="3">
        <v>2223</v>
      </c>
      <c r="G2030" s="2">
        <v>347.01</v>
      </c>
      <c r="H2030">
        <f>Master_ventas[[#This Row],[Profit]]/Master_ventas[[#This Row],[Sales]]</f>
        <v>0.15609986504723347</v>
      </c>
      <c r="I2030">
        <f ca="1">Referencia_Hoy-Master_ventas[[#This Row],[Order Date]]</f>
        <v>1325</v>
      </c>
      <c r="J2030" t="str">
        <f>UPPER(Master_ventas[[#This Row],[Product Name]])</f>
        <v>HEADPHONES</v>
      </c>
      <c r="K2030" t="str">
        <f>UPPER(Master_ventas[[#This Row],[Category]])</f>
        <v>ACCESSORIES</v>
      </c>
      <c r="L2030">
        <f>YEAR(Master_ventas[[#This Row],[Order Date]])</f>
        <v>2023</v>
      </c>
      <c r="M2030" t="str">
        <f>CONCATENATE(LEFT(Master_ventas[[#This Row],[ProdUpper]],3),RIGHT(Master_ventas[[#This Row],[Ext-Year]],2),"-",MID(Master_ventas[[#This Row],[Category]],1,1))</f>
        <v>HEA23-A</v>
      </c>
      <c r="N2030" t="str">
        <f>MID(Master_ventas[[#This Row],[ProdUpper]],1,3)</f>
        <v>HEA</v>
      </c>
      <c r="O2030" t="str">
        <f>UPPER(IF(Master_ventas[[#This Row],[Profit]]&gt;500,"High","Std"))</f>
        <v>STD</v>
      </c>
      <c r="P2030">
        <v>2029</v>
      </c>
    </row>
    <row r="2031" spans="1:16" x14ac:dyDescent="0.3">
      <c r="A2031" s="1">
        <v>45188</v>
      </c>
      <c r="B2031" t="s">
        <v>21</v>
      </c>
      <c r="C2031" t="s">
        <v>14</v>
      </c>
      <c r="D2031" t="s">
        <v>16</v>
      </c>
      <c r="E2031">
        <v>7</v>
      </c>
      <c r="F2031" s="3">
        <v>4452</v>
      </c>
      <c r="G2031" s="2">
        <v>920.05</v>
      </c>
      <c r="H2031">
        <f>Master_ventas[[#This Row],[Profit]]/Master_ventas[[#This Row],[Sales]]</f>
        <v>0.20665992812219225</v>
      </c>
      <c r="I2031">
        <f ca="1">Referencia_Hoy-Master_ventas[[#This Row],[Order Date]]</f>
        <v>1135</v>
      </c>
      <c r="J2031" t="str">
        <f>UPPER(Master_ventas[[#This Row],[Product Name]])</f>
        <v>SMARTPHONE</v>
      </c>
      <c r="K2031" t="str">
        <f>UPPER(Master_ventas[[#This Row],[Category]])</f>
        <v>ELECTRONICS</v>
      </c>
      <c r="L2031">
        <f>YEAR(Master_ventas[[#This Row],[Order Date]])</f>
        <v>2023</v>
      </c>
      <c r="M2031" t="str">
        <f>CONCATENATE(LEFT(Master_ventas[[#This Row],[ProdUpper]],3),RIGHT(Master_ventas[[#This Row],[Ext-Year]],2),"-",MID(Master_ventas[[#This Row],[Category]],1,1))</f>
        <v>SMA23-E</v>
      </c>
      <c r="N2031" t="str">
        <f>MID(Master_ventas[[#This Row],[ProdUpper]],1,3)</f>
        <v>SMA</v>
      </c>
      <c r="O2031" t="str">
        <f>UPPER(IF(Master_ventas[[#This Row],[Profit]]&gt;500,"High","Std"))</f>
        <v>HIGH</v>
      </c>
      <c r="P2031">
        <v>2030</v>
      </c>
    </row>
    <row r="2032" spans="1:16" x14ac:dyDescent="0.3">
      <c r="A2032" s="1">
        <v>44600</v>
      </c>
      <c r="B2032" t="s">
        <v>7</v>
      </c>
      <c r="C2032" t="s">
        <v>8</v>
      </c>
      <c r="D2032" t="s">
        <v>16</v>
      </c>
      <c r="E2032">
        <v>1</v>
      </c>
      <c r="F2032" s="3">
        <v>184</v>
      </c>
      <c r="G2032" s="2">
        <v>50.19</v>
      </c>
      <c r="H2032">
        <f>Master_ventas[[#This Row],[Profit]]/Master_ventas[[#This Row],[Sales]]</f>
        <v>0.27277173913043479</v>
      </c>
      <c r="I2032">
        <f ca="1">Referencia_Hoy-Master_ventas[[#This Row],[Order Date]]</f>
        <v>1723</v>
      </c>
      <c r="J2032" t="str">
        <f>UPPER(Master_ventas[[#This Row],[Product Name]])</f>
        <v>PRINTER</v>
      </c>
      <c r="K2032" t="str">
        <f>UPPER(Master_ventas[[#This Row],[Category]])</f>
        <v>OFFICE</v>
      </c>
      <c r="L2032">
        <f>YEAR(Master_ventas[[#This Row],[Order Date]])</f>
        <v>2022</v>
      </c>
      <c r="M2032" t="str">
        <f>CONCATENATE(LEFT(Master_ventas[[#This Row],[ProdUpper]],3),RIGHT(Master_ventas[[#This Row],[Ext-Year]],2),"-",MID(Master_ventas[[#This Row],[Category]],1,1))</f>
        <v>PRI22-O</v>
      </c>
      <c r="N2032" t="str">
        <f>MID(Master_ventas[[#This Row],[ProdUpper]],1,3)</f>
        <v>PRI</v>
      </c>
      <c r="O2032" t="str">
        <f>UPPER(IF(Master_ventas[[#This Row],[Profit]]&gt;500,"High","Std"))</f>
        <v>STD</v>
      </c>
      <c r="P2032">
        <v>2031</v>
      </c>
    </row>
    <row r="2033" spans="1:16" x14ac:dyDescent="0.3">
      <c r="A2033" s="1">
        <v>44656</v>
      </c>
      <c r="B2033" t="s">
        <v>18</v>
      </c>
      <c r="C2033" t="s">
        <v>11</v>
      </c>
      <c r="D2033" t="s">
        <v>9</v>
      </c>
      <c r="E2033">
        <v>3</v>
      </c>
      <c r="F2033" s="3">
        <v>288</v>
      </c>
      <c r="G2033" s="2">
        <v>77.38</v>
      </c>
      <c r="H2033">
        <f>Master_ventas[[#This Row],[Profit]]/Master_ventas[[#This Row],[Sales]]</f>
        <v>0.26868055555555553</v>
      </c>
      <c r="I2033">
        <f ca="1">Referencia_Hoy-Master_ventas[[#This Row],[Order Date]]</f>
        <v>1667</v>
      </c>
      <c r="J2033" t="str">
        <f>UPPER(Master_ventas[[#This Row],[Product Name]])</f>
        <v>HEADPHONES</v>
      </c>
      <c r="K2033" t="str">
        <f>UPPER(Master_ventas[[#This Row],[Category]])</f>
        <v>ACCESSORIES</v>
      </c>
      <c r="L2033">
        <f>YEAR(Master_ventas[[#This Row],[Order Date]])</f>
        <v>2022</v>
      </c>
      <c r="M2033" t="str">
        <f>CONCATENATE(LEFT(Master_ventas[[#This Row],[ProdUpper]],3),RIGHT(Master_ventas[[#This Row],[Ext-Year]],2),"-",MID(Master_ventas[[#This Row],[Category]],1,1))</f>
        <v>HEA22-A</v>
      </c>
      <c r="N2033" t="str">
        <f>MID(Master_ventas[[#This Row],[ProdUpper]],1,3)</f>
        <v>HEA</v>
      </c>
      <c r="O2033" t="str">
        <f>UPPER(IF(Master_ventas[[#This Row],[Profit]]&gt;500,"High","Std"))</f>
        <v>STD</v>
      </c>
      <c r="P2033">
        <v>2032</v>
      </c>
    </row>
    <row r="2034" spans="1:16" x14ac:dyDescent="0.3">
      <c r="A2034" s="1">
        <v>45315</v>
      </c>
      <c r="B2034" t="s">
        <v>17</v>
      </c>
      <c r="C2034" t="s">
        <v>14</v>
      </c>
      <c r="D2034" t="s">
        <v>16</v>
      </c>
      <c r="E2034">
        <v>2</v>
      </c>
      <c r="F2034" s="3">
        <v>834</v>
      </c>
      <c r="G2034" s="2">
        <v>150.12</v>
      </c>
      <c r="H2034">
        <f>Master_ventas[[#This Row],[Profit]]/Master_ventas[[#This Row],[Sales]]</f>
        <v>0.18</v>
      </c>
      <c r="I2034">
        <f ca="1">Referencia_Hoy-Master_ventas[[#This Row],[Order Date]]</f>
        <v>1008</v>
      </c>
      <c r="J2034" t="str">
        <f>UPPER(Master_ventas[[#This Row],[Product Name]])</f>
        <v>CAMERA</v>
      </c>
      <c r="K2034" t="str">
        <f>UPPER(Master_ventas[[#This Row],[Category]])</f>
        <v>ELECTRONICS</v>
      </c>
      <c r="L2034">
        <f>YEAR(Master_ventas[[#This Row],[Order Date]])</f>
        <v>2024</v>
      </c>
      <c r="M2034" t="str">
        <f>CONCATENATE(LEFT(Master_ventas[[#This Row],[ProdUpper]],3),RIGHT(Master_ventas[[#This Row],[Ext-Year]],2),"-",MID(Master_ventas[[#This Row],[Category]],1,1))</f>
        <v>CAM24-E</v>
      </c>
      <c r="N2034" t="str">
        <f>MID(Master_ventas[[#This Row],[ProdUpper]],1,3)</f>
        <v>CAM</v>
      </c>
      <c r="O2034" t="str">
        <f>UPPER(IF(Master_ventas[[#This Row],[Profit]]&gt;500,"High","Std"))</f>
        <v>STD</v>
      </c>
      <c r="P2034">
        <v>2033</v>
      </c>
    </row>
    <row r="2035" spans="1:16" x14ac:dyDescent="0.3">
      <c r="A2035" s="1">
        <v>45158</v>
      </c>
      <c r="B2035" t="s">
        <v>22</v>
      </c>
      <c r="C2035" t="s">
        <v>11</v>
      </c>
      <c r="D2035" t="s">
        <v>12</v>
      </c>
      <c r="E2035">
        <v>5</v>
      </c>
      <c r="F2035" s="3">
        <v>4025</v>
      </c>
      <c r="G2035" s="2">
        <v>923.17</v>
      </c>
      <c r="H2035">
        <f>Master_ventas[[#This Row],[Profit]]/Master_ventas[[#This Row],[Sales]]</f>
        <v>0.22935900621118011</v>
      </c>
      <c r="I2035">
        <f ca="1">Referencia_Hoy-Master_ventas[[#This Row],[Order Date]]</f>
        <v>1165</v>
      </c>
      <c r="J2035" t="str">
        <f>UPPER(Master_ventas[[#This Row],[Product Name]])</f>
        <v>KEYBOARD</v>
      </c>
      <c r="K2035" t="str">
        <f>UPPER(Master_ventas[[#This Row],[Category]])</f>
        <v>ACCESSORIES</v>
      </c>
      <c r="L2035">
        <f>YEAR(Master_ventas[[#This Row],[Order Date]])</f>
        <v>2023</v>
      </c>
      <c r="M2035" t="str">
        <f>CONCATENATE(LEFT(Master_ventas[[#This Row],[ProdUpper]],3),RIGHT(Master_ventas[[#This Row],[Ext-Year]],2),"-",MID(Master_ventas[[#This Row],[Category]],1,1))</f>
        <v>KEY23-A</v>
      </c>
      <c r="N2035" t="str">
        <f>MID(Master_ventas[[#This Row],[ProdUpper]],1,3)</f>
        <v>KEY</v>
      </c>
      <c r="O2035" t="str">
        <f>UPPER(IF(Master_ventas[[#This Row],[Profit]]&gt;500,"High","Std"))</f>
        <v>HIGH</v>
      </c>
      <c r="P2035">
        <v>2034</v>
      </c>
    </row>
    <row r="2036" spans="1:16" x14ac:dyDescent="0.3">
      <c r="A2036" s="1">
        <v>45177</v>
      </c>
      <c r="B2036" t="s">
        <v>18</v>
      </c>
      <c r="C2036" t="s">
        <v>11</v>
      </c>
      <c r="D2036" t="s">
        <v>16</v>
      </c>
      <c r="E2036">
        <v>7</v>
      </c>
      <c r="F2036" s="3">
        <v>4732</v>
      </c>
      <c r="G2036" s="2">
        <v>1084.28</v>
      </c>
      <c r="H2036">
        <f>Master_ventas[[#This Row],[Profit]]/Master_ventas[[#This Row],[Sales]]</f>
        <v>0.22913778529163145</v>
      </c>
      <c r="I2036">
        <f ca="1">Referencia_Hoy-Master_ventas[[#This Row],[Order Date]]</f>
        <v>1146</v>
      </c>
      <c r="J2036" t="str">
        <f>UPPER(Master_ventas[[#This Row],[Product Name]])</f>
        <v>HEADPHONES</v>
      </c>
      <c r="K2036" t="str">
        <f>UPPER(Master_ventas[[#This Row],[Category]])</f>
        <v>ACCESSORIES</v>
      </c>
      <c r="L2036">
        <f>YEAR(Master_ventas[[#This Row],[Order Date]])</f>
        <v>2023</v>
      </c>
      <c r="M2036" t="str">
        <f>CONCATENATE(LEFT(Master_ventas[[#This Row],[ProdUpper]],3),RIGHT(Master_ventas[[#This Row],[Ext-Year]],2),"-",MID(Master_ventas[[#This Row],[Category]],1,1))</f>
        <v>HEA23-A</v>
      </c>
      <c r="N2036" t="str">
        <f>MID(Master_ventas[[#This Row],[ProdUpper]],1,3)</f>
        <v>HEA</v>
      </c>
      <c r="O2036" t="str">
        <f>UPPER(IF(Master_ventas[[#This Row],[Profit]]&gt;500,"High","Std"))</f>
        <v>HIGH</v>
      </c>
      <c r="P2036">
        <v>2035</v>
      </c>
    </row>
    <row r="2037" spans="1:16" x14ac:dyDescent="0.3">
      <c r="A2037" s="1">
        <v>44700</v>
      </c>
      <c r="B2037" t="s">
        <v>18</v>
      </c>
      <c r="C2037" t="s">
        <v>11</v>
      </c>
      <c r="D2037" t="s">
        <v>16</v>
      </c>
      <c r="E2037">
        <v>5</v>
      </c>
      <c r="F2037" s="3">
        <v>4025</v>
      </c>
      <c r="G2037" s="2">
        <v>407.72</v>
      </c>
      <c r="H2037">
        <f>Master_ventas[[#This Row],[Profit]]/Master_ventas[[#This Row],[Sales]]</f>
        <v>0.1012968944099379</v>
      </c>
      <c r="I2037">
        <f ca="1">Referencia_Hoy-Master_ventas[[#This Row],[Order Date]]</f>
        <v>1623</v>
      </c>
      <c r="J2037" t="str">
        <f>UPPER(Master_ventas[[#This Row],[Product Name]])</f>
        <v>HEADPHONES</v>
      </c>
      <c r="K2037" t="str">
        <f>UPPER(Master_ventas[[#This Row],[Category]])</f>
        <v>ACCESSORIES</v>
      </c>
      <c r="L2037">
        <f>YEAR(Master_ventas[[#This Row],[Order Date]])</f>
        <v>2022</v>
      </c>
      <c r="M2037" t="str">
        <f>CONCATENATE(LEFT(Master_ventas[[#This Row],[ProdUpper]],3),RIGHT(Master_ventas[[#This Row],[Ext-Year]],2),"-",MID(Master_ventas[[#This Row],[Category]],1,1))</f>
        <v>HEA22-A</v>
      </c>
      <c r="N2037" t="str">
        <f>MID(Master_ventas[[#This Row],[ProdUpper]],1,3)</f>
        <v>HEA</v>
      </c>
      <c r="O2037" t="str">
        <f>UPPER(IF(Master_ventas[[#This Row],[Profit]]&gt;500,"High","Std"))</f>
        <v>STD</v>
      </c>
      <c r="P2037">
        <v>2036</v>
      </c>
    </row>
    <row r="2038" spans="1:16" x14ac:dyDescent="0.3">
      <c r="A2038" s="1">
        <v>45122</v>
      </c>
      <c r="B2038" t="s">
        <v>7</v>
      </c>
      <c r="C2038" t="s">
        <v>8</v>
      </c>
      <c r="D2038" t="s">
        <v>15</v>
      </c>
      <c r="E2038">
        <v>8</v>
      </c>
      <c r="F2038" s="3">
        <v>2416</v>
      </c>
      <c r="G2038" s="2">
        <v>500.93</v>
      </c>
      <c r="H2038">
        <f>Master_ventas[[#This Row],[Profit]]/Master_ventas[[#This Row],[Sales]]</f>
        <v>0.20733857615894041</v>
      </c>
      <c r="I2038">
        <f ca="1">Referencia_Hoy-Master_ventas[[#This Row],[Order Date]]</f>
        <v>1201</v>
      </c>
      <c r="J2038" t="str">
        <f>UPPER(Master_ventas[[#This Row],[Product Name]])</f>
        <v>PRINTER</v>
      </c>
      <c r="K2038" t="str">
        <f>UPPER(Master_ventas[[#This Row],[Category]])</f>
        <v>OFFICE</v>
      </c>
      <c r="L2038">
        <f>YEAR(Master_ventas[[#This Row],[Order Date]])</f>
        <v>2023</v>
      </c>
      <c r="M2038" t="str">
        <f>CONCATENATE(LEFT(Master_ventas[[#This Row],[ProdUpper]],3),RIGHT(Master_ventas[[#This Row],[Ext-Year]],2),"-",MID(Master_ventas[[#This Row],[Category]],1,1))</f>
        <v>PRI23-O</v>
      </c>
      <c r="N2038" t="str">
        <f>MID(Master_ventas[[#This Row],[ProdUpper]],1,3)</f>
        <v>PRI</v>
      </c>
      <c r="O2038" t="str">
        <f>UPPER(IF(Master_ventas[[#This Row],[Profit]]&gt;500,"High","Std"))</f>
        <v>HIGH</v>
      </c>
      <c r="P2038">
        <v>2037</v>
      </c>
    </row>
    <row r="2039" spans="1:16" x14ac:dyDescent="0.3">
      <c r="A2039" s="1">
        <v>45367</v>
      </c>
      <c r="B2039" t="s">
        <v>13</v>
      </c>
      <c r="C2039" t="s">
        <v>14</v>
      </c>
      <c r="D2039" t="s">
        <v>9</v>
      </c>
      <c r="E2039">
        <v>7</v>
      </c>
      <c r="F2039" s="3">
        <v>1897</v>
      </c>
      <c r="G2039" s="2">
        <v>524.69000000000005</v>
      </c>
      <c r="H2039">
        <f>Master_ventas[[#This Row],[Profit]]/Master_ventas[[#This Row],[Sales]]</f>
        <v>0.27658935160780185</v>
      </c>
      <c r="I2039">
        <f ca="1">Referencia_Hoy-Master_ventas[[#This Row],[Order Date]]</f>
        <v>956</v>
      </c>
      <c r="J2039" t="str">
        <f>UPPER(Master_ventas[[#This Row],[Product Name]])</f>
        <v>TABLET</v>
      </c>
      <c r="K2039" t="str">
        <f>UPPER(Master_ventas[[#This Row],[Category]])</f>
        <v>ELECTRONICS</v>
      </c>
      <c r="L2039">
        <f>YEAR(Master_ventas[[#This Row],[Order Date]])</f>
        <v>2024</v>
      </c>
      <c r="M2039" t="str">
        <f>CONCATENATE(LEFT(Master_ventas[[#This Row],[ProdUpper]],3),RIGHT(Master_ventas[[#This Row],[Ext-Year]],2),"-",MID(Master_ventas[[#This Row],[Category]],1,1))</f>
        <v>TAB24-E</v>
      </c>
      <c r="N2039" t="str">
        <f>MID(Master_ventas[[#This Row],[ProdUpper]],1,3)</f>
        <v>TAB</v>
      </c>
      <c r="O2039" t="str">
        <f>UPPER(IF(Master_ventas[[#This Row],[Profit]]&gt;500,"High","Std"))</f>
        <v>HIGH</v>
      </c>
      <c r="P2039">
        <v>2038</v>
      </c>
    </row>
    <row r="2040" spans="1:16" x14ac:dyDescent="0.3">
      <c r="A2040" s="1">
        <v>44667</v>
      </c>
      <c r="B2040" t="s">
        <v>10</v>
      </c>
      <c r="C2040" t="s">
        <v>11</v>
      </c>
      <c r="D2040" t="s">
        <v>12</v>
      </c>
      <c r="E2040">
        <v>4</v>
      </c>
      <c r="F2040" s="3">
        <v>840</v>
      </c>
      <c r="G2040" s="2">
        <v>190.13</v>
      </c>
      <c r="H2040">
        <f>Master_ventas[[#This Row],[Profit]]/Master_ventas[[#This Row],[Sales]]</f>
        <v>0.2263452380952381</v>
      </c>
      <c r="I2040">
        <f ca="1">Referencia_Hoy-Master_ventas[[#This Row],[Order Date]]</f>
        <v>1656</v>
      </c>
      <c r="J2040" t="str">
        <f>UPPER(Master_ventas[[#This Row],[Product Name]])</f>
        <v>MOUSE</v>
      </c>
      <c r="K2040" t="str">
        <f>UPPER(Master_ventas[[#This Row],[Category]])</f>
        <v>ACCESSORIES</v>
      </c>
      <c r="L2040">
        <f>YEAR(Master_ventas[[#This Row],[Order Date]])</f>
        <v>2022</v>
      </c>
      <c r="M2040" t="str">
        <f>CONCATENATE(LEFT(Master_ventas[[#This Row],[ProdUpper]],3),RIGHT(Master_ventas[[#This Row],[Ext-Year]],2),"-",MID(Master_ventas[[#This Row],[Category]],1,1))</f>
        <v>MOU22-A</v>
      </c>
      <c r="N2040" t="str">
        <f>MID(Master_ventas[[#This Row],[ProdUpper]],1,3)</f>
        <v>MOU</v>
      </c>
      <c r="O2040" t="str">
        <f>UPPER(IF(Master_ventas[[#This Row],[Profit]]&gt;500,"High","Std"))</f>
        <v>STD</v>
      </c>
      <c r="P2040">
        <v>2039</v>
      </c>
    </row>
    <row r="2041" spans="1:16" x14ac:dyDescent="0.3">
      <c r="A2041" s="1">
        <v>44563</v>
      </c>
      <c r="B2041" t="s">
        <v>10</v>
      </c>
      <c r="C2041" t="s">
        <v>11</v>
      </c>
      <c r="D2041" t="s">
        <v>9</v>
      </c>
      <c r="E2041">
        <v>8</v>
      </c>
      <c r="F2041" s="3">
        <v>6600</v>
      </c>
      <c r="G2041" s="2">
        <v>360.45</v>
      </c>
      <c r="H2041">
        <f>Master_ventas[[#This Row],[Profit]]/Master_ventas[[#This Row],[Sales]]</f>
        <v>5.4613636363636364E-2</v>
      </c>
      <c r="I2041">
        <f ca="1">Referencia_Hoy-Master_ventas[[#This Row],[Order Date]]</f>
        <v>1760</v>
      </c>
      <c r="J2041" t="str">
        <f>UPPER(Master_ventas[[#This Row],[Product Name]])</f>
        <v>MOUSE</v>
      </c>
      <c r="K2041" t="str">
        <f>UPPER(Master_ventas[[#This Row],[Category]])</f>
        <v>ACCESSORIES</v>
      </c>
      <c r="L2041">
        <f>YEAR(Master_ventas[[#This Row],[Order Date]])</f>
        <v>2022</v>
      </c>
      <c r="M2041" t="str">
        <f>CONCATENATE(LEFT(Master_ventas[[#This Row],[ProdUpper]],3),RIGHT(Master_ventas[[#This Row],[Ext-Year]],2),"-",MID(Master_ventas[[#This Row],[Category]],1,1))</f>
        <v>MOU22-A</v>
      </c>
      <c r="N2041" t="str">
        <f>MID(Master_ventas[[#This Row],[ProdUpper]],1,3)</f>
        <v>MOU</v>
      </c>
      <c r="O2041" t="str">
        <f>UPPER(IF(Master_ventas[[#This Row],[Profit]]&gt;500,"High","Std"))</f>
        <v>STD</v>
      </c>
      <c r="P2041">
        <v>2040</v>
      </c>
    </row>
    <row r="2042" spans="1:16" x14ac:dyDescent="0.3">
      <c r="A2042" s="1">
        <v>44854</v>
      </c>
      <c r="B2042" t="s">
        <v>23</v>
      </c>
      <c r="C2042" t="s">
        <v>14</v>
      </c>
      <c r="D2042" t="s">
        <v>16</v>
      </c>
      <c r="E2042">
        <v>2</v>
      </c>
      <c r="F2042" s="3">
        <v>2362</v>
      </c>
      <c r="G2042" s="2">
        <v>342.27</v>
      </c>
      <c r="H2042">
        <f>Master_ventas[[#This Row],[Profit]]/Master_ventas[[#This Row],[Sales]]</f>
        <v>0.14490685859441152</v>
      </c>
      <c r="I2042">
        <f ca="1">Referencia_Hoy-Master_ventas[[#This Row],[Order Date]]</f>
        <v>1469</v>
      </c>
      <c r="J2042" t="str">
        <f>UPPER(Master_ventas[[#This Row],[Product Name]])</f>
        <v>LAPTOP</v>
      </c>
      <c r="K2042" t="str">
        <f>UPPER(Master_ventas[[#This Row],[Category]])</f>
        <v>ELECTRONICS</v>
      </c>
      <c r="L2042">
        <f>YEAR(Master_ventas[[#This Row],[Order Date]])</f>
        <v>2022</v>
      </c>
      <c r="M2042" t="str">
        <f>CONCATENATE(LEFT(Master_ventas[[#This Row],[ProdUpper]],3),RIGHT(Master_ventas[[#This Row],[Ext-Year]],2),"-",MID(Master_ventas[[#This Row],[Category]],1,1))</f>
        <v>LAP22-E</v>
      </c>
      <c r="N2042" t="str">
        <f>MID(Master_ventas[[#This Row],[ProdUpper]],1,3)</f>
        <v>LAP</v>
      </c>
      <c r="O2042" t="str">
        <f>UPPER(IF(Master_ventas[[#This Row],[Profit]]&gt;500,"High","Std"))</f>
        <v>STD</v>
      </c>
      <c r="P2042">
        <v>2041</v>
      </c>
    </row>
    <row r="2043" spans="1:16" x14ac:dyDescent="0.3">
      <c r="A2043" s="1">
        <v>45326</v>
      </c>
      <c r="B2043" t="s">
        <v>18</v>
      </c>
      <c r="C2043" t="s">
        <v>11</v>
      </c>
      <c r="D2043" t="s">
        <v>15</v>
      </c>
      <c r="E2043">
        <v>6</v>
      </c>
      <c r="F2043" s="3">
        <v>2958</v>
      </c>
      <c r="G2043" s="2">
        <v>577.27</v>
      </c>
      <c r="H2043">
        <f>Master_ventas[[#This Row],[Profit]]/Master_ventas[[#This Row],[Sales]]</f>
        <v>0.19515551048005408</v>
      </c>
      <c r="I2043">
        <f ca="1">Referencia_Hoy-Master_ventas[[#This Row],[Order Date]]</f>
        <v>997</v>
      </c>
      <c r="J2043" t="str">
        <f>UPPER(Master_ventas[[#This Row],[Product Name]])</f>
        <v>HEADPHONES</v>
      </c>
      <c r="K2043" t="str">
        <f>UPPER(Master_ventas[[#This Row],[Category]])</f>
        <v>ACCESSORIES</v>
      </c>
      <c r="L2043">
        <f>YEAR(Master_ventas[[#This Row],[Order Date]])</f>
        <v>2024</v>
      </c>
      <c r="M2043" t="str">
        <f>CONCATENATE(LEFT(Master_ventas[[#This Row],[ProdUpper]],3),RIGHT(Master_ventas[[#This Row],[Ext-Year]],2),"-",MID(Master_ventas[[#This Row],[Category]],1,1))</f>
        <v>HEA24-A</v>
      </c>
      <c r="N2043" t="str">
        <f>MID(Master_ventas[[#This Row],[ProdUpper]],1,3)</f>
        <v>HEA</v>
      </c>
      <c r="O2043" t="str">
        <f>UPPER(IF(Master_ventas[[#This Row],[Profit]]&gt;500,"High","Std"))</f>
        <v>HIGH</v>
      </c>
      <c r="P2043">
        <v>2042</v>
      </c>
    </row>
    <row r="2044" spans="1:16" x14ac:dyDescent="0.3">
      <c r="A2044" s="1">
        <v>45373</v>
      </c>
      <c r="B2044" t="s">
        <v>13</v>
      </c>
      <c r="C2044" t="s">
        <v>14</v>
      </c>
      <c r="D2044" t="s">
        <v>12</v>
      </c>
      <c r="E2044">
        <v>1</v>
      </c>
      <c r="F2044" s="3">
        <v>477</v>
      </c>
      <c r="G2044" s="2">
        <v>56.49</v>
      </c>
      <c r="H2044">
        <f>Master_ventas[[#This Row],[Profit]]/Master_ventas[[#This Row],[Sales]]</f>
        <v>0.11842767295597485</v>
      </c>
      <c r="I2044">
        <f ca="1">Referencia_Hoy-Master_ventas[[#This Row],[Order Date]]</f>
        <v>950</v>
      </c>
      <c r="J2044" t="str">
        <f>UPPER(Master_ventas[[#This Row],[Product Name]])</f>
        <v>TABLET</v>
      </c>
      <c r="K2044" t="str">
        <f>UPPER(Master_ventas[[#This Row],[Category]])</f>
        <v>ELECTRONICS</v>
      </c>
      <c r="L2044">
        <f>YEAR(Master_ventas[[#This Row],[Order Date]])</f>
        <v>2024</v>
      </c>
      <c r="M2044" t="str">
        <f>CONCATENATE(LEFT(Master_ventas[[#This Row],[ProdUpper]],3),RIGHT(Master_ventas[[#This Row],[Ext-Year]],2),"-",MID(Master_ventas[[#This Row],[Category]],1,1))</f>
        <v>TAB24-E</v>
      </c>
      <c r="N2044" t="str">
        <f>MID(Master_ventas[[#This Row],[ProdUpper]],1,3)</f>
        <v>TAB</v>
      </c>
      <c r="O2044" t="str">
        <f>UPPER(IF(Master_ventas[[#This Row],[Profit]]&gt;500,"High","Std"))</f>
        <v>STD</v>
      </c>
      <c r="P2044">
        <v>2043</v>
      </c>
    </row>
    <row r="2045" spans="1:16" x14ac:dyDescent="0.3">
      <c r="A2045" s="1">
        <v>44716</v>
      </c>
      <c r="B2045" t="s">
        <v>22</v>
      </c>
      <c r="C2045" t="s">
        <v>11</v>
      </c>
      <c r="D2045" t="s">
        <v>9</v>
      </c>
      <c r="E2045">
        <v>3</v>
      </c>
      <c r="F2045" s="3">
        <v>942</v>
      </c>
      <c r="G2045" s="2">
        <v>84.8</v>
      </c>
      <c r="H2045">
        <f>Master_ventas[[#This Row],[Profit]]/Master_ventas[[#This Row],[Sales]]</f>
        <v>9.0021231422505302E-2</v>
      </c>
      <c r="I2045">
        <f ca="1">Referencia_Hoy-Master_ventas[[#This Row],[Order Date]]</f>
        <v>1607</v>
      </c>
      <c r="J2045" t="str">
        <f>UPPER(Master_ventas[[#This Row],[Product Name]])</f>
        <v>KEYBOARD</v>
      </c>
      <c r="K2045" t="str">
        <f>UPPER(Master_ventas[[#This Row],[Category]])</f>
        <v>ACCESSORIES</v>
      </c>
      <c r="L2045">
        <f>YEAR(Master_ventas[[#This Row],[Order Date]])</f>
        <v>2022</v>
      </c>
      <c r="M2045" t="str">
        <f>CONCATENATE(LEFT(Master_ventas[[#This Row],[ProdUpper]],3),RIGHT(Master_ventas[[#This Row],[Ext-Year]],2),"-",MID(Master_ventas[[#This Row],[Category]],1,1))</f>
        <v>KEY22-A</v>
      </c>
      <c r="N2045" t="str">
        <f>MID(Master_ventas[[#This Row],[ProdUpper]],1,3)</f>
        <v>KEY</v>
      </c>
      <c r="O2045" t="str">
        <f>UPPER(IF(Master_ventas[[#This Row],[Profit]]&gt;500,"High","Std"))</f>
        <v>STD</v>
      </c>
      <c r="P2045">
        <v>2044</v>
      </c>
    </row>
    <row r="2046" spans="1:16" x14ac:dyDescent="0.3">
      <c r="A2046" s="1">
        <v>44947</v>
      </c>
      <c r="B2046" t="s">
        <v>17</v>
      </c>
      <c r="C2046" t="s">
        <v>14</v>
      </c>
      <c r="D2046" t="s">
        <v>12</v>
      </c>
      <c r="E2046">
        <v>2</v>
      </c>
      <c r="F2046" s="3">
        <v>2084</v>
      </c>
      <c r="G2046" s="2">
        <v>586.72</v>
      </c>
      <c r="H2046">
        <f>Master_ventas[[#This Row],[Profit]]/Master_ventas[[#This Row],[Sales]]</f>
        <v>0.28153550863723609</v>
      </c>
      <c r="I2046">
        <f ca="1">Referencia_Hoy-Master_ventas[[#This Row],[Order Date]]</f>
        <v>1376</v>
      </c>
      <c r="J2046" t="str">
        <f>UPPER(Master_ventas[[#This Row],[Product Name]])</f>
        <v>CAMERA</v>
      </c>
      <c r="K2046" t="str">
        <f>UPPER(Master_ventas[[#This Row],[Category]])</f>
        <v>ELECTRONICS</v>
      </c>
      <c r="L2046">
        <f>YEAR(Master_ventas[[#This Row],[Order Date]])</f>
        <v>2023</v>
      </c>
      <c r="M2046" t="str">
        <f>CONCATENATE(LEFT(Master_ventas[[#This Row],[ProdUpper]],3),RIGHT(Master_ventas[[#This Row],[Ext-Year]],2),"-",MID(Master_ventas[[#This Row],[Category]],1,1))</f>
        <v>CAM23-E</v>
      </c>
      <c r="N2046" t="str">
        <f>MID(Master_ventas[[#This Row],[ProdUpper]],1,3)</f>
        <v>CAM</v>
      </c>
      <c r="O2046" t="str">
        <f>UPPER(IF(Master_ventas[[#This Row],[Profit]]&gt;500,"High","Std"))</f>
        <v>HIGH</v>
      </c>
      <c r="P2046">
        <v>2045</v>
      </c>
    </row>
    <row r="2047" spans="1:16" x14ac:dyDescent="0.3">
      <c r="A2047" s="1">
        <v>45154</v>
      </c>
      <c r="B2047" t="s">
        <v>13</v>
      </c>
      <c r="C2047" t="s">
        <v>14</v>
      </c>
      <c r="D2047" t="s">
        <v>16</v>
      </c>
      <c r="E2047">
        <v>6</v>
      </c>
      <c r="F2047" s="3">
        <v>4584</v>
      </c>
      <c r="G2047" s="2">
        <v>473.37</v>
      </c>
      <c r="H2047">
        <f>Master_ventas[[#This Row],[Profit]]/Master_ventas[[#This Row],[Sales]]</f>
        <v>0.10326570680628272</v>
      </c>
      <c r="I2047">
        <f ca="1">Referencia_Hoy-Master_ventas[[#This Row],[Order Date]]</f>
        <v>1169</v>
      </c>
      <c r="J2047" t="str">
        <f>UPPER(Master_ventas[[#This Row],[Product Name]])</f>
        <v>TABLET</v>
      </c>
      <c r="K2047" t="str">
        <f>UPPER(Master_ventas[[#This Row],[Category]])</f>
        <v>ELECTRONICS</v>
      </c>
      <c r="L2047">
        <f>YEAR(Master_ventas[[#This Row],[Order Date]])</f>
        <v>2023</v>
      </c>
      <c r="M2047" t="str">
        <f>CONCATENATE(LEFT(Master_ventas[[#This Row],[ProdUpper]],3),RIGHT(Master_ventas[[#This Row],[Ext-Year]],2),"-",MID(Master_ventas[[#This Row],[Category]],1,1))</f>
        <v>TAB23-E</v>
      </c>
      <c r="N2047" t="str">
        <f>MID(Master_ventas[[#This Row],[ProdUpper]],1,3)</f>
        <v>TAB</v>
      </c>
      <c r="O2047" t="str">
        <f>UPPER(IF(Master_ventas[[#This Row],[Profit]]&gt;500,"High","Std"))</f>
        <v>STD</v>
      </c>
      <c r="P2047">
        <v>2046</v>
      </c>
    </row>
    <row r="2048" spans="1:16" x14ac:dyDescent="0.3">
      <c r="A2048" s="1">
        <v>44709</v>
      </c>
      <c r="B2048" t="s">
        <v>7</v>
      </c>
      <c r="C2048" t="s">
        <v>8</v>
      </c>
      <c r="D2048" t="s">
        <v>12</v>
      </c>
      <c r="E2048">
        <v>1</v>
      </c>
      <c r="F2048" s="3">
        <v>1118</v>
      </c>
      <c r="G2048" s="2">
        <v>319.27999999999997</v>
      </c>
      <c r="H2048">
        <f>Master_ventas[[#This Row],[Profit]]/Master_ventas[[#This Row],[Sales]]</f>
        <v>0.2855813953488372</v>
      </c>
      <c r="I2048">
        <f ca="1">Referencia_Hoy-Master_ventas[[#This Row],[Order Date]]</f>
        <v>1614</v>
      </c>
      <c r="J2048" t="str">
        <f>UPPER(Master_ventas[[#This Row],[Product Name]])</f>
        <v>PRINTER</v>
      </c>
      <c r="K2048" t="str">
        <f>UPPER(Master_ventas[[#This Row],[Category]])</f>
        <v>OFFICE</v>
      </c>
      <c r="L2048">
        <f>YEAR(Master_ventas[[#This Row],[Order Date]])</f>
        <v>2022</v>
      </c>
      <c r="M2048" t="str">
        <f>CONCATENATE(LEFT(Master_ventas[[#This Row],[ProdUpper]],3),RIGHT(Master_ventas[[#This Row],[Ext-Year]],2),"-",MID(Master_ventas[[#This Row],[Category]],1,1))</f>
        <v>PRI22-O</v>
      </c>
      <c r="N2048" t="str">
        <f>MID(Master_ventas[[#This Row],[ProdUpper]],1,3)</f>
        <v>PRI</v>
      </c>
      <c r="O2048" t="str">
        <f>UPPER(IF(Master_ventas[[#This Row],[Profit]]&gt;500,"High","Std"))</f>
        <v>STD</v>
      </c>
      <c r="P2048">
        <v>2047</v>
      </c>
    </row>
    <row r="2049" spans="1:16" x14ac:dyDescent="0.3">
      <c r="A2049" s="1">
        <v>45412</v>
      </c>
      <c r="B2049" t="s">
        <v>10</v>
      </c>
      <c r="C2049" t="s">
        <v>11</v>
      </c>
      <c r="D2049" t="s">
        <v>9</v>
      </c>
      <c r="E2049">
        <v>9</v>
      </c>
      <c r="F2049" s="3">
        <v>4005</v>
      </c>
      <c r="G2049" s="2">
        <v>652.15</v>
      </c>
      <c r="H2049">
        <f>Master_ventas[[#This Row],[Profit]]/Master_ventas[[#This Row],[Sales]]</f>
        <v>0.16283395755305868</v>
      </c>
      <c r="I2049">
        <f ca="1">Referencia_Hoy-Master_ventas[[#This Row],[Order Date]]</f>
        <v>911</v>
      </c>
      <c r="J2049" t="str">
        <f>UPPER(Master_ventas[[#This Row],[Product Name]])</f>
        <v>MOUSE</v>
      </c>
      <c r="K2049" t="str">
        <f>UPPER(Master_ventas[[#This Row],[Category]])</f>
        <v>ACCESSORIES</v>
      </c>
      <c r="L2049">
        <f>YEAR(Master_ventas[[#This Row],[Order Date]])</f>
        <v>2024</v>
      </c>
      <c r="M2049" t="str">
        <f>CONCATENATE(LEFT(Master_ventas[[#This Row],[ProdUpper]],3),RIGHT(Master_ventas[[#This Row],[Ext-Year]],2),"-",MID(Master_ventas[[#This Row],[Category]],1,1))</f>
        <v>MOU24-A</v>
      </c>
      <c r="N2049" t="str">
        <f>MID(Master_ventas[[#This Row],[ProdUpper]],1,3)</f>
        <v>MOU</v>
      </c>
      <c r="O2049" t="str">
        <f>UPPER(IF(Master_ventas[[#This Row],[Profit]]&gt;500,"High","Std"))</f>
        <v>HIGH</v>
      </c>
      <c r="P2049">
        <v>2048</v>
      </c>
    </row>
    <row r="2050" spans="1:16" x14ac:dyDescent="0.3">
      <c r="A2050" s="1">
        <v>45355</v>
      </c>
      <c r="B2050" t="s">
        <v>19</v>
      </c>
      <c r="C2050" t="s">
        <v>14</v>
      </c>
      <c r="D2050" t="s">
        <v>12</v>
      </c>
      <c r="E2050">
        <v>5</v>
      </c>
      <c r="F2050" s="3">
        <v>4610</v>
      </c>
      <c r="G2050" s="2">
        <v>1293.3699999999999</v>
      </c>
      <c r="H2050">
        <f>Master_ventas[[#This Row],[Profit]]/Master_ventas[[#This Row],[Sales]]</f>
        <v>0.28055748373101952</v>
      </c>
      <c r="I2050">
        <f ca="1">Referencia_Hoy-Master_ventas[[#This Row],[Order Date]]</f>
        <v>968</v>
      </c>
      <c r="J2050" t="str">
        <f>UPPER(Master_ventas[[#This Row],[Product Name]])</f>
        <v>SMARTWATCH</v>
      </c>
      <c r="K2050" t="str">
        <f>UPPER(Master_ventas[[#This Row],[Category]])</f>
        <v>ELECTRONICS</v>
      </c>
      <c r="L2050">
        <f>YEAR(Master_ventas[[#This Row],[Order Date]])</f>
        <v>2024</v>
      </c>
      <c r="M2050" t="str">
        <f>CONCATENATE(LEFT(Master_ventas[[#This Row],[ProdUpper]],3),RIGHT(Master_ventas[[#This Row],[Ext-Year]],2),"-",MID(Master_ventas[[#This Row],[Category]],1,1))</f>
        <v>SMA24-E</v>
      </c>
      <c r="N2050" t="str">
        <f>MID(Master_ventas[[#This Row],[ProdUpper]],1,3)</f>
        <v>SMA</v>
      </c>
      <c r="O2050" t="str">
        <f>UPPER(IF(Master_ventas[[#This Row],[Profit]]&gt;500,"High","Std"))</f>
        <v>HIGH</v>
      </c>
      <c r="P2050">
        <v>2049</v>
      </c>
    </row>
    <row r="2051" spans="1:16" x14ac:dyDescent="0.3">
      <c r="A2051" s="1">
        <v>45579</v>
      </c>
      <c r="B2051" t="s">
        <v>22</v>
      </c>
      <c r="C2051" t="s">
        <v>11</v>
      </c>
      <c r="D2051" t="s">
        <v>15</v>
      </c>
      <c r="E2051">
        <v>1</v>
      </c>
      <c r="F2051" s="3">
        <v>551</v>
      </c>
      <c r="G2051" s="2">
        <v>86.84</v>
      </c>
      <c r="H2051">
        <f>Master_ventas[[#This Row],[Profit]]/Master_ventas[[#This Row],[Sales]]</f>
        <v>0.15760435571687842</v>
      </c>
      <c r="I2051">
        <f ca="1">Referencia_Hoy-Master_ventas[[#This Row],[Order Date]]</f>
        <v>744</v>
      </c>
      <c r="J2051" t="str">
        <f>UPPER(Master_ventas[[#This Row],[Product Name]])</f>
        <v>KEYBOARD</v>
      </c>
      <c r="K2051" t="str">
        <f>UPPER(Master_ventas[[#This Row],[Category]])</f>
        <v>ACCESSORIES</v>
      </c>
      <c r="L2051">
        <f>YEAR(Master_ventas[[#This Row],[Order Date]])</f>
        <v>2024</v>
      </c>
      <c r="M2051" t="str">
        <f>CONCATENATE(LEFT(Master_ventas[[#This Row],[ProdUpper]],3),RIGHT(Master_ventas[[#This Row],[Ext-Year]],2),"-",MID(Master_ventas[[#This Row],[Category]],1,1))</f>
        <v>KEY24-A</v>
      </c>
      <c r="N2051" t="str">
        <f>MID(Master_ventas[[#This Row],[ProdUpper]],1,3)</f>
        <v>KEY</v>
      </c>
      <c r="O2051" t="str">
        <f>UPPER(IF(Master_ventas[[#This Row],[Profit]]&gt;500,"High","Std"))</f>
        <v>STD</v>
      </c>
      <c r="P2051">
        <v>2050</v>
      </c>
    </row>
    <row r="2052" spans="1:16" x14ac:dyDescent="0.3">
      <c r="A2052" s="1">
        <v>44778</v>
      </c>
      <c r="B2052" t="s">
        <v>7</v>
      </c>
      <c r="C2052" t="s">
        <v>8</v>
      </c>
      <c r="D2052" t="s">
        <v>16</v>
      </c>
      <c r="E2052">
        <v>1</v>
      </c>
      <c r="F2052" s="3">
        <v>75</v>
      </c>
      <c r="G2052" s="2">
        <v>19.29</v>
      </c>
      <c r="H2052">
        <f>Master_ventas[[#This Row],[Profit]]/Master_ventas[[#This Row],[Sales]]</f>
        <v>0.25719999999999998</v>
      </c>
      <c r="I2052">
        <f ca="1">Referencia_Hoy-Master_ventas[[#This Row],[Order Date]]</f>
        <v>1545</v>
      </c>
      <c r="J2052" t="str">
        <f>UPPER(Master_ventas[[#This Row],[Product Name]])</f>
        <v>PRINTER</v>
      </c>
      <c r="K2052" t="str">
        <f>UPPER(Master_ventas[[#This Row],[Category]])</f>
        <v>OFFICE</v>
      </c>
      <c r="L2052">
        <f>YEAR(Master_ventas[[#This Row],[Order Date]])</f>
        <v>2022</v>
      </c>
      <c r="M2052" t="str">
        <f>CONCATENATE(LEFT(Master_ventas[[#This Row],[ProdUpper]],3),RIGHT(Master_ventas[[#This Row],[Ext-Year]],2),"-",MID(Master_ventas[[#This Row],[Category]],1,1))</f>
        <v>PRI22-O</v>
      </c>
      <c r="N2052" t="str">
        <f>MID(Master_ventas[[#This Row],[ProdUpper]],1,3)</f>
        <v>PRI</v>
      </c>
      <c r="O2052" t="str">
        <f>UPPER(IF(Master_ventas[[#This Row],[Profit]]&gt;500,"High","Std"))</f>
        <v>STD</v>
      </c>
      <c r="P2052">
        <v>2051</v>
      </c>
    </row>
    <row r="2053" spans="1:16" x14ac:dyDescent="0.3">
      <c r="A2053" s="1">
        <v>45279</v>
      </c>
      <c r="B2053" t="s">
        <v>10</v>
      </c>
      <c r="C2053" t="s">
        <v>11</v>
      </c>
      <c r="D2053" t="s">
        <v>15</v>
      </c>
      <c r="E2053">
        <v>6</v>
      </c>
      <c r="F2053" s="3">
        <v>6576</v>
      </c>
      <c r="G2053" s="2">
        <v>1899.67</v>
      </c>
      <c r="H2053">
        <f>Master_ventas[[#This Row],[Profit]]/Master_ventas[[#This Row],[Sales]]</f>
        <v>0.2888792579075426</v>
      </c>
      <c r="I2053">
        <f ca="1">Referencia_Hoy-Master_ventas[[#This Row],[Order Date]]</f>
        <v>1044</v>
      </c>
      <c r="J2053" t="str">
        <f>UPPER(Master_ventas[[#This Row],[Product Name]])</f>
        <v>MOUSE</v>
      </c>
      <c r="K2053" t="str">
        <f>UPPER(Master_ventas[[#This Row],[Category]])</f>
        <v>ACCESSORIES</v>
      </c>
      <c r="L2053">
        <f>YEAR(Master_ventas[[#This Row],[Order Date]])</f>
        <v>2023</v>
      </c>
      <c r="M2053" t="str">
        <f>CONCATENATE(LEFT(Master_ventas[[#This Row],[ProdUpper]],3),RIGHT(Master_ventas[[#This Row],[Ext-Year]],2),"-",MID(Master_ventas[[#This Row],[Category]],1,1))</f>
        <v>MOU23-A</v>
      </c>
      <c r="N2053" t="str">
        <f>MID(Master_ventas[[#This Row],[ProdUpper]],1,3)</f>
        <v>MOU</v>
      </c>
      <c r="O2053" t="str">
        <f>UPPER(IF(Master_ventas[[#This Row],[Profit]]&gt;500,"High","Std"))</f>
        <v>HIGH</v>
      </c>
      <c r="P2053">
        <v>2052</v>
      </c>
    </row>
    <row r="2054" spans="1:16" x14ac:dyDescent="0.3">
      <c r="A2054" s="1">
        <v>45011</v>
      </c>
      <c r="B2054" t="s">
        <v>7</v>
      </c>
      <c r="C2054" t="s">
        <v>8</v>
      </c>
      <c r="D2054" t="s">
        <v>9</v>
      </c>
      <c r="E2054">
        <v>6</v>
      </c>
      <c r="F2054" s="3">
        <v>6432</v>
      </c>
      <c r="G2054" s="2">
        <v>1410.52</v>
      </c>
      <c r="H2054">
        <f>Master_ventas[[#This Row],[Profit]]/Master_ventas[[#This Row],[Sales]]</f>
        <v>0.21929726368159203</v>
      </c>
      <c r="I2054">
        <f ca="1">Referencia_Hoy-Master_ventas[[#This Row],[Order Date]]</f>
        <v>1312</v>
      </c>
      <c r="J2054" t="str">
        <f>UPPER(Master_ventas[[#This Row],[Product Name]])</f>
        <v>PRINTER</v>
      </c>
      <c r="K2054" t="str">
        <f>UPPER(Master_ventas[[#This Row],[Category]])</f>
        <v>OFFICE</v>
      </c>
      <c r="L2054">
        <f>YEAR(Master_ventas[[#This Row],[Order Date]])</f>
        <v>2023</v>
      </c>
      <c r="M2054" t="str">
        <f>CONCATENATE(LEFT(Master_ventas[[#This Row],[ProdUpper]],3),RIGHT(Master_ventas[[#This Row],[Ext-Year]],2),"-",MID(Master_ventas[[#This Row],[Category]],1,1))</f>
        <v>PRI23-O</v>
      </c>
      <c r="N2054" t="str">
        <f>MID(Master_ventas[[#This Row],[ProdUpper]],1,3)</f>
        <v>PRI</v>
      </c>
      <c r="O2054" t="str">
        <f>UPPER(IF(Master_ventas[[#This Row],[Profit]]&gt;500,"High","Std"))</f>
        <v>HIGH</v>
      </c>
      <c r="P2054">
        <v>2053</v>
      </c>
    </row>
    <row r="2055" spans="1:16" x14ac:dyDescent="0.3">
      <c r="A2055" s="1">
        <v>44781</v>
      </c>
      <c r="B2055" t="s">
        <v>18</v>
      </c>
      <c r="C2055" t="s">
        <v>11</v>
      </c>
      <c r="D2055" t="s">
        <v>15</v>
      </c>
      <c r="E2055">
        <v>7</v>
      </c>
      <c r="F2055" s="3">
        <v>7763</v>
      </c>
      <c r="G2055" s="2">
        <v>1444.27</v>
      </c>
      <c r="H2055">
        <f>Master_ventas[[#This Row],[Profit]]/Master_ventas[[#This Row],[Sales]]</f>
        <v>0.18604534329511788</v>
      </c>
      <c r="I2055">
        <f ca="1">Referencia_Hoy-Master_ventas[[#This Row],[Order Date]]</f>
        <v>1542</v>
      </c>
      <c r="J2055" t="str">
        <f>UPPER(Master_ventas[[#This Row],[Product Name]])</f>
        <v>HEADPHONES</v>
      </c>
      <c r="K2055" t="str">
        <f>UPPER(Master_ventas[[#This Row],[Category]])</f>
        <v>ACCESSORIES</v>
      </c>
      <c r="L2055">
        <f>YEAR(Master_ventas[[#This Row],[Order Date]])</f>
        <v>2022</v>
      </c>
      <c r="M2055" t="str">
        <f>CONCATENATE(LEFT(Master_ventas[[#This Row],[ProdUpper]],3),RIGHT(Master_ventas[[#This Row],[Ext-Year]],2),"-",MID(Master_ventas[[#This Row],[Category]],1,1))</f>
        <v>HEA22-A</v>
      </c>
      <c r="N2055" t="str">
        <f>MID(Master_ventas[[#This Row],[ProdUpper]],1,3)</f>
        <v>HEA</v>
      </c>
      <c r="O2055" t="str">
        <f>UPPER(IF(Master_ventas[[#This Row],[Profit]]&gt;500,"High","Std"))</f>
        <v>HIGH</v>
      </c>
      <c r="P2055">
        <v>2054</v>
      </c>
    </row>
    <row r="2056" spans="1:16" x14ac:dyDescent="0.3">
      <c r="A2056" s="1">
        <v>45353</v>
      </c>
      <c r="B2056" t="s">
        <v>20</v>
      </c>
      <c r="C2056" t="s">
        <v>11</v>
      </c>
      <c r="D2056" t="s">
        <v>12</v>
      </c>
      <c r="E2056">
        <v>7</v>
      </c>
      <c r="F2056" s="3">
        <v>2240</v>
      </c>
      <c r="G2056" s="2">
        <v>622.29</v>
      </c>
      <c r="H2056">
        <f>Master_ventas[[#This Row],[Profit]]/Master_ventas[[#This Row],[Sales]]</f>
        <v>0.27780803571428569</v>
      </c>
      <c r="I2056">
        <f ca="1">Referencia_Hoy-Master_ventas[[#This Row],[Order Date]]</f>
        <v>970</v>
      </c>
      <c r="J2056" t="str">
        <f>UPPER(Master_ventas[[#This Row],[Product Name]])</f>
        <v>MONITOR</v>
      </c>
      <c r="K2056" t="str">
        <f>UPPER(Master_ventas[[#This Row],[Category]])</f>
        <v>ACCESSORIES</v>
      </c>
      <c r="L2056">
        <f>YEAR(Master_ventas[[#This Row],[Order Date]])</f>
        <v>2024</v>
      </c>
      <c r="M2056" t="str">
        <f>CONCATENATE(LEFT(Master_ventas[[#This Row],[ProdUpper]],3),RIGHT(Master_ventas[[#This Row],[Ext-Year]],2),"-",MID(Master_ventas[[#This Row],[Category]],1,1))</f>
        <v>MON24-A</v>
      </c>
      <c r="N2056" t="str">
        <f>MID(Master_ventas[[#This Row],[ProdUpper]],1,3)</f>
        <v>MON</v>
      </c>
      <c r="O2056" t="str">
        <f>UPPER(IF(Master_ventas[[#This Row],[Profit]]&gt;500,"High","Std"))</f>
        <v>HIGH</v>
      </c>
      <c r="P2056">
        <v>2055</v>
      </c>
    </row>
    <row r="2057" spans="1:16" x14ac:dyDescent="0.3">
      <c r="A2057" s="1">
        <v>44899</v>
      </c>
      <c r="B2057" t="s">
        <v>18</v>
      </c>
      <c r="C2057" t="s">
        <v>11</v>
      </c>
      <c r="D2057" t="s">
        <v>12</v>
      </c>
      <c r="E2057">
        <v>6</v>
      </c>
      <c r="F2057" s="3">
        <v>5298</v>
      </c>
      <c r="G2057" s="2">
        <v>1209.8800000000001</v>
      </c>
      <c r="H2057">
        <f>Master_ventas[[#This Row],[Profit]]/Master_ventas[[#This Row],[Sales]]</f>
        <v>0.2283654209135523</v>
      </c>
      <c r="I2057">
        <f ca="1">Referencia_Hoy-Master_ventas[[#This Row],[Order Date]]</f>
        <v>1424</v>
      </c>
      <c r="J2057" t="str">
        <f>UPPER(Master_ventas[[#This Row],[Product Name]])</f>
        <v>HEADPHONES</v>
      </c>
      <c r="K2057" t="str">
        <f>UPPER(Master_ventas[[#This Row],[Category]])</f>
        <v>ACCESSORIES</v>
      </c>
      <c r="L2057">
        <f>YEAR(Master_ventas[[#This Row],[Order Date]])</f>
        <v>2022</v>
      </c>
      <c r="M2057" t="str">
        <f>CONCATENATE(LEFT(Master_ventas[[#This Row],[ProdUpper]],3),RIGHT(Master_ventas[[#This Row],[Ext-Year]],2),"-",MID(Master_ventas[[#This Row],[Category]],1,1))</f>
        <v>HEA22-A</v>
      </c>
      <c r="N2057" t="str">
        <f>MID(Master_ventas[[#This Row],[ProdUpper]],1,3)</f>
        <v>HEA</v>
      </c>
      <c r="O2057" t="str">
        <f>UPPER(IF(Master_ventas[[#This Row],[Profit]]&gt;500,"High","Std"))</f>
        <v>HIGH</v>
      </c>
      <c r="P2057">
        <v>2056</v>
      </c>
    </row>
    <row r="2058" spans="1:16" x14ac:dyDescent="0.3">
      <c r="A2058" s="1">
        <v>45122</v>
      </c>
      <c r="B2058" t="s">
        <v>19</v>
      </c>
      <c r="C2058" t="s">
        <v>14</v>
      </c>
      <c r="D2058" t="s">
        <v>9</v>
      </c>
      <c r="E2058">
        <v>2</v>
      </c>
      <c r="F2058" s="3">
        <v>116</v>
      </c>
      <c r="G2058" s="2">
        <v>32.270000000000003</v>
      </c>
      <c r="H2058">
        <f>Master_ventas[[#This Row],[Profit]]/Master_ventas[[#This Row],[Sales]]</f>
        <v>0.27818965517241384</v>
      </c>
      <c r="I2058">
        <f ca="1">Referencia_Hoy-Master_ventas[[#This Row],[Order Date]]</f>
        <v>1201</v>
      </c>
      <c r="J2058" t="str">
        <f>UPPER(Master_ventas[[#This Row],[Product Name]])</f>
        <v>SMARTWATCH</v>
      </c>
      <c r="K2058" t="str">
        <f>UPPER(Master_ventas[[#This Row],[Category]])</f>
        <v>ELECTRONICS</v>
      </c>
      <c r="L2058">
        <f>YEAR(Master_ventas[[#This Row],[Order Date]])</f>
        <v>2023</v>
      </c>
      <c r="M2058" t="str">
        <f>CONCATENATE(LEFT(Master_ventas[[#This Row],[ProdUpper]],3),RIGHT(Master_ventas[[#This Row],[Ext-Year]],2),"-",MID(Master_ventas[[#This Row],[Category]],1,1))</f>
        <v>SMA23-E</v>
      </c>
      <c r="N2058" t="str">
        <f>MID(Master_ventas[[#This Row],[ProdUpper]],1,3)</f>
        <v>SMA</v>
      </c>
      <c r="O2058" t="str">
        <f>UPPER(IF(Master_ventas[[#This Row],[Profit]]&gt;500,"High","Std"))</f>
        <v>STD</v>
      </c>
      <c r="P2058">
        <v>2057</v>
      </c>
    </row>
    <row r="2059" spans="1:16" x14ac:dyDescent="0.3">
      <c r="A2059" s="1">
        <v>44594</v>
      </c>
      <c r="B2059" t="s">
        <v>13</v>
      </c>
      <c r="C2059" t="s">
        <v>14</v>
      </c>
      <c r="D2059" t="s">
        <v>12</v>
      </c>
      <c r="E2059">
        <v>8</v>
      </c>
      <c r="F2059" s="3">
        <v>6728</v>
      </c>
      <c r="G2059" s="2">
        <v>1140.19</v>
      </c>
      <c r="H2059">
        <f>Master_ventas[[#This Row],[Profit]]/Master_ventas[[#This Row],[Sales]]</f>
        <v>0.16946938168846612</v>
      </c>
      <c r="I2059">
        <f ca="1">Referencia_Hoy-Master_ventas[[#This Row],[Order Date]]</f>
        <v>1729</v>
      </c>
      <c r="J2059" t="str">
        <f>UPPER(Master_ventas[[#This Row],[Product Name]])</f>
        <v>TABLET</v>
      </c>
      <c r="K2059" t="str">
        <f>UPPER(Master_ventas[[#This Row],[Category]])</f>
        <v>ELECTRONICS</v>
      </c>
      <c r="L2059">
        <f>YEAR(Master_ventas[[#This Row],[Order Date]])</f>
        <v>2022</v>
      </c>
      <c r="M2059" t="str">
        <f>CONCATENATE(LEFT(Master_ventas[[#This Row],[ProdUpper]],3),RIGHT(Master_ventas[[#This Row],[Ext-Year]],2),"-",MID(Master_ventas[[#This Row],[Category]],1,1))</f>
        <v>TAB22-E</v>
      </c>
      <c r="N2059" t="str">
        <f>MID(Master_ventas[[#This Row],[ProdUpper]],1,3)</f>
        <v>TAB</v>
      </c>
      <c r="O2059" t="str">
        <f>UPPER(IF(Master_ventas[[#This Row],[Profit]]&gt;500,"High","Std"))</f>
        <v>HIGH</v>
      </c>
      <c r="P2059">
        <v>2058</v>
      </c>
    </row>
    <row r="2060" spans="1:16" x14ac:dyDescent="0.3">
      <c r="A2060" s="1">
        <v>44897</v>
      </c>
      <c r="B2060" t="s">
        <v>20</v>
      </c>
      <c r="C2060" t="s">
        <v>11</v>
      </c>
      <c r="D2060" t="s">
        <v>9</v>
      </c>
      <c r="E2060">
        <v>5</v>
      </c>
      <c r="F2060" s="3">
        <v>490</v>
      </c>
      <c r="G2060" s="2">
        <v>55.59</v>
      </c>
      <c r="H2060">
        <f>Master_ventas[[#This Row],[Profit]]/Master_ventas[[#This Row],[Sales]]</f>
        <v>0.11344897959183674</v>
      </c>
      <c r="I2060">
        <f ca="1">Referencia_Hoy-Master_ventas[[#This Row],[Order Date]]</f>
        <v>1426</v>
      </c>
      <c r="J2060" t="str">
        <f>UPPER(Master_ventas[[#This Row],[Product Name]])</f>
        <v>MONITOR</v>
      </c>
      <c r="K2060" t="str">
        <f>UPPER(Master_ventas[[#This Row],[Category]])</f>
        <v>ACCESSORIES</v>
      </c>
      <c r="L2060">
        <f>YEAR(Master_ventas[[#This Row],[Order Date]])</f>
        <v>2022</v>
      </c>
      <c r="M2060" t="str">
        <f>CONCATENATE(LEFT(Master_ventas[[#This Row],[ProdUpper]],3),RIGHT(Master_ventas[[#This Row],[Ext-Year]],2),"-",MID(Master_ventas[[#This Row],[Category]],1,1))</f>
        <v>MON22-A</v>
      </c>
      <c r="N2060" t="str">
        <f>MID(Master_ventas[[#This Row],[ProdUpper]],1,3)</f>
        <v>MON</v>
      </c>
      <c r="O2060" t="str">
        <f>UPPER(IF(Master_ventas[[#This Row],[Profit]]&gt;500,"High","Std"))</f>
        <v>STD</v>
      </c>
      <c r="P2060">
        <v>2059</v>
      </c>
    </row>
    <row r="2061" spans="1:16" x14ac:dyDescent="0.3">
      <c r="A2061" s="1">
        <v>45317</v>
      </c>
      <c r="B2061" t="s">
        <v>20</v>
      </c>
      <c r="C2061" t="s">
        <v>11</v>
      </c>
      <c r="D2061" t="s">
        <v>9</v>
      </c>
      <c r="E2061">
        <v>7</v>
      </c>
      <c r="F2061" s="3">
        <v>2765</v>
      </c>
      <c r="G2061" s="2">
        <v>699.86</v>
      </c>
      <c r="H2061">
        <f>Master_ventas[[#This Row],[Profit]]/Master_ventas[[#This Row],[Sales]]</f>
        <v>0.25311392405063293</v>
      </c>
      <c r="I2061">
        <f ca="1">Referencia_Hoy-Master_ventas[[#This Row],[Order Date]]</f>
        <v>1006</v>
      </c>
      <c r="J2061" t="str">
        <f>UPPER(Master_ventas[[#This Row],[Product Name]])</f>
        <v>MONITOR</v>
      </c>
      <c r="K2061" t="str">
        <f>UPPER(Master_ventas[[#This Row],[Category]])</f>
        <v>ACCESSORIES</v>
      </c>
      <c r="L2061">
        <f>YEAR(Master_ventas[[#This Row],[Order Date]])</f>
        <v>2024</v>
      </c>
      <c r="M2061" t="str">
        <f>CONCATENATE(LEFT(Master_ventas[[#This Row],[ProdUpper]],3),RIGHT(Master_ventas[[#This Row],[Ext-Year]],2),"-",MID(Master_ventas[[#This Row],[Category]],1,1))</f>
        <v>MON24-A</v>
      </c>
      <c r="N2061" t="str">
        <f>MID(Master_ventas[[#This Row],[ProdUpper]],1,3)</f>
        <v>MON</v>
      </c>
      <c r="O2061" t="str">
        <f>UPPER(IF(Master_ventas[[#This Row],[Profit]]&gt;500,"High","Std"))</f>
        <v>HIGH</v>
      </c>
      <c r="P2061">
        <v>2060</v>
      </c>
    </row>
    <row r="2062" spans="1:16" x14ac:dyDescent="0.3">
      <c r="A2062" s="1">
        <v>44672</v>
      </c>
      <c r="B2062" t="s">
        <v>21</v>
      </c>
      <c r="C2062" t="s">
        <v>14</v>
      </c>
      <c r="D2062" t="s">
        <v>16</v>
      </c>
      <c r="E2062">
        <v>8</v>
      </c>
      <c r="F2062" s="3">
        <v>2680</v>
      </c>
      <c r="G2062" s="2">
        <v>598.97</v>
      </c>
      <c r="H2062">
        <f>Master_ventas[[#This Row],[Profit]]/Master_ventas[[#This Row],[Sales]]</f>
        <v>0.22349626865671643</v>
      </c>
      <c r="I2062">
        <f ca="1">Referencia_Hoy-Master_ventas[[#This Row],[Order Date]]</f>
        <v>1651</v>
      </c>
      <c r="J2062" t="str">
        <f>UPPER(Master_ventas[[#This Row],[Product Name]])</f>
        <v>SMARTPHONE</v>
      </c>
      <c r="K2062" t="str">
        <f>UPPER(Master_ventas[[#This Row],[Category]])</f>
        <v>ELECTRONICS</v>
      </c>
      <c r="L2062">
        <f>YEAR(Master_ventas[[#This Row],[Order Date]])</f>
        <v>2022</v>
      </c>
      <c r="M2062" t="str">
        <f>CONCATENATE(LEFT(Master_ventas[[#This Row],[ProdUpper]],3),RIGHT(Master_ventas[[#This Row],[Ext-Year]],2),"-",MID(Master_ventas[[#This Row],[Category]],1,1))</f>
        <v>SMA22-E</v>
      </c>
      <c r="N2062" t="str">
        <f>MID(Master_ventas[[#This Row],[ProdUpper]],1,3)</f>
        <v>SMA</v>
      </c>
      <c r="O2062" t="str">
        <f>UPPER(IF(Master_ventas[[#This Row],[Profit]]&gt;500,"High","Std"))</f>
        <v>HIGH</v>
      </c>
      <c r="P2062">
        <v>2061</v>
      </c>
    </row>
    <row r="2063" spans="1:16" x14ac:dyDescent="0.3">
      <c r="A2063" s="1">
        <v>45157</v>
      </c>
      <c r="B2063" t="s">
        <v>17</v>
      </c>
      <c r="C2063" t="s">
        <v>14</v>
      </c>
      <c r="D2063" t="s">
        <v>12</v>
      </c>
      <c r="E2063">
        <v>2</v>
      </c>
      <c r="F2063" s="3">
        <v>2174</v>
      </c>
      <c r="G2063" s="2">
        <v>335.37</v>
      </c>
      <c r="H2063">
        <f>Master_ventas[[#This Row],[Profit]]/Master_ventas[[#This Row],[Sales]]</f>
        <v>0.15426402943882245</v>
      </c>
      <c r="I2063">
        <f ca="1">Referencia_Hoy-Master_ventas[[#This Row],[Order Date]]</f>
        <v>1166</v>
      </c>
      <c r="J2063" t="str">
        <f>UPPER(Master_ventas[[#This Row],[Product Name]])</f>
        <v>CAMERA</v>
      </c>
      <c r="K2063" t="str">
        <f>UPPER(Master_ventas[[#This Row],[Category]])</f>
        <v>ELECTRONICS</v>
      </c>
      <c r="L2063">
        <f>YEAR(Master_ventas[[#This Row],[Order Date]])</f>
        <v>2023</v>
      </c>
      <c r="M2063" t="str">
        <f>CONCATENATE(LEFT(Master_ventas[[#This Row],[ProdUpper]],3),RIGHT(Master_ventas[[#This Row],[Ext-Year]],2),"-",MID(Master_ventas[[#This Row],[Category]],1,1))</f>
        <v>CAM23-E</v>
      </c>
      <c r="N2063" t="str">
        <f>MID(Master_ventas[[#This Row],[ProdUpper]],1,3)</f>
        <v>CAM</v>
      </c>
      <c r="O2063" t="str">
        <f>UPPER(IF(Master_ventas[[#This Row],[Profit]]&gt;500,"High","Std"))</f>
        <v>STD</v>
      </c>
      <c r="P2063">
        <v>2062</v>
      </c>
    </row>
    <row r="2064" spans="1:16" x14ac:dyDescent="0.3">
      <c r="A2064" s="1">
        <v>45393</v>
      </c>
      <c r="B2064" t="s">
        <v>20</v>
      </c>
      <c r="C2064" t="s">
        <v>11</v>
      </c>
      <c r="D2064" t="s">
        <v>9</v>
      </c>
      <c r="E2064">
        <v>9</v>
      </c>
      <c r="F2064" s="3">
        <v>5562</v>
      </c>
      <c r="G2064" s="2">
        <v>1258.1199999999999</v>
      </c>
      <c r="H2064">
        <f>Master_ventas[[#This Row],[Profit]]/Master_ventas[[#This Row],[Sales]]</f>
        <v>0.22619920891765549</v>
      </c>
      <c r="I2064">
        <f ca="1">Referencia_Hoy-Master_ventas[[#This Row],[Order Date]]</f>
        <v>930</v>
      </c>
      <c r="J2064" t="str">
        <f>UPPER(Master_ventas[[#This Row],[Product Name]])</f>
        <v>MONITOR</v>
      </c>
      <c r="K2064" t="str">
        <f>UPPER(Master_ventas[[#This Row],[Category]])</f>
        <v>ACCESSORIES</v>
      </c>
      <c r="L2064">
        <f>YEAR(Master_ventas[[#This Row],[Order Date]])</f>
        <v>2024</v>
      </c>
      <c r="M2064" t="str">
        <f>CONCATENATE(LEFT(Master_ventas[[#This Row],[ProdUpper]],3),RIGHT(Master_ventas[[#This Row],[Ext-Year]],2),"-",MID(Master_ventas[[#This Row],[Category]],1,1))</f>
        <v>MON24-A</v>
      </c>
      <c r="N2064" t="str">
        <f>MID(Master_ventas[[#This Row],[ProdUpper]],1,3)</f>
        <v>MON</v>
      </c>
      <c r="O2064" t="str">
        <f>UPPER(IF(Master_ventas[[#This Row],[Profit]]&gt;500,"High","Std"))</f>
        <v>HIGH</v>
      </c>
      <c r="P2064">
        <v>2063</v>
      </c>
    </row>
    <row r="2065" spans="1:16" x14ac:dyDescent="0.3">
      <c r="A2065" s="1">
        <v>44831</v>
      </c>
      <c r="B2065" t="s">
        <v>21</v>
      </c>
      <c r="C2065" t="s">
        <v>14</v>
      </c>
      <c r="D2065" t="s">
        <v>12</v>
      </c>
      <c r="E2065">
        <v>8</v>
      </c>
      <c r="F2065" s="3">
        <v>9208</v>
      </c>
      <c r="G2065" s="2">
        <v>2595.33</v>
      </c>
      <c r="H2065">
        <f>Master_ventas[[#This Row],[Profit]]/Master_ventas[[#This Row],[Sales]]</f>
        <v>0.28185599478714163</v>
      </c>
      <c r="I2065">
        <f ca="1">Referencia_Hoy-Master_ventas[[#This Row],[Order Date]]</f>
        <v>1492</v>
      </c>
      <c r="J2065" t="str">
        <f>UPPER(Master_ventas[[#This Row],[Product Name]])</f>
        <v>SMARTPHONE</v>
      </c>
      <c r="K2065" t="str">
        <f>UPPER(Master_ventas[[#This Row],[Category]])</f>
        <v>ELECTRONICS</v>
      </c>
      <c r="L2065">
        <f>YEAR(Master_ventas[[#This Row],[Order Date]])</f>
        <v>2022</v>
      </c>
      <c r="M2065" t="str">
        <f>CONCATENATE(LEFT(Master_ventas[[#This Row],[ProdUpper]],3),RIGHT(Master_ventas[[#This Row],[Ext-Year]],2),"-",MID(Master_ventas[[#This Row],[Category]],1,1))</f>
        <v>SMA22-E</v>
      </c>
      <c r="N2065" t="str">
        <f>MID(Master_ventas[[#This Row],[ProdUpper]],1,3)</f>
        <v>SMA</v>
      </c>
      <c r="O2065" t="str">
        <f>UPPER(IF(Master_ventas[[#This Row],[Profit]]&gt;500,"High","Std"))</f>
        <v>HIGH</v>
      </c>
      <c r="P2065">
        <v>2064</v>
      </c>
    </row>
    <row r="2066" spans="1:16" x14ac:dyDescent="0.3">
      <c r="A2066" s="1">
        <v>45535</v>
      </c>
      <c r="B2066" t="s">
        <v>21</v>
      </c>
      <c r="C2066" t="s">
        <v>14</v>
      </c>
      <c r="D2066" t="s">
        <v>16</v>
      </c>
      <c r="E2066">
        <v>4</v>
      </c>
      <c r="F2066" s="3">
        <v>4512</v>
      </c>
      <c r="G2066" s="2">
        <v>546.71</v>
      </c>
      <c r="H2066">
        <f>Master_ventas[[#This Row],[Profit]]/Master_ventas[[#This Row],[Sales]]</f>
        <v>0.12116799645390072</v>
      </c>
      <c r="I2066">
        <f ca="1">Referencia_Hoy-Master_ventas[[#This Row],[Order Date]]</f>
        <v>788</v>
      </c>
      <c r="J2066" t="str">
        <f>UPPER(Master_ventas[[#This Row],[Product Name]])</f>
        <v>SMARTPHONE</v>
      </c>
      <c r="K2066" t="str">
        <f>UPPER(Master_ventas[[#This Row],[Category]])</f>
        <v>ELECTRONICS</v>
      </c>
      <c r="L2066">
        <f>YEAR(Master_ventas[[#This Row],[Order Date]])</f>
        <v>2024</v>
      </c>
      <c r="M2066" t="str">
        <f>CONCATENATE(LEFT(Master_ventas[[#This Row],[ProdUpper]],3),RIGHT(Master_ventas[[#This Row],[Ext-Year]],2),"-",MID(Master_ventas[[#This Row],[Category]],1,1))</f>
        <v>SMA24-E</v>
      </c>
      <c r="N2066" t="str">
        <f>MID(Master_ventas[[#This Row],[ProdUpper]],1,3)</f>
        <v>SMA</v>
      </c>
      <c r="O2066" t="str">
        <f>UPPER(IF(Master_ventas[[#This Row],[Profit]]&gt;500,"High","Std"))</f>
        <v>HIGH</v>
      </c>
      <c r="P2066">
        <v>2065</v>
      </c>
    </row>
    <row r="2067" spans="1:16" x14ac:dyDescent="0.3">
      <c r="A2067" s="1">
        <v>45355</v>
      </c>
      <c r="B2067" t="s">
        <v>17</v>
      </c>
      <c r="C2067" t="s">
        <v>14</v>
      </c>
      <c r="D2067" t="s">
        <v>16</v>
      </c>
      <c r="E2067">
        <v>9</v>
      </c>
      <c r="F2067" s="3">
        <v>7974</v>
      </c>
      <c r="G2067" s="2">
        <v>1965.96</v>
      </c>
      <c r="H2067">
        <f>Master_ventas[[#This Row],[Profit]]/Master_ventas[[#This Row],[Sales]]</f>
        <v>0.24654627539503388</v>
      </c>
      <c r="I2067">
        <f ca="1">Referencia_Hoy-Master_ventas[[#This Row],[Order Date]]</f>
        <v>968</v>
      </c>
      <c r="J2067" t="str">
        <f>UPPER(Master_ventas[[#This Row],[Product Name]])</f>
        <v>CAMERA</v>
      </c>
      <c r="K2067" t="str">
        <f>UPPER(Master_ventas[[#This Row],[Category]])</f>
        <v>ELECTRONICS</v>
      </c>
      <c r="L2067">
        <f>YEAR(Master_ventas[[#This Row],[Order Date]])</f>
        <v>2024</v>
      </c>
      <c r="M2067" t="str">
        <f>CONCATENATE(LEFT(Master_ventas[[#This Row],[ProdUpper]],3),RIGHT(Master_ventas[[#This Row],[Ext-Year]],2),"-",MID(Master_ventas[[#This Row],[Category]],1,1))</f>
        <v>CAM24-E</v>
      </c>
      <c r="N2067" t="str">
        <f>MID(Master_ventas[[#This Row],[ProdUpper]],1,3)</f>
        <v>CAM</v>
      </c>
      <c r="O2067" t="str">
        <f>UPPER(IF(Master_ventas[[#This Row],[Profit]]&gt;500,"High","Std"))</f>
        <v>HIGH</v>
      </c>
      <c r="P2067">
        <v>2066</v>
      </c>
    </row>
    <row r="2068" spans="1:16" x14ac:dyDescent="0.3">
      <c r="A2068" s="1">
        <v>44681</v>
      </c>
      <c r="B2068" t="s">
        <v>20</v>
      </c>
      <c r="C2068" t="s">
        <v>11</v>
      </c>
      <c r="D2068" t="s">
        <v>12</v>
      </c>
      <c r="E2068">
        <v>6</v>
      </c>
      <c r="F2068" s="3">
        <v>4944</v>
      </c>
      <c r="G2068" s="2">
        <v>1335.04</v>
      </c>
      <c r="H2068">
        <f>Master_ventas[[#This Row],[Profit]]/Master_ventas[[#This Row],[Sales]]</f>
        <v>0.27003236245954693</v>
      </c>
      <c r="I2068">
        <f ca="1">Referencia_Hoy-Master_ventas[[#This Row],[Order Date]]</f>
        <v>1642</v>
      </c>
      <c r="J2068" t="str">
        <f>UPPER(Master_ventas[[#This Row],[Product Name]])</f>
        <v>MONITOR</v>
      </c>
      <c r="K2068" t="str">
        <f>UPPER(Master_ventas[[#This Row],[Category]])</f>
        <v>ACCESSORIES</v>
      </c>
      <c r="L2068">
        <f>YEAR(Master_ventas[[#This Row],[Order Date]])</f>
        <v>2022</v>
      </c>
      <c r="M2068" t="str">
        <f>CONCATENATE(LEFT(Master_ventas[[#This Row],[ProdUpper]],3),RIGHT(Master_ventas[[#This Row],[Ext-Year]],2),"-",MID(Master_ventas[[#This Row],[Category]],1,1))</f>
        <v>MON22-A</v>
      </c>
      <c r="N2068" t="str">
        <f>MID(Master_ventas[[#This Row],[ProdUpper]],1,3)</f>
        <v>MON</v>
      </c>
      <c r="O2068" t="str">
        <f>UPPER(IF(Master_ventas[[#This Row],[Profit]]&gt;500,"High","Std"))</f>
        <v>HIGH</v>
      </c>
      <c r="P2068">
        <v>2067</v>
      </c>
    </row>
    <row r="2069" spans="1:16" x14ac:dyDescent="0.3">
      <c r="A2069" s="1">
        <v>44639</v>
      </c>
      <c r="B2069" t="s">
        <v>7</v>
      </c>
      <c r="C2069" t="s">
        <v>8</v>
      </c>
      <c r="D2069" t="s">
        <v>15</v>
      </c>
      <c r="E2069">
        <v>3</v>
      </c>
      <c r="F2069" s="3">
        <v>1611</v>
      </c>
      <c r="G2069" s="2">
        <v>234.84</v>
      </c>
      <c r="H2069">
        <f>Master_ventas[[#This Row],[Profit]]/Master_ventas[[#This Row],[Sales]]</f>
        <v>0.14577281191806332</v>
      </c>
      <c r="I2069">
        <f ca="1">Referencia_Hoy-Master_ventas[[#This Row],[Order Date]]</f>
        <v>1684</v>
      </c>
      <c r="J2069" t="str">
        <f>UPPER(Master_ventas[[#This Row],[Product Name]])</f>
        <v>PRINTER</v>
      </c>
      <c r="K2069" t="str">
        <f>UPPER(Master_ventas[[#This Row],[Category]])</f>
        <v>OFFICE</v>
      </c>
      <c r="L2069">
        <f>YEAR(Master_ventas[[#This Row],[Order Date]])</f>
        <v>2022</v>
      </c>
      <c r="M2069" t="str">
        <f>CONCATENATE(LEFT(Master_ventas[[#This Row],[ProdUpper]],3),RIGHT(Master_ventas[[#This Row],[Ext-Year]],2),"-",MID(Master_ventas[[#This Row],[Category]],1,1))</f>
        <v>PRI22-O</v>
      </c>
      <c r="N2069" t="str">
        <f>MID(Master_ventas[[#This Row],[ProdUpper]],1,3)</f>
        <v>PRI</v>
      </c>
      <c r="O2069" t="str">
        <f>UPPER(IF(Master_ventas[[#This Row],[Profit]]&gt;500,"High","Std"))</f>
        <v>STD</v>
      </c>
      <c r="P2069">
        <v>2068</v>
      </c>
    </row>
    <row r="2070" spans="1:16" x14ac:dyDescent="0.3">
      <c r="A2070" s="1">
        <v>45478</v>
      </c>
      <c r="B2070" t="s">
        <v>19</v>
      </c>
      <c r="C2070" t="s">
        <v>14</v>
      </c>
      <c r="D2070" t="s">
        <v>16</v>
      </c>
      <c r="E2070">
        <v>9</v>
      </c>
      <c r="F2070" s="3">
        <v>4599</v>
      </c>
      <c r="G2070" s="2">
        <v>618.89</v>
      </c>
      <c r="H2070">
        <f>Master_ventas[[#This Row],[Profit]]/Master_ventas[[#This Row],[Sales]]</f>
        <v>0.13457055881713414</v>
      </c>
      <c r="I2070">
        <f ca="1">Referencia_Hoy-Master_ventas[[#This Row],[Order Date]]</f>
        <v>845</v>
      </c>
      <c r="J2070" t="str">
        <f>UPPER(Master_ventas[[#This Row],[Product Name]])</f>
        <v>SMARTWATCH</v>
      </c>
      <c r="K2070" t="str">
        <f>UPPER(Master_ventas[[#This Row],[Category]])</f>
        <v>ELECTRONICS</v>
      </c>
      <c r="L2070">
        <f>YEAR(Master_ventas[[#This Row],[Order Date]])</f>
        <v>2024</v>
      </c>
      <c r="M2070" t="str">
        <f>CONCATENATE(LEFT(Master_ventas[[#This Row],[ProdUpper]],3),RIGHT(Master_ventas[[#This Row],[Ext-Year]],2),"-",MID(Master_ventas[[#This Row],[Category]],1,1))</f>
        <v>SMA24-E</v>
      </c>
      <c r="N2070" t="str">
        <f>MID(Master_ventas[[#This Row],[ProdUpper]],1,3)</f>
        <v>SMA</v>
      </c>
      <c r="O2070" t="str">
        <f>UPPER(IF(Master_ventas[[#This Row],[Profit]]&gt;500,"High","Std"))</f>
        <v>HIGH</v>
      </c>
      <c r="P2070">
        <v>2069</v>
      </c>
    </row>
    <row r="2071" spans="1:16" x14ac:dyDescent="0.3">
      <c r="A2071" s="1">
        <v>45372</v>
      </c>
      <c r="B2071" t="s">
        <v>23</v>
      </c>
      <c r="C2071" t="s">
        <v>14</v>
      </c>
      <c r="D2071" t="s">
        <v>12</v>
      </c>
      <c r="E2071">
        <v>6</v>
      </c>
      <c r="F2071" s="3">
        <v>4380</v>
      </c>
      <c r="G2071" s="2">
        <v>419.3</v>
      </c>
      <c r="H2071">
        <f>Master_ventas[[#This Row],[Profit]]/Master_ventas[[#This Row],[Sales]]</f>
        <v>9.5730593607305944E-2</v>
      </c>
      <c r="I2071">
        <f ca="1">Referencia_Hoy-Master_ventas[[#This Row],[Order Date]]</f>
        <v>951</v>
      </c>
      <c r="J2071" t="str">
        <f>UPPER(Master_ventas[[#This Row],[Product Name]])</f>
        <v>LAPTOP</v>
      </c>
      <c r="K2071" t="str">
        <f>UPPER(Master_ventas[[#This Row],[Category]])</f>
        <v>ELECTRONICS</v>
      </c>
      <c r="L2071">
        <f>YEAR(Master_ventas[[#This Row],[Order Date]])</f>
        <v>2024</v>
      </c>
      <c r="M2071" t="str">
        <f>CONCATENATE(LEFT(Master_ventas[[#This Row],[ProdUpper]],3),RIGHT(Master_ventas[[#This Row],[Ext-Year]],2),"-",MID(Master_ventas[[#This Row],[Category]],1,1))</f>
        <v>LAP24-E</v>
      </c>
      <c r="N2071" t="str">
        <f>MID(Master_ventas[[#This Row],[ProdUpper]],1,3)</f>
        <v>LAP</v>
      </c>
      <c r="O2071" t="str">
        <f>UPPER(IF(Master_ventas[[#This Row],[Profit]]&gt;500,"High","Std"))</f>
        <v>STD</v>
      </c>
      <c r="P2071">
        <v>2070</v>
      </c>
    </row>
    <row r="2072" spans="1:16" x14ac:dyDescent="0.3">
      <c r="A2072" s="1">
        <v>45585</v>
      </c>
      <c r="B2072" t="s">
        <v>18</v>
      </c>
      <c r="C2072" t="s">
        <v>11</v>
      </c>
      <c r="D2072" t="s">
        <v>15</v>
      </c>
      <c r="E2072">
        <v>2</v>
      </c>
      <c r="F2072" s="3">
        <v>2376</v>
      </c>
      <c r="G2072" s="2">
        <v>580.26</v>
      </c>
      <c r="H2072">
        <f>Master_ventas[[#This Row],[Profit]]/Master_ventas[[#This Row],[Sales]]</f>
        <v>0.24421717171717172</v>
      </c>
      <c r="I2072">
        <f ca="1">Referencia_Hoy-Master_ventas[[#This Row],[Order Date]]</f>
        <v>738</v>
      </c>
      <c r="J2072" t="str">
        <f>UPPER(Master_ventas[[#This Row],[Product Name]])</f>
        <v>HEADPHONES</v>
      </c>
      <c r="K2072" t="str">
        <f>UPPER(Master_ventas[[#This Row],[Category]])</f>
        <v>ACCESSORIES</v>
      </c>
      <c r="L2072">
        <f>YEAR(Master_ventas[[#This Row],[Order Date]])</f>
        <v>2024</v>
      </c>
      <c r="M2072" t="str">
        <f>CONCATENATE(LEFT(Master_ventas[[#This Row],[ProdUpper]],3),RIGHT(Master_ventas[[#This Row],[Ext-Year]],2),"-",MID(Master_ventas[[#This Row],[Category]],1,1))</f>
        <v>HEA24-A</v>
      </c>
      <c r="N2072" t="str">
        <f>MID(Master_ventas[[#This Row],[ProdUpper]],1,3)</f>
        <v>HEA</v>
      </c>
      <c r="O2072" t="str">
        <f>UPPER(IF(Master_ventas[[#This Row],[Profit]]&gt;500,"High","Std"))</f>
        <v>HIGH</v>
      </c>
      <c r="P2072">
        <v>2071</v>
      </c>
    </row>
    <row r="2073" spans="1:16" x14ac:dyDescent="0.3">
      <c r="A2073" s="1">
        <v>44929</v>
      </c>
      <c r="B2073" t="s">
        <v>20</v>
      </c>
      <c r="C2073" t="s">
        <v>11</v>
      </c>
      <c r="D2073" t="s">
        <v>15</v>
      </c>
      <c r="E2073">
        <v>9</v>
      </c>
      <c r="F2073" s="3">
        <v>6588</v>
      </c>
      <c r="G2073" s="2">
        <v>1800.9</v>
      </c>
      <c r="H2073">
        <f>Master_ventas[[#This Row],[Profit]]/Master_ventas[[#This Row],[Sales]]</f>
        <v>0.27336065573770491</v>
      </c>
      <c r="I2073">
        <f ca="1">Referencia_Hoy-Master_ventas[[#This Row],[Order Date]]</f>
        <v>1394</v>
      </c>
      <c r="J2073" t="str">
        <f>UPPER(Master_ventas[[#This Row],[Product Name]])</f>
        <v>MONITOR</v>
      </c>
      <c r="K2073" t="str">
        <f>UPPER(Master_ventas[[#This Row],[Category]])</f>
        <v>ACCESSORIES</v>
      </c>
      <c r="L2073">
        <f>YEAR(Master_ventas[[#This Row],[Order Date]])</f>
        <v>2023</v>
      </c>
      <c r="M2073" t="str">
        <f>CONCATENATE(LEFT(Master_ventas[[#This Row],[ProdUpper]],3),RIGHT(Master_ventas[[#This Row],[Ext-Year]],2),"-",MID(Master_ventas[[#This Row],[Category]],1,1))</f>
        <v>MON23-A</v>
      </c>
      <c r="N2073" t="str">
        <f>MID(Master_ventas[[#This Row],[ProdUpper]],1,3)</f>
        <v>MON</v>
      </c>
      <c r="O2073" t="str">
        <f>UPPER(IF(Master_ventas[[#This Row],[Profit]]&gt;500,"High","Std"))</f>
        <v>HIGH</v>
      </c>
      <c r="P2073">
        <v>2072</v>
      </c>
    </row>
    <row r="2074" spans="1:16" x14ac:dyDescent="0.3">
      <c r="A2074" s="1">
        <v>44566</v>
      </c>
      <c r="B2074" t="s">
        <v>10</v>
      </c>
      <c r="C2074" t="s">
        <v>11</v>
      </c>
      <c r="D2074" t="s">
        <v>12</v>
      </c>
      <c r="E2074">
        <v>5</v>
      </c>
      <c r="F2074" s="3">
        <v>3745</v>
      </c>
      <c r="G2074" s="2">
        <v>720.08</v>
      </c>
      <c r="H2074">
        <f>Master_ventas[[#This Row],[Profit]]/Master_ventas[[#This Row],[Sales]]</f>
        <v>0.19227770360480642</v>
      </c>
      <c r="I2074">
        <f ca="1">Referencia_Hoy-Master_ventas[[#This Row],[Order Date]]</f>
        <v>1757</v>
      </c>
      <c r="J2074" t="str">
        <f>UPPER(Master_ventas[[#This Row],[Product Name]])</f>
        <v>MOUSE</v>
      </c>
      <c r="K2074" t="str">
        <f>UPPER(Master_ventas[[#This Row],[Category]])</f>
        <v>ACCESSORIES</v>
      </c>
      <c r="L2074">
        <f>YEAR(Master_ventas[[#This Row],[Order Date]])</f>
        <v>2022</v>
      </c>
      <c r="M2074" t="str">
        <f>CONCATENATE(LEFT(Master_ventas[[#This Row],[ProdUpper]],3),RIGHT(Master_ventas[[#This Row],[Ext-Year]],2),"-",MID(Master_ventas[[#This Row],[Category]],1,1))</f>
        <v>MOU22-A</v>
      </c>
      <c r="N2074" t="str">
        <f>MID(Master_ventas[[#This Row],[ProdUpper]],1,3)</f>
        <v>MOU</v>
      </c>
      <c r="O2074" t="str">
        <f>UPPER(IF(Master_ventas[[#This Row],[Profit]]&gt;500,"High","Std"))</f>
        <v>HIGH</v>
      </c>
      <c r="P2074">
        <v>2073</v>
      </c>
    </row>
    <row r="2075" spans="1:16" x14ac:dyDescent="0.3">
      <c r="A2075" s="1">
        <v>44730</v>
      </c>
      <c r="B2075" t="s">
        <v>17</v>
      </c>
      <c r="C2075" t="s">
        <v>14</v>
      </c>
      <c r="D2075" t="s">
        <v>9</v>
      </c>
      <c r="E2075">
        <v>5</v>
      </c>
      <c r="F2075" s="3">
        <v>5305</v>
      </c>
      <c r="G2075" s="2">
        <v>1389.25</v>
      </c>
      <c r="H2075">
        <f>Master_ventas[[#This Row],[Profit]]/Master_ventas[[#This Row],[Sales]]</f>
        <v>0.26187558906691799</v>
      </c>
      <c r="I2075">
        <f ca="1">Referencia_Hoy-Master_ventas[[#This Row],[Order Date]]</f>
        <v>1593</v>
      </c>
      <c r="J2075" t="str">
        <f>UPPER(Master_ventas[[#This Row],[Product Name]])</f>
        <v>CAMERA</v>
      </c>
      <c r="K2075" t="str">
        <f>UPPER(Master_ventas[[#This Row],[Category]])</f>
        <v>ELECTRONICS</v>
      </c>
      <c r="L2075">
        <f>YEAR(Master_ventas[[#This Row],[Order Date]])</f>
        <v>2022</v>
      </c>
      <c r="M2075" t="str">
        <f>CONCATENATE(LEFT(Master_ventas[[#This Row],[ProdUpper]],3),RIGHT(Master_ventas[[#This Row],[Ext-Year]],2),"-",MID(Master_ventas[[#This Row],[Category]],1,1))</f>
        <v>CAM22-E</v>
      </c>
      <c r="N2075" t="str">
        <f>MID(Master_ventas[[#This Row],[ProdUpper]],1,3)</f>
        <v>CAM</v>
      </c>
      <c r="O2075" t="str">
        <f>UPPER(IF(Master_ventas[[#This Row],[Profit]]&gt;500,"High","Std"))</f>
        <v>HIGH</v>
      </c>
      <c r="P2075">
        <v>2074</v>
      </c>
    </row>
    <row r="2076" spans="1:16" x14ac:dyDescent="0.3">
      <c r="A2076" s="1">
        <v>45065</v>
      </c>
      <c r="B2076" t="s">
        <v>13</v>
      </c>
      <c r="C2076" t="s">
        <v>14</v>
      </c>
      <c r="D2076" t="s">
        <v>9</v>
      </c>
      <c r="E2076">
        <v>8</v>
      </c>
      <c r="F2076" s="3">
        <v>1608</v>
      </c>
      <c r="G2076" s="2">
        <v>332.12</v>
      </c>
      <c r="H2076">
        <f>Master_ventas[[#This Row],[Profit]]/Master_ventas[[#This Row],[Sales]]</f>
        <v>0.20654228855721393</v>
      </c>
      <c r="I2076">
        <f ca="1">Referencia_Hoy-Master_ventas[[#This Row],[Order Date]]</f>
        <v>1258</v>
      </c>
      <c r="J2076" t="str">
        <f>UPPER(Master_ventas[[#This Row],[Product Name]])</f>
        <v>TABLET</v>
      </c>
      <c r="K2076" t="str">
        <f>UPPER(Master_ventas[[#This Row],[Category]])</f>
        <v>ELECTRONICS</v>
      </c>
      <c r="L2076">
        <f>YEAR(Master_ventas[[#This Row],[Order Date]])</f>
        <v>2023</v>
      </c>
      <c r="M2076" t="str">
        <f>CONCATENATE(LEFT(Master_ventas[[#This Row],[ProdUpper]],3),RIGHT(Master_ventas[[#This Row],[Ext-Year]],2),"-",MID(Master_ventas[[#This Row],[Category]],1,1))</f>
        <v>TAB23-E</v>
      </c>
      <c r="N2076" t="str">
        <f>MID(Master_ventas[[#This Row],[ProdUpper]],1,3)</f>
        <v>TAB</v>
      </c>
      <c r="O2076" t="str">
        <f>UPPER(IF(Master_ventas[[#This Row],[Profit]]&gt;500,"High","Std"))</f>
        <v>STD</v>
      </c>
      <c r="P2076">
        <v>2075</v>
      </c>
    </row>
    <row r="2077" spans="1:16" x14ac:dyDescent="0.3">
      <c r="A2077" s="1">
        <v>45491</v>
      </c>
      <c r="B2077" t="s">
        <v>20</v>
      </c>
      <c r="C2077" t="s">
        <v>11</v>
      </c>
      <c r="D2077" t="s">
        <v>12</v>
      </c>
      <c r="E2077">
        <v>9</v>
      </c>
      <c r="F2077" s="3">
        <v>4977</v>
      </c>
      <c r="G2077" s="2">
        <v>745.81</v>
      </c>
      <c r="H2077">
        <f>Master_ventas[[#This Row],[Profit]]/Master_ventas[[#This Row],[Sales]]</f>
        <v>0.14985131605384769</v>
      </c>
      <c r="I2077">
        <f ca="1">Referencia_Hoy-Master_ventas[[#This Row],[Order Date]]</f>
        <v>832</v>
      </c>
      <c r="J2077" t="str">
        <f>UPPER(Master_ventas[[#This Row],[Product Name]])</f>
        <v>MONITOR</v>
      </c>
      <c r="K2077" t="str">
        <f>UPPER(Master_ventas[[#This Row],[Category]])</f>
        <v>ACCESSORIES</v>
      </c>
      <c r="L2077">
        <f>YEAR(Master_ventas[[#This Row],[Order Date]])</f>
        <v>2024</v>
      </c>
      <c r="M2077" t="str">
        <f>CONCATENATE(LEFT(Master_ventas[[#This Row],[ProdUpper]],3),RIGHT(Master_ventas[[#This Row],[Ext-Year]],2),"-",MID(Master_ventas[[#This Row],[Category]],1,1))</f>
        <v>MON24-A</v>
      </c>
      <c r="N2077" t="str">
        <f>MID(Master_ventas[[#This Row],[ProdUpper]],1,3)</f>
        <v>MON</v>
      </c>
      <c r="O2077" t="str">
        <f>UPPER(IF(Master_ventas[[#This Row],[Profit]]&gt;500,"High","Std"))</f>
        <v>HIGH</v>
      </c>
      <c r="P2077">
        <v>2076</v>
      </c>
    </row>
    <row r="2078" spans="1:16" x14ac:dyDescent="0.3">
      <c r="A2078" s="1">
        <v>44601</v>
      </c>
      <c r="B2078" t="s">
        <v>21</v>
      </c>
      <c r="C2078" t="s">
        <v>14</v>
      </c>
      <c r="D2078" t="s">
        <v>12</v>
      </c>
      <c r="E2078">
        <v>7</v>
      </c>
      <c r="F2078" s="3">
        <v>4529</v>
      </c>
      <c r="G2078" s="2">
        <v>273.97000000000003</v>
      </c>
      <c r="H2078">
        <f>Master_ventas[[#This Row],[Profit]]/Master_ventas[[#This Row],[Sales]]</f>
        <v>6.0492382424376247E-2</v>
      </c>
      <c r="I2078">
        <f ca="1">Referencia_Hoy-Master_ventas[[#This Row],[Order Date]]</f>
        <v>1722</v>
      </c>
      <c r="J2078" t="str">
        <f>UPPER(Master_ventas[[#This Row],[Product Name]])</f>
        <v>SMARTPHONE</v>
      </c>
      <c r="K2078" t="str">
        <f>UPPER(Master_ventas[[#This Row],[Category]])</f>
        <v>ELECTRONICS</v>
      </c>
      <c r="L2078">
        <f>YEAR(Master_ventas[[#This Row],[Order Date]])</f>
        <v>2022</v>
      </c>
      <c r="M2078" t="str">
        <f>CONCATENATE(LEFT(Master_ventas[[#This Row],[ProdUpper]],3),RIGHT(Master_ventas[[#This Row],[Ext-Year]],2),"-",MID(Master_ventas[[#This Row],[Category]],1,1))</f>
        <v>SMA22-E</v>
      </c>
      <c r="N2078" t="str">
        <f>MID(Master_ventas[[#This Row],[ProdUpper]],1,3)</f>
        <v>SMA</v>
      </c>
      <c r="O2078" t="str">
        <f>UPPER(IF(Master_ventas[[#This Row],[Profit]]&gt;500,"High","Std"))</f>
        <v>STD</v>
      </c>
      <c r="P2078">
        <v>2077</v>
      </c>
    </row>
    <row r="2079" spans="1:16" x14ac:dyDescent="0.3">
      <c r="A2079" s="1">
        <v>45397</v>
      </c>
      <c r="B2079" t="s">
        <v>17</v>
      </c>
      <c r="C2079" t="s">
        <v>14</v>
      </c>
      <c r="D2079" t="s">
        <v>16</v>
      </c>
      <c r="E2079">
        <v>7</v>
      </c>
      <c r="F2079" s="3">
        <v>4690</v>
      </c>
      <c r="G2079" s="2">
        <v>319.42</v>
      </c>
      <c r="H2079">
        <f>Master_ventas[[#This Row],[Profit]]/Master_ventas[[#This Row],[Sales]]</f>
        <v>6.8106609808102347E-2</v>
      </c>
      <c r="I2079">
        <f ca="1">Referencia_Hoy-Master_ventas[[#This Row],[Order Date]]</f>
        <v>926</v>
      </c>
      <c r="J2079" t="str">
        <f>UPPER(Master_ventas[[#This Row],[Product Name]])</f>
        <v>CAMERA</v>
      </c>
      <c r="K2079" t="str">
        <f>UPPER(Master_ventas[[#This Row],[Category]])</f>
        <v>ELECTRONICS</v>
      </c>
      <c r="L2079">
        <f>YEAR(Master_ventas[[#This Row],[Order Date]])</f>
        <v>2024</v>
      </c>
      <c r="M2079" t="str">
        <f>CONCATENATE(LEFT(Master_ventas[[#This Row],[ProdUpper]],3),RIGHT(Master_ventas[[#This Row],[Ext-Year]],2),"-",MID(Master_ventas[[#This Row],[Category]],1,1))</f>
        <v>CAM24-E</v>
      </c>
      <c r="N2079" t="str">
        <f>MID(Master_ventas[[#This Row],[ProdUpper]],1,3)</f>
        <v>CAM</v>
      </c>
      <c r="O2079" t="str">
        <f>UPPER(IF(Master_ventas[[#This Row],[Profit]]&gt;500,"High","Std"))</f>
        <v>STD</v>
      </c>
      <c r="P2079">
        <v>2078</v>
      </c>
    </row>
    <row r="2080" spans="1:16" x14ac:dyDescent="0.3">
      <c r="A2080" s="1">
        <v>45608</v>
      </c>
      <c r="B2080" t="s">
        <v>22</v>
      </c>
      <c r="C2080" t="s">
        <v>11</v>
      </c>
      <c r="D2080" t="s">
        <v>12</v>
      </c>
      <c r="E2080">
        <v>4</v>
      </c>
      <c r="F2080" s="3">
        <v>2424</v>
      </c>
      <c r="G2080" s="2">
        <v>544.07000000000005</v>
      </c>
      <c r="H2080">
        <f>Master_ventas[[#This Row],[Profit]]/Master_ventas[[#This Row],[Sales]]</f>
        <v>0.22445132013201322</v>
      </c>
      <c r="I2080">
        <f ca="1">Referencia_Hoy-Master_ventas[[#This Row],[Order Date]]</f>
        <v>715</v>
      </c>
      <c r="J2080" t="str">
        <f>UPPER(Master_ventas[[#This Row],[Product Name]])</f>
        <v>KEYBOARD</v>
      </c>
      <c r="K2080" t="str">
        <f>UPPER(Master_ventas[[#This Row],[Category]])</f>
        <v>ACCESSORIES</v>
      </c>
      <c r="L2080">
        <f>YEAR(Master_ventas[[#This Row],[Order Date]])</f>
        <v>2024</v>
      </c>
      <c r="M2080" t="str">
        <f>CONCATENATE(LEFT(Master_ventas[[#This Row],[ProdUpper]],3),RIGHT(Master_ventas[[#This Row],[Ext-Year]],2),"-",MID(Master_ventas[[#This Row],[Category]],1,1))</f>
        <v>KEY24-A</v>
      </c>
      <c r="N2080" t="str">
        <f>MID(Master_ventas[[#This Row],[ProdUpper]],1,3)</f>
        <v>KEY</v>
      </c>
      <c r="O2080" t="str">
        <f>UPPER(IF(Master_ventas[[#This Row],[Profit]]&gt;500,"High","Std"))</f>
        <v>HIGH</v>
      </c>
      <c r="P2080">
        <v>2079</v>
      </c>
    </row>
    <row r="2081" spans="1:16" x14ac:dyDescent="0.3">
      <c r="A2081" s="1">
        <v>45623</v>
      </c>
      <c r="B2081" t="s">
        <v>22</v>
      </c>
      <c r="C2081" t="s">
        <v>11</v>
      </c>
      <c r="D2081" t="s">
        <v>9</v>
      </c>
      <c r="E2081">
        <v>6</v>
      </c>
      <c r="F2081" s="3">
        <v>3594</v>
      </c>
      <c r="G2081" s="2">
        <v>610.77</v>
      </c>
      <c r="H2081">
        <f>Master_ventas[[#This Row],[Profit]]/Master_ventas[[#This Row],[Sales]]</f>
        <v>0.16994156928213688</v>
      </c>
      <c r="I2081">
        <f ca="1">Referencia_Hoy-Master_ventas[[#This Row],[Order Date]]</f>
        <v>700</v>
      </c>
      <c r="J2081" t="str">
        <f>UPPER(Master_ventas[[#This Row],[Product Name]])</f>
        <v>KEYBOARD</v>
      </c>
      <c r="K2081" t="str">
        <f>UPPER(Master_ventas[[#This Row],[Category]])</f>
        <v>ACCESSORIES</v>
      </c>
      <c r="L2081">
        <f>YEAR(Master_ventas[[#This Row],[Order Date]])</f>
        <v>2024</v>
      </c>
      <c r="M2081" t="str">
        <f>CONCATENATE(LEFT(Master_ventas[[#This Row],[ProdUpper]],3),RIGHT(Master_ventas[[#This Row],[Ext-Year]],2),"-",MID(Master_ventas[[#This Row],[Category]],1,1))</f>
        <v>KEY24-A</v>
      </c>
      <c r="N2081" t="str">
        <f>MID(Master_ventas[[#This Row],[ProdUpper]],1,3)</f>
        <v>KEY</v>
      </c>
      <c r="O2081" t="str">
        <f>UPPER(IF(Master_ventas[[#This Row],[Profit]]&gt;500,"High","Std"))</f>
        <v>HIGH</v>
      </c>
      <c r="P2081">
        <v>2080</v>
      </c>
    </row>
    <row r="2082" spans="1:16" x14ac:dyDescent="0.3">
      <c r="A2082" s="1">
        <v>44684</v>
      </c>
      <c r="B2082" t="s">
        <v>22</v>
      </c>
      <c r="C2082" t="s">
        <v>11</v>
      </c>
      <c r="D2082" t="s">
        <v>9</v>
      </c>
      <c r="E2082">
        <v>7</v>
      </c>
      <c r="F2082" s="3">
        <v>3962</v>
      </c>
      <c r="G2082" s="2">
        <v>491.9</v>
      </c>
      <c r="H2082">
        <f>Master_ventas[[#This Row],[Profit]]/Master_ventas[[#This Row],[Sales]]</f>
        <v>0.12415446744068652</v>
      </c>
      <c r="I2082">
        <f ca="1">Referencia_Hoy-Master_ventas[[#This Row],[Order Date]]</f>
        <v>1639</v>
      </c>
      <c r="J2082" t="str">
        <f>UPPER(Master_ventas[[#This Row],[Product Name]])</f>
        <v>KEYBOARD</v>
      </c>
      <c r="K2082" t="str">
        <f>UPPER(Master_ventas[[#This Row],[Category]])</f>
        <v>ACCESSORIES</v>
      </c>
      <c r="L2082">
        <f>YEAR(Master_ventas[[#This Row],[Order Date]])</f>
        <v>2022</v>
      </c>
      <c r="M2082" t="str">
        <f>CONCATENATE(LEFT(Master_ventas[[#This Row],[ProdUpper]],3),RIGHT(Master_ventas[[#This Row],[Ext-Year]],2),"-",MID(Master_ventas[[#This Row],[Category]],1,1))</f>
        <v>KEY22-A</v>
      </c>
      <c r="N2082" t="str">
        <f>MID(Master_ventas[[#This Row],[ProdUpper]],1,3)</f>
        <v>KEY</v>
      </c>
      <c r="O2082" t="str">
        <f>UPPER(IF(Master_ventas[[#This Row],[Profit]]&gt;500,"High","Std"))</f>
        <v>STD</v>
      </c>
      <c r="P2082">
        <v>2081</v>
      </c>
    </row>
    <row r="2083" spans="1:16" x14ac:dyDescent="0.3">
      <c r="A2083" s="1">
        <v>45365</v>
      </c>
      <c r="B2083" t="s">
        <v>17</v>
      </c>
      <c r="C2083" t="s">
        <v>14</v>
      </c>
      <c r="D2083" t="s">
        <v>12</v>
      </c>
      <c r="E2083">
        <v>2</v>
      </c>
      <c r="F2083" s="3">
        <v>944</v>
      </c>
      <c r="G2083" s="2">
        <v>149.38</v>
      </c>
      <c r="H2083">
        <f>Master_ventas[[#This Row],[Profit]]/Master_ventas[[#This Row],[Sales]]</f>
        <v>0.1582415254237288</v>
      </c>
      <c r="I2083">
        <f ca="1">Referencia_Hoy-Master_ventas[[#This Row],[Order Date]]</f>
        <v>958</v>
      </c>
      <c r="J2083" t="str">
        <f>UPPER(Master_ventas[[#This Row],[Product Name]])</f>
        <v>CAMERA</v>
      </c>
      <c r="K2083" t="str">
        <f>UPPER(Master_ventas[[#This Row],[Category]])</f>
        <v>ELECTRONICS</v>
      </c>
      <c r="L2083">
        <f>YEAR(Master_ventas[[#This Row],[Order Date]])</f>
        <v>2024</v>
      </c>
      <c r="M2083" t="str">
        <f>CONCATENATE(LEFT(Master_ventas[[#This Row],[ProdUpper]],3),RIGHT(Master_ventas[[#This Row],[Ext-Year]],2),"-",MID(Master_ventas[[#This Row],[Category]],1,1))</f>
        <v>CAM24-E</v>
      </c>
      <c r="N2083" t="str">
        <f>MID(Master_ventas[[#This Row],[ProdUpper]],1,3)</f>
        <v>CAM</v>
      </c>
      <c r="O2083" t="str">
        <f>UPPER(IF(Master_ventas[[#This Row],[Profit]]&gt;500,"High","Std"))</f>
        <v>STD</v>
      </c>
      <c r="P2083">
        <v>2082</v>
      </c>
    </row>
    <row r="2084" spans="1:16" x14ac:dyDescent="0.3">
      <c r="A2084" s="1">
        <v>44915</v>
      </c>
      <c r="B2084" t="s">
        <v>19</v>
      </c>
      <c r="C2084" t="s">
        <v>14</v>
      </c>
      <c r="D2084" t="s">
        <v>16</v>
      </c>
      <c r="E2084">
        <v>6</v>
      </c>
      <c r="F2084" s="3">
        <v>6792</v>
      </c>
      <c r="G2084" s="2">
        <v>1787.97</v>
      </c>
      <c r="H2084">
        <f>Master_ventas[[#This Row],[Profit]]/Master_ventas[[#This Row],[Sales]]</f>
        <v>0.26324646643109539</v>
      </c>
      <c r="I2084">
        <f ca="1">Referencia_Hoy-Master_ventas[[#This Row],[Order Date]]</f>
        <v>1408</v>
      </c>
      <c r="J2084" t="str">
        <f>UPPER(Master_ventas[[#This Row],[Product Name]])</f>
        <v>SMARTWATCH</v>
      </c>
      <c r="K2084" t="str">
        <f>UPPER(Master_ventas[[#This Row],[Category]])</f>
        <v>ELECTRONICS</v>
      </c>
      <c r="L2084">
        <f>YEAR(Master_ventas[[#This Row],[Order Date]])</f>
        <v>2022</v>
      </c>
      <c r="M2084" t="str">
        <f>CONCATENATE(LEFT(Master_ventas[[#This Row],[ProdUpper]],3),RIGHT(Master_ventas[[#This Row],[Ext-Year]],2),"-",MID(Master_ventas[[#This Row],[Category]],1,1))</f>
        <v>SMA22-E</v>
      </c>
      <c r="N2084" t="str">
        <f>MID(Master_ventas[[#This Row],[ProdUpper]],1,3)</f>
        <v>SMA</v>
      </c>
      <c r="O2084" t="str">
        <f>UPPER(IF(Master_ventas[[#This Row],[Profit]]&gt;500,"High","Std"))</f>
        <v>HIGH</v>
      </c>
      <c r="P2084">
        <v>2083</v>
      </c>
    </row>
    <row r="2085" spans="1:16" x14ac:dyDescent="0.3">
      <c r="A2085" s="1">
        <v>44991</v>
      </c>
      <c r="B2085" t="s">
        <v>13</v>
      </c>
      <c r="C2085" t="s">
        <v>14</v>
      </c>
      <c r="D2085" t="s">
        <v>9</v>
      </c>
      <c r="E2085">
        <v>7</v>
      </c>
      <c r="F2085" s="3">
        <v>6804</v>
      </c>
      <c r="G2085" s="2">
        <v>1383.81</v>
      </c>
      <c r="H2085">
        <f>Master_ventas[[#This Row],[Profit]]/Master_ventas[[#This Row],[Sales]]</f>
        <v>0.20338183421516753</v>
      </c>
      <c r="I2085">
        <f ca="1">Referencia_Hoy-Master_ventas[[#This Row],[Order Date]]</f>
        <v>1332</v>
      </c>
      <c r="J2085" t="str">
        <f>UPPER(Master_ventas[[#This Row],[Product Name]])</f>
        <v>TABLET</v>
      </c>
      <c r="K2085" t="str">
        <f>UPPER(Master_ventas[[#This Row],[Category]])</f>
        <v>ELECTRONICS</v>
      </c>
      <c r="L2085">
        <f>YEAR(Master_ventas[[#This Row],[Order Date]])</f>
        <v>2023</v>
      </c>
      <c r="M2085" t="str">
        <f>CONCATENATE(LEFT(Master_ventas[[#This Row],[ProdUpper]],3),RIGHT(Master_ventas[[#This Row],[Ext-Year]],2),"-",MID(Master_ventas[[#This Row],[Category]],1,1))</f>
        <v>TAB23-E</v>
      </c>
      <c r="N2085" t="str">
        <f>MID(Master_ventas[[#This Row],[ProdUpper]],1,3)</f>
        <v>TAB</v>
      </c>
      <c r="O2085" t="str">
        <f>UPPER(IF(Master_ventas[[#This Row],[Profit]]&gt;500,"High","Std"))</f>
        <v>HIGH</v>
      </c>
      <c r="P2085">
        <v>2084</v>
      </c>
    </row>
    <row r="2086" spans="1:16" x14ac:dyDescent="0.3">
      <c r="A2086" s="1">
        <v>45555</v>
      </c>
      <c r="B2086" t="s">
        <v>17</v>
      </c>
      <c r="C2086" t="s">
        <v>14</v>
      </c>
      <c r="D2086" t="s">
        <v>15</v>
      </c>
      <c r="E2086">
        <v>6</v>
      </c>
      <c r="F2086" s="3">
        <v>816</v>
      </c>
      <c r="G2086" s="2">
        <v>98.75</v>
      </c>
      <c r="H2086">
        <f>Master_ventas[[#This Row],[Profit]]/Master_ventas[[#This Row],[Sales]]</f>
        <v>0.1210171568627451</v>
      </c>
      <c r="I2086">
        <f ca="1">Referencia_Hoy-Master_ventas[[#This Row],[Order Date]]</f>
        <v>768</v>
      </c>
      <c r="J2086" t="str">
        <f>UPPER(Master_ventas[[#This Row],[Product Name]])</f>
        <v>CAMERA</v>
      </c>
      <c r="K2086" t="str">
        <f>UPPER(Master_ventas[[#This Row],[Category]])</f>
        <v>ELECTRONICS</v>
      </c>
      <c r="L2086">
        <f>YEAR(Master_ventas[[#This Row],[Order Date]])</f>
        <v>2024</v>
      </c>
      <c r="M2086" t="str">
        <f>CONCATENATE(LEFT(Master_ventas[[#This Row],[ProdUpper]],3),RIGHT(Master_ventas[[#This Row],[Ext-Year]],2),"-",MID(Master_ventas[[#This Row],[Category]],1,1))</f>
        <v>CAM24-E</v>
      </c>
      <c r="N2086" t="str">
        <f>MID(Master_ventas[[#This Row],[ProdUpper]],1,3)</f>
        <v>CAM</v>
      </c>
      <c r="O2086" t="str">
        <f>UPPER(IF(Master_ventas[[#This Row],[Profit]]&gt;500,"High","Std"))</f>
        <v>STD</v>
      </c>
      <c r="P2086">
        <v>2085</v>
      </c>
    </row>
    <row r="2087" spans="1:16" x14ac:dyDescent="0.3">
      <c r="A2087" s="1">
        <v>44752</v>
      </c>
      <c r="B2087" t="s">
        <v>20</v>
      </c>
      <c r="C2087" t="s">
        <v>11</v>
      </c>
      <c r="D2087" t="s">
        <v>9</v>
      </c>
      <c r="E2087">
        <v>6</v>
      </c>
      <c r="F2087" s="3">
        <v>5916</v>
      </c>
      <c r="G2087" s="2">
        <v>544.59</v>
      </c>
      <c r="H2087">
        <f>Master_ventas[[#This Row],[Profit]]/Master_ventas[[#This Row],[Sales]]</f>
        <v>9.2053752535496969E-2</v>
      </c>
      <c r="I2087">
        <f ca="1">Referencia_Hoy-Master_ventas[[#This Row],[Order Date]]</f>
        <v>1571</v>
      </c>
      <c r="J2087" t="str">
        <f>UPPER(Master_ventas[[#This Row],[Product Name]])</f>
        <v>MONITOR</v>
      </c>
      <c r="K2087" t="str">
        <f>UPPER(Master_ventas[[#This Row],[Category]])</f>
        <v>ACCESSORIES</v>
      </c>
      <c r="L2087">
        <f>YEAR(Master_ventas[[#This Row],[Order Date]])</f>
        <v>2022</v>
      </c>
      <c r="M2087" t="str">
        <f>CONCATENATE(LEFT(Master_ventas[[#This Row],[ProdUpper]],3),RIGHT(Master_ventas[[#This Row],[Ext-Year]],2),"-",MID(Master_ventas[[#This Row],[Category]],1,1))</f>
        <v>MON22-A</v>
      </c>
      <c r="N2087" t="str">
        <f>MID(Master_ventas[[#This Row],[ProdUpper]],1,3)</f>
        <v>MON</v>
      </c>
      <c r="O2087" t="str">
        <f>UPPER(IF(Master_ventas[[#This Row],[Profit]]&gt;500,"High","Std"))</f>
        <v>HIGH</v>
      </c>
      <c r="P2087">
        <v>2086</v>
      </c>
    </row>
    <row r="2088" spans="1:16" x14ac:dyDescent="0.3">
      <c r="A2088" s="1">
        <v>44729</v>
      </c>
      <c r="B2088" t="s">
        <v>10</v>
      </c>
      <c r="C2088" t="s">
        <v>11</v>
      </c>
      <c r="D2088" t="s">
        <v>15</v>
      </c>
      <c r="E2088">
        <v>5</v>
      </c>
      <c r="F2088" s="3">
        <v>5730</v>
      </c>
      <c r="G2088" s="2">
        <v>310.58</v>
      </c>
      <c r="H2088">
        <f>Master_ventas[[#This Row],[Profit]]/Master_ventas[[#This Row],[Sales]]</f>
        <v>5.4202443280977307E-2</v>
      </c>
      <c r="I2088">
        <f ca="1">Referencia_Hoy-Master_ventas[[#This Row],[Order Date]]</f>
        <v>1594</v>
      </c>
      <c r="J2088" t="str">
        <f>UPPER(Master_ventas[[#This Row],[Product Name]])</f>
        <v>MOUSE</v>
      </c>
      <c r="K2088" t="str">
        <f>UPPER(Master_ventas[[#This Row],[Category]])</f>
        <v>ACCESSORIES</v>
      </c>
      <c r="L2088">
        <f>YEAR(Master_ventas[[#This Row],[Order Date]])</f>
        <v>2022</v>
      </c>
      <c r="M2088" t="str">
        <f>CONCATENATE(LEFT(Master_ventas[[#This Row],[ProdUpper]],3),RIGHT(Master_ventas[[#This Row],[Ext-Year]],2),"-",MID(Master_ventas[[#This Row],[Category]],1,1))</f>
        <v>MOU22-A</v>
      </c>
      <c r="N2088" t="str">
        <f>MID(Master_ventas[[#This Row],[ProdUpper]],1,3)</f>
        <v>MOU</v>
      </c>
      <c r="O2088" t="str">
        <f>UPPER(IF(Master_ventas[[#This Row],[Profit]]&gt;500,"High","Std"))</f>
        <v>STD</v>
      </c>
      <c r="P2088">
        <v>2087</v>
      </c>
    </row>
    <row r="2089" spans="1:16" x14ac:dyDescent="0.3">
      <c r="A2089" s="1">
        <v>45425</v>
      </c>
      <c r="B2089" t="s">
        <v>18</v>
      </c>
      <c r="C2089" t="s">
        <v>11</v>
      </c>
      <c r="D2089" t="s">
        <v>12</v>
      </c>
      <c r="E2089">
        <v>7</v>
      </c>
      <c r="F2089" s="3">
        <v>8288</v>
      </c>
      <c r="G2089" s="2">
        <v>785.54</v>
      </c>
      <c r="H2089">
        <f>Master_ventas[[#This Row],[Profit]]/Master_ventas[[#This Row],[Sales]]</f>
        <v>9.4780405405405402E-2</v>
      </c>
      <c r="I2089">
        <f ca="1">Referencia_Hoy-Master_ventas[[#This Row],[Order Date]]</f>
        <v>898</v>
      </c>
      <c r="J2089" t="str">
        <f>UPPER(Master_ventas[[#This Row],[Product Name]])</f>
        <v>HEADPHONES</v>
      </c>
      <c r="K2089" t="str">
        <f>UPPER(Master_ventas[[#This Row],[Category]])</f>
        <v>ACCESSORIES</v>
      </c>
      <c r="L2089">
        <f>YEAR(Master_ventas[[#This Row],[Order Date]])</f>
        <v>2024</v>
      </c>
      <c r="M2089" t="str">
        <f>CONCATENATE(LEFT(Master_ventas[[#This Row],[ProdUpper]],3),RIGHT(Master_ventas[[#This Row],[Ext-Year]],2),"-",MID(Master_ventas[[#This Row],[Category]],1,1))</f>
        <v>HEA24-A</v>
      </c>
      <c r="N2089" t="str">
        <f>MID(Master_ventas[[#This Row],[ProdUpper]],1,3)</f>
        <v>HEA</v>
      </c>
      <c r="O2089" t="str">
        <f>UPPER(IF(Master_ventas[[#This Row],[Profit]]&gt;500,"High","Std"))</f>
        <v>HIGH</v>
      </c>
      <c r="P2089">
        <v>2088</v>
      </c>
    </row>
    <row r="2090" spans="1:16" x14ac:dyDescent="0.3">
      <c r="A2090" s="1">
        <v>44736</v>
      </c>
      <c r="B2090" t="s">
        <v>18</v>
      </c>
      <c r="C2090" t="s">
        <v>11</v>
      </c>
      <c r="D2090" t="s">
        <v>15</v>
      </c>
      <c r="E2090">
        <v>2</v>
      </c>
      <c r="F2090" s="3">
        <v>2046</v>
      </c>
      <c r="G2090" s="2">
        <v>394.93</v>
      </c>
      <c r="H2090">
        <f>Master_ventas[[#This Row],[Profit]]/Master_ventas[[#This Row],[Sales]]</f>
        <v>0.19302541544477028</v>
      </c>
      <c r="I2090">
        <f ca="1">Referencia_Hoy-Master_ventas[[#This Row],[Order Date]]</f>
        <v>1587</v>
      </c>
      <c r="J2090" t="str">
        <f>UPPER(Master_ventas[[#This Row],[Product Name]])</f>
        <v>HEADPHONES</v>
      </c>
      <c r="K2090" t="str">
        <f>UPPER(Master_ventas[[#This Row],[Category]])</f>
        <v>ACCESSORIES</v>
      </c>
      <c r="L2090">
        <f>YEAR(Master_ventas[[#This Row],[Order Date]])</f>
        <v>2022</v>
      </c>
      <c r="M2090" t="str">
        <f>CONCATENATE(LEFT(Master_ventas[[#This Row],[ProdUpper]],3),RIGHT(Master_ventas[[#This Row],[Ext-Year]],2),"-",MID(Master_ventas[[#This Row],[Category]],1,1))</f>
        <v>HEA22-A</v>
      </c>
      <c r="N2090" t="str">
        <f>MID(Master_ventas[[#This Row],[ProdUpper]],1,3)</f>
        <v>HEA</v>
      </c>
      <c r="O2090" t="str">
        <f>UPPER(IF(Master_ventas[[#This Row],[Profit]]&gt;500,"High","Std"))</f>
        <v>STD</v>
      </c>
      <c r="P2090">
        <v>2089</v>
      </c>
    </row>
    <row r="2091" spans="1:16" x14ac:dyDescent="0.3">
      <c r="A2091" s="1">
        <v>44717</v>
      </c>
      <c r="B2091" t="s">
        <v>13</v>
      </c>
      <c r="C2091" t="s">
        <v>14</v>
      </c>
      <c r="D2091" t="s">
        <v>12</v>
      </c>
      <c r="E2091">
        <v>9</v>
      </c>
      <c r="F2091" s="3">
        <v>5031</v>
      </c>
      <c r="G2091" s="2">
        <v>1149.48</v>
      </c>
      <c r="H2091">
        <f>Master_ventas[[#This Row],[Profit]]/Master_ventas[[#This Row],[Sales]]</f>
        <v>0.22847942754919501</v>
      </c>
      <c r="I2091">
        <f ca="1">Referencia_Hoy-Master_ventas[[#This Row],[Order Date]]</f>
        <v>1606</v>
      </c>
      <c r="J2091" t="str">
        <f>UPPER(Master_ventas[[#This Row],[Product Name]])</f>
        <v>TABLET</v>
      </c>
      <c r="K2091" t="str">
        <f>UPPER(Master_ventas[[#This Row],[Category]])</f>
        <v>ELECTRONICS</v>
      </c>
      <c r="L2091">
        <f>YEAR(Master_ventas[[#This Row],[Order Date]])</f>
        <v>2022</v>
      </c>
      <c r="M2091" t="str">
        <f>CONCATENATE(LEFT(Master_ventas[[#This Row],[ProdUpper]],3),RIGHT(Master_ventas[[#This Row],[Ext-Year]],2),"-",MID(Master_ventas[[#This Row],[Category]],1,1))</f>
        <v>TAB22-E</v>
      </c>
      <c r="N2091" t="str">
        <f>MID(Master_ventas[[#This Row],[ProdUpper]],1,3)</f>
        <v>TAB</v>
      </c>
      <c r="O2091" t="str">
        <f>UPPER(IF(Master_ventas[[#This Row],[Profit]]&gt;500,"High","Std"))</f>
        <v>HIGH</v>
      </c>
      <c r="P2091">
        <v>2090</v>
      </c>
    </row>
    <row r="2092" spans="1:16" x14ac:dyDescent="0.3">
      <c r="A2092" s="1">
        <v>44630</v>
      </c>
      <c r="B2092" t="s">
        <v>22</v>
      </c>
      <c r="C2092" t="s">
        <v>11</v>
      </c>
      <c r="D2092" t="s">
        <v>15</v>
      </c>
      <c r="E2092">
        <v>9</v>
      </c>
      <c r="F2092" s="3">
        <v>1764</v>
      </c>
      <c r="G2092" s="2">
        <v>417.95</v>
      </c>
      <c r="H2092">
        <f>Master_ventas[[#This Row],[Profit]]/Master_ventas[[#This Row],[Sales]]</f>
        <v>0.23693310657596373</v>
      </c>
      <c r="I2092">
        <f ca="1">Referencia_Hoy-Master_ventas[[#This Row],[Order Date]]</f>
        <v>1693</v>
      </c>
      <c r="J2092" t="str">
        <f>UPPER(Master_ventas[[#This Row],[Product Name]])</f>
        <v>KEYBOARD</v>
      </c>
      <c r="K2092" t="str">
        <f>UPPER(Master_ventas[[#This Row],[Category]])</f>
        <v>ACCESSORIES</v>
      </c>
      <c r="L2092">
        <f>YEAR(Master_ventas[[#This Row],[Order Date]])</f>
        <v>2022</v>
      </c>
      <c r="M2092" t="str">
        <f>CONCATENATE(LEFT(Master_ventas[[#This Row],[ProdUpper]],3),RIGHT(Master_ventas[[#This Row],[Ext-Year]],2),"-",MID(Master_ventas[[#This Row],[Category]],1,1))</f>
        <v>KEY22-A</v>
      </c>
      <c r="N2092" t="str">
        <f>MID(Master_ventas[[#This Row],[ProdUpper]],1,3)</f>
        <v>KEY</v>
      </c>
      <c r="O2092" t="str">
        <f>UPPER(IF(Master_ventas[[#This Row],[Profit]]&gt;500,"High","Std"))</f>
        <v>STD</v>
      </c>
      <c r="P2092">
        <v>2091</v>
      </c>
    </row>
    <row r="2093" spans="1:16" x14ac:dyDescent="0.3">
      <c r="A2093" s="1">
        <v>44765</v>
      </c>
      <c r="B2093" t="s">
        <v>23</v>
      </c>
      <c r="C2093" t="s">
        <v>14</v>
      </c>
      <c r="D2093" t="s">
        <v>15</v>
      </c>
      <c r="E2093">
        <v>8</v>
      </c>
      <c r="F2093" s="3">
        <v>1880</v>
      </c>
      <c r="G2093" s="2">
        <v>486.88</v>
      </c>
      <c r="H2093">
        <f>Master_ventas[[#This Row],[Profit]]/Master_ventas[[#This Row],[Sales]]</f>
        <v>0.25897872340425532</v>
      </c>
      <c r="I2093">
        <f ca="1">Referencia_Hoy-Master_ventas[[#This Row],[Order Date]]</f>
        <v>1558</v>
      </c>
      <c r="J2093" t="str">
        <f>UPPER(Master_ventas[[#This Row],[Product Name]])</f>
        <v>LAPTOP</v>
      </c>
      <c r="K2093" t="str">
        <f>UPPER(Master_ventas[[#This Row],[Category]])</f>
        <v>ELECTRONICS</v>
      </c>
      <c r="L2093">
        <f>YEAR(Master_ventas[[#This Row],[Order Date]])</f>
        <v>2022</v>
      </c>
      <c r="M2093" t="str">
        <f>CONCATENATE(LEFT(Master_ventas[[#This Row],[ProdUpper]],3),RIGHT(Master_ventas[[#This Row],[Ext-Year]],2),"-",MID(Master_ventas[[#This Row],[Category]],1,1))</f>
        <v>LAP22-E</v>
      </c>
      <c r="N2093" t="str">
        <f>MID(Master_ventas[[#This Row],[ProdUpper]],1,3)</f>
        <v>LAP</v>
      </c>
      <c r="O2093" t="str">
        <f>UPPER(IF(Master_ventas[[#This Row],[Profit]]&gt;500,"High","Std"))</f>
        <v>STD</v>
      </c>
      <c r="P2093">
        <v>2092</v>
      </c>
    </row>
    <row r="2094" spans="1:16" x14ac:dyDescent="0.3">
      <c r="A2094" s="1">
        <v>45285</v>
      </c>
      <c r="B2094" t="s">
        <v>19</v>
      </c>
      <c r="C2094" t="s">
        <v>14</v>
      </c>
      <c r="D2094" t="s">
        <v>16</v>
      </c>
      <c r="E2094">
        <v>2</v>
      </c>
      <c r="F2094" s="3">
        <v>200</v>
      </c>
      <c r="G2094" s="2">
        <v>10.45</v>
      </c>
      <c r="H2094">
        <f>Master_ventas[[#This Row],[Profit]]/Master_ventas[[#This Row],[Sales]]</f>
        <v>5.2249999999999998E-2</v>
      </c>
      <c r="I2094">
        <f ca="1">Referencia_Hoy-Master_ventas[[#This Row],[Order Date]]</f>
        <v>1038</v>
      </c>
      <c r="J2094" t="str">
        <f>UPPER(Master_ventas[[#This Row],[Product Name]])</f>
        <v>SMARTWATCH</v>
      </c>
      <c r="K2094" t="str">
        <f>UPPER(Master_ventas[[#This Row],[Category]])</f>
        <v>ELECTRONICS</v>
      </c>
      <c r="L2094">
        <f>YEAR(Master_ventas[[#This Row],[Order Date]])</f>
        <v>2023</v>
      </c>
      <c r="M2094" t="str">
        <f>CONCATENATE(LEFT(Master_ventas[[#This Row],[ProdUpper]],3),RIGHT(Master_ventas[[#This Row],[Ext-Year]],2),"-",MID(Master_ventas[[#This Row],[Category]],1,1))</f>
        <v>SMA23-E</v>
      </c>
      <c r="N2094" t="str">
        <f>MID(Master_ventas[[#This Row],[ProdUpper]],1,3)</f>
        <v>SMA</v>
      </c>
      <c r="O2094" t="str">
        <f>UPPER(IF(Master_ventas[[#This Row],[Profit]]&gt;500,"High","Std"))</f>
        <v>STD</v>
      </c>
      <c r="P2094">
        <v>2093</v>
      </c>
    </row>
    <row r="2095" spans="1:16" x14ac:dyDescent="0.3">
      <c r="A2095" s="1">
        <v>44840</v>
      </c>
      <c r="B2095" t="s">
        <v>10</v>
      </c>
      <c r="C2095" t="s">
        <v>11</v>
      </c>
      <c r="D2095" t="s">
        <v>12</v>
      </c>
      <c r="E2095">
        <v>3</v>
      </c>
      <c r="F2095" s="3">
        <v>2688</v>
      </c>
      <c r="G2095" s="2">
        <v>476.77</v>
      </c>
      <c r="H2095">
        <f>Master_ventas[[#This Row],[Profit]]/Master_ventas[[#This Row],[Sales]]</f>
        <v>0.17736979166666667</v>
      </c>
      <c r="I2095">
        <f ca="1">Referencia_Hoy-Master_ventas[[#This Row],[Order Date]]</f>
        <v>1483</v>
      </c>
      <c r="J2095" t="str">
        <f>UPPER(Master_ventas[[#This Row],[Product Name]])</f>
        <v>MOUSE</v>
      </c>
      <c r="K2095" t="str">
        <f>UPPER(Master_ventas[[#This Row],[Category]])</f>
        <v>ACCESSORIES</v>
      </c>
      <c r="L2095">
        <f>YEAR(Master_ventas[[#This Row],[Order Date]])</f>
        <v>2022</v>
      </c>
      <c r="M2095" t="str">
        <f>CONCATENATE(LEFT(Master_ventas[[#This Row],[ProdUpper]],3),RIGHT(Master_ventas[[#This Row],[Ext-Year]],2),"-",MID(Master_ventas[[#This Row],[Category]],1,1))</f>
        <v>MOU22-A</v>
      </c>
      <c r="N2095" t="str">
        <f>MID(Master_ventas[[#This Row],[ProdUpper]],1,3)</f>
        <v>MOU</v>
      </c>
      <c r="O2095" t="str">
        <f>UPPER(IF(Master_ventas[[#This Row],[Profit]]&gt;500,"High","Std"))</f>
        <v>STD</v>
      </c>
      <c r="P2095">
        <v>2094</v>
      </c>
    </row>
    <row r="2096" spans="1:16" x14ac:dyDescent="0.3">
      <c r="A2096" s="1">
        <v>44928</v>
      </c>
      <c r="B2096" t="s">
        <v>23</v>
      </c>
      <c r="C2096" t="s">
        <v>14</v>
      </c>
      <c r="D2096" t="s">
        <v>16</v>
      </c>
      <c r="E2096">
        <v>4</v>
      </c>
      <c r="F2096" s="3">
        <v>3216</v>
      </c>
      <c r="G2096" s="2">
        <v>213.81</v>
      </c>
      <c r="H2096">
        <f>Master_ventas[[#This Row],[Profit]]/Master_ventas[[#This Row],[Sales]]</f>
        <v>6.6483208955223888E-2</v>
      </c>
      <c r="I2096">
        <f ca="1">Referencia_Hoy-Master_ventas[[#This Row],[Order Date]]</f>
        <v>1395</v>
      </c>
      <c r="J2096" t="str">
        <f>UPPER(Master_ventas[[#This Row],[Product Name]])</f>
        <v>LAPTOP</v>
      </c>
      <c r="K2096" t="str">
        <f>UPPER(Master_ventas[[#This Row],[Category]])</f>
        <v>ELECTRONICS</v>
      </c>
      <c r="L2096">
        <f>YEAR(Master_ventas[[#This Row],[Order Date]])</f>
        <v>2023</v>
      </c>
      <c r="M2096" t="str">
        <f>CONCATENATE(LEFT(Master_ventas[[#This Row],[ProdUpper]],3),RIGHT(Master_ventas[[#This Row],[Ext-Year]],2),"-",MID(Master_ventas[[#This Row],[Category]],1,1))</f>
        <v>LAP23-E</v>
      </c>
      <c r="N2096" t="str">
        <f>MID(Master_ventas[[#This Row],[ProdUpper]],1,3)</f>
        <v>LAP</v>
      </c>
      <c r="O2096" t="str">
        <f>UPPER(IF(Master_ventas[[#This Row],[Profit]]&gt;500,"High","Std"))</f>
        <v>STD</v>
      </c>
      <c r="P2096">
        <v>2095</v>
      </c>
    </row>
    <row r="2097" spans="1:16" x14ac:dyDescent="0.3">
      <c r="A2097" s="1">
        <v>45281</v>
      </c>
      <c r="B2097" t="s">
        <v>17</v>
      </c>
      <c r="C2097" t="s">
        <v>14</v>
      </c>
      <c r="D2097" t="s">
        <v>12</v>
      </c>
      <c r="E2097">
        <v>8</v>
      </c>
      <c r="F2097" s="3">
        <v>8440</v>
      </c>
      <c r="G2097" s="2">
        <v>1504.18</v>
      </c>
      <c r="H2097">
        <f>Master_ventas[[#This Row],[Profit]]/Master_ventas[[#This Row],[Sales]]</f>
        <v>0.17822037914691943</v>
      </c>
      <c r="I2097">
        <f ca="1">Referencia_Hoy-Master_ventas[[#This Row],[Order Date]]</f>
        <v>1042</v>
      </c>
      <c r="J2097" t="str">
        <f>UPPER(Master_ventas[[#This Row],[Product Name]])</f>
        <v>CAMERA</v>
      </c>
      <c r="K2097" t="str">
        <f>UPPER(Master_ventas[[#This Row],[Category]])</f>
        <v>ELECTRONICS</v>
      </c>
      <c r="L2097">
        <f>YEAR(Master_ventas[[#This Row],[Order Date]])</f>
        <v>2023</v>
      </c>
      <c r="M2097" t="str">
        <f>CONCATENATE(LEFT(Master_ventas[[#This Row],[ProdUpper]],3),RIGHT(Master_ventas[[#This Row],[Ext-Year]],2),"-",MID(Master_ventas[[#This Row],[Category]],1,1))</f>
        <v>CAM23-E</v>
      </c>
      <c r="N2097" t="str">
        <f>MID(Master_ventas[[#This Row],[ProdUpper]],1,3)</f>
        <v>CAM</v>
      </c>
      <c r="O2097" t="str">
        <f>UPPER(IF(Master_ventas[[#This Row],[Profit]]&gt;500,"High","Std"))</f>
        <v>HIGH</v>
      </c>
      <c r="P2097">
        <v>2096</v>
      </c>
    </row>
    <row r="2098" spans="1:16" x14ac:dyDescent="0.3">
      <c r="A2098" s="1">
        <v>45408</v>
      </c>
      <c r="B2098" t="s">
        <v>13</v>
      </c>
      <c r="C2098" t="s">
        <v>14</v>
      </c>
      <c r="D2098" t="s">
        <v>12</v>
      </c>
      <c r="E2098">
        <v>7</v>
      </c>
      <c r="F2098" s="3">
        <v>1582</v>
      </c>
      <c r="G2098" s="2">
        <v>208.42</v>
      </c>
      <c r="H2098">
        <f>Master_ventas[[#This Row],[Profit]]/Master_ventas[[#This Row],[Sales]]</f>
        <v>0.13174462705436155</v>
      </c>
      <c r="I2098">
        <f ca="1">Referencia_Hoy-Master_ventas[[#This Row],[Order Date]]</f>
        <v>915</v>
      </c>
      <c r="J2098" t="str">
        <f>UPPER(Master_ventas[[#This Row],[Product Name]])</f>
        <v>TABLET</v>
      </c>
      <c r="K2098" t="str">
        <f>UPPER(Master_ventas[[#This Row],[Category]])</f>
        <v>ELECTRONICS</v>
      </c>
      <c r="L2098">
        <f>YEAR(Master_ventas[[#This Row],[Order Date]])</f>
        <v>2024</v>
      </c>
      <c r="M2098" t="str">
        <f>CONCATENATE(LEFT(Master_ventas[[#This Row],[ProdUpper]],3),RIGHT(Master_ventas[[#This Row],[Ext-Year]],2),"-",MID(Master_ventas[[#This Row],[Category]],1,1))</f>
        <v>TAB24-E</v>
      </c>
      <c r="N2098" t="str">
        <f>MID(Master_ventas[[#This Row],[ProdUpper]],1,3)</f>
        <v>TAB</v>
      </c>
      <c r="O2098" t="str">
        <f>UPPER(IF(Master_ventas[[#This Row],[Profit]]&gt;500,"High","Std"))</f>
        <v>STD</v>
      </c>
      <c r="P2098">
        <v>2097</v>
      </c>
    </row>
    <row r="2099" spans="1:16" x14ac:dyDescent="0.3">
      <c r="A2099" s="1">
        <v>45485</v>
      </c>
      <c r="B2099" t="s">
        <v>23</v>
      </c>
      <c r="C2099" t="s">
        <v>14</v>
      </c>
      <c r="D2099" t="s">
        <v>9</v>
      </c>
      <c r="E2099">
        <v>1</v>
      </c>
      <c r="F2099" s="3">
        <v>58</v>
      </c>
      <c r="G2099" s="2">
        <v>10.79</v>
      </c>
      <c r="H2099">
        <f>Master_ventas[[#This Row],[Profit]]/Master_ventas[[#This Row],[Sales]]</f>
        <v>0.18603448275862067</v>
      </c>
      <c r="I2099">
        <f ca="1">Referencia_Hoy-Master_ventas[[#This Row],[Order Date]]</f>
        <v>838</v>
      </c>
      <c r="J2099" t="str">
        <f>UPPER(Master_ventas[[#This Row],[Product Name]])</f>
        <v>LAPTOP</v>
      </c>
      <c r="K2099" t="str">
        <f>UPPER(Master_ventas[[#This Row],[Category]])</f>
        <v>ELECTRONICS</v>
      </c>
      <c r="L2099">
        <f>YEAR(Master_ventas[[#This Row],[Order Date]])</f>
        <v>2024</v>
      </c>
      <c r="M2099" t="str">
        <f>CONCATENATE(LEFT(Master_ventas[[#This Row],[ProdUpper]],3),RIGHT(Master_ventas[[#This Row],[Ext-Year]],2),"-",MID(Master_ventas[[#This Row],[Category]],1,1))</f>
        <v>LAP24-E</v>
      </c>
      <c r="N2099" t="str">
        <f>MID(Master_ventas[[#This Row],[ProdUpper]],1,3)</f>
        <v>LAP</v>
      </c>
      <c r="O2099" t="str">
        <f>UPPER(IF(Master_ventas[[#This Row],[Profit]]&gt;500,"High","Std"))</f>
        <v>STD</v>
      </c>
      <c r="P2099">
        <v>2098</v>
      </c>
    </row>
    <row r="2100" spans="1:16" x14ac:dyDescent="0.3">
      <c r="A2100" s="1">
        <v>44646</v>
      </c>
      <c r="B2100" t="s">
        <v>19</v>
      </c>
      <c r="C2100" t="s">
        <v>14</v>
      </c>
      <c r="D2100" t="s">
        <v>16</v>
      </c>
      <c r="E2100">
        <v>8</v>
      </c>
      <c r="F2100" s="3">
        <v>608</v>
      </c>
      <c r="G2100" s="2">
        <v>163.18</v>
      </c>
      <c r="H2100">
        <f>Master_ventas[[#This Row],[Profit]]/Master_ventas[[#This Row],[Sales]]</f>
        <v>0.26838815789473686</v>
      </c>
      <c r="I2100">
        <f ca="1">Referencia_Hoy-Master_ventas[[#This Row],[Order Date]]</f>
        <v>1677</v>
      </c>
      <c r="J2100" t="str">
        <f>UPPER(Master_ventas[[#This Row],[Product Name]])</f>
        <v>SMARTWATCH</v>
      </c>
      <c r="K2100" t="str">
        <f>UPPER(Master_ventas[[#This Row],[Category]])</f>
        <v>ELECTRONICS</v>
      </c>
      <c r="L2100">
        <f>YEAR(Master_ventas[[#This Row],[Order Date]])</f>
        <v>2022</v>
      </c>
      <c r="M2100" t="str">
        <f>CONCATENATE(LEFT(Master_ventas[[#This Row],[ProdUpper]],3),RIGHT(Master_ventas[[#This Row],[Ext-Year]],2),"-",MID(Master_ventas[[#This Row],[Category]],1,1))</f>
        <v>SMA22-E</v>
      </c>
      <c r="N2100" t="str">
        <f>MID(Master_ventas[[#This Row],[ProdUpper]],1,3)</f>
        <v>SMA</v>
      </c>
      <c r="O2100" t="str">
        <f>UPPER(IF(Master_ventas[[#This Row],[Profit]]&gt;500,"High","Std"))</f>
        <v>STD</v>
      </c>
      <c r="P2100">
        <v>2099</v>
      </c>
    </row>
    <row r="2101" spans="1:16" x14ac:dyDescent="0.3">
      <c r="A2101" s="1">
        <v>45615</v>
      </c>
      <c r="B2101" t="s">
        <v>21</v>
      </c>
      <c r="C2101" t="s">
        <v>14</v>
      </c>
      <c r="D2101" t="s">
        <v>9</v>
      </c>
      <c r="E2101">
        <v>3</v>
      </c>
      <c r="F2101" s="3">
        <v>183</v>
      </c>
      <c r="G2101" s="2">
        <v>41.82</v>
      </c>
      <c r="H2101">
        <f>Master_ventas[[#This Row],[Profit]]/Master_ventas[[#This Row],[Sales]]</f>
        <v>0.22852459016393442</v>
      </c>
      <c r="I2101">
        <f ca="1">Referencia_Hoy-Master_ventas[[#This Row],[Order Date]]</f>
        <v>708</v>
      </c>
      <c r="J2101" t="str">
        <f>UPPER(Master_ventas[[#This Row],[Product Name]])</f>
        <v>SMARTPHONE</v>
      </c>
      <c r="K2101" t="str">
        <f>UPPER(Master_ventas[[#This Row],[Category]])</f>
        <v>ELECTRONICS</v>
      </c>
      <c r="L2101">
        <f>YEAR(Master_ventas[[#This Row],[Order Date]])</f>
        <v>2024</v>
      </c>
      <c r="M2101" t="str">
        <f>CONCATENATE(LEFT(Master_ventas[[#This Row],[ProdUpper]],3),RIGHT(Master_ventas[[#This Row],[Ext-Year]],2),"-",MID(Master_ventas[[#This Row],[Category]],1,1))</f>
        <v>SMA24-E</v>
      </c>
      <c r="N2101" t="str">
        <f>MID(Master_ventas[[#This Row],[ProdUpper]],1,3)</f>
        <v>SMA</v>
      </c>
      <c r="O2101" t="str">
        <f>UPPER(IF(Master_ventas[[#This Row],[Profit]]&gt;500,"High","Std"))</f>
        <v>STD</v>
      </c>
      <c r="P2101">
        <v>2100</v>
      </c>
    </row>
    <row r="2102" spans="1:16" x14ac:dyDescent="0.3">
      <c r="A2102" s="1">
        <v>45475</v>
      </c>
      <c r="B2102" t="s">
        <v>20</v>
      </c>
      <c r="C2102" t="s">
        <v>11</v>
      </c>
      <c r="D2102" t="s">
        <v>16</v>
      </c>
      <c r="E2102">
        <v>5</v>
      </c>
      <c r="F2102" s="3">
        <v>3105</v>
      </c>
      <c r="G2102" s="2">
        <v>744.26</v>
      </c>
      <c r="H2102">
        <f>Master_ventas[[#This Row],[Profit]]/Master_ventas[[#This Row],[Sales]]</f>
        <v>0.23969726247987116</v>
      </c>
      <c r="I2102">
        <f ca="1">Referencia_Hoy-Master_ventas[[#This Row],[Order Date]]</f>
        <v>848</v>
      </c>
      <c r="J2102" t="str">
        <f>UPPER(Master_ventas[[#This Row],[Product Name]])</f>
        <v>MONITOR</v>
      </c>
      <c r="K2102" t="str">
        <f>UPPER(Master_ventas[[#This Row],[Category]])</f>
        <v>ACCESSORIES</v>
      </c>
      <c r="L2102">
        <f>YEAR(Master_ventas[[#This Row],[Order Date]])</f>
        <v>2024</v>
      </c>
      <c r="M2102" t="str">
        <f>CONCATENATE(LEFT(Master_ventas[[#This Row],[ProdUpper]],3),RIGHT(Master_ventas[[#This Row],[Ext-Year]],2),"-",MID(Master_ventas[[#This Row],[Category]],1,1))</f>
        <v>MON24-A</v>
      </c>
      <c r="N2102" t="str">
        <f>MID(Master_ventas[[#This Row],[ProdUpper]],1,3)</f>
        <v>MON</v>
      </c>
      <c r="O2102" t="str">
        <f>UPPER(IF(Master_ventas[[#This Row],[Profit]]&gt;500,"High","Std"))</f>
        <v>HIGH</v>
      </c>
      <c r="P2102">
        <v>2101</v>
      </c>
    </row>
    <row r="2103" spans="1:16" x14ac:dyDescent="0.3">
      <c r="A2103" s="1">
        <v>45029</v>
      </c>
      <c r="B2103" t="s">
        <v>20</v>
      </c>
      <c r="C2103" t="s">
        <v>11</v>
      </c>
      <c r="D2103" t="s">
        <v>9</v>
      </c>
      <c r="E2103">
        <v>5</v>
      </c>
      <c r="F2103" s="3">
        <v>2450</v>
      </c>
      <c r="G2103" s="2">
        <v>485.18</v>
      </c>
      <c r="H2103">
        <f>Master_ventas[[#This Row],[Profit]]/Master_ventas[[#This Row],[Sales]]</f>
        <v>0.1980326530612245</v>
      </c>
      <c r="I2103">
        <f ca="1">Referencia_Hoy-Master_ventas[[#This Row],[Order Date]]</f>
        <v>1294</v>
      </c>
      <c r="J2103" t="str">
        <f>UPPER(Master_ventas[[#This Row],[Product Name]])</f>
        <v>MONITOR</v>
      </c>
      <c r="K2103" t="str">
        <f>UPPER(Master_ventas[[#This Row],[Category]])</f>
        <v>ACCESSORIES</v>
      </c>
      <c r="L2103">
        <f>YEAR(Master_ventas[[#This Row],[Order Date]])</f>
        <v>2023</v>
      </c>
      <c r="M2103" t="str">
        <f>CONCATENATE(LEFT(Master_ventas[[#This Row],[ProdUpper]],3),RIGHT(Master_ventas[[#This Row],[Ext-Year]],2),"-",MID(Master_ventas[[#This Row],[Category]],1,1))</f>
        <v>MON23-A</v>
      </c>
      <c r="N2103" t="str">
        <f>MID(Master_ventas[[#This Row],[ProdUpper]],1,3)</f>
        <v>MON</v>
      </c>
      <c r="O2103" t="str">
        <f>UPPER(IF(Master_ventas[[#This Row],[Profit]]&gt;500,"High","Std"))</f>
        <v>STD</v>
      </c>
      <c r="P2103">
        <v>2102</v>
      </c>
    </row>
    <row r="2104" spans="1:16" x14ac:dyDescent="0.3">
      <c r="A2104" s="1">
        <v>44900</v>
      </c>
      <c r="B2104" t="s">
        <v>23</v>
      </c>
      <c r="C2104" t="s">
        <v>14</v>
      </c>
      <c r="D2104" t="s">
        <v>9</v>
      </c>
      <c r="E2104">
        <v>3</v>
      </c>
      <c r="F2104" s="3">
        <v>3024</v>
      </c>
      <c r="G2104" s="2">
        <v>622.29</v>
      </c>
      <c r="H2104">
        <f>Master_ventas[[#This Row],[Profit]]/Master_ventas[[#This Row],[Sales]]</f>
        <v>0.20578373015873014</v>
      </c>
      <c r="I2104">
        <f ca="1">Referencia_Hoy-Master_ventas[[#This Row],[Order Date]]</f>
        <v>1423</v>
      </c>
      <c r="J2104" t="str">
        <f>UPPER(Master_ventas[[#This Row],[Product Name]])</f>
        <v>LAPTOP</v>
      </c>
      <c r="K2104" t="str">
        <f>UPPER(Master_ventas[[#This Row],[Category]])</f>
        <v>ELECTRONICS</v>
      </c>
      <c r="L2104">
        <f>YEAR(Master_ventas[[#This Row],[Order Date]])</f>
        <v>2022</v>
      </c>
      <c r="M2104" t="str">
        <f>CONCATENATE(LEFT(Master_ventas[[#This Row],[ProdUpper]],3),RIGHT(Master_ventas[[#This Row],[Ext-Year]],2),"-",MID(Master_ventas[[#This Row],[Category]],1,1))</f>
        <v>LAP22-E</v>
      </c>
      <c r="N2104" t="str">
        <f>MID(Master_ventas[[#This Row],[ProdUpper]],1,3)</f>
        <v>LAP</v>
      </c>
      <c r="O2104" t="str">
        <f>UPPER(IF(Master_ventas[[#This Row],[Profit]]&gt;500,"High","Std"))</f>
        <v>HIGH</v>
      </c>
      <c r="P2104">
        <v>2103</v>
      </c>
    </row>
    <row r="2105" spans="1:16" x14ac:dyDescent="0.3">
      <c r="A2105" s="1">
        <v>45036</v>
      </c>
      <c r="B2105" t="s">
        <v>7</v>
      </c>
      <c r="C2105" t="s">
        <v>8</v>
      </c>
      <c r="D2105" t="s">
        <v>12</v>
      </c>
      <c r="E2105">
        <v>4</v>
      </c>
      <c r="F2105" s="3">
        <v>3856</v>
      </c>
      <c r="G2105" s="2">
        <v>747.79</v>
      </c>
      <c r="H2105">
        <f>Master_ventas[[#This Row],[Profit]]/Master_ventas[[#This Row],[Sales]]</f>
        <v>0.19392894190871368</v>
      </c>
      <c r="I2105">
        <f ca="1">Referencia_Hoy-Master_ventas[[#This Row],[Order Date]]</f>
        <v>1287</v>
      </c>
      <c r="J2105" t="str">
        <f>UPPER(Master_ventas[[#This Row],[Product Name]])</f>
        <v>PRINTER</v>
      </c>
      <c r="K2105" t="str">
        <f>UPPER(Master_ventas[[#This Row],[Category]])</f>
        <v>OFFICE</v>
      </c>
      <c r="L2105">
        <f>YEAR(Master_ventas[[#This Row],[Order Date]])</f>
        <v>2023</v>
      </c>
      <c r="M2105" t="str">
        <f>CONCATENATE(LEFT(Master_ventas[[#This Row],[ProdUpper]],3),RIGHT(Master_ventas[[#This Row],[Ext-Year]],2),"-",MID(Master_ventas[[#This Row],[Category]],1,1))</f>
        <v>PRI23-O</v>
      </c>
      <c r="N2105" t="str">
        <f>MID(Master_ventas[[#This Row],[ProdUpper]],1,3)</f>
        <v>PRI</v>
      </c>
      <c r="O2105" t="str">
        <f>UPPER(IF(Master_ventas[[#This Row],[Profit]]&gt;500,"High","Std"))</f>
        <v>HIGH</v>
      </c>
      <c r="P2105">
        <v>2104</v>
      </c>
    </row>
    <row r="2106" spans="1:16" x14ac:dyDescent="0.3">
      <c r="A2106" s="1">
        <v>45362</v>
      </c>
      <c r="B2106" t="s">
        <v>22</v>
      </c>
      <c r="C2106" t="s">
        <v>11</v>
      </c>
      <c r="D2106" t="s">
        <v>16</v>
      </c>
      <c r="E2106">
        <v>7</v>
      </c>
      <c r="F2106" s="3">
        <v>532</v>
      </c>
      <c r="G2106" s="2">
        <v>121.03</v>
      </c>
      <c r="H2106">
        <f>Master_ventas[[#This Row],[Profit]]/Master_ventas[[#This Row],[Sales]]</f>
        <v>0.22750000000000001</v>
      </c>
      <c r="I2106">
        <f ca="1">Referencia_Hoy-Master_ventas[[#This Row],[Order Date]]</f>
        <v>961</v>
      </c>
      <c r="J2106" t="str">
        <f>UPPER(Master_ventas[[#This Row],[Product Name]])</f>
        <v>KEYBOARD</v>
      </c>
      <c r="K2106" t="str">
        <f>UPPER(Master_ventas[[#This Row],[Category]])</f>
        <v>ACCESSORIES</v>
      </c>
      <c r="L2106">
        <f>YEAR(Master_ventas[[#This Row],[Order Date]])</f>
        <v>2024</v>
      </c>
      <c r="M2106" t="str">
        <f>CONCATENATE(LEFT(Master_ventas[[#This Row],[ProdUpper]],3),RIGHT(Master_ventas[[#This Row],[Ext-Year]],2),"-",MID(Master_ventas[[#This Row],[Category]],1,1))</f>
        <v>KEY24-A</v>
      </c>
      <c r="N2106" t="str">
        <f>MID(Master_ventas[[#This Row],[ProdUpper]],1,3)</f>
        <v>KEY</v>
      </c>
      <c r="O2106" t="str">
        <f>UPPER(IF(Master_ventas[[#This Row],[Profit]]&gt;500,"High","Std"))</f>
        <v>STD</v>
      </c>
      <c r="P2106">
        <v>2105</v>
      </c>
    </row>
    <row r="2107" spans="1:16" x14ac:dyDescent="0.3">
      <c r="A2107" s="1">
        <v>44976</v>
      </c>
      <c r="B2107" t="s">
        <v>21</v>
      </c>
      <c r="C2107" t="s">
        <v>14</v>
      </c>
      <c r="D2107" t="s">
        <v>15</v>
      </c>
      <c r="E2107">
        <v>4</v>
      </c>
      <c r="F2107" s="3">
        <v>3152</v>
      </c>
      <c r="G2107" s="2">
        <v>307.62</v>
      </c>
      <c r="H2107">
        <f>Master_ventas[[#This Row],[Profit]]/Master_ventas[[#This Row],[Sales]]</f>
        <v>9.7595177664974622E-2</v>
      </c>
      <c r="I2107">
        <f ca="1">Referencia_Hoy-Master_ventas[[#This Row],[Order Date]]</f>
        <v>1347</v>
      </c>
      <c r="J2107" t="str">
        <f>UPPER(Master_ventas[[#This Row],[Product Name]])</f>
        <v>SMARTPHONE</v>
      </c>
      <c r="K2107" t="str">
        <f>UPPER(Master_ventas[[#This Row],[Category]])</f>
        <v>ELECTRONICS</v>
      </c>
      <c r="L2107">
        <f>YEAR(Master_ventas[[#This Row],[Order Date]])</f>
        <v>2023</v>
      </c>
      <c r="M2107" t="str">
        <f>CONCATENATE(LEFT(Master_ventas[[#This Row],[ProdUpper]],3),RIGHT(Master_ventas[[#This Row],[Ext-Year]],2),"-",MID(Master_ventas[[#This Row],[Category]],1,1))</f>
        <v>SMA23-E</v>
      </c>
      <c r="N2107" t="str">
        <f>MID(Master_ventas[[#This Row],[ProdUpper]],1,3)</f>
        <v>SMA</v>
      </c>
      <c r="O2107" t="str">
        <f>UPPER(IF(Master_ventas[[#This Row],[Profit]]&gt;500,"High","Std"))</f>
        <v>STD</v>
      </c>
      <c r="P2107">
        <v>2106</v>
      </c>
    </row>
    <row r="2108" spans="1:16" x14ac:dyDescent="0.3">
      <c r="A2108" s="1">
        <v>45264</v>
      </c>
      <c r="B2108" t="s">
        <v>20</v>
      </c>
      <c r="C2108" t="s">
        <v>11</v>
      </c>
      <c r="D2108" t="s">
        <v>12</v>
      </c>
      <c r="E2108">
        <v>9</v>
      </c>
      <c r="F2108" s="3">
        <v>8586</v>
      </c>
      <c r="G2108" s="2">
        <v>1555.82</v>
      </c>
      <c r="H2108">
        <f>Master_ventas[[#This Row],[Profit]]/Master_ventas[[#This Row],[Sales]]</f>
        <v>0.18120428604705333</v>
      </c>
      <c r="I2108">
        <f ca="1">Referencia_Hoy-Master_ventas[[#This Row],[Order Date]]</f>
        <v>1059</v>
      </c>
      <c r="J2108" t="str">
        <f>UPPER(Master_ventas[[#This Row],[Product Name]])</f>
        <v>MONITOR</v>
      </c>
      <c r="K2108" t="str">
        <f>UPPER(Master_ventas[[#This Row],[Category]])</f>
        <v>ACCESSORIES</v>
      </c>
      <c r="L2108">
        <f>YEAR(Master_ventas[[#This Row],[Order Date]])</f>
        <v>2023</v>
      </c>
      <c r="M2108" t="str">
        <f>CONCATENATE(LEFT(Master_ventas[[#This Row],[ProdUpper]],3),RIGHT(Master_ventas[[#This Row],[Ext-Year]],2),"-",MID(Master_ventas[[#This Row],[Category]],1,1))</f>
        <v>MON23-A</v>
      </c>
      <c r="N2108" t="str">
        <f>MID(Master_ventas[[#This Row],[ProdUpper]],1,3)</f>
        <v>MON</v>
      </c>
      <c r="O2108" t="str">
        <f>UPPER(IF(Master_ventas[[#This Row],[Profit]]&gt;500,"High","Std"))</f>
        <v>HIGH</v>
      </c>
      <c r="P2108">
        <v>2107</v>
      </c>
    </row>
    <row r="2109" spans="1:16" x14ac:dyDescent="0.3">
      <c r="A2109" s="1">
        <v>44855</v>
      </c>
      <c r="B2109" t="s">
        <v>20</v>
      </c>
      <c r="C2109" t="s">
        <v>11</v>
      </c>
      <c r="D2109" t="s">
        <v>15</v>
      </c>
      <c r="E2109">
        <v>2</v>
      </c>
      <c r="F2109" s="3">
        <v>1046</v>
      </c>
      <c r="G2109" s="2">
        <v>273.38</v>
      </c>
      <c r="H2109">
        <f>Master_ventas[[#This Row],[Profit]]/Master_ventas[[#This Row],[Sales]]</f>
        <v>0.26135755258126192</v>
      </c>
      <c r="I2109">
        <f ca="1">Referencia_Hoy-Master_ventas[[#This Row],[Order Date]]</f>
        <v>1468</v>
      </c>
      <c r="J2109" t="str">
        <f>UPPER(Master_ventas[[#This Row],[Product Name]])</f>
        <v>MONITOR</v>
      </c>
      <c r="K2109" t="str">
        <f>UPPER(Master_ventas[[#This Row],[Category]])</f>
        <v>ACCESSORIES</v>
      </c>
      <c r="L2109">
        <f>YEAR(Master_ventas[[#This Row],[Order Date]])</f>
        <v>2022</v>
      </c>
      <c r="M2109" t="str">
        <f>CONCATENATE(LEFT(Master_ventas[[#This Row],[ProdUpper]],3),RIGHT(Master_ventas[[#This Row],[Ext-Year]],2),"-",MID(Master_ventas[[#This Row],[Category]],1,1))</f>
        <v>MON22-A</v>
      </c>
      <c r="N2109" t="str">
        <f>MID(Master_ventas[[#This Row],[ProdUpper]],1,3)</f>
        <v>MON</v>
      </c>
      <c r="O2109" t="str">
        <f>UPPER(IF(Master_ventas[[#This Row],[Profit]]&gt;500,"High","Std"))</f>
        <v>STD</v>
      </c>
      <c r="P2109">
        <v>2108</v>
      </c>
    </row>
    <row r="2110" spans="1:16" x14ac:dyDescent="0.3">
      <c r="A2110" s="1">
        <v>44607</v>
      </c>
      <c r="B2110" t="s">
        <v>13</v>
      </c>
      <c r="C2110" t="s">
        <v>14</v>
      </c>
      <c r="D2110" t="s">
        <v>16</v>
      </c>
      <c r="E2110">
        <v>4</v>
      </c>
      <c r="F2110" s="3">
        <v>3452</v>
      </c>
      <c r="G2110" s="2">
        <v>560.30999999999995</v>
      </c>
      <c r="H2110">
        <f>Master_ventas[[#This Row],[Profit]]/Master_ventas[[#This Row],[Sales]]</f>
        <v>0.16231460023174971</v>
      </c>
      <c r="I2110">
        <f ca="1">Referencia_Hoy-Master_ventas[[#This Row],[Order Date]]</f>
        <v>1716</v>
      </c>
      <c r="J2110" t="str">
        <f>UPPER(Master_ventas[[#This Row],[Product Name]])</f>
        <v>TABLET</v>
      </c>
      <c r="K2110" t="str">
        <f>UPPER(Master_ventas[[#This Row],[Category]])</f>
        <v>ELECTRONICS</v>
      </c>
      <c r="L2110">
        <f>YEAR(Master_ventas[[#This Row],[Order Date]])</f>
        <v>2022</v>
      </c>
      <c r="M2110" t="str">
        <f>CONCATENATE(LEFT(Master_ventas[[#This Row],[ProdUpper]],3),RIGHT(Master_ventas[[#This Row],[Ext-Year]],2),"-",MID(Master_ventas[[#This Row],[Category]],1,1))</f>
        <v>TAB22-E</v>
      </c>
      <c r="N2110" t="str">
        <f>MID(Master_ventas[[#This Row],[ProdUpper]],1,3)</f>
        <v>TAB</v>
      </c>
      <c r="O2110" t="str">
        <f>UPPER(IF(Master_ventas[[#This Row],[Profit]]&gt;500,"High","Std"))</f>
        <v>HIGH</v>
      </c>
      <c r="P2110">
        <v>2109</v>
      </c>
    </row>
    <row r="2111" spans="1:16" x14ac:dyDescent="0.3">
      <c r="A2111" s="1">
        <v>44632</v>
      </c>
      <c r="B2111" t="s">
        <v>20</v>
      </c>
      <c r="C2111" t="s">
        <v>11</v>
      </c>
      <c r="D2111" t="s">
        <v>16</v>
      </c>
      <c r="E2111">
        <v>4</v>
      </c>
      <c r="F2111" s="3">
        <v>2368</v>
      </c>
      <c r="G2111" s="2">
        <v>361.02</v>
      </c>
      <c r="H2111">
        <f>Master_ventas[[#This Row],[Profit]]/Master_ventas[[#This Row],[Sales]]</f>
        <v>0.15245777027027027</v>
      </c>
      <c r="I2111">
        <f ca="1">Referencia_Hoy-Master_ventas[[#This Row],[Order Date]]</f>
        <v>1691</v>
      </c>
      <c r="J2111" t="str">
        <f>UPPER(Master_ventas[[#This Row],[Product Name]])</f>
        <v>MONITOR</v>
      </c>
      <c r="K2111" t="str">
        <f>UPPER(Master_ventas[[#This Row],[Category]])</f>
        <v>ACCESSORIES</v>
      </c>
      <c r="L2111">
        <f>YEAR(Master_ventas[[#This Row],[Order Date]])</f>
        <v>2022</v>
      </c>
      <c r="M2111" t="str">
        <f>CONCATENATE(LEFT(Master_ventas[[#This Row],[ProdUpper]],3),RIGHT(Master_ventas[[#This Row],[Ext-Year]],2),"-",MID(Master_ventas[[#This Row],[Category]],1,1))</f>
        <v>MON22-A</v>
      </c>
      <c r="N2111" t="str">
        <f>MID(Master_ventas[[#This Row],[ProdUpper]],1,3)</f>
        <v>MON</v>
      </c>
      <c r="O2111" t="str">
        <f>UPPER(IF(Master_ventas[[#This Row],[Profit]]&gt;500,"High","Std"))</f>
        <v>STD</v>
      </c>
      <c r="P2111">
        <v>2110</v>
      </c>
    </row>
    <row r="2112" spans="1:16" x14ac:dyDescent="0.3">
      <c r="A2112" s="1">
        <v>44854</v>
      </c>
      <c r="B2112" t="s">
        <v>17</v>
      </c>
      <c r="C2112" t="s">
        <v>14</v>
      </c>
      <c r="D2112" t="s">
        <v>15</v>
      </c>
      <c r="E2112">
        <v>2</v>
      </c>
      <c r="F2112" s="3">
        <v>1924</v>
      </c>
      <c r="G2112" s="2">
        <v>422.25</v>
      </c>
      <c r="H2112">
        <f>Master_ventas[[#This Row],[Profit]]/Master_ventas[[#This Row],[Sales]]</f>
        <v>0.21946465696465697</v>
      </c>
      <c r="I2112">
        <f ca="1">Referencia_Hoy-Master_ventas[[#This Row],[Order Date]]</f>
        <v>1469</v>
      </c>
      <c r="J2112" t="str">
        <f>UPPER(Master_ventas[[#This Row],[Product Name]])</f>
        <v>CAMERA</v>
      </c>
      <c r="K2112" t="str">
        <f>UPPER(Master_ventas[[#This Row],[Category]])</f>
        <v>ELECTRONICS</v>
      </c>
      <c r="L2112">
        <f>YEAR(Master_ventas[[#This Row],[Order Date]])</f>
        <v>2022</v>
      </c>
      <c r="M2112" t="str">
        <f>CONCATENATE(LEFT(Master_ventas[[#This Row],[ProdUpper]],3),RIGHT(Master_ventas[[#This Row],[Ext-Year]],2),"-",MID(Master_ventas[[#This Row],[Category]],1,1))</f>
        <v>CAM22-E</v>
      </c>
      <c r="N2112" t="str">
        <f>MID(Master_ventas[[#This Row],[ProdUpper]],1,3)</f>
        <v>CAM</v>
      </c>
      <c r="O2112" t="str">
        <f>UPPER(IF(Master_ventas[[#This Row],[Profit]]&gt;500,"High","Std"))</f>
        <v>STD</v>
      </c>
      <c r="P2112">
        <v>2111</v>
      </c>
    </row>
    <row r="2113" spans="1:16" x14ac:dyDescent="0.3">
      <c r="A2113" s="1">
        <v>44823</v>
      </c>
      <c r="B2113" t="s">
        <v>23</v>
      </c>
      <c r="C2113" t="s">
        <v>14</v>
      </c>
      <c r="D2113" t="s">
        <v>16</v>
      </c>
      <c r="E2113">
        <v>5</v>
      </c>
      <c r="F2113" s="3">
        <v>4580</v>
      </c>
      <c r="G2113" s="2">
        <v>1148.06</v>
      </c>
      <c r="H2113">
        <f>Master_ventas[[#This Row],[Profit]]/Master_ventas[[#This Row],[Sales]]</f>
        <v>0.25066812227074237</v>
      </c>
      <c r="I2113">
        <f ca="1">Referencia_Hoy-Master_ventas[[#This Row],[Order Date]]</f>
        <v>1500</v>
      </c>
      <c r="J2113" t="str">
        <f>UPPER(Master_ventas[[#This Row],[Product Name]])</f>
        <v>LAPTOP</v>
      </c>
      <c r="K2113" t="str">
        <f>UPPER(Master_ventas[[#This Row],[Category]])</f>
        <v>ELECTRONICS</v>
      </c>
      <c r="L2113">
        <f>YEAR(Master_ventas[[#This Row],[Order Date]])</f>
        <v>2022</v>
      </c>
      <c r="M2113" t="str">
        <f>CONCATENATE(LEFT(Master_ventas[[#This Row],[ProdUpper]],3),RIGHT(Master_ventas[[#This Row],[Ext-Year]],2),"-",MID(Master_ventas[[#This Row],[Category]],1,1))</f>
        <v>LAP22-E</v>
      </c>
      <c r="N2113" t="str">
        <f>MID(Master_ventas[[#This Row],[ProdUpper]],1,3)</f>
        <v>LAP</v>
      </c>
      <c r="O2113" t="str">
        <f>UPPER(IF(Master_ventas[[#This Row],[Profit]]&gt;500,"High","Std"))</f>
        <v>HIGH</v>
      </c>
      <c r="P2113">
        <v>2112</v>
      </c>
    </row>
    <row r="2114" spans="1:16" x14ac:dyDescent="0.3">
      <c r="A2114" s="1">
        <v>45598</v>
      </c>
      <c r="B2114" t="s">
        <v>18</v>
      </c>
      <c r="C2114" t="s">
        <v>11</v>
      </c>
      <c r="D2114" t="s">
        <v>12</v>
      </c>
      <c r="E2114">
        <v>5</v>
      </c>
      <c r="F2114" s="3">
        <v>3735</v>
      </c>
      <c r="G2114" s="2">
        <v>423.94</v>
      </c>
      <c r="H2114">
        <f>Master_ventas[[#This Row],[Profit]]/Master_ventas[[#This Row],[Sales]]</f>
        <v>0.11350468540829986</v>
      </c>
      <c r="I2114">
        <f ca="1">Referencia_Hoy-Master_ventas[[#This Row],[Order Date]]</f>
        <v>725</v>
      </c>
      <c r="J2114" t="str">
        <f>UPPER(Master_ventas[[#This Row],[Product Name]])</f>
        <v>HEADPHONES</v>
      </c>
      <c r="K2114" t="str">
        <f>UPPER(Master_ventas[[#This Row],[Category]])</f>
        <v>ACCESSORIES</v>
      </c>
      <c r="L2114">
        <f>YEAR(Master_ventas[[#This Row],[Order Date]])</f>
        <v>2024</v>
      </c>
      <c r="M2114" t="str">
        <f>CONCATENATE(LEFT(Master_ventas[[#This Row],[ProdUpper]],3),RIGHT(Master_ventas[[#This Row],[Ext-Year]],2),"-",MID(Master_ventas[[#This Row],[Category]],1,1))</f>
        <v>HEA24-A</v>
      </c>
      <c r="N2114" t="str">
        <f>MID(Master_ventas[[#This Row],[ProdUpper]],1,3)</f>
        <v>HEA</v>
      </c>
      <c r="O2114" t="str">
        <f>UPPER(IF(Master_ventas[[#This Row],[Profit]]&gt;500,"High","Std"))</f>
        <v>STD</v>
      </c>
      <c r="P2114">
        <v>2113</v>
      </c>
    </row>
    <row r="2115" spans="1:16" x14ac:dyDescent="0.3">
      <c r="A2115" s="1">
        <v>45059</v>
      </c>
      <c r="B2115" t="s">
        <v>20</v>
      </c>
      <c r="C2115" t="s">
        <v>11</v>
      </c>
      <c r="D2115" t="s">
        <v>9</v>
      </c>
      <c r="E2115">
        <v>4</v>
      </c>
      <c r="F2115" s="3">
        <v>2476</v>
      </c>
      <c r="G2115" s="2">
        <v>417.16</v>
      </c>
      <c r="H2115">
        <f>Master_ventas[[#This Row],[Profit]]/Master_ventas[[#This Row],[Sales]]</f>
        <v>0.16848142164781907</v>
      </c>
      <c r="I2115">
        <f ca="1">Referencia_Hoy-Master_ventas[[#This Row],[Order Date]]</f>
        <v>1264</v>
      </c>
      <c r="J2115" t="str">
        <f>UPPER(Master_ventas[[#This Row],[Product Name]])</f>
        <v>MONITOR</v>
      </c>
      <c r="K2115" t="str">
        <f>UPPER(Master_ventas[[#This Row],[Category]])</f>
        <v>ACCESSORIES</v>
      </c>
      <c r="L2115">
        <f>YEAR(Master_ventas[[#This Row],[Order Date]])</f>
        <v>2023</v>
      </c>
      <c r="M2115" t="str">
        <f>CONCATENATE(LEFT(Master_ventas[[#This Row],[ProdUpper]],3),RIGHT(Master_ventas[[#This Row],[Ext-Year]],2),"-",MID(Master_ventas[[#This Row],[Category]],1,1))</f>
        <v>MON23-A</v>
      </c>
      <c r="N2115" t="str">
        <f>MID(Master_ventas[[#This Row],[ProdUpper]],1,3)</f>
        <v>MON</v>
      </c>
      <c r="O2115" t="str">
        <f>UPPER(IF(Master_ventas[[#This Row],[Profit]]&gt;500,"High","Std"))</f>
        <v>STD</v>
      </c>
      <c r="P2115">
        <v>2114</v>
      </c>
    </row>
    <row r="2116" spans="1:16" x14ac:dyDescent="0.3">
      <c r="A2116" s="1">
        <v>45120</v>
      </c>
      <c r="B2116" t="s">
        <v>23</v>
      </c>
      <c r="C2116" t="s">
        <v>14</v>
      </c>
      <c r="D2116" t="s">
        <v>15</v>
      </c>
      <c r="E2116">
        <v>2</v>
      </c>
      <c r="F2116" s="3">
        <v>162</v>
      </c>
      <c r="G2116" s="2">
        <v>16.510000000000002</v>
      </c>
      <c r="H2116">
        <f>Master_ventas[[#This Row],[Profit]]/Master_ventas[[#This Row],[Sales]]</f>
        <v>0.10191358024691359</v>
      </c>
      <c r="I2116">
        <f ca="1">Referencia_Hoy-Master_ventas[[#This Row],[Order Date]]</f>
        <v>1203</v>
      </c>
      <c r="J2116" t="str">
        <f>UPPER(Master_ventas[[#This Row],[Product Name]])</f>
        <v>LAPTOP</v>
      </c>
      <c r="K2116" t="str">
        <f>UPPER(Master_ventas[[#This Row],[Category]])</f>
        <v>ELECTRONICS</v>
      </c>
      <c r="L2116">
        <f>YEAR(Master_ventas[[#This Row],[Order Date]])</f>
        <v>2023</v>
      </c>
      <c r="M2116" t="str">
        <f>CONCATENATE(LEFT(Master_ventas[[#This Row],[ProdUpper]],3),RIGHT(Master_ventas[[#This Row],[Ext-Year]],2),"-",MID(Master_ventas[[#This Row],[Category]],1,1))</f>
        <v>LAP23-E</v>
      </c>
      <c r="N2116" t="str">
        <f>MID(Master_ventas[[#This Row],[ProdUpper]],1,3)</f>
        <v>LAP</v>
      </c>
      <c r="O2116" t="str">
        <f>UPPER(IF(Master_ventas[[#This Row],[Profit]]&gt;500,"High","Std"))</f>
        <v>STD</v>
      </c>
      <c r="P2116">
        <v>2115</v>
      </c>
    </row>
    <row r="2117" spans="1:16" x14ac:dyDescent="0.3">
      <c r="A2117" s="1">
        <v>44746</v>
      </c>
      <c r="B2117" t="s">
        <v>7</v>
      </c>
      <c r="C2117" t="s">
        <v>8</v>
      </c>
      <c r="D2117" t="s">
        <v>16</v>
      </c>
      <c r="E2117">
        <v>3</v>
      </c>
      <c r="F2117" s="3">
        <v>258</v>
      </c>
      <c r="G2117" s="2">
        <v>38.03</v>
      </c>
      <c r="H2117">
        <f>Master_ventas[[#This Row],[Profit]]/Master_ventas[[#This Row],[Sales]]</f>
        <v>0.14740310077519381</v>
      </c>
      <c r="I2117">
        <f ca="1">Referencia_Hoy-Master_ventas[[#This Row],[Order Date]]</f>
        <v>1577</v>
      </c>
      <c r="J2117" t="str">
        <f>UPPER(Master_ventas[[#This Row],[Product Name]])</f>
        <v>PRINTER</v>
      </c>
      <c r="K2117" t="str">
        <f>UPPER(Master_ventas[[#This Row],[Category]])</f>
        <v>OFFICE</v>
      </c>
      <c r="L2117">
        <f>YEAR(Master_ventas[[#This Row],[Order Date]])</f>
        <v>2022</v>
      </c>
      <c r="M2117" t="str">
        <f>CONCATENATE(LEFT(Master_ventas[[#This Row],[ProdUpper]],3),RIGHT(Master_ventas[[#This Row],[Ext-Year]],2),"-",MID(Master_ventas[[#This Row],[Category]],1,1))</f>
        <v>PRI22-O</v>
      </c>
      <c r="N2117" t="str">
        <f>MID(Master_ventas[[#This Row],[ProdUpper]],1,3)</f>
        <v>PRI</v>
      </c>
      <c r="O2117" t="str">
        <f>UPPER(IF(Master_ventas[[#This Row],[Profit]]&gt;500,"High","Std"))</f>
        <v>STD</v>
      </c>
      <c r="P2117">
        <v>2116</v>
      </c>
    </row>
    <row r="2118" spans="1:16" x14ac:dyDescent="0.3">
      <c r="A2118" s="1">
        <v>44639</v>
      </c>
      <c r="B2118" t="s">
        <v>22</v>
      </c>
      <c r="C2118" t="s">
        <v>11</v>
      </c>
      <c r="D2118" t="s">
        <v>12</v>
      </c>
      <c r="E2118">
        <v>4</v>
      </c>
      <c r="F2118" s="3">
        <v>3524</v>
      </c>
      <c r="G2118" s="2">
        <v>998.29</v>
      </c>
      <c r="H2118">
        <f>Master_ventas[[#This Row],[Profit]]/Master_ventas[[#This Row],[Sales]]</f>
        <v>0.28328320090805903</v>
      </c>
      <c r="I2118">
        <f ca="1">Referencia_Hoy-Master_ventas[[#This Row],[Order Date]]</f>
        <v>1684</v>
      </c>
      <c r="J2118" t="str">
        <f>UPPER(Master_ventas[[#This Row],[Product Name]])</f>
        <v>KEYBOARD</v>
      </c>
      <c r="K2118" t="str">
        <f>UPPER(Master_ventas[[#This Row],[Category]])</f>
        <v>ACCESSORIES</v>
      </c>
      <c r="L2118">
        <f>YEAR(Master_ventas[[#This Row],[Order Date]])</f>
        <v>2022</v>
      </c>
      <c r="M2118" t="str">
        <f>CONCATENATE(LEFT(Master_ventas[[#This Row],[ProdUpper]],3),RIGHT(Master_ventas[[#This Row],[Ext-Year]],2),"-",MID(Master_ventas[[#This Row],[Category]],1,1))</f>
        <v>KEY22-A</v>
      </c>
      <c r="N2118" t="str">
        <f>MID(Master_ventas[[#This Row],[ProdUpper]],1,3)</f>
        <v>KEY</v>
      </c>
      <c r="O2118" t="str">
        <f>UPPER(IF(Master_ventas[[#This Row],[Profit]]&gt;500,"High","Std"))</f>
        <v>HIGH</v>
      </c>
      <c r="P2118">
        <v>2117</v>
      </c>
    </row>
    <row r="2119" spans="1:16" x14ac:dyDescent="0.3">
      <c r="A2119" s="1">
        <v>45073</v>
      </c>
      <c r="B2119" t="s">
        <v>19</v>
      </c>
      <c r="C2119" t="s">
        <v>14</v>
      </c>
      <c r="D2119" t="s">
        <v>15</v>
      </c>
      <c r="E2119">
        <v>8</v>
      </c>
      <c r="F2119" s="3">
        <v>6184</v>
      </c>
      <c r="G2119" s="2">
        <v>1796.9</v>
      </c>
      <c r="H2119">
        <f>Master_ventas[[#This Row],[Profit]]/Master_ventas[[#This Row],[Sales]]</f>
        <v>0.29057244501940493</v>
      </c>
      <c r="I2119">
        <f ca="1">Referencia_Hoy-Master_ventas[[#This Row],[Order Date]]</f>
        <v>1250</v>
      </c>
      <c r="J2119" t="str">
        <f>UPPER(Master_ventas[[#This Row],[Product Name]])</f>
        <v>SMARTWATCH</v>
      </c>
      <c r="K2119" t="str">
        <f>UPPER(Master_ventas[[#This Row],[Category]])</f>
        <v>ELECTRONICS</v>
      </c>
      <c r="L2119">
        <f>YEAR(Master_ventas[[#This Row],[Order Date]])</f>
        <v>2023</v>
      </c>
      <c r="M2119" t="str">
        <f>CONCATENATE(LEFT(Master_ventas[[#This Row],[ProdUpper]],3),RIGHT(Master_ventas[[#This Row],[Ext-Year]],2),"-",MID(Master_ventas[[#This Row],[Category]],1,1))</f>
        <v>SMA23-E</v>
      </c>
      <c r="N2119" t="str">
        <f>MID(Master_ventas[[#This Row],[ProdUpper]],1,3)</f>
        <v>SMA</v>
      </c>
      <c r="O2119" t="str">
        <f>UPPER(IF(Master_ventas[[#This Row],[Profit]]&gt;500,"High","Std"))</f>
        <v>HIGH</v>
      </c>
      <c r="P2119">
        <v>2118</v>
      </c>
    </row>
    <row r="2120" spans="1:16" x14ac:dyDescent="0.3">
      <c r="A2120" s="1">
        <v>44992</v>
      </c>
      <c r="B2120" t="s">
        <v>20</v>
      </c>
      <c r="C2120" t="s">
        <v>11</v>
      </c>
      <c r="D2120" t="s">
        <v>16</v>
      </c>
      <c r="E2120">
        <v>6</v>
      </c>
      <c r="F2120" s="3">
        <v>3750</v>
      </c>
      <c r="G2120" s="2">
        <v>645.69000000000005</v>
      </c>
      <c r="H2120">
        <f>Master_ventas[[#This Row],[Profit]]/Master_ventas[[#This Row],[Sales]]</f>
        <v>0.172184</v>
      </c>
      <c r="I2120">
        <f ca="1">Referencia_Hoy-Master_ventas[[#This Row],[Order Date]]</f>
        <v>1331</v>
      </c>
      <c r="J2120" t="str">
        <f>UPPER(Master_ventas[[#This Row],[Product Name]])</f>
        <v>MONITOR</v>
      </c>
      <c r="K2120" t="str">
        <f>UPPER(Master_ventas[[#This Row],[Category]])</f>
        <v>ACCESSORIES</v>
      </c>
      <c r="L2120">
        <f>YEAR(Master_ventas[[#This Row],[Order Date]])</f>
        <v>2023</v>
      </c>
      <c r="M2120" t="str">
        <f>CONCATENATE(LEFT(Master_ventas[[#This Row],[ProdUpper]],3),RIGHT(Master_ventas[[#This Row],[Ext-Year]],2),"-",MID(Master_ventas[[#This Row],[Category]],1,1))</f>
        <v>MON23-A</v>
      </c>
      <c r="N2120" t="str">
        <f>MID(Master_ventas[[#This Row],[ProdUpper]],1,3)</f>
        <v>MON</v>
      </c>
      <c r="O2120" t="str">
        <f>UPPER(IF(Master_ventas[[#This Row],[Profit]]&gt;500,"High","Std"))</f>
        <v>HIGH</v>
      </c>
      <c r="P2120">
        <v>2119</v>
      </c>
    </row>
    <row r="2121" spans="1:16" x14ac:dyDescent="0.3">
      <c r="A2121" s="1">
        <v>44666</v>
      </c>
      <c r="B2121" t="s">
        <v>10</v>
      </c>
      <c r="C2121" t="s">
        <v>11</v>
      </c>
      <c r="D2121" t="s">
        <v>15</v>
      </c>
      <c r="E2121">
        <v>5</v>
      </c>
      <c r="F2121" s="3">
        <v>1465</v>
      </c>
      <c r="G2121" s="2">
        <v>424.64</v>
      </c>
      <c r="H2121">
        <f>Master_ventas[[#This Row],[Profit]]/Master_ventas[[#This Row],[Sales]]</f>
        <v>0.28985665529010241</v>
      </c>
      <c r="I2121">
        <f ca="1">Referencia_Hoy-Master_ventas[[#This Row],[Order Date]]</f>
        <v>1657</v>
      </c>
      <c r="J2121" t="str">
        <f>UPPER(Master_ventas[[#This Row],[Product Name]])</f>
        <v>MOUSE</v>
      </c>
      <c r="K2121" t="str">
        <f>UPPER(Master_ventas[[#This Row],[Category]])</f>
        <v>ACCESSORIES</v>
      </c>
      <c r="L2121">
        <f>YEAR(Master_ventas[[#This Row],[Order Date]])</f>
        <v>2022</v>
      </c>
      <c r="M2121" t="str">
        <f>CONCATENATE(LEFT(Master_ventas[[#This Row],[ProdUpper]],3),RIGHT(Master_ventas[[#This Row],[Ext-Year]],2),"-",MID(Master_ventas[[#This Row],[Category]],1,1))</f>
        <v>MOU22-A</v>
      </c>
      <c r="N2121" t="str">
        <f>MID(Master_ventas[[#This Row],[ProdUpper]],1,3)</f>
        <v>MOU</v>
      </c>
      <c r="O2121" t="str">
        <f>UPPER(IF(Master_ventas[[#This Row],[Profit]]&gt;500,"High","Std"))</f>
        <v>STD</v>
      </c>
      <c r="P2121">
        <v>2120</v>
      </c>
    </row>
    <row r="2122" spans="1:16" x14ac:dyDescent="0.3">
      <c r="A2122" s="1">
        <v>45379</v>
      </c>
      <c r="B2122" t="s">
        <v>17</v>
      </c>
      <c r="C2122" t="s">
        <v>14</v>
      </c>
      <c r="D2122" t="s">
        <v>9</v>
      </c>
      <c r="E2122">
        <v>4</v>
      </c>
      <c r="F2122" s="3">
        <v>4480</v>
      </c>
      <c r="G2122" s="2">
        <v>412.05</v>
      </c>
      <c r="H2122">
        <f>Master_ventas[[#This Row],[Profit]]/Master_ventas[[#This Row],[Sales]]</f>
        <v>9.1975446428571431E-2</v>
      </c>
      <c r="I2122">
        <f ca="1">Referencia_Hoy-Master_ventas[[#This Row],[Order Date]]</f>
        <v>944</v>
      </c>
      <c r="J2122" t="str">
        <f>UPPER(Master_ventas[[#This Row],[Product Name]])</f>
        <v>CAMERA</v>
      </c>
      <c r="K2122" t="str">
        <f>UPPER(Master_ventas[[#This Row],[Category]])</f>
        <v>ELECTRONICS</v>
      </c>
      <c r="L2122">
        <f>YEAR(Master_ventas[[#This Row],[Order Date]])</f>
        <v>2024</v>
      </c>
      <c r="M2122" t="str">
        <f>CONCATENATE(LEFT(Master_ventas[[#This Row],[ProdUpper]],3),RIGHT(Master_ventas[[#This Row],[Ext-Year]],2),"-",MID(Master_ventas[[#This Row],[Category]],1,1))</f>
        <v>CAM24-E</v>
      </c>
      <c r="N2122" t="str">
        <f>MID(Master_ventas[[#This Row],[ProdUpper]],1,3)</f>
        <v>CAM</v>
      </c>
      <c r="O2122" t="str">
        <f>UPPER(IF(Master_ventas[[#This Row],[Profit]]&gt;500,"High","Std"))</f>
        <v>STD</v>
      </c>
      <c r="P2122">
        <v>2121</v>
      </c>
    </row>
    <row r="2123" spans="1:16" x14ac:dyDescent="0.3">
      <c r="A2123" s="1">
        <v>45351</v>
      </c>
      <c r="B2123" t="s">
        <v>23</v>
      </c>
      <c r="C2123" t="s">
        <v>14</v>
      </c>
      <c r="D2123" t="s">
        <v>9</v>
      </c>
      <c r="E2123">
        <v>8</v>
      </c>
      <c r="F2123" s="3">
        <v>1544</v>
      </c>
      <c r="G2123" s="2">
        <v>281.22000000000003</v>
      </c>
      <c r="H2123">
        <f>Master_ventas[[#This Row],[Profit]]/Master_ventas[[#This Row],[Sales]]</f>
        <v>0.18213730569948189</v>
      </c>
      <c r="I2123">
        <f ca="1">Referencia_Hoy-Master_ventas[[#This Row],[Order Date]]</f>
        <v>972</v>
      </c>
      <c r="J2123" t="str">
        <f>UPPER(Master_ventas[[#This Row],[Product Name]])</f>
        <v>LAPTOP</v>
      </c>
      <c r="K2123" t="str">
        <f>UPPER(Master_ventas[[#This Row],[Category]])</f>
        <v>ELECTRONICS</v>
      </c>
      <c r="L2123">
        <f>YEAR(Master_ventas[[#This Row],[Order Date]])</f>
        <v>2024</v>
      </c>
      <c r="M2123" t="str">
        <f>CONCATENATE(LEFT(Master_ventas[[#This Row],[ProdUpper]],3),RIGHT(Master_ventas[[#This Row],[Ext-Year]],2),"-",MID(Master_ventas[[#This Row],[Category]],1,1))</f>
        <v>LAP24-E</v>
      </c>
      <c r="N2123" t="str">
        <f>MID(Master_ventas[[#This Row],[ProdUpper]],1,3)</f>
        <v>LAP</v>
      </c>
      <c r="O2123" t="str">
        <f>UPPER(IF(Master_ventas[[#This Row],[Profit]]&gt;500,"High","Std"))</f>
        <v>STD</v>
      </c>
      <c r="P2123">
        <v>2122</v>
      </c>
    </row>
    <row r="2124" spans="1:16" x14ac:dyDescent="0.3">
      <c r="A2124" s="1">
        <v>45312</v>
      </c>
      <c r="B2124" t="s">
        <v>18</v>
      </c>
      <c r="C2124" t="s">
        <v>11</v>
      </c>
      <c r="D2124" t="s">
        <v>9</v>
      </c>
      <c r="E2124">
        <v>9</v>
      </c>
      <c r="F2124" s="3">
        <v>7974</v>
      </c>
      <c r="G2124" s="2">
        <v>1181.04</v>
      </c>
      <c r="H2124">
        <f>Master_ventas[[#This Row],[Profit]]/Master_ventas[[#This Row],[Sales]]</f>
        <v>0.14811136192626034</v>
      </c>
      <c r="I2124">
        <f ca="1">Referencia_Hoy-Master_ventas[[#This Row],[Order Date]]</f>
        <v>1011</v>
      </c>
      <c r="J2124" t="str">
        <f>UPPER(Master_ventas[[#This Row],[Product Name]])</f>
        <v>HEADPHONES</v>
      </c>
      <c r="K2124" t="str">
        <f>UPPER(Master_ventas[[#This Row],[Category]])</f>
        <v>ACCESSORIES</v>
      </c>
      <c r="L2124">
        <f>YEAR(Master_ventas[[#This Row],[Order Date]])</f>
        <v>2024</v>
      </c>
      <c r="M2124" t="str">
        <f>CONCATENATE(LEFT(Master_ventas[[#This Row],[ProdUpper]],3),RIGHT(Master_ventas[[#This Row],[Ext-Year]],2),"-",MID(Master_ventas[[#This Row],[Category]],1,1))</f>
        <v>HEA24-A</v>
      </c>
      <c r="N2124" t="str">
        <f>MID(Master_ventas[[#This Row],[ProdUpper]],1,3)</f>
        <v>HEA</v>
      </c>
      <c r="O2124" t="str">
        <f>UPPER(IF(Master_ventas[[#This Row],[Profit]]&gt;500,"High","Std"))</f>
        <v>HIGH</v>
      </c>
      <c r="P2124">
        <v>2123</v>
      </c>
    </row>
    <row r="2125" spans="1:16" x14ac:dyDescent="0.3">
      <c r="A2125" s="1">
        <v>45381</v>
      </c>
      <c r="B2125" t="s">
        <v>7</v>
      </c>
      <c r="C2125" t="s">
        <v>8</v>
      </c>
      <c r="D2125" t="s">
        <v>12</v>
      </c>
      <c r="E2125">
        <v>5</v>
      </c>
      <c r="F2125" s="3">
        <v>5920</v>
      </c>
      <c r="G2125" s="2">
        <v>1679.15</v>
      </c>
      <c r="H2125">
        <f>Master_ventas[[#This Row],[Profit]]/Master_ventas[[#This Row],[Sales]]</f>
        <v>0.28364020270270274</v>
      </c>
      <c r="I2125">
        <f ca="1">Referencia_Hoy-Master_ventas[[#This Row],[Order Date]]</f>
        <v>942</v>
      </c>
      <c r="J2125" t="str">
        <f>UPPER(Master_ventas[[#This Row],[Product Name]])</f>
        <v>PRINTER</v>
      </c>
      <c r="K2125" t="str">
        <f>UPPER(Master_ventas[[#This Row],[Category]])</f>
        <v>OFFICE</v>
      </c>
      <c r="L2125">
        <f>YEAR(Master_ventas[[#This Row],[Order Date]])</f>
        <v>2024</v>
      </c>
      <c r="M2125" t="str">
        <f>CONCATENATE(LEFT(Master_ventas[[#This Row],[ProdUpper]],3),RIGHT(Master_ventas[[#This Row],[Ext-Year]],2),"-",MID(Master_ventas[[#This Row],[Category]],1,1))</f>
        <v>PRI24-O</v>
      </c>
      <c r="N2125" t="str">
        <f>MID(Master_ventas[[#This Row],[ProdUpper]],1,3)</f>
        <v>PRI</v>
      </c>
      <c r="O2125" t="str">
        <f>UPPER(IF(Master_ventas[[#This Row],[Profit]]&gt;500,"High","Std"))</f>
        <v>HIGH</v>
      </c>
      <c r="P2125">
        <v>2124</v>
      </c>
    </row>
    <row r="2126" spans="1:16" x14ac:dyDescent="0.3">
      <c r="A2126" s="1">
        <v>45567</v>
      </c>
      <c r="B2126" t="s">
        <v>19</v>
      </c>
      <c r="C2126" t="s">
        <v>14</v>
      </c>
      <c r="D2126" t="s">
        <v>15</v>
      </c>
      <c r="E2126">
        <v>8</v>
      </c>
      <c r="F2126" s="3">
        <v>8792</v>
      </c>
      <c r="G2126" s="2">
        <v>2045.54</v>
      </c>
      <c r="H2126">
        <f>Master_ventas[[#This Row],[Profit]]/Master_ventas[[#This Row],[Sales]]</f>
        <v>0.23265923566878979</v>
      </c>
      <c r="I2126">
        <f ca="1">Referencia_Hoy-Master_ventas[[#This Row],[Order Date]]</f>
        <v>756</v>
      </c>
      <c r="J2126" t="str">
        <f>UPPER(Master_ventas[[#This Row],[Product Name]])</f>
        <v>SMARTWATCH</v>
      </c>
      <c r="K2126" t="str">
        <f>UPPER(Master_ventas[[#This Row],[Category]])</f>
        <v>ELECTRONICS</v>
      </c>
      <c r="L2126">
        <f>YEAR(Master_ventas[[#This Row],[Order Date]])</f>
        <v>2024</v>
      </c>
      <c r="M2126" t="str">
        <f>CONCATENATE(LEFT(Master_ventas[[#This Row],[ProdUpper]],3),RIGHT(Master_ventas[[#This Row],[Ext-Year]],2),"-",MID(Master_ventas[[#This Row],[Category]],1,1))</f>
        <v>SMA24-E</v>
      </c>
      <c r="N2126" t="str">
        <f>MID(Master_ventas[[#This Row],[ProdUpper]],1,3)</f>
        <v>SMA</v>
      </c>
      <c r="O2126" t="str">
        <f>UPPER(IF(Master_ventas[[#This Row],[Profit]]&gt;500,"High","Std"))</f>
        <v>HIGH</v>
      </c>
      <c r="P2126">
        <v>2125</v>
      </c>
    </row>
    <row r="2127" spans="1:16" x14ac:dyDescent="0.3">
      <c r="A2127" s="1">
        <v>45278</v>
      </c>
      <c r="B2127" t="s">
        <v>19</v>
      </c>
      <c r="C2127" t="s">
        <v>14</v>
      </c>
      <c r="D2127" t="s">
        <v>12</v>
      </c>
      <c r="E2127">
        <v>1</v>
      </c>
      <c r="F2127" s="3">
        <v>294</v>
      </c>
      <c r="G2127" s="2">
        <v>52.37</v>
      </c>
      <c r="H2127">
        <f>Master_ventas[[#This Row],[Profit]]/Master_ventas[[#This Row],[Sales]]</f>
        <v>0.17812925170068025</v>
      </c>
      <c r="I2127">
        <f ca="1">Referencia_Hoy-Master_ventas[[#This Row],[Order Date]]</f>
        <v>1045</v>
      </c>
      <c r="J2127" t="str">
        <f>UPPER(Master_ventas[[#This Row],[Product Name]])</f>
        <v>SMARTWATCH</v>
      </c>
      <c r="K2127" t="str">
        <f>UPPER(Master_ventas[[#This Row],[Category]])</f>
        <v>ELECTRONICS</v>
      </c>
      <c r="L2127">
        <f>YEAR(Master_ventas[[#This Row],[Order Date]])</f>
        <v>2023</v>
      </c>
      <c r="M2127" t="str">
        <f>CONCATENATE(LEFT(Master_ventas[[#This Row],[ProdUpper]],3),RIGHT(Master_ventas[[#This Row],[Ext-Year]],2),"-",MID(Master_ventas[[#This Row],[Category]],1,1))</f>
        <v>SMA23-E</v>
      </c>
      <c r="N2127" t="str">
        <f>MID(Master_ventas[[#This Row],[ProdUpper]],1,3)</f>
        <v>SMA</v>
      </c>
      <c r="O2127" t="str">
        <f>UPPER(IF(Master_ventas[[#This Row],[Profit]]&gt;500,"High","Std"))</f>
        <v>STD</v>
      </c>
      <c r="P2127">
        <v>2126</v>
      </c>
    </row>
    <row r="2128" spans="1:16" x14ac:dyDescent="0.3">
      <c r="A2128" s="1">
        <v>44584</v>
      </c>
      <c r="B2128" t="s">
        <v>17</v>
      </c>
      <c r="C2128" t="s">
        <v>14</v>
      </c>
      <c r="D2128" t="s">
        <v>12</v>
      </c>
      <c r="E2128">
        <v>7</v>
      </c>
      <c r="F2128" s="3">
        <v>1169</v>
      </c>
      <c r="G2128" s="2">
        <v>264.37</v>
      </c>
      <c r="H2128">
        <f>Master_ventas[[#This Row],[Profit]]/Master_ventas[[#This Row],[Sales]]</f>
        <v>0.22615055603079556</v>
      </c>
      <c r="I2128">
        <f ca="1">Referencia_Hoy-Master_ventas[[#This Row],[Order Date]]</f>
        <v>1739</v>
      </c>
      <c r="J2128" t="str">
        <f>UPPER(Master_ventas[[#This Row],[Product Name]])</f>
        <v>CAMERA</v>
      </c>
      <c r="K2128" t="str">
        <f>UPPER(Master_ventas[[#This Row],[Category]])</f>
        <v>ELECTRONICS</v>
      </c>
      <c r="L2128">
        <f>YEAR(Master_ventas[[#This Row],[Order Date]])</f>
        <v>2022</v>
      </c>
      <c r="M2128" t="str">
        <f>CONCATENATE(LEFT(Master_ventas[[#This Row],[ProdUpper]],3),RIGHT(Master_ventas[[#This Row],[Ext-Year]],2),"-",MID(Master_ventas[[#This Row],[Category]],1,1))</f>
        <v>CAM22-E</v>
      </c>
      <c r="N2128" t="str">
        <f>MID(Master_ventas[[#This Row],[ProdUpper]],1,3)</f>
        <v>CAM</v>
      </c>
      <c r="O2128" t="str">
        <f>UPPER(IF(Master_ventas[[#This Row],[Profit]]&gt;500,"High","Std"))</f>
        <v>STD</v>
      </c>
      <c r="P2128">
        <v>2127</v>
      </c>
    </row>
    <row r="2129" spans="1:16" x14ac:dyDescent="0.3">
      <c r="A2129" s="1">
        <v>45336</v>
      </c>
      <c r="B2129" t="s">
        <v>17</v>
      </c>
      <c r="C2129" t="s">
        <v>14</v>
      </c>
      <c r="D2129" t="s">
        <v>16</v>
      </c>
      <c r="E2129">
        <v>8</v>
      </c>
      <c r="F2129" s="3">
        <v>9232</v>
      </c>
      <c r="G2129" s="2">
        <v>880.52</v>
      </c>
      <c r="H2129">
        <f>Master_ventas[[#This Row],[Profit]]/Master_ventas[[#This Row],[Sales]]</f>
        <v>9.5376949740034661E-2</v>
      </c>
      <c r="I2129">
        <f ca="1">Referencia_Hoy-Master_ventas[[#This Row],[Order Date]]</f>
        <v>987</v>
      </c>
      <c r="J2129" t="str">
        <f>UPPER(Master_ventas[[#This Row],[Product Name]])</f>
        <v>CAMERA</v>
      </c>
      <c r="K2129" t="str">
        <f>UPPER(Master_ventas[[#This Row],[Category]])</f>
        <v>ELECTRONICS</v>
      </c>
      <c r="L2129">
        <f>YEAR(Master_ventas[[#This Row],[Order Date]])</f>
        <v>2024</v>
      </c>
      <c r="M2129" t="str">
        <f>CONCATENATE(LEFT(Master_ventas[[#This Row],[ProdUpper]],3),RIGHT(Master_ventas[[#This Row],[Ext-Year]],2),"-",MID(Master_ventas[[#This Row],[Category]],1,1))</f>
        <v>CAM24-E</v>
      </c>
      <c r="N2129" t="str">
        <f>MID(Master_ventas[[#This Row],[ProdUpper]],1,3)</f>
        <v>CAM</v>
      </c>
      <c r="O2129" t="str">
        <f>UPPER(IF(Master_ventas[[#This Row],[Profit]]&gt;500,"High","Std"))</f>
        <v>HIGH</v>
      </c>
      <c r="P2129">
        <v>2128</v>
      </c>
    </row>
    <row r="2130" spans="1:16" x14ac:dyDescent="0.3">
      <c r="A2130" s="1">
        <v>45208</v>
      </c>
      <c r="B2130" t="s">
        <v>18</v>
      </c>
      <c r="C2130" t="s">
        <v>11</v>
      </c>
      <c r="D2130" t="s">
        <v>15</v>
      </c>
      <c r="E2130">
        <v>4</v>
      </c>
      <c r="F2130" s="3">
        <v>1396</v>
      </c>
      <c r="G2130" s="2">
        <v>135.47999999999999</v>
      </c>
      <c r="H2130">
        <f>Master_ventas[[#This Row],[Profit]]/Master_ventas[[#This Row],[Sales]]</f>
        <v>9.7048710601719185E-2</v>
      </c>
      <c r="I2130">
        <f ca="1">Referencia_Hoy-Master_ventas[[#This Row],[Order Date]]</f>
        <v>1115</v>
      </c>
      <c r="J2130" t="str">
        <f>UPPER(Master_ventas[[#This Row],[Product Name]])</f>
        <v>HEADPHONES</v>
      </c>
      <c r="K2130" t="str">
        <f>UPPER(Master_ventas[[#This Row],[Category]])</f>
        <v>ACCESSORIES</v>
      </c>
      <c r="L2130">
        <f>YEAR(Master_ventas[[#This Row],[Order Date]])</f>
        <v>2023</v>
      </c>
      <c r="M2130" t="str">
        <f>CONCATENATE(LEFT(Master_ventas[[#This Row],[ProdUpper]],3),RIGHT(Master_ventas[[#This Row],[Ext-Year]],2),"-",MID(Master_ventas[[#This Row],[Category]],1,1))</f>
        <v>HEA23-A</v>
      </c>
      <c r="N2130" t="str">
        <f>MID(Master_ventas[[#This Row],[ProdUpper]],1,3)</f>
        <v>HEA</v>
      </c>
      <c r="O2130" t="str">
        <f>UPPER(IF(Master_ventas[[#This Row],[Profit]]&gt;500,"High","Std"))</f>
        <v>STD</v>
      </c>
      <c r="P2130">
        <v>2129</v>
      </c>
    </row>
    <row r="2131" spans="1:16" x14ac:dyDescent="0.3">
      <c r="A2131" s="1">
        <v>45314</v>
      </c>
      <c r="B2131" t="s">
        <v>17</v>
      </c>
      <c r="C2131" t="s">
        <v>14</v>
      </c>
      <c r="D2131" t="s">
        <v>9</v>
      </c>
      <c r="E2131">
        <v>9</v>
      </c>
      <c r="F2131" s="3">
        <v>10188</v>
      </c>
      <c r="G2131" s="2">
        <v>1408.18</v>
      </c>
      <c r="H2131">
        <f>Master_ventas[[#This Row],[Profit]]/Master_ventas[[#This Row],[Sales]]</f>
        <v>0.13821947389085198</v>
      </c>
      <c r="I2131">
        <f ca="1">Referencia_Hoy-Master_ventas[[#This Row],[Order Date]]</f>
        <v>1009</v>
      </c>
      <c r="J2131" t="str">
        <f>UPPER(Master_ventas[[#This Row],[Product Name]])</f>
        <v>CAMERA</v>
      </c>
      <c r="K2131" t="str">
        <f>UPPER(Master_ventas[[#This Row],[Category]])</f>
        <v>ELECTRONICS</v>
      </c>
      <c r="L2131">
        <f>YEAR(Master_ventas[[#This Row],[Order Date]])</f>
        <v>2024</v>
      </c>
      <c r="M2131" t="str">
        <f>CONCATENATE(LEFT(Master_ventas[[#This Row],[ProdUpper]],3),RIGHT(Master_ventas[[#This Row],[Ext-Year]],2),"-",MID(Master_ventas[[#This Row],[Category]],1,1))</f>
        <v>CAM24-E</v>
      </c>
      <c r="N2131" t="str">
        <f>MID(Master_ventas[[#This Row],[ProdUpper]],1,3)</f>
        <v>CAM</v>
      </c>
      <c r="O2131" t="str">
        <f>UPPER(IF(Master_ventas[[#This Row],[Profit]]&gt;500,"High","Std"))</f>
        <v>HIGH</v>
      </c>
      <c r="P2131">
        <v>2130</v>
      </c>
    </row>
    <row r="2132" spans="1:16" x14ac:dyDescent="0.3">
      <c r="A2132" s="1">
        <v>44817</v>
      </c>
      <c r="B2132" t="s">
        <v>20</v>
      </c>
      <c r="C2132" t="s">
        <v>11</v>
      </c>
      <c r="D2132" t="s">
        <v>16</v>
      </c>
      <c r="E2132">
        <v>2</v>
      </c>
      <c r="F2132" s="3">
        <v>222</v>
      </c>
      <c r="G2132" s="2">
        <v>23.65</v>
      </c>
      <c r="H2132">
        <f>Master_ventas[[#This Row],[Profit]]/Master_ventas[[#This Row],[Sales]]</f>
        <v>0.10653153153153153</v>
      </c>
      <c r="I2132">
        <f ca="1">Referencia_Hoy-Master_ventas[[#This Row],[Order Date]]</f>
        <v>1506</v>
      </c>
      <c r="J2132" t="str">
        <f>UPPER(Master_ventas[[#This Row],[Product Name]])</f>
        <v>MONITOR</v>
      </c>
      <c r="K2132" t="str">
        <f>UPPER(Master_ventas[[#This Row],[Category]])</f>
        <v>ACCESSORIES</v>
      </c>
      <c r="L2132">
        <f>YEAR(Master_ventas[[#This Row],[Order Date]])</f>
        <v>2022</v>
      </c>
      <c r="M2132" t="str">
        <f>CONCATENATE(LEFT(Master_ventas[[#This Row],[ProdUpper]],3),RIGHT(Master_ventas[[#This Row],[Ext-Year]],2),"-",MID(Master_ventas[[#This Row],[Category]],1,1))</f>
        <v>MON22-A</v>
      </c>
      <c r="N2132" t="str">
        <f>MID(Master_ventas[[#This Row],[ProdUpper]],1,3)</f>
        <v>MON</v>
      </c>
      <c r="O2132" t="str">
        <f>UPPER(IF(Master_ventas[[#This Row],[Profit]]&gt;500,"High","Std"))</f>
        <v>STD</v>
      </c>
      <c r="P2132">
        <v>2131</v>
      </c>
    </row>
    <row r="2133" spans="1:16" x14ac:dyDescent="0.3">
      <c r="A2133" s="1">
        <v>45385</v>
      </c>
      <c r="B2133" t="s">
        <v>20</v>
      </c>
      <c r="C2133" t="s">
        <v>11</v>
      </c>
      <c r="D2133" t="s">
        <v>16</v>
      </c>
      <c r="E2133">
        <v>2</v>
      </c>
      <c r="F2133" s="3">
        <v>1328</v>
      </c>
      <c r="G2133" s="2">
        <v>358.07</v>
      </c>
      <c r="H2133">
        <f>Master_ventas[[#This Row],[Profit]]/Master_ventas[[#This Row],[Sales]]</f>
        <v>0.26963102409638556</v>
      </c>
      <c r="I2133">
        <f ca="1">Referencia_Hoy-Master_ventas[[#This Row],[Order Date]]</f>
        <v>938</v>
      </c>
      <c r="J2133" t="str">
        <f>UPPER(Master_ventas[[#This Row],[Product Name]])</f>
        <v>MONITOR</v>
      </c>
      <c r="K2133" t="str">
        <f>UPPER(Master_ventas[[#This Row],[Category]])</f>
        <v>ACCESSORIES</v>
      </c>
      <c r="L2133">
        <f>YEAR(Master_ventas[[#This Row],[Order Date]])</f>
        <v>2024</v>
      </c>
      <c r="M2133" t="str">
        <f>CONCATENATE(LEFT(Master_ventas[[#This Row],[ProdUpper]],3),RIGHT(Master_ventas[[#This Row],[Ext-Year]],2),"-",MID(Master_ventas[[#This Row],[Category]],1,1))</f>
        <v>MON24-A</v>
      </c>
      <c r="N2133" t="str">
        <f>MID(Master_ventas[[#This Row],[ProdUpper]],1,3)</f>
        <v>MON</v>
      </c>
      <c r="O2133" t="str">
        <f>UPPER(IF(Master_ventas[[#This Row],[Profit]]&gt;500,"High","Std"))</f>
        <v>STD</v>
      </c>
      <c r="P2133">
        <v>2132</v>
      </c>
    </row>
    <row r="2134" spans="1:16" x14ac:dyDescent="0.3">
      <c r="A2134" s="1">
        <v>45602</v>
      </c>
      <c r="B2134" t="s">
        <v>7</v>
      </c>
      <c r="C2134" t="s">
        <v>8</v>
      </c>
      <c r="D2134" t="s">
        <v>12</v>
      </c>
      <c r="E2134">
        <v>9</v>
      </c>
      <c r="F2134" s="3">
        <v>5085</v>
      </c>
      <c r="G2134" s="2">
        <v>488.63</v>
      </c>
      <c r="H2134">
        <f>Master_ventas[[#This Row],[Profit]]/Master_ventas[[#This Row],[Sales]]</f>
        <v>9.6092428711897743E-2</v>
      </c>
      <c r="I2134">
        <f ca="1">Referencia_Hoy-Master_ventas[[#This Row],[Order Date]]</f>
        <v>721</v>
      </c>
      <c r="J2134" t="str">
        <f>UPPER(Master_ventas[[#This Row],[Product Name]])</f>
        <v>PRINTER</v>
      </c>
      <c r="K2134" t="str">
        <f>UPPER(Master_ventas[[#This Row],[Category]])</f>
        <v>OFFICE</v>
      </c>
      <c r="L2134">
        <f>YEAR(Master_ventas[[#This Row],[Order Date]])</f>
        <v>2024</v>
      </c>
      <c r="M2134" t="str">
        <f>CONCATENATE(LEFT(Master_ventas[[#This Row],[ProdUpper]],3),RIGHT(Master_ventas[[#This Row],[Ext-Year]],2),"-",MID(Master_ventas[[#This Row],[Category]],1,1))</f>
        <v>PRI24-O</v>
      </c>
      <c r="N2134" t="str">
        <f>MID(Master_ventas[[#This Row],[ProdUpper]],1,3)</f>
        <v>PRI</v>
      </c>
      <c r="O2134" t="str">
        <f>UPPER(IF(Master_ventas[[#This Row],[Profit]]&gt;500,"High","Std"))</f>
        <v>STD</v>
      </c>
      <c r="P2134">
        <v>2133</v>
      </c>
    </row>
    <row r="2135" spans="1:16" x14ac:dyDescent="0.3">
      <c r="A2135" s="1">
        <v>45506</v>
      </c>
      <c r="B2135" t="s">
        <v>10</v>
      </c>
      <c r="C2135" t="s">
        <v>11</v>
      </c>
      <c r="D2135" t="s">
        <v>16</v>
      </c>
      <c r="E2135">
        <v>3</v>
      </c>
      <c r="F2135" s="3">
        <v>1245</v>
      </c>
      <c r="G2135" s="2">
        <v>229.73</v>
      </c>
      <c r="H2135">
        <f>Master_ventas[[#This Row],[Profit]]/Master_ventas[[#This Row],[Sales]]</f>
        <v>0.18452208835341366</v>
      </c>
      <c r="I2135">
        <f ca="1">Referencia_Hoy-Master_ventas[[#This Row],[Order Date]]</f>
        <v>817</v>
      </c>
      <c r="J2135" t="str">
        <f>UPPER(Master_ventas[[#This Row],[Product Name]])</f>
        <v>MOUSE</v>
      </c>
      <c r="K2135" t="str">
        <f>UPPER(Master_ventas[[#This Row],[Category]])</f>
        <v>ACCESSORIES</v>
      </c>
      <c r="L2135">
        <f>YEAR(Master_ventas[[#This Row],[Order Date]])</f>
        <v>2024</v>
      </c>
      <c r="M2135" t="str">
        <f>CONCATENATE(LEFT(Master_ventas[[#This Row],[ProdUpper]],3),RIGHT(Master_ventas[[#This Row],[Ext-Year]],2),"-",MID(Master_ventas[[#This Row],[Category]],1,1))</f>
        <v>MOU24-A</v>
      </c>
      <c r="N2135" t="str">
        <f>MID(Master_ventas[[#This Row],[ProdUpper]],1,3)</f>
        <v>MOU</v>
      </c>
      <c r="O2135" t="str">
        <f>UPPER(IF(Master_ventas[[#This Row],[Profit]]&gt;500,"High","Std"))</f>
        <v>STD</v>
      </c>
      <c r="P2135">
        <v>2134</v>
      </c>
    </row>
    <row r="2136" spans="1:16" x14ac:dyDescent="0.3">
      <c r="A2136" s="1">
        <v>44791</v>
      </c>
      <c r="B2136" t="s">
        <v>13</v>
      </c>
      <c r="C2136" t="s">
        <v>14</v>
      </c>
      <c r="D2136" t="s">
        <v>15</v>
      </c>
      <c r="E2136">
        <v>2</v>
      </c>
      <c r="F2136" s="3">
        <v>960</v>
      </c>
      <c r="G2136" s="2">
        <v>124.02</v>
      </c>
      <c r="H2136">
        <f>Master_ventas[[#This Row],[Profit]]/Master_ventas[[#This Row],[Sales]]</f>
        <v>0.12918749999999998</v>
      </c>
      <c r="I2136">
        <f ca="1">Referencia_Hoy-Master_ventas[[#This Row],[Order Date]]</f>
        <v>1532</v>
      </c>
      <c r="J2136" t="str">
        <f>UPPER(Master_ventas[[#This Row],[Product Name]])</f>
        <v>TABLET</v>
      </c>
      <c r="K2136" t="str">
        <f>UPPER(Master_ventas[[#This Row],[Category]])</f>
        <v>ELECTRONICS</v>
      </c>
      <c r="L2136">
        <f>YEAR(Master_ventas[[#This Row],[Order Date]])</f>
        <v>2022</v>
      </c>
      <c r="M2136" t="str">
        <f>CONCATENATE(LEFT(Master_ventas[[#This Row],[ProdUpper]],3),RIGHT(Master_ventas[[#This Row],[Ext-Year]],2),"-",MID(Master_ventas[[#This Row],[Category]],1,1))</f>
        <v>TAB22-E</v>
      </c>
      <c r="N2136" t="str">
        <f>MID(Master_ventas[[#This Row],[ProdUpper]],1,3)</f>
        <v>TAB</v>
      </c>
      <c r="O2136" t="str">
        <f>UPPER(IF(Master_ventas[[#This Row],[Profit]]&gt;500,"High","Std"))</f>
        <v>STD</v>
      </c>
      <c r="P2136">
        <v>2135</v>
      </c>
    </row>
    <row r="2137" spans="1:16" x14ac:dyDescent="0.3">
      <c r="A2137" s="1">
        <v>45354</v>
      </c>
      <c r="B2137" t="s">
        <v>21</v>
      </c>
      <c r="C2137" t="s">
        <v>14</v>
      </c>
      <c r="D2137" t="s">
        <v>16</v>
      </c>
      <c r="E2137">
        <v>9</v>
      </c>
      <c r="F2137" s="3">
        <v>5553</v>
      </c>
      <c r="G2137" s="2">
        <v>329.79</v>
      </c>
      <c r="H2137">
        <f>Master_ventas[[#This Row],[Profit]]/Master_ventas[[#This Row],[Sales]]</f>
        <v>5.9389519178822264E-2</v>
      </c>
      <c r="I2137">
        <f ca="1">Referencia_Hoy-Master_ventas[[#This Row],[Order Date]]</f>
        <v>969</v>
      </c>
      <c r="J2137" t="str">
        <f>UPPER(Master_ventas[[#This Row],[Product Name]])</f>
        <v>SMARTPHONE</v>
      </c>
      <c r="K2137" t="str">
        <f>UPPER(Master_ventas[[#This Row],[Category]])</f>
        <v>ELECTRONICS</v>
      </c>
      <c r="L2137">
        <f>YEAR(Master_ventas[[#This Row],[Order Date]])</f>
        <v>2024</v>
      </c>
      <c r="M2137" t="str">
        <f>CONCATENATE(LEFT(Master_ventas[[#This Row],[ProdUpper]],3),RIGHT(Master_ventas[[#This Row],[Ext-Year]],2),"-",MID(Master_ventas[[#This Row],[Category]],1,1))</f>
        <v>SMA24-E</v>
      </c>
      <c r="N2137" t="str">
        <f>MID(Master_ventas[[#This Row],[ProdUpper]],1,3)</f>
        <v>SMA</v>
      </c>
      <c r="O2137" t="str">
        <f>UPPER(IF(Master_ventas[[#This Row],[Profit]]&gt;500,"High","Std"))</f>
        <v>STD</v>
      </c>
      <c r="P2137">
        <v>2136</v>
      </c>
    </row>
    <row r="2138" spans="1:16" x14ac:dyDescent="0.3">
      <c r="A2138" s="1">
        <v>45179</v>
      </c>
      <c r="B2138" t="s">
        <v>22</v>
      </c>
      <c r="C2138" t="s">
        <v>11</v>
      </c>
      <c r="D2138" t="s">
        <v>9</v>
      </c>
      <c r="E2138">
        <v>2</v>
      </c>
      <c r="F2138" s="3">
        <v>1790</v>
      </c>
      <c r="G2138" s="2">
        <v>236.76</v>
      </c>
      <c r="H2138">
        <f>Master_ventas[[#This Row],[Profit]]/Master_ventas[[#This Row],[Sales]]</f>
        <v>0.13226815642458101</v>
      </c>
      <c r="I2138">
        <f ca="1">Referencia_Hoy-Master_ventas[[#This Row],[Order Date]]</f>
        <v>1144</v>
      </c>
      <c r="J2138" t="str">
        <f>UPPER(Master_ventas[[#This Row],[Product Name]])</f>
        <v>KEYBOARD</v>
      </c>
      <c r="K2138" t="str">
        <f>UPPER(Master_ventas[[#This Row],[Category]])</f>
        <v>ACCESSORIES</v>
      </c>
      <c r="L2138">
        <f>YEAR(Master_ventas[[#This Row],[Order Date]])</f>
        <v>2023</v>
      </c>
      <c r="M2138" t="str">
        <f>CONCATENATE(LEFT(Master_ventas[[#This Row],[ProdUpper]],3),RIGHT(Master_ventas[[#This Row],[Ext-Year]],2),"-",MID(Master_ventas[[#This Row],[Category]],1,1))</f>
        <v>KEY23-A</v>
      </c>
      <c r="N2138" t="str">
        <f>MID(Master_ventas[[#This Row],[ProdUpper]],1,3)</f>
        <v>KEY</v>
      </c>
      <c r="O2138" t="str">
        <f>UPPER(IF(Master_ventas[[#This Row],[Profit]]&gt;500,"High","Std"))</f>
        <v>STD</v>
      </c>
      <c r="P2138">
        <v>2137</v>
      </c>
    </row>
    <row r="2139" spans="1:16" x14ac:dyDescent="0.3">
      <c r="A2139" s="1">
        <v>45484</v>
      </c>
      <c r="B2139" t="s">
        <v>22</v>
      </c>
      <c r="C2139" t="s">
        <v>11</v>
      </c>
      <c r="D2139" t="s">
        <v>16</v>
      </c>
      <c r="E2139">
        <v>8</v>
      </c>
      <c r="F2139" s="3">
        <v>2712</v>
      </c>
      <c r="G2139" s="2">
        <v>247.84</v>
      </c>
      <c r="H2139">
        <f>Master_ventas[[#This Row],[Profit]]/Master_ventas[[#This Row],[Sales]]</f>
        <v>9.138643067846608E-2</v>
      </c>
      <c r="I2139">
        <f ca="1">Referencia_Hoy-Master_ventas[[#This Row],[Order Date]]</f>
        <v>839</v>
      </c>
      <c r="J2139" t="str">
        <f>UPPER(Master_ventas[[#This Row],[Product Name]])</f>
        <v>KEYBOARD</v>
      </c>
      <c r="K2139" t="str">
        <f>UPPER(Master_ventas[[#This Row],[Category]])</f>
        <v>ACCESSORIES</v>
      </c>
      <c r="L2139">
        <f>YEAR(Master_ventas[[#This Row],[Order Date]])</f>
        <v>2024</v>
      </c>
      <c r="M2139" t="str">
        <f>CONCATENATE(LEFT(Master_ventas[[#This Row],[ProdUpper]],3),RIGHT(Master_ventas[[#This Row],[Ext-Year]],2),"-",MID(Master_ventas[[#This Row],[Category]],1,1))</f>
        <v>KEY24-A</v>
      </c>
      <c r="N2139" t="str">
        <f>MID(Master_ventas[[#This Row],[ProdUpper]],1,3)</f>
        <v>KEY</v>
      </c>
      <c r="O2139" t="str">
        <f>UPPER(IF(Master_ventas[[#This Row],[Profit]]&gt;500,"High","Std"))</f>
        <v>STD</v>
      </c>
      <c r="P2139">
        <v>2138</v>
      </c>
    </row>
    <row r="2140" spans="1:16" x14ac:dyDescent="0.3">
      <c r="A2140" s="1">
        <v>45418</v>
      </c>
      <c r="B2140" t="s">
        <v>23</v>
      </c>
      <c r="C2140" t="s">
        <v>14</v>
      </c>
      <c r="D2140" t="s">
        <v>9</v>
      </c>
      <c r="E2140">
        <v>1</v>
      </c>
      <c r="F2140" s="3">
        <v>632</v>
      </c>
      <c r="G2140" s="2">
        <v>89.14</v>
      </c>
      <c r="H2140">
        <f>Master_ventas[[#This Row],[Profit]]/Master_ventas[[#This Row],[Sales]]</f>
        <v>0.14104430379746835</v>
      </c>
      <c r="I2140">
        <f ca="1">Referencia_Hoy-Master_ventas[[#This Row],[Order Date]]</f>
        <v>905</v>
      </c>
      <c r="J2140" t="str">
        <f>UPPER(Master_ventas[[#This Row],[Product Name]])</f>
        <v>LAPTOP</v>
      </c>
      <c r="K2140" t="str">
        <f>UPPER(Master_ventas[[#This Row],[Category]])</f>
        <v>ELECTRONICS</v>
      </c>
      <c r="L2140">
        <f>YEAR(Master_ventas[[#This Row],[Order Date]])</f>
        <v>2024</v>
      </c>
      <c r="M2140" t="str">
        <f>CONCATENATE(LEFT(Master_ventas[[#This Row],[ProdUpper]],3),RIGHT(Master_ventas[[#This Row],[Ext-Year]],2),"-",MID(Master_ventas[[#This Row],[Category]],1,1))</f>
        <v>LAP24-E</v>
      </c>
      <c r="N2140" t="str">
        <f>MID(Master_ventas[[#This Row],[ProdUpper]],1,3)</f>
        <v>LAP</v>
      </c>
      <c r="O2140" t="str">
        <f>UPPER(IF(Master_ventas[[#This Row],[Profit]]&gt;500,"High","Std"))</f>
        <v>STD</v>
      </c>
      <c r="P2140">
        <v>2139</v>
      </c>
    </row>
    <row r="2141" spans="1:16" x14ac:dyDescent="0.3">
      <c r="A2141" s="1">
        <v>44574</v>
      </c>
      <c r="B2141" t="s">
        <v>18</v>
      </c>
      <c r="C2141" t="s">
        <v>11</v>
      </c>
      <c r="D2141" t="s">
        <v>15</v>
      </c>
      <c r="E2141">
        <v>8</v>
      </c>
      <c r="F2141" s="3">
        <v>4904</v>
      </c>
      <c r="G2141" s="2">
        <v>520.74</v>
      </c>
      <c r="H2141">
        <f>Master_ventas[[#This Row],[Profit]]/Master_ventas[[#This Row],[Sales]]</f>
        <v>0.1061867862969005</v>
      </c>
      <c r="I2141">
        <f ca="1">Referencia_Hoy-Master_ventas[[#This Row],[Order Date]]</f>
        <v>1749</v>
      </c>
      <c r="J2141" t="str">
        <f>UPPER(Master_ventas[[#This Row],[Product Name]])</f>
        <v>HEADPHONES</v>
      </c>
      <c r="K2141" t="str">
        <f>UPPER(Master_ventas[[#This Row],[Category]])</f>
        <v>ACCESSORIES</v>
      </c>
      <c r="L2141">
        <f>YEAR(Master_ventas[[#This Row],[Order Date]])</f>
        <v>2022</v>
      </c>
      <c r="M2141" t="str">
        <f>CONCATENATE(LEFT(Master_ventas[[#This Row],[ProdUpper]],3),RIGHT(Master_ventas[[#This Row],[Ext-Year]],2),"-",MID(Master_ventas[[#This Row],[Category]],1,1))</f>
        <v>HEA22-A</v>
      </c>
      <c r="N2141" t="str">
        <f>MID(Master_ventas[[#This Row],[ProdUpper]],1,3)</f>
        <v>HEA</v>
      </c>
      <c r="O2141" t="str">
        <f>UPPER(IF(Master_ventas[[#This Row],[Profit]]&gt;500,"High","Std"))</f>
        <v>HIGH</v>
      </c>
      <c r="P2141">
        <v>2140</v>
      </c>
    </row>
    <row r="2142" spans="1:16" x14ac:dyDescent="0.3">
      <c r="A2142" s="1">
        <v>44900</v>
      </c>
      <c r="B2142" t="s">
        <v>22</v>
      </c>
      <c r="C2142" t="s">
        <v>11</v>
      </c>
      <c r="D2142" t="s">
        <v>15</v>
      </c>
      <c r="E2142">
        <v>1</v>
      </c>
      <c r="F2142" s="3">
        <v>361</v>
      </c>
      <c r="G2142" s="2">
        <v>58.8</v>
      </c>
      <c r="H2142">
        <f>Master_ventas[[#This Row],[Profit]]/Master_ventas[[#This Row],[Sales]]</f>
        <v>0.16288088642659279</v>
      </c>
      <c r="I2142">
        <f ca="1">Referencia_Hoy-Master_ventas[[#This Row],[Order Date]]</f>
        <v>1423</v>
      </c>
      <c r="J2142" t="str">
        <f>UPPER(Master_ventas[[#This Row],[Product Name]])</f>
        <v>KEYBOARD</v>
      </c>
      <c r="K2142" t="str">
        <f>UPPER(Master_ventas[[#This Row],[Category]])</f>
        <v>ACCESSORIES</v>
      </c>
      <c r="L2142">
        <f>YEAR(Master_ventas[[#This Row],[Order Date]])</f>
        <v>2022</v>
      </c>
      <c r="M2142" t="str">
        <f>CONCATENATE(LEFT(Master_ventas[[#This Row],[ProdUpper]],3),RIGHT(Master_ventas[[#This Row],[Ext-Year]],2),"-",MID(Master_ventas[[#This Row],[Category]],1,1))</f>
        <v>KEY22-A</v>
      </c>
      <c r="N2142" t="str">
        <f>MID(Master_ventas[[#This Row],[ProdUpper]],1,3)</f>
        <v>KEY</v>
      </c>
      <c r="O2142" t="str">
        <f>UPPER(IF(Master_ventas[[#This Row],[Profit]]&gt;500,"High","Std"))</f>
        <v>STD</v>
      </c>
      <c r="P2142">
        <v>2141</v>
      </c>
    </row>
    <row r="2143" spans="1:16" x14ac:dyDescent="0.3">
      <c r="A2143" s="1">
        <v>44603</v>
      </c>
      <c r="B2143" t="s">
        <v>7</v>
      </c>
      <c r="C2143" t="s">
        <v>8</v>
      </c>
      <c r="D2143" t="s">
        <v>16</v>
      </c>
      <c r="E2143">
        <v>9</v>
      </c>
      <c r="F2143" s="3">
        <v>7290</v>
      </c>
      <c r="G2143" s="2">
        <v>841.07</v>
      </c>
      <c r="H2143">
        <f>Master_ventas[[#This Row],[Profit]]/Master_ventas[[#This Row],[Sales]]</f>
        <v>0.11537311385459534</v>
      </c>
      <c r="I2143">
        <f ca="1">Referencia_Hoy-Master_ventas[[#This Row],[Order Date]]</f>
        <v>1720</v>
      </c>
      <c r="J2143" t="str">
        <f>UPPER(Master_ventas[[#This Row],[Product Name]])</f>
        <v>PRINTER</v>
      </c>
      <c r="K2143" t="str">
        <f>UPPER(Master_ventas[[#This Row],[Category]])</f>
        <v>OFFICE</v>
      </c>
      <c r="L2143">
        <f>YEAR(Master_ventas[[#This Row],[Order Date]])</f>
        <v>2022</v>
      </c>
      <c r="M2143" t="str">
        <f>CONCATENATE(LEFT(Master_ventas[[#This Row],[ProdUpper]],3),RIGHT(Master_ventas[[#This Row],[Ext-Year]],2),"-",MID(Master_ventas[[#This Row],[Category]],1,1))</f>
        <v>PRI22-O</v>
      </c>
      <c r="N2143" t="str">
        <f>MID(Master_ventas[[#This Row],[ProdUpper]],1,3)</f>
        <v>PRI</v>
      </c>
      <c r="O2143" t="str">
        <f>UPPER(IF(Master_ventas[[#This Row],[Profit]]&gt;500,"High","Std"))</f>
        <v>HIGH</v>
      </c>
      <c r="P2143">
        <v>2142</v>
      </c>
    </row>
    <row r="2144" spans="1:16" x14ac:dyDescent="0.3">
      <c r="A2144" s="1">
        <v>45359</v>
      </c>
      <c r="B2144" t="s">
        <v>19</v>
      </c>
      <c r="C2144" t="s">
        <v>14</v>
      </c>
      <c r="D2144" t="s">
        <v>15</v>
      </c>
      <c r="E2144">
        <v>4</v>
      </c>
      <c r="F2144" s="3">
        <v>2052</v>
      </c>
      <c r="G2144" s="2">
        <v>181.64</v>
      </c>
      <c r="H2144">
        <f>Master_ventas[[#This Row],[Profit]]/Master_ventas[[#This Row],[Sales]]</f>
        <v>8.851851851851851E-2</v>
      </c>
      <c r="I2144">
        <f ca="1">Referencia_Hoy-Master_ventas[[#This Row],[Order Date]]</f>
        <v>964</v>
      </c>
      <c r="J2144" t="str">
        <f>UPPER(Master_ventas[[#This Row],[Product Name]])</f>
        <v>SMARTWATCH</v>
      </c>
      <c r="K2144" t="str">
        <f>UPPER(Master_ventas[[#This Row],[Category]])</f>
        <v>ELECTRONICS</v>
      </c>
      <c r="L2144">
        <f>YEAR(Master_ventas[[#This Row],[Order Date]])</f>
        <v>2024</v>
      </c>
      <c r="M2144" t="str">
        <f>CONCATENATE(LEFT(Master_ventas[[#This Row],[ProdUpper]],3),RIGHT(Master_ventas[[#This Row],[Ext-Year]],2),"-",MID(Master_ventas[[#This Row],[Category]],1,1))</f>
        <v>SMA24-E</v>
      </c>
      <c r="N2144" t="str">
        <f>MID(Master_ventas[[#This Row],[ProdUpper]],1,3)</f>
        <v>SMA</v>
      </c>
      <c r="O2144" t="str">
        <f>UPPER(IF(Master_ventas[[#This Row],[Profit]]&gt;500,"High","Std"))</f>
        <v>STD</v>
      </c>
      <c r="P2144">
        <v>2143</v>
      </c>
    </row>
    <row r="2145" spans="1:16" x14ac:dyDescent="0.3">
      <c r="A2145" s="1">
        <v>45433</v>
      </c>
      <c r="B2145" t="s">
        <v>10</v>
      </c>
      <c r="C2145" t="s">
        <v>11</v>
      </c>
      <c r="D2145" t="s">
        <v>9</v>
      </c>
      <c r="E2145">
        <v>3</v>
      </c>
      <c r="F2145" s="3">
        <v>1842</v>
      </c>
      <c r="G2145" s="2">
        <v>112.85</v>
      </c>
      <c r="H2145">
        <f>Master_ventas[[#This Row],[Profit]]/Master_ventas[[#This Row],[Sales]]</f>
        <v>6.1264929424538539E-2</v>
      </c>
      <c r="I2145">
        <f ca="1">Referencia_Hoy-Master_ventas[[#This Row],[Order Date]]</f>
        <v>890</v>
      </c>
      <c r="J2145" t="str">
        <f>UPPER(Master_ventas[[#This Row],[Product Name]])</f>
        <v>MOUSE</v>
      </c>
      <c r="K2145" t="str">
        <f>UPPER(Master_ventas[[#This Row],[Category]])</f>
        <v>ACCESSORIES</v>
      </c>
      <c r="L2145">
        <f>YEAR(Master_ventas[[#This Row],[Order Date]])</f>
        <v>2024</v>
      </c>
      <c r="M2145" t="str">
        <f>CONCATENATE(LEFT(Master_ventas[[#This Row],[ProdUpper]],3),RIGHT(Master_ventas[[#This Row],[Ext-Year]],2),"-",MID(Master_ventas[[#This Row],[Category]],1,1))</f>
        <v>MOU24-A</v>
      </c>
      <c r="N2145" t="str">
        <f>MID(Master_ventas[[#This Row],[ProdUpper]],1,3)</f>
        <v>MOU</v>
      </c>
      <c r="O2145" t="str">
        <f>UPPER(IF(Master_ventas[[#This Row],[Profit]]&gt;500,"High","Std"))</f>
        <v>STD</v>
      </c>
      <c r="P2145">
        <v>2144</v>
      </c>
    </row>
    <row r="2146" spans="1:16" x14ac:dyDescent="0.3">
      <c r="A2146" s="1">
        <v>45266</v>
      </c>
      <c r="B2146" t="s">
        <v>10</v>
      </c>
      <c r="C2146" t="s">
        <v>11</v>
      </c>
      <c r="D2146" t="s">
        <v>9</v>
      </c>
      <c r="E2146">
        <v>9</v>
      </c>
      <c r="F2146" s="3">
        <v>10593</v>
      </c>
      <c r="G2146" s="2">
        <v>2488.69</v>
      </c>
      <c r="H2146">
        <f>Master_ventas[[#This Row],[Profit]]/Master_ventas[[#This Row],[Sales]]</f>
        <v>0.23493722269423203</v>
      </c>
      <c r="I2146">
        <f ca="1">Referencia_Hoy-Master_ventas[[#This Row],[Order Date]]</f>
        <v>1057</v>
      </c>
      <c r="J2146" t="str">
        <f>UPPER(Master_ventas[[#This Row],[Product Name]])</f>
        <v>MOUSE</v>
      </c>
      <c r="K2146" t="str">
        <f>UPPER(Master_ventas[[#This Row],[Category]])</f>
        <v>ACCESSORIES</v>
      </c>
      <c r="L2146">
        <f>YEAR(Master_ventas[[#This Row],[Order Date]])</f>
        <v>2023</v>
      </c>
      <c r="M2146" t="str">
        <f>CONCATENATE(LEFT(Master_ventas[[#This Row],[ProdUpper]],3),RIGHT(Master_ventas[[#This Row],[Ext-Year]],2),"-",MID(Master_ventas[[#This Row],[Category]],1,1))</f>
        <v>MOU23-A</v>
      </c>
      <c r="N2146" t="str">
        <f>MID(Master_ventas[[#This Row],[ProdUpper]],1,3)</f>
        <v>MOU</v>
      </c>
      <c r="O2146" t="str">
        <f>UPPER(IF(Master_ventas[[#This Row],[Profit]]&gt;500,"High","Std"))</f>
        <v>HIGH</v>
      </c>
      <c r="P2146">
        <v>2145</v>
      </c>
    </row>
    <row r="2147" spans="1:16" x14ac:dyDescent="0.3">
      <c r="A2147" s="1">
        <v>44801</v>
      </c>
      <c r="B2147" t="s">
        <v>17</v>
      </c>
      <c r="C2147" t="s">
        <v>14</v>
      </c>
      <c r="D2147" t="s">
        <v>15</v>
      </c>
      <c r="E2147">
        <v>6</v>
      </c>
      <c r="F2147" s="3">
        <v>1218</v>
      </c>
      <c r="G2147" s="2">
        <v>129.36000000000001</v>
      </c>
      <c r="H2147">
        <f>Master_ventas[[#This Row],[Profit]]/Master_ventas[[#This Row],[Sales]]</f>
        <v>0.10620689655172415</v>
      </c>
      <c r="I2147">
        <f ca="1">Referencia_Hoy-Master_ventas[[#This Row],[Order Date]]</f>
        <v>1522</v>
      </c>
      <c r="J2147" t="str">
        <f>UPPER(Master_ventas[[#This Row],[Product Name]])</f>
        <v>CAMERA</v>
      </c>
      <c r="K2147" t="str">
        <f>UPPER(Master_ventas[[#This Row],[Category]])</f>
        <v>ELECTRONICS</v>
      </c>
      <c r="L2147">
        <f>YEAR(Master_ventas[[#This Row],[Order Date]])</f>
        <v>2022</v>
      </c>
      <c r="M2147" t="str">
        <f>CONCATENATE(LEFT(Master_ventas[[#This Row],[ProdUpper]],3),RIGHT(Master_ventas[[#This Row],[Ext-Year]],2),"-",MID(Master_ventas[[#This Row],[Category]],1,1))</f>
        <v>CAM22-E</v>
      </c>
      <c r="N2147" t="str">
        <f>MID(Master_ventas[[#This Row],[ProdUpper]],1,3)</f>
        <v>CAM</v>
      </c>
      <c r="O2147" t="str">
        <f>UPPER(IF(Master_ventas[[#This Row],[Profit]]&gt;500,"High","Std"))</f>
        <v>STD</v>
      </c>
      <c r="P2147">
        <v>2146</v>
      </c>
    </row>
    <row r="2148" spans="1:16" x14ac:dyDescent="0.3">
      <c r="A2148" s="1">
        <v>45249</v>
      </c>
      <c r="B2148" t="s">
        <v>10</v>
      </c>
      <c r="C2148" t="s">
        <v>11</v>
      </c>
      <c r="D2148" t="s">
        <v>15</v>
      </c>
      <c r="E2148">
        <v>5</v>
      </c>
      <c r="F2148" s="3">
        <v>4240</v>
      </c>
      <c r="G2148" s="2">
        <v>426.41</v>
      </c>
      <c r="H2148">
        <f>Master_ventas[[#This Row],[Profit]]/Master_ventas[[#This Row],[Sales]]</f>
        <v>0.1005683962264151</v>
      </c>
      <c r="I2148">
        <f ca="1">Referencia_Hoy-Master_ventas[[#This Row],[Order Date]]</f>
        <v>1074</v>
      </c>
      <c r="J2148" t="str">
        <f>UPPER(Master_ventas[[#This Row],[Product Name]])</f>
        <v>MOUSE</v>
      </c>
      <c r="K2148" t="str">
        <f>UPPER(Master_ventas[[#This Row],[Category]])</f>
        <v>ACCESSORIES</v>
      </c>
      <c r="L2148">
        <f>YEAR(Master_ventas[[#This Row],[Order Date]])</f>
        <v>2023</v>
      </c>
      <c r="M2148" t="str">
        <f>CONCATENATE(LEFT(Master_ventas[[#This Row],[ProdUpper]],3),RIGHT(Master_ventas[[#This Row],[Ext-Year]],2),"-",MID(Master_ventas[[#This Row],[Category]],1,1))</f>
        <v>MOU23-A</v>
      </c>
      <c r="N2148" t="str">
        <f>MID(Master_ventas[[#This Row],[ProdUpper]],1,3)</f>
        <v>MOU</v>
      </c>
      <c r="O2148" t="str">
        <f>UPPER(IF(Master_ventas[[#This Row],[Profit]]&gt;500,"High","Std"))</f>
        <v>STD</v>
      </c>
      <c r="P2148">
        <v>2147</v>
      </c>
    </row>
    <row r="2149" spans="1:16" x14ac:dyDescent="0.3">
      <c r="A2149" s="1">
        <v>45594</v>
      </c>
      <c r="B2149" t="s">
        <v>22</v>
      </c>
      <c r="C2149" t="s">
        <v>11</v>
      </c>
      <c r="D2149" t="s">
        <v>12</v>
      </c>
      <c r="E2149">
        <v>2</v>
      </c>
      <c r="F2149" s="3">
        <v>226</v>
      </c>
      <c r="G2149" s="2">
        <v>38.520000000000003</v>
      </c>
      <c r="H2149">
        <f>Master_ventas[[#This Row],[Profit]]/Master_ventas[[#This Row],[Sales]]</f>
        <v>0.1704424778761062</v>
      </c>
      <c r="I2149">
        <f ca="1">Referencia_Hoy-Master_ventas[[#This Row],[Order Date]]</f>
        <v>729</v>
      </c>
      <c r="J2149" t="str">
        <f>UPPER(Master_ventas[[#This Row],[Product Name]])</f>
        <v>KEYBOARD</v>
      </c>
      <c r="K2149" t="str">
        <f>UPPER(Master_ventas[[#This Row],[Category]])</f>
        <v>ACCESSORIES</v>
      </c>
      <c r="L2149">
        <f>YEAR(Master_ventas[[#This Row],[Order Date]])</f>
        <v>2024</v>
      </c>
      <c r="M2149" t="str">
        <f>CONCATENATE(LEFT(Master_ventas[[#This Row],[ProdUpper]],3),RIGHT(Master_ventas[[#This Row],[Ext-Year]],2),"-",MID(Master_ventas[[#This Row],[Category]],1,1))</f>
        <v>KEY24-A</v>
      </c>
      <c r="N2149" t="str">
        <f>MID(Master_ventas[[#This Row],[ProdUpper]],1,3)</f>
        <v>KEY</v>
      </c>
      <c r="O2149" t="str">
        <f>UPPER(IF(Master_ventas[[#This Row],[Profit]]&gt;500,"High","Std"))</f>
        <v>STD</v>
      </c>
      <c r="P2149">
        <v>2148</v>
      </c>
    </row>
    <row r="2150" spans="1:16" x14ac:dyDescent="0.3">
      <c r="A2150" s="1">
        <v>44645</v>
      </c>
      <c r="B2150" t="s">
        <v>17</v>
      </c>
      <c r="C2150" t="s">
        <v>14</v>
      </c>
      <c r="D2150" t="s">
        <v>12</v>
      </c>
      <c r="E2150">
        <v>6</v>
      </c>
      <c r="F2150" s="3">
        <v>5154</v>
      </c>
      <c r="G2150" s="2">
        <v>1072.8</v>
      </c>
      <c r="H2150">
        <f>Master_ventas[[#This Row],[Profit]]/Master_ventas[[#This Row],[Sales]]</f>
        <v>0.20814901047729917</v>
      </c>
      <c r="I2150">
        <f ca="1">Referencia_Hoy-Master_ventas[[#This Row],[Order Date]]</f>
        <v>1678</v>
      </c>
      <c r="J2150" t="str">
        <f>UPPER(Master_ventas[[#This Row],[Product Name]])</f>
        <v>CAMERA</v>
      </c>
      <c r="K2150" t="str">
        <f>UPPER(Master_ventas[[#This Row],[Category]])</f>
        <v>ELECTRONICS</v>
      </c>
      <c r="L2150">
        <f>YEAR(Master_ventas[[#This Row],[Order Date]])</f>
        <v>2022</v>
      </c>
      <c r="M2150" t="str">
        <f>CONCATENATE(LEFT(Master_ventas[[#This Row],[ProdUpper]],3),RIGHT(Master_ventas[[#This Row],[Ext-Year]],2),"-",MID(Master_ventas[[#This Row],[Category]],1,1))</f>
        <v>CAM22-E</v>
      </c>
      <c r="N2150" t="str">
        <f>MID(Master_ventas[[#This Row],[ProdUpper]],1,3)</f>
        <v>CAM</v>
      </c>
      <c r="O2150" t="str">
        <f>UPPER(IF(Master_ventas[[#This Row],[Profit]]&gt;500,"High","Std"))</f>
        <v>HIGH</v>
      </c>
      <c r="P2150">
        <v>2149</v>
      </c>
    </row>
    <row r="2151" spans="1:16" x14ac:dyDescent="0.3">
      <c r="A2151" s="1">
        <v>45137</v>
      </c>
      <c r="B2151" t="s">
        <v>10</v>
      </c>
      <c r="C2151" t="s">
        <v>11</v>
      </c>
      <c r="D2151" t="s">
        <v>9</v>
      </c>
      <c r="E2151">
        <v>6</v>
      </c>
      <c r="F2151" s="3">
        <v>1236</v>
      </c>
      <c r="G2151" s="2">
        <v>304.88</v>
      </c>
      <c r="H2151">
        <f>Master_ventas[[#This Row],[Profit]]/Master_ventas[[#This Row],[Sales]]</f>
        <v>0.24666666666666667</v>
      </c>
      <c r="I2151">
        <f ca="1">Referencia_Hoy-Master_ventas[[#This Row],[Order Date]]</f>
        <v>1186</v>
      </c>
      <c r="J2151" t="str">
        <f>UPPER(Master_ventas[[#This Row],[Product Name]])</f>
        <v>MOUSE</v>
      </c>
      <c r="K2151" t="str">
        <f>UPPER(Master_ventas[[#This Row],[Category]])</f>
        <v>ACCESSORIES</v>
      </c>
      <c r="L2151">
        <f>YEAR(Master_ventas[[#This Row],[Order Date]])</f>
        <v>2023</v>
      </c>
      <c r="M2151" t="str">
        <f>CONCATENATE(LEFT(Master_ventas[[#This Row],[ProdUpper]],3),RIGHT(Master_ventas[[#This Row],[Ext-Year]],2),"-",MID(Master_ventas[[#This Row],[Category]],1,1))</f>
        <v>MOU23-A</v>
      </c>
      <c r="N2151" t="str">
        <f>MID(Master_ventas[[#This Row],[ProdUpper]],1,3)</f>
        <v>MOU</v>
      </c>
      <c r="O2151" t="str">
        <f>UPPER(IF(Master_ventas[[#This Row],[Profit]]&gt;500,"High","Std"))</f>
        <v>STD</v>
      </c>
      <c r="P2151">
        <v>2150</v>
      </c>
    </row>
    <row r="2152" spans="1:16" x14ac:dyDescent="0.3">
      <c r="A2152" s="1">
        <v>44879</v>
      </c>
      <c r="B2152" t="s">
        <v>13</v>
      </c>
      <c r="C2152" t="s">
        <v>14</v>
      </c>
      <c r="D2152" t="s">
        <v>15</v>
      </c>
      <c r="E2152">
        <v>1</v>
      </c>
      <c r="F2152" s="3">
        <v>1179</v>
      </c>
      <c r="G2152" s="2">
        <v>159.41999999999999</v>
      </c>
      <c r="H2152">
        <f>Master_ventas[[#This Row],[Profit]]/Master_ventas[[#This Row],[Sales]]</f>
        <v>0.13521628498727734</v>
      </c>
      <c r="I2152">
        <f ca="1">Referencia_Hoy-Master_ventas[[#This Row],[Order Date]]</f>
        <v>1444</v>
      </c>
      <c r="J2152" t="str">
        <f>UPPER(Master_ventas[[#This Row],[Product Name]])</f>
        <v>TABLET</v>
      </c>
      <c r="K2152" t="str">
        <f>UPPER(Master_ventas[[#This Row],[Category]])</f>
        <v>ELECTRONICS</v>
      </c>
      <c r="L2152">
        <f>YEAR(Master_ventas[[#This Row],[Order Date]])</f>
        <v>2022</v>
      </c>
      <c r="M2152" t="str">
        <f>CONCATENATE(LEFT(Master_ventas[[#This Row],[ProdUpper]],3),RIGHT(Master_ventas[[#This Row],[Ext-Year]],2),"-",MID(Master_ventas[[#This Row],[Category]],1,1))</f>
        <v>TAB22-E</v>
      </c>
      <c r="N2152" t="str">
        <f>MID(Master_ventas[[#This Row],[ProdUpper]],1,3)</f>
        <v>TAB</v>
      </c>
      <c r="O2152" t="str">
        <f>UPPER(IF(Master_ventas[[#This Row],[Profit]]&gt;500,"High","Std"))</f>
        <v>STD</v>
      </c>
      <c r="P2152">
        <v>2151</v>
      </c>
    </row>
    <row r="2153" spans="1:16" x14ac:dyDescent="0.3">
      <c r="A2153" s="1">
        <v>45655</v>
      </c>
      <c r="B2153" t="s">
        <v>7</v>
      </c>
      <c r="C2153" t="s">
        <v>8</v>
      </c>
      <c r="D2153" t="s">
        <v>16</v>
      </c>
      <c r="E2153">
        <v>5</v>
      </c>
      <c r="F2153" s="3">
        <v>2275</v>
      </c>
      <c r="G2153" s="2">
        <v>313.5</v>
      </c>
      <c r="H2153">
        <f>Master_ventas[[#This Row],[Profit]]/Master_ventas[[#This Row],[Sales]]</f>
        <v>0.1378021978021978</v>
      </c>
      <c r="I2153">
        <f ca="1">Referencia_Hoy-Master_ventas[[#This Row],[Order Date]]</f>
        <v>668</v>
      </c>
      <c r="J2153" t="str">
        <f>UPPER(Master_ventas[[#This Row],[Product Name]])</f>
        <v>PRINTER</v>
      </c>
      <c r="K2153" t="str">
        <f>UPPER(Master_ventas[[#This Row],[Category]])</f>
        <v>OFFICE</v>
      </c>
      <c r="L2153">
        <f>YEAR(Master_ventas[[#This Row],[Order Date]])</f>
        <v>2024</v>
      </c>
      <c r="M2153" t="str">
        <f>CONCATENATE(LEFT(Master_ventas[[#This Row],[ProdUpper]],3),RIGHT(Master_ventas[[#This Row],[Ext-Year]],2),"-",MID(Master_ventas[[#This Row],[Category]],1,1))</f>
        <v>PRI24-O</v>
      </c>
      <c r="N2153" t="str">
        <f>MID(Master_ventas[[#This Row],[ProdUpper]],1,3)</f>
        <v>PRI</v>
      </c>
      <c r="O2153" t="str">
        <f>UPPER(IF(Master_ventas[[#This Row],[Profit]]&gt;500,"High","Std"))</f>
        <v>STD</v>
      </c>
      <c r="P2153">
        <v>2152</v>
      </c>
    </row>
    <row r="2154" spans="1:16" x14ac:dyDescent="0.3">
      <c r="A2154" s="1">
        <v>45067</v>
      </c>
      <c r="B2154" t="s">
        <v>19</v>
      </c>
      <c r="C2154" t="s">
        <v>14</v>
      </c>
      <c r="D2154" t="s">
        <v>9</v>
      </c>
      <c r="E2154">
        <v>7</v>
      </c>
      <c r="F2154" s="3">
        <v>6188</v>
      </c>
      <c r="G2154" s="2">
        <v>1231.3</v>
      </c>
      <c r="H2154">
        <f>Master_ventas[[#This Row],[Profit]]/Master_ventas[[#This Row],[Sales]]</f>
        <v>0.19898190045248867</v>
      </c>
      <c r="I2154">
        <f ca="1">Referencia_Hoy-Master_ventas[[#This Row],[Order Date]]</f>
        <v>1256</v>
      </c>
      <c r="J2154" t="str">
        <f>UPPER(Master_ventas[[#This Row],[Product Name]])</f>
        <v>SMARTWATCH</v>
      </c>
      <c r="K2154" t="str">
        <f>UPPER(Master_ventas[[#This Row],[Category]])</f>
        <v>ELECTRONICS</v>
      </c>
      <c r="L2154">
        <f>YEAR(Master_ventas[[#This Row],[Order Date]])</f>
        <v>2023</v>
      </c>
      <c r="M2154" t="str">
        <f>CONCATENATE(LEFT(Master_ventas[[#This Row],[ProdUpper]],3),RIGHT(Master_ventas[[#This Row],[Ext-Year]],2),"-",MID(Master_ventas[[#This Row],[Category]],1,1))</f>
        <v>SMA23-E</v>
      </c>
      <c r="N2154" t="str">
        <f>MID(Master_ventas[[#This Row],[ProdUpper]],1,3)</f>
        <v>SMA</v>
      </c>
      <c r="O2154" t="str">
        <f>UPPER(IF(Master_ventas[[#This Row],[Profit]]&gt;500,"High","Std"))</f>
        <v>HIGH</v>
      </c>
      <c r="P2154">
        <v>2153</v>
      </c>
    </row>
    <row r="2155" spans="1:16" x14ac:dyDescent="0.3">
      <c r="A2155" s="1">
        <v>45276</v>
      </c>
      <c r="B2155" t="s">
        <v>18</v>
      </c>
      <c r="C2155" t="s">
        <v>11</v>
      </c>
      <c r="D2155" t="s">
        <v>16</v>
      </c>
      <c r="E2155">
        <v>3</v>
      </c>
      <c r="F2155" s="3">
        <v>2946</v>
      </c>
      <c r="G2155" s="2">
        <v>666.99</v>
      </c>
      <c r="H2155">
        <f>Master_ventas[[#This Row],[Profit]]/Master_ventas[[#This Row],[Sales]]</f>
        <v>0.22640529531568229</v>
      </c>
      <c r="I2155">
        <f ca="1">Referencia_Hoy-Master_ventas[[#This Row],[Order Date]]</f>
        <v>1047</v>
      </c>
      <c r="J2155" t="str">
        <f>UPPER(Master_ventas[[#This Row],[Product Name]])</f>
        <v>HEADPHONES</v>
      </c>
      <c r="K2155" t="str">
        <f>UPPER(Master_ventas[[#This Row],[Category]])</f>
        <v>ACCESSORIES</v>
      </c>
      <c r="L2155">
        <f>YEAR(Master_ventas[[#This Row],[Order Date]])</f>
        <v>2023</v>
      </c>
      <c r="M2155" t="str">
        <f>CONCATENATE(LEFT(Master_ventas[[#This Row],[ProdUpper]],3),RIGHT(Master_ventas[[#This Row],[Ext-Year]],2),"-",MID(Master_ventas[[#This Row],[Category]],1,1))</f>
        <v>HEA23-A</v>
      </c>
      <c r="N2155" t="str">
        <f>MID(Master_ventas[[#This Row],[ProdUpper]],1,3)</f>
        <v>HEA</v>
      </c>
      <c r="O2155" t="str">
        <f>UPPER(IF(Master_ventas[[#This Row],[Profit]]&gt;500,"High","Std"))</f>
        <v>HIGH</v>
      </c>
      <c r="P2155">
        <v>2154</v>
      </c>
    </row>
    <row r="2156" spans="1:16" x14ac:dyDescent="0.3">
      <c r="A2156" s="1">
        <v>45179</v>
      </c>
      <c r="B2156" t="s">
        <v>18</v>
      </c>
      <c r="C2156" t="s">
        <v>11</v>
      </c>
      <c r="D2156" t="s">
        <v>15</v>
      </c>
      <c r="E2156">
        <v>5</v>
      </c>
      <c r="F2156" s="3">
        <v>5085</v>
      </c>
      <c r="G2156" s="2">
        <v>1172.1199999999999</v>
      </c>
      <c r="H2156">
        <f>Master_ventas[[#This Row],[Profit]]/Master_ventas[[#This Row],[Sales]]</f>
        <v>0.23050540806293016</v>
      </c>
      <c r="I2156">
        <f ca="1">Referencia_Hoy-Master_ventas[[#This Row],[Order Date]]</f>
        <v>1144</v>
      </c>
      <c r="J2156" t="str">
        <f>UPPER(Master_ventas[[#This Row],[Product Name]])</f>
        <v>HEADPHONES</v>
      </c>
      <c r="K2156" t="str">
        <f>UPPER(Master_ventas[[#This Row],[Category]])</f>
        <v>ACCESSORIES</v>
      </c>
      <c r="L2156">
        <f>YEAR(Master_ventas[[#This Row],[Order Date]])</f>
        <v>2023</v>
      </c>
      <c r="M2156" t="str">
        <f>CONCATENATE(LEFT(Master_ventas[[#This Row],[ProdUpper]],3),RIGHT(Master_ventas[[#This Row],[Ext-Year]],2),"-",MID(Master_ventas[[#This Row],[Category]],1,1))</f>
        <v>HEA23-A</v>
      </c>
      <c r="N2156" t="str">
        <f>MID(Master_ventas[[#This Row],[ProdUpper]],1,3)</f>
        <v>HEA</v>
      </c>
      <c r="O2156" t="str">
        <f>UPPER(IF(Master_ventas[[#This Row],[Profit]]&gt;500,"High","Std"))</f>
        <v>HIGH</v>
      </c>
      <c r="P2156">
        <v>2155</v>
      </c>
    </row>
    <row r="2157" spans="1:16" x14ac:dyDescent="0.3">
      <c r="A2157" s="1">
        <v>44683</v>
      </c>
      <c r="B2157" t="s">
        <v>22</v>
      </c>
      <c r="C2157" t="s">
        <v>11</v>
      </c>
      <c r="D2157" t="s">
        <v>9</v>
      </c>
      <c r="E2157">
        <v>2</v>
      </c>
      <c r="F2157" s="3">
        <v>712</v>
      </c>
      <c r="G2157" s="2">
        <v>205.53</v>
      </c>
      <c r="H2157">
        <f>Master_ventas[[#This Row],[Profit]]/Master_ventas[[#This Row],[Sales]]</f>
        <v>0.28866573033707865</v>
      </c>
      <c r="I2157">
        <f ca="1">Referencia_Hoy-Master_ventas[[#This Row],[Order Date]]</f>
        <v>1640</v>
      </c>
      <c r="J2157" t="str">
        <f>UPPER(Master_ventas[[#This Row],[Product Name]])</f>
        <v>KEYBOARD</v>
      </c>
      <c r="K2157" t="str">
        <f>UPPER(Master_ventas[[#This Row],[Category]])</f>
        <v>ACCESSORIES</v>
      </c>
      <c r="L2157">
        <f>YEAR(Master_ventas[[#This Row],[Order Date]])</f>
        <v>2022</v>
      </c>
      <c r="M2157" t="str">
        <f>CONCATENATE(LEFT(Master_ventas[[#This Row],[ProdUpper]],3),RIGHT(Master_ventas[[#This Row],[Ext-Year]],2),"-",MID(Master_ventas[[#This Row],[Category]],1,1))</f>
        <v>KEY22-A</v>
      </c>
      <c r="N2157" t="str">
        <f>MID(Master_ventas[[#This Row],[ProdUpper]],1,3)</f>
        <v>KEY</v>
      </c>
      <c r="O2157" t="str">
        <f>UPPER(IF(Master_ventas[[#This Row],[Profit]]&gt;500,"High","Std"))</f>
        <v>STD</v>
      </c>
      <c r="P2157">
        <v>2156</v>
      </c>
    </row>
    <row r="2158" spans="1:16" x14ac:dyDescent="0.3">
      <c r="A2158" s="1">
        <v>44960</v>
      </c>
      <c r="B2158" t="s">
        <v>19</v>
      </c>
      <c r="C2158" t="s">
        <v>14</v>
      </c>
      <c r="D2158" t="s">
        <v>12</v>
      </c>
      <c r="E2158">
        <v>6</v>
      </c>
      <c r="F2158" s="3">
        <v>648</v>
      </c>
      <c r="G2158" s="2">
        <v>62.25</v>
      </c>
      <c r="H2158">
        <f>Master_ventas[[#This Row],[Profit]]/Master_ventas[[#This Row],[Sales]]</f>
        <v>9.6064814814814811E-2</v>
      </c>
      <c r="I2158">
        <f ca="1">Referencia_Hoy-Master_ventas[[#This Row],[Order Date]]</f>
        <v>1363</v>
      </c>
      <c r="J2158" t="str">
        <f>UPPER(Master_ventas[[#This Row],[Product Name]])</f>
        <v>SMARTWATCH</v>
      </c>
      <c r="K2158" t="str">
        <f>UPPER(Master_ventas[[#This Row],[Category]])</f>
        <v>ELECTRONICS</v>
      </c>
      <c r="L2158">
        <f>YEAR(Master_ventas[[#This Row],[Order Date]])</f>
        <v>2023</v>
      </c>
      <c r="M2158" t="str">
        <f>CONCATENATE(LEFT(Master_ventas[[#This Row],[ProdUpper]],3),RIGHT(Master_ventas[[#This Row],[Ext-Year]],2),"-",MID(Master_ventas[[#This Row],[Category]],1,1))</f>
        <v>SMA23-E</v>
      </c>
      <c r="N2158" t="str">
        <f>MID(Master_ventas[[#This Row],[ProdUpper]],1,3)</f>
        <v>SMA</v>
      </c>
      <c r="O2158" t="str">
        <f>UPPER(IF(Master_ventas[[#This Row],[Profit]]&gt;500,"High","Std"))</f>
        <v>STD</v>
      </c>
      <c r="P2158">
        <v>2157</v>
      </c>
    </row>
    <row r="2159" spans="1:16" x14ac:dyDescent="0.3">
      <c r="A2159" s="1">
        <v>44959</v>
      </c>
      <c r="B2159" t="s">
        <v>10</v>
      </c>
      <c r="C2159" t="s">
        <v>11</v>
      </c>
      <c r="D2159" t="s">
        <v>9</v>
      </c>
      <c r="E2159">
        <v>5</v>
      </c>
      <c r="F2159" s="3">
        <v>2735</v>
      </c>
      <c r="G2159" s="2">
        <v>483.2</v>
      </c>
      <c r="H2159">
        <f>Master_ventas[[#This Row],[Profit]]/Master_ventas[[#This Row],[Sales]]</f>
        <v>0.17667276051188299</v>
      </c>
      <c r="I2159">
        <f ca="1">Referencia_Hoy-Master_ventas[[#This Row],[Order Date]]</f>
        <v>1364</v>
      </c>
      <c r="J2159" t="str">
        <f>UPPER(Master_ventas[[#This Row],[Product Name]])</f>
        <v>MOUSE</v>
      </c>
      <c r="K2159" t="str">
        <f>UPPER(Master_ventas[[#This Row],[Category]])</f>
        <v>ACCESSORIES</v>
      </c>
      <c r="L2159">
        <f>YEAR(Master_ventas[[#This Row],[Order Date]])</f>
        <v>2023</v>
      </c>
      <c r="M2159" t="str">
        <f>CONCATENATE(LEFT(Master_ventas[[#This Row],[ProdUpper]],3),RIGHT(Master_ventas[[#This Row],[Ext-Year]],2),"-",MID(Master_ventas[[#This Row],[Category]],1,1))</f>
        <v>MOU23-A</v>
      </c>
      <c r="N2159" t="str">
        <f>MID(Master_ventas[[#This Row],[ProdUpper]],1,3)</f>
        <v>MOU</v>
      </c>
      <c r="O2159" t="str">
        <f>UPPER(IF(Master_ventas[[#This Row],[Profit]]&gt;500,"High","Std"))</f>
        <v>STD</v>
      </c>
      <c r="P2159">
        <v>2158</v>
      </c>
    </row>
    <row r="2160" spans="1:16" x14ac:dyDescent="0.3">
      <c r="A2160" s="1">
        <v>44921</v>
      </c>
      <c r="B2160" t="s">
        <v>7</v>
      </c>
      <c r="C2160" t="s">
        <v>8</v>
      </c>
      <c r="D2160" t="s">
        <v>9</v>
      </c>
      <c r="E2160">
        <v>6</v>
      </c>
      <c r="F2160" s="3">
        <v>2910</v>
      </c>
      <c r="G2160" s="2">
        <v>173.45</v>
      </c>
      <c r="H2160">
        <f>Master_ventas[[#This Row],[Profit]]/Master_ventas[[#This Row],[Sales]]</f>
        <v>5.9604810996563569E-2</v>
      </c>
      <c r="I2160">
        <f ca="1">Referencia_Hoy-Master_ventas[[#This Row],[Order Date]]</f>
        <v>1402</v>
      </c>
      <c r="J2160" t="str">
        <f>UPPER(Master_ventas[[#This Row],[Product Name]])</f>
        <v>PRINTER</v>
      </c>
      <c r="K2160" t="str">
        <f>UPPER(Master_ventas[[#This Row],[Category]])</f>
        <v>OFFICE</v>
      </c>
      <c r="L2160">
        <f>YEAR(Master_ventas[[#This Row],[Order Date]])</f>
        <v>2022</v>
      </c>
      <c r="M2160" t="str">
        <f>CONCATENATE(LEFT(Master_ventas[[#This Row],[ProdUpper]],3),RIGHT(Master_ventas[[#This Row],[Ext-Year]],2),"-",MID(Master_ventas[[#This Row],[Category]],1,1))</f>
        <v>PRI22-O</v>
      </c>
      <c r="N2160" t="str">
        <f>MID(Master_ventas[[#This Row],[ProdUpper]],1,3)</f>
        <v>PRI</v>
      </c>
      <c r="O2160" t="str">
        <f>UPPER(IF(Master_ventas[[#This Row],[Profit]]&gt;500,"High","Std"))</f>
        <v>STD</v>
      </c>
      <c r="P2160">
        <v>2159</v>
      </c>
    </row>
    <row r="2161" spans="1:16" x14ac:dyDescent="0.3">
      <c r="A2161" s="1">
        <v>44696</v>
      </c>
      <c r="B2161" t="s">
        <v>19</v>
      </c>
      <c r="C2161" t="s">
        <v>14</v>
      </c>
      <c r="D2161" t="s">
        <v>15</v>
      </c>
      <c r="E2161">
        <v>1</v>
      </c>
      <c r="F2161" s="3">
        <v>263</v>
      </c>
      <c r="G2161" s="2">
        <v>69.39</v>
      </c>
      <c r="H2161">
        <f>Master_ventas[[#This Row],[Profit]]/Master_ventas[[#This Row],[Sales]]</f>
        <v>0.26384030418250953</v>
      </c>
      <c r="I2161">
        <f ca="1">Referencia_Hoy-Master_ventas[[#This Row],[Order Date]]</f>
        <v>1627</v>
      </c>
      <c r="J2161" t="str">
        <f>UPPER(Master_ventas[[#This Row],[Product Name]])</f>
        <v>SMARTWATCH</v>
      </c>
      <c r="K2161" t="str">
        <f>UPPER(Master_ventas[[#This Row],[Category]])</f>
        <v>ELECTRONICS</v>
      </c>
      <c r="L2161">
        <f>YEAR(Master_ventas[[#This Row],[Order Date]])</f>
        <v>2022</v>
      </c>
      <c r="M2161" t="str">
        <f>CONCATENATE(LEFT(Master_ventas[[#This Row],[ProdUpper]],3),RIGHT(Master_ventas[[#This Row],[Ext-Year]],2),"-",MID(Master_ventas[[#This Row],[Category]],1,1))</f>
        <v>SMA22-E</v>
      </c>
      <c r="N2161" t="str">
        <f>MID(Master_ventas[[#This Row],[ProdUpper]],1,3)</f>
        <v>SMA</v>
      </c>
      <c r="O2161" t="str">
        <f>UPPER(IF(Master_ventas[[#This Row],[Profit]]&gt;500,"High","Std"))</f>
        <v>STD</v>
      </c>
      <c r="P2161">
        <v>2160</v>
      </c>
    </row>
    <row r="2162" spans="1:16" x14ac:dyDescent="0.3">
      <c r="A2162" s="1">
        <v>45265</v>
      </c>
      <c r="B2162" t="s">
        <v>21</v>
      </c>
      <c r="C2162" t="s">
        <v>14</v>
      </c>
      <c r="D2162" t="s">
        <v>9</v>
      </c>
      <c r="E2162">
        <v>2</v>
      </c>
      <c r="F2162" s="3">
        <v>876</v>
      </c>
      <c r="G2162" s="2">
        <v>66.680000000000007</v>
      </c>
      <c r="H2162">
        <f>Master_ventas[[#This Row],[Profit]]/Master_ventas[[#This Row],[Sales]]</f>
        <v>7.6118721461187228E-2</v>
      </c>
      <c r="I2162">
        <f ca="1">Referencia_Hoy-Master_ventas[[#This Row],[Order Date]]</f>
        <v>1058</v>
      </c>
      <c r="J2162" t="str">
        <f>UPPER(Master_ventas[[#This Row],[Product Name]])</f>
        <v>SMARTPHONE</v>
      </c>
      <c r="K2162" t="str">
        <f>UPPER(Master_ventas[[#This Row],[Category]])</f>
        <v>ELECTRONICS</v>
      </c>
      <c r="L2162">
        <f>YEAR(Master_ventas[[#This Row],[Order Date]])</f>
        <v>2023</v>
      </c>
      <c r="M2162" t="str">
        <f>CONCATENATE(LEFT(Master_ventas[[#This Row],[ProdUpper]],3),RIGHT(Master_ventas[[#This Row],[Ext-Year]],2),"-",MID(Master_ventas[[#This Row],[Category]],1,1))</f>
        <v>SMA23-E</v>
      </c>
      <c r="N2162" t="str">
        <f>MID(Master_ventas[[#This Row],[ProdUpper]],1,3)</f>
        <v>SMA</v>
      </c>
      <c r="O2162" t="str">
        <f>UPPER(IF(Master_ventas[[#This Row],[Profit]]&gt;500,"High","Std"))</f>
        <v>STD</v>
      </c>
      <c r="P2162">
        <v>2161</v>
      </c>
    </row>
    <row r="2163" spans="1:16" x14ac:dyDescent="0.3">
      <c r="A2163" s="1">
        <v>45235</v>
      </c>
      <c r="B2163" t="s">
        <v>10</v>
      </c>
      <c r="C2163" t="s">
        <v>11</v>
      </c>
      <c r="D2163" t="s">
        <v>16</v>
      </c>
      <c r="E2163">
        <v>1</v>
      </c>
      <c r="F2163" s="3">
        <v>913</v>
      </c>
      <c r="G2163" s="2">
        <v>162.24</v>
      </c>
      <c r="H2163">
        <f>Master_ventas[[#This Row],[Profit]]/Master_ventas[[#This Row],[Sales]]</f>
        <v>0.17769989047097481</v>
      </c>
      <c r="I2163">
        <f ca="1">Referencia_Hoy-Master_ventas[[#This Row],[Order Date]]</f>
        <v>1088</v>
      </c>
      <c r="J2163" t="str">
        <f>UPPER(Master_ventas[[#This Row],[Product Name]])</f>
        <v>MOUSE</v>
      </c>
      <c r="K2163" t="str">
        <f>UPPER(Master_ventas[[#This Row],[Category]])</f>
        <v>ACCESSORIES</v>
      </c>
      <c r="L2163">
        <f>YEAR(Master_ventas[[#This Row],[Order Date]])</f>
        <v>2023</v>
      </c>
      <c r="M2163" t="str">
        <f>CONCATENATE(LEFT(Master_ventas[[#This Row],[ProdUpper]],3),RIGHT(Master_ventas[[#This Row],[Ext-Year]],2),"-",MID(Master_ventas[[#This Row],[Category]],1,1))</f>
        <v>MOU23-A</v>
      </c>
      <c r="N2163" t="str">
        <f>MID(Master_ventas[[#This Row],[ProdUpper]],1,3)</f>
        <v>MOU</v>
      </c>
      <c r="O2163" t="str">
        <f>UPPER(IF(Master_ventas[[#This Row],[Profit]]&gt;500,"High","Std"))</f>
        <v>STD</v>
      </c>
      <c r="P2163">
        <v>2162</v>
      </c>
    </row>
    <row r="2164" spans="1:16" x14ac:dyDescent="0.3">
      <c r="A2164" s="1">
        <v>45578</v>
      </c>
      <c r="B2164" t="s">
        <v>23</v>
      </c>
      <c r="C2164" t="s">
        <v>14</v>
      </c>
      <c r="D2164" t="s">
        <v>15</v>
      </c>
      <c r="E2164">
        <v>9</v>
      </c>
      <c r="F2164" s="3">
        <v>594</v>
      </c>
      <c r="G2164" s="2">
        <v>93.92</v>
      </c>
      <c r="H2164">
        <f>Master_ventas[[#This Row],[Profit]]/Master_ventas[[#This Row],[Sales]]</f>
        <v>0.15811447811447812</v>
      </c>
      <c r="I2164">
        <f ca="1">Referencia_Hoy-Master_ventas[[#This Row],[Order Date]]</f>
        <v>745</v>
      </c>
      <c r="J2164" t="str">
        <f>UPPER(Master_ventas[[#This Row],[Product Name]])</f>
        <v>LAPTOP</v>
      </c>
      <c r="K2164" t="str">
        <f>UPPER(Master_ventas[[#This Row],[Category]])</f>
        <v>ELECTRONICS</v>
      </c>
      <c r="L2164">
        <f>YEAR(Master_ventas[[#This Row],[Order Date]])</f>
        <v>2024</v>
      </c>
      <c r="M2164" t="str">
        <f>CONCATENATE(LEFT(Master_ventas[[#This Row],[ProdUpper]],3),RIGHT(Master_ventas[[#This Row],[Ext-Year]],2),"-",MID(Master_ventas[[#This Row],[Category]],1,1))</f>
        <v>LAP24-E</v>
      </c>
      <c r="N2164" t="str">
        <f>MID(Master_ventas[[#This Row],[ProdUpper]],1,3)</f>
        <v>LAP</v>
      </c>
      <c r="O2164" t="str">
        <f>UPPER(IF(Master_ventas[[#This Row],[Profit]]&gt;500,"High","Std"))</f>
        <v>STD</v>
      </c>
      <c r="P2164">
        <v>2163</v>
      </c>
    </row>
    <row r="2165" spans="1:16" x14ac:dyDescent="0.3">
      <c r="A2165" s="1">
        <v>44619</v>
      </c>
      <c r="B2165" t="s">
        <v>18</v>
      </c>
      <c r="C2165" t="s">
        <v>11</v>
      </c>
      <c r="D2165" t="s">
        <v>15</v>
      </c>
      <c r="E2165">
        <v>2</v>
      </c>
      <c r="F2165" s="3">
        <v>956</v>
      </c>
      <c r="G2165" s="2">
        <v>202.14</v>
      </c>
      <c r="H2165">
        <f>Master_ventas[[#This Row],[Profit]]/Master_ventas[[#This Row],[Sales]]</f>
        <v>0.21144351464435146</v>
      </c>
      <c r="I2165">
        <f ca="1">Referencia_Hoy-Master_ventas[[#This Row],[Order Date]]</f>
        <v>1704</v>
      </c>
      <c r="J2165" t="str">
        <f>UPPER(Master_ventas[[#This Row],[Product Name]])</f>
        <v>HEADPHONES</v>
      </c>
      <c r="K2165" t="str">
        <f>UPPER(Master_ventas[[#This Row],[Category]])</f>
        <v>ACCESSORIES</v>
      </c>
      <c r="L2165">
        <f>YEAR(Master_ventas[[#This Row],[Order Date]])</f>
        <v>2022</v>
      </c>
      <c r="M2165" t="str">
        <f>CONCATENATE(LEFT(Master_ventas[[#This Row],[ProdUpper]],3),RIGHT(Master_ventas[[#This Row],[Ext-Year]],2),"-",MID(Master_ventas[[#This Row],[Category]],1,1))</f>
        <v>HEA22-A</v>
      </c>
      <c r="N2165" t="str">
        <f>MID(Master_ventas[[#This Row],[ProdUpper]],1,3)</f>
        <v>HEA</v>
      </c>
      <c r="O2165" t="str">
        <f>UPPER(IF(Master_ventas[[#This Row],[Profit]]&gt;500,"High","Std"))</f>
        <v>STD</v>
      </c>
      <c r="P2165">
        <v>2164</v>
      </c>
    </row>
    <row r="2166" spans="1:16" x14ac:dyDescent="0.3">
      <c r="A2166" s="1">
        <v>45460</v>
      </c>
      <c r="B2166" t="s">
        <v>23</v>
      </c>
      <c r="C2166" t="s">
        <v>14</v>
      </c>
      <c r="D2166" t="s">
        <v>12</v>
      </c>
      <c r="E2166">
        <v>7</v>
      </c>
      <c r="F2166" s="3">
        <v>7301</v>
      </c>
      <c r="G2166" s="2">
        <v>2026.43</v>
      </c>
      <c r="H2166">
        <f>Master_ventas[[#This Row],[Profit]]/Master_ventas[[#This Row],[Sales]]</f>
        <v>0.27755512943432409</v>
      </c>
      <c r="I2166">
        <f ca="1">Referencia_Hoy-Master_ventas[[#This Row],[Order Date]]</f>
        <v>863</v>
      </c>
      <c r="J2166" t="str">
        <f>UPPER(Master_ventas[[#This Row],[Product Name]])</f>
        <v>LAPTOP</v>
      </c>
      <c r="K2166" t="str">
        <f>UPPER(Master_ventas[[#This Row],[Category]])</f>
        <v>ELECTRONICS</v>
      </c>
      <c r="L2166">
        <f>YEAR(Master_ventas[[#This Row],[Order Date]])</f>
        <v>2024</v>
      </c>
      <c r="M2166" t="str">
        <f>CONCATENATE(LEFT(Master_ventas[[#This Row],[ProdUpper]],3),RIGHT(Master_ventas[[#This Row],[Ext-Year]],2),"-",MID(Master_ventas[[#This Row],[Category]],1,1))</f>
        <v>LAP24-E</v>
      </c>
      <c r="N2166" t="str">
        <f>MID(Master_ventas[[#This Row],[ProdUpper]],1,3)</f>
        <v>LAP</v>
      </c>
      <c r="O2166" t="str">
        <f>UPPER(IF(Master_ventas[[#This Row],[Profit]]&gt;500,"High","Std"))</f>
        <v>HIGH</v>
      </c>
      <c r="P2166">
        <v>2165</v>
      </c>
    </row>
    <row r="2167" spans="1:16" x14ac:dyDescent="0.3">
      <c r="A2167" s="1">
        <v>45060</v>
      </c>
      <c r="B2167" t="s">
        <v>18</v>
      </c>
      <c r="C2167" t="s">
        <v>11</v>
      </c>
      <c r="D2167" t="s">
        <v>15</v>
      </c>
      <c r="E2167">
        <v>6</v>
      </c>
      <c r="F2167" s="3">
        <v>5754</v>
      </c>
      <c r="G2167" s="2">
        <v>1628.61</v>
      </c>
      <c r="H2167">
        <f>Master_ventas[[#This Row],[Profit]]/Master_ventas[[#This Row],[Sales]]</f>
        <v>0.28303962460896764</v>
      </c>
      <c r="I2167">
        <f ca="1">Referencia_Hoy-Master_ventas[[#This Row],[Order Date]]</f>
        <v>1263</v>
      </c>
      <c r="J2167" t="str">
        <f>UPPER(Master_ventas[[#This Row],[Product Name]])</f>
        <v>HEADPHONES</v>
      </c>
      <c r="K2167" t="str">
        <f>UPPER(Master_ventas[[#This Row],[Category]])</f>
        <v>ACCESSORIES</v>
      </c>
      <c r="L2167">
        <f>YEAR(Master_ventas[[#This Row],[Order Date]])</f>
        <v>2023</v>
      </c>
      <c r="M2167" t="str">
        <f>CONCATENATE(LEFT(Master_ventas[[#This Row],[ProdUpper]],3),RIGHT(Master_ventas[[#This Row],[Ext-Year]],2),"-",MID(Master_ventas[[#This Row],[Category]],1,1))</f>
        <v>HEA23-A</v>
      </c>
      <c r="N2167" t="str">
        <f>MID(Master_ventas[[#This Row],[ProdUpper]],1,3)</f>
        <v>HEA</v>
      </c>
      <c r="O2167" t="str">
        <f>UPPER(IF(Master_ventas[[#This Row],[Profit]]&gt;500,"High","Std"))</f>
        <v>HIGH</v>
      </c>
      <c r="P2167">
        <v>2166</v>
      </c>
    </row>
    <row r="2168" spans="1:16" x14ac:dyDescent="0.3">
      <c r="A2168" s="1">
        <v>44733</v>
      </c>
      <c r="B2168" t="s">
        <v>18</v>
      </c>
      <c r="C2168" t="s">
        <v>11</v>
      </c>
      <c r="D2168" t="s">
        <v>12</v>
      </c>
      <c r="E2168">
        <v>4</v>
      </c>
      <c r="F2168" s="3">
        <v>1372</v>
      </c>
      <c r="G2168" s="2">
        <v>274.47000000000003</v>
      </c>
      <c r="H2168">
        <f>Master_ventas[[#This Row],[Profit]]/Master_ventas[[#This Row],[Sales]]</f>
        <v>0.20005102040816328</v>
      </c>
      <c r="I2168">
        <f ca="1">Referencia_Hoy-Master_ventas[[#This Row],[Order Date]]</f>
        <v>1590</v>
      </c>
      <c r="J2168" t="str">
        <f>UPPER(Master_ventas[[#This Row],[Product Name]])</f>
        <v>HEADPHONES</v>
      </c>
      <c r="K2168" t="str">
        <f>UPPER(Master_ventas[[#This Row],[Category]])</f>
        <v>ACCESSORIES</v>
      </c>
      <c r="L2168">
        <f>YEAR(Master_ventas[[#This Row],[Order Date]])</f>
        <v>2022</v>
      </c>
      <c r="M2168" t="str">
        <f>CONCATENATE(LEFT(Master_ventas[[#This Row],[ProdUpper]],3),RIGHT(Master_ventas[[#This Row],[Ext-Year]],2),"-",MID(Master_ventas[[#This Row],[Category]],1,1))</f>
        <v>HEA22-A</v>
      </c>
      <c r="N2168" t="str">
        <f>MID(Master_ventas[[#This Row],[ProdUpper]],1,3)</f>
        <v>HEA</v>
      </c>
      <c r="O2168" t="str">
        <f>UPPER(IF(Master_ventas[[#This Row],[Profit]]&gt;500,"High","Std"))</f>
        <v>STD</v>
      </c>
      <c r="P2168">
        <v>2167</v>
      </c>
    </row>
    <row r="2169" spans="1:16" x14ac:dyDescent="0.3">
      <c r="A2169" s="1">
        <v>44750</v>
      </c>
      <c r="B2169" t="s">
        <v>18</v>
      </c>
      <c r="C2169" t="s">
        <v>11</v>
      </c>
      <c r="D2169" t="s">
        <v>9</v>
      </c>
      <c r="E2169">
        <v>8</v>
      </c>
      <c r="F2169" s="3">
        <v>920</v>
      </c>
      <c r="G2169" s="2">
        <v>214.27</v>
      </c>
      <c r="H2169">
        <f>Master_ventas[[#This Row],[Profit]]/Master_ventas[[#This Row],[Sales]]</f>
        <v>0.23290217391304349</v>
      </c>
      <c r="I2169">
        <f ca="1">Referencia_Hoy-Master_ventas[[#This Row],[Order Date]]</f>
        <v>1573</v>
      </c>
      <c r="J2169" t="str">
        <f>UPPER(Master_ventas[[#This Row],[Product Name]])</f>
        <v>HEADPHONES</v>
      </c>
      <c r="K2169" t="str">
        <f>UPPER(Master_ventas[[#This Row],[Category]])</f>
        <v>ACCESSORIES</v>
      </c>
      <c r="L2169">
        <f>YEAR(Master_ventas[[#This Row],[Order Date]])</f>
        <v>2022</v>
      </c>
      <c r="M2169" t="str">
        <f>CONCATENATE(LEFT(Master_ventas[[#This Row],[ProdUpper]],3),RIGHT(Master_ventas[[#This Row],[Ext-Year]],2),"-",MID(Master_ventas[[#This Row],[Category]],1,1))</f>
        <v>HEA22-A</v>
      </c>
      <c r="N2169" t="str">
        <f>MID(Master_ventas[[#This Row],[ProdUpper]],1,3)</f>
        <v>HEA</v>
      </c>
      <c r="O2169" t="str">
        <f>UPPER(IF(Master_ventas[[#This Row],[Profit]]&gt;500,"High","Std"))</f>
        <v>STD</v>
      </c>
      <c r="P2169">
        <v>2168</v>
      </c>
    </row>
    <row r="2170" spans="1:16" x14ac:dyDescent="0.3">
      <c r="A2170" s="1">
        <v>45309</v>
      </c>
      <c r="B2170" t="s">
        <v>21</v>
      </c>
      <c r="C2170" t="s">
        <v>14</v>
      </c>
      <c r="D2170" t="s">
        <v>9</v>
      </c>
      <c r="E2170">
        <v>3</v>
      </c>
      <c r="F2170" s="3">
        <v>885</v>
      </c>
      <c r="G2170" s="2">
        <v>150.79</v>
      </c>
      <c r="H2170">
        <f>Master_ventas[[#This Row],[Profit]]/Master_ventas[[#This Row],[Sales]]</f>
        <v>0.17038418079096043</v>
      </c>
      <c r="I2170">
        <f ca="1">Referencia_Hoy-Master_ventas[[#This Row],[Order Date]]</f>
        <v>1014</v>
      </c>
      <c r="J2170" t="str">
        <f>UPPER(Master_ventas[[#This Row],[Product Name]])</f>
        <v>SMARTPHONE</v>
      </c>
      <c r="K2170" t="str">
        <f>UPPER(Master_ventas[[#This Row],[Category]])</f>
        <v>ELECTRONICS</v>
      </c>
      <c r="L2170">
        <f>YEAR(Master_ventas[[#This Row],[Order Date]])</f>
        <v>2024</v>
      </c>
      <c r="M2170" t="str">
        <f>CONCATENATE(LEFT(Master_ventas[[#This Row],[ProdUpper]],3),RIGHT(Master_ventas[[#This Row],[Ext-Year]],2),"-",MID(Master_ventas[[#This Row],[Category]],1,1))</f>
        <v>SMA24-E</v>
      </c>
      <c r="N2170" t="str">
        <f>MID(Master_ventas[[#This Row],[ProdUpper]],1,3)</f>
        <v>SMA</v>
      </c>
      <c r="O2170" t="str">
        <f>UPPER(IF(Master_ventas[[#This Row],[Profit]]&gt;500,"High","Std"))</f>
        <v>STD</v>
      </c>
      <c r="P2170">
        <v>2169</v>
      </c>
    </row>
    <row r="2171" spans="1:16" x14ac:dyDescent="0.3">
      <c r="A2171" s="1">
        <v>45656</v>
      </c>
      <c r="B2171" t="s">
        <v>17</v>
      </c>
      <c r="C2171" t="s">
        <v>14</v>
      </c>
      <c r="D2171" t="s">
        <v>9</v>
      </c>
      <c r="E2171">
        <v>1</v>
      </c>
      <c r="F2171" s="3">
        <v>379</v>
      </c>
      <c r="G2171" s="2">
        <v>39.409999999999997</v>
      </c>
      <c r="H2171">
        <f>Master_ventas[[#This Row],[Profit]]/Master_ventas[[#This Row],[Sales]]</f>
        <v>0.10398416886543535</v>
      </c>
      <c r="I2171">
        <f ca="1">Referencia_Hoy-Master_ventas[[#This Row],[Order Date]]</f>
        <v>667</v>
      </c>
      <c r="J2171" t="str">
        <f>UPPER(Master_ventas[[#This Row],[Product Name]])</f>
        <v>CAMERA</v>
      </c>
      <c r="K2171" t="str">
        <f>UPPER(Master_ventas[[#This Row],[Category]])</f>
        <v>ELECTRONICS</v>
      </c>
      <c r="L2171">
        <f>YEAR(Master_ventas[[#This Row],[Order Date]])</f>
        <v>2024</v>
      </c>
      <c r="M2171" t="str">
        <f>CONCATENATE(LEFT(Master_ventas[[#This Row],[ProdUpper]],3),RIGHT(Master_ventas[[#This Row],[Ext-Year]],2),"-",MID(Master_ventas[[#This Row],[Category]],1,1))</f>
        <v>CAM24-E</v>
      </c>
      <c r="N2171" t="str">
        <f>MID(Master_ventas[[#This Row],[ProdUpper]],1,3)</f>
        <v>CAM</v>
      </c>
      <c r="O2171" t="str">
        <f>UPPER(IF(Master_ventas[[#This Row],[Profit]]&gt;500,"High","Std"))</f>
        <v>STD</v>
      </c>
      <c r="P2171">
        <v>2170</v>
      </c>
    </row>
    <row r="2172" spans="1:16" x14ac:dyDescent="0.3">
      <c r="A2172" s="1">
        <v>45544</v>
      </c>
      <c r="B2172" t="s">
        <v>18</v>
      </c>
      <c r="C2172" t="s">
        <v>11</v>
      </c>
      <c r="D2172" t="s">
        <v>16</v>
      </c>
      <c r="E2172">
        <v>8</v>
      </c>
      <c r="F2172" s="3">
        <v>1024</v>
      </c>
      <c r="G2172" s="2">
        <v>201.92</v>
      </c>
      <c r="H2172">
        <f>Master_ventas[[#This Row],[Profit]]/Master_ventas[[#This Row],[Sales]]</f>
        <v>0.19718749999999999</v>
      </c>
      <c r="I2172">
        <f ca="1">Referencia_Hoy-Master_ventas[[#This Row],[Order Date]]</f>
        <v>779</v>
      </c>
      <c r="J2172" t="str">
        <f>UPPER(Master_ventas[[#This Row],[Product Name]])</f>
        <v>HEADPHONES</v>
      </c>
      <c r="K2172" t="str">
        <f>UPPER(Master_ventas[[#This Row],[Category]])</f>
        <v>ACCESSORIES</v>
      </c>
      <c r="L2172">
        <f>YEAR(Master_ventas[[#This Row],[Order Date]])</f>
        <v>2024</v>
      </c>
      <c r="M2172" t="str">
        <f>CONCATENATE(LEFT(Master_ventas[[#This Row],[ProdUpper]],3),RIGHT(Master_ventas[[#This Row],[Ext-Year]],2),"-",MID(Master_ventas[[#This Row],[Category]],1,1))</f>
        <v>HEA24-A</v>
      </c>
      <c r="N2172" t="str">
        <f>MID(Master_ventas[[#This Row],[ProdUpper]],1,3)</f>
        <v>HEA</v>
      </c>
      <c r="O2172" t="str">
        <f>UPPER(IF(Master_ventas[[#This Row],[Profit]]&gt;500,"High","Std"))</f>
        <v>STD</v>
      </c>
      <c r="P2172">
        <v>2171</v>
      </c>
    </row>
    <row r="2173" spans="1:16" x14ac:dyDescent="0.3">
      <c r="A2173" s="1">
        <v>45416</v>
      </c>
      <c r="B2173" t="s">
        <v>22</v>
      </c>
      <c r="C2173" t="s">
        <v>11</v>
      </c>
      <c r="D2173" t="s">
        <v>16</v>
      </c>
      <c r="E2173">
        <v>4</v>
      </c>
      <c r="F2173" s="3">
        <v>4312</v>
      </c>
      <c r="G2173" s="2">
        <v>388.48</v>
      </c>
      <c r="H2173">
        <f>Master_ventas[[#This Row],[Profit]]/Master_ventas[[#This Row],[Sales]]</f>
        <v>9.0092764378478671E-2</v>
      </c>
      <c r="I2173">
        <f ca="1">Referencia_Hoy-Master_ventas[[#This Row],[Order Date]]</f>
        <v>907</v>
      </c>
      <c r="J2173" t="str">
        <f>UPPER(Master_ventas[[#This Row],[Product Name]])</f>
        <v>KEYBOARD</v>
      </c>
      <c r="K2173" t="str">
        <f>UPPER(Master_ventas[[#This Row],[Category]])</f>
        <v>ACCESSORIES</v>
      </c>
      <c r="L2173">
        <f>YEAR(Master_ventas[[#This Row],[Order Date]])</f>
        <v>2024</v>
      </c>
      <c r="M2173" t="str">
        <f>CONCATENATE(LEFT(Master_ventas[[#This Row],[ProdUpper]],3),RIGHT(Master_ventas[[#This Row],[Ext-Year]],2),"-",MID(Master_ventas[[#This Row],[Category]],1,1))</f>
        <v>KEY24-A</v>
      </c>
      <c r="N2173" t="str">
        <f>MID(Master_ventas[[#This Row],[ProdUpper]],1,3)</f>
        <v>KEY</v>
      </c>
      <c r="O2173" t="str">
        <f>UPPER(IF(Master_ventas[[#This Row],[Profit]]&gt;500,"High","Std"))</f>
        <v>STD</v>
      </c>
      <c r="P2173">
        <v>2172</v>
      </c>
    </row>
    <row r="2174" spans="1:16" x14ac:dyDescent="0.3">
      <c r="A2174" s="1">
        <v>45083</v>
      </c>
      <c r="B2174" t="s">
        <v>10</v>
      </c>
      <c r="C2174" t="s">
        <v>11</v>
      </c>
      <c r="D2174" t="s">
        <v>12</v>
      </c>
      <c r="E2174">
        <v>5</v>
      </c>
      <c r="F2174" s="3">
        <v>5030</v>
      </c>
      <c r="G2174" s="2">
        <v>540.73</v>
      </c>
      <c r="H2174">
        <f>Master_ventas[[#This Row],[Profit]]/Master_ventas[[#This Row],[Sales]]</f>
        <v>0.10750099403578529</v>
      </c>
      <c r="I2174">
        <f ca="1">Referencia_Hoy-Master_ventas[[#This Row],[Order Date]]</f>
        <v>1240</v>
      </c>
      <c r="J2174" t="str">
        <f>UPPER(Master_ventas[[#This Row],[Product Name]])</f>
        <v>MOUSE</v>
      </c>
      <c r="K2174" t="str">
        <f>UPPER(Master_ventas[[#This Row],[Category]])</f>
        <v>ACCESSORIES</v>
      </c>
      <c r="L2174">
        <f>YEAR(Master_ventas[[#This Row],[Order Date]])</f>
        <v>2023</v>
      </c>
      <c r="M2174" t="str">
        <f>CONCATENATE(LEFT(Master_ventas[[#This Row],[ProdUpper]],3),RIGHT(Master_ventas[[#This Row],[Ext-Year]],2),"-",MID(Master_ventas[[#This Row],[Category]],1,1))</f>
        <v>MOU23-A</v>
      </c>
      <c r="N2174" t="str">
        <f>MID(Master_ventas[[#This Row],[ProdUpper]],1,3)</f>
        <v>MOU</v>
      </c>
      <c r="O2174" t="str">
        <f>UPPER(IF(Master_ventas[[#This Row],[Profit]]&gt;500,"High","Std"))</f>
        <v>HIGH</v>
      </c>
      <c r="P2174">
        <v>2173</v>
      </c>
    </row>
    <row r="2175" spans="1:16" x14ac:dyDescent="0.3">
      <c r="A2175" s="1">
        <v>44592</v>
      </c>
      <c r="B2175" t="s">
        <v>21</v>
      </c>
      <c r="C2175" t="s">
        <v>14</v>
      </c>
      <c r="D2175" t="s">
        <v>16</v>
      </c>
      <c r="E2175">
        <v>2</v>
      </c>
      <c r="F2175" s="3">
        <v>1438</v>
      </c>
      <c r="G2175" s="2">
        <v>315.83</v>
      </c>
      <c r="H2175">
        <f>Master_ventas[[#This Row],[Profit]]/Master_ventas[[#This Row],[Sales]]</f>
        <v>0.21963143254520165</v>
      </c>
      <c r="I2175">
        <f ca="1">Referencia_Hoy-Master_ventas[[#This Row],[Order Date]]</f>
        <v>1731</v>
      </c>
      <c r="J2175" t="str">
        <f>UPPER(Master_ventas[[#This Row],[Product Name]])</f>
        <v>SMARTPHONE</v>
      </c>
      <c r="K2175" t="str">
        <f>UPPER(Master_ventas[[#This Row],[Category]])</f>
        <v>ELECTRONICS</v>
      </c>
      <c r="L2175">
        <f>YEAR(Master_ventas[[#This Row],[Order Date]])</f>
        <v>2022</v>
      </c>
      <c r="M2175" t="str">
        <f>CONCATENATE(LEFT(Master_ventas[[#This Row],[ProdUpper]],3),RIGHT(Master_ventas[[#This Row],[Ext-Year]],2),"-",MID(Master_ventas[[#This Row],[Category]],1,1))</f>
        <v>SMA22-E</v>
      </c>
      <c r="N2175" t="str">
        <f>MID(Master_ventas[[#This Row],[ProdUpper]],1,3)</f>
        <v>SMA</v>
      </c>
      <c r="O2175" t="str">
        <f>UPPER(IF(Master_ventas[[#This Row],[Profit]]&gt;500,"High","Std"))</f>
        <v>STD</v>
      </c>
      <c r="P2175">
        <v>2174</v>
      </c>
    </row>
    <row r="2176" spans="1:16" x14ac:dyDescent="0.3">
      <c r="A2176" s="1">
        <v>44658</v>
      </c>
      <c r="B2176" t="s">
        <v>22</v>
      </c>
      <c r="C2176" t="s">
        <v>11</v>
      </c>
      <c r="D2176" t="s">
        <v>15</v>
      </c>
      <c r="E2176">
        <v>1</v>
      </c>
      <c r="F2176" s="3">
        <v>419</v>
      </c>
      <c r="G2176" s="2">
        <v>108.36</v>
      </c>
      <c r="H2176">
        <f>Master_ventas[[#This Row],[Profit]]/Master_ventas[[#This Row],[Sales]]</f>
        <v>0.25861575178997614</v>
      </c>
      <c r="I2176">
        <f ca="1">Referencia_Hoy-Master_ventas[[#This Row],[Order Date]]</f>
        <v>1665</v>
      </c>
      <c r="J2176" t="str">
        <f>UPPER(Master_ventas[[#This Row],[Product Name]])</f>
        <v>KEYBOARD</v>
      </c>
      <c r="K2176" t="str">
        <f>UPPER(Master_ventas[[#This Row],[Category]])</f>
        <v>ACCESSORIES</v>
      </c>
      <c r="L2176">
        <f>YEAR(Master_ventas[[#This Row],[Order Date]])</f>
        <v>2022</v>
      </c>
      <c r="M2176" t="str">
        <f>CONCATENATE(LEFT(Master_ventas[[#This Row],[ProdUpper]],3),RIGHT(Master_ventas[[#This Row],[Ext-Year]],2),"-",MID(Master_ventas[[#This Row],[Category]],1,1))</f>
        <v>KEY22-A</v>
      </c>
      <c r="N2176" t="str">
        <f>MID(Master_ventas[[#This Row],[ProdUpper]],1,3)</f>
        <v>KEY</v>
      </c>
      <c r="O2176" t="str">
        <f>UPPER(IF(Master_ventas[[#This Row],[Profit]]&gt;500,"High","Std"))</f>
        <v>STD</v>
      </c>
      <c r="P2176">
        <v>2175</v>
      </c>
    </row>
    <row r="2177" spans="1:16" x14ac:dyDescent="0.3">
      <c r="A2177" s="1">
        <v>44616</v>
      </c>
      <c r="B2177" t="s">
        <v>18</v>
      </c>
      <c r="C2177" t="s">
        <v>11</v>
      </c>
      <c r="D2177" t="s">
        <v>12</v>
      </c>
      <c r="E2177">
        <v>3</v>
      </c>
      <c r="F2177" s="3">
        <v>3519</v>
      </c>
      <c r="G2177" s="2">
        <v>935.72</v>
      </c>
      <c r="H2177">
        <f>Master_ventas[[#This Row],[Profit]]/Master_ventas[[#This Row],[Sales]]</f>
        <v>0.26590508667235013</v>
      </c>
      <c r="I2177">
        <f ca="1">Referencia_Hoy-Master_ventas[[#This Row],[Order Date]]</f>
        <v>1707</v>
      </c>
      <c r="J2177" t="str">
        <f>UPPER(Master_ventas[[#This Row],[Product Name]])</f>
        <v>HEADPHONES</v>
      </c>
      <c r="K2177" t="str">
        <f>UPPER(Master_ventas[[#This Row],[Category]])</f>
        <v>ACCESSORIES</v>
      </c>
      <c r="L2177">
        <f>YEAR(Master_ventas[[#This Row],[Order Date]])</f>
        <v>2022</v>
      </c>
      <c r="M2177" t="str">
        <f>CONCATENATE(LEFT(Master_ventas[[#This Row],[ProdUpper]],3),RIGHT(Master_ventas[[#This Row],[Ext-Year]],2),"-",MID(Master_ventas[[#This Row],[Category]],1,1))</f>
        <v>HEA22-A</v>
      </c>
      <c r="N2177" t="str">
        <f>MID(Master_ventas[[#This Row],[ProdUpper]],1,3)</f>
        <v>HEA</v>
      </c>
      <c r="O2177" t="str">
        <f>UPPER(IF(Master_ventas[[#This Row],[Profit]]&gt;500,"High","Std"))</f>
        <v>HIGH</v>
      </c>
      <c r="P2177">
        <v>2176</v>
      </c>
    </row>
    <row r="2178" spans="1:16" x14ac:dyDescent="0.3">
      <c r="A2178" s="1">
        <v>44654</v>
      </c>
      <c r="B2178" t="s">
        <v>13</v>
      </c>
      <c r="C2178" t="s">
        <v>14</v>
      </c>
      <c r="D2178" t="s">
        <v>12</v>
      </c>
      <c r="E2178">
        <v>8</v>
      </c>
      <c r="F2178" s="3">
        <v>2912</v>
      </c>
      <c r="G2178" s="2">
        <v>451.97</v>
      </c>
      <c r="H2178">
        <f>Master_ventas[[#This Row],[Profit]]/Master_ventas[[#This Row],[Sales]]</f>
        <v>0.15520947802197804</v>
      </c>
      <c r="I2178">
        <f ca="1">Referencia_Hoy-Master_ventas[[#This Row],[Order Date]]</f>
        <v>1669</v>
      </c>
      <c r="J2178" t="str">
        <f>UPPER(Master_ventas[[#This Row],[Product Name]])</f>
        <v>TABLET</v>
      </c>
      <c r="K2178" t="str">
        <f>UPPER(Master_ventas[[#This Row],[Category]])</f>
        <v>ELECTRONICS</v>
      </c>
      <c r="L2178">
        <f>YEAR(Master_ventas[[#This Row],[Order Date]])</f>
        <v>2022</v>
      </c>
      <c r="M2178" t="str">
        <f>CONCATENATE(LEFT(Master_ventas[[#This Row],[ProdUpper]],3),RIGHT(Master_ventas[[#This Row],[Ext-Year]],2),"-",MID(Master_ventas[[#This Row],[Category]],1,1))</f>
        <v>TAB22-E</v>
      </c>
      <c r="N2178" t="str">
        <f>MID(Master_ventas[[#This Row],[ProdUpper]],1,3)</f>
        <v>TAB</v>
      </c>
      <c r="O2178" t="str">
        <f>UPPER(IF(Master_ventas[[#This Row],[Profit]]&gt;500,"High","Std"))</f>
        <v>STD</v>
      </c>
      <c r="P2178">
        <v>2177</v>
      </c>
    </row>
    <row r="2179" spans="1:16" x14ac:dyDescent="0.3">
      <c r="A2179" s="1">
        <v>44977</v>
      </c>
      <c r="B2179" t="s">
        <v>21</v>
      </c>
      <c r="C2179" t="s">
        <v>14</v>
      </c>
      <c r="D2179" t="s">
        <v>9</v>
      </c>
      <c r="E2179">
        <v>5</v>
      </c>
      <c r="F2179" s="3">
        <v>4005</v>
      </c>
      <c r="G2179" s="2">
        <v>226.09</v>
      </c>
      <c r="H2179">
        <f>Master_ventas[[#This Row],[Profit]]/Master_ventas[[#This Row],[Sales]]</f>
        <v>5.6451935081148562E-2</v>
      </c>
      <c r="I2179">
        <f ca="1">Referencia_Hoy-Master_ventas[[#This Row],[Order Date]]</f>
        <v>1346</v>
      </c>
      <c r="J2179" t="str">
        <f>UPPER(Master_ventas[[#This Row],[Product Name]])</f>
        <v>SMARTPHONE</v>
      </c>
      <c r="K2179" t="str">
        <f>UPPER(Master_ventas[[#This Row],[Category]])</f>
        <v>ELECTRONICS</v>
      </c>
      <c r="L2179">
        <f>YEAR(Master_ventas[[#This Row],[Order Date]])</f>
        <v>2023</v>
      </c>
      <c r="M2179" t="str">
        <f>CONCATENATE(LEFT(Master_ventas[[#This Row],[ProdUpper]],3),RIGHT(Master_ventas[[#This Row],[Ext-Year]],2),"-",MID(Master_ventas[[#This Row],[Category]],1,1))</f>
        <v>SMA23-E</v>
      </c>
      <c r="N2179" t="str">
        <f>MID(Master_ventas[[#This Row],[ProdUpper]],1,3)</f>
        <v>SMA</v>
      </c>
      <c r="O2179" t="str">
        <f>UPPER(IF(Master_ventas[[#This Row],[Profit]]&gt;500,"High","Std"))</f>
        <v>STD</v>
      </c>
      <c r="P2179">
        <v>2178</v>
      </c>
    </row>
    <row r="2180" spans="1:16" x14ac:dyDescent="0.3">
      <c r="A2180" s="1">
        <v>45160</v>
      </c>
      <c r="B2180" t="s">
        <v>19</v>
      </c>
      <c r="C2180" t="s">
        <v>14</v>
      </c>
      <c r="D2180" t="s">
        <v>15</v>
      </c>
      <c r="E2180">
        <v>5</v>
      </c>
      <c r="F2180" s="3">
        <v>2075</v>
      </c>
      <c r="G2180" s="2">
        <v>271.70999999999998</v>
      </c>
      <c r="H2180">
        <f>Master_ventas[[#This Row],[Profit]]/Master_ventas[[#This Row],[Sales]]</f>
        <v>0.13094457831325301</v>
      </c>
      <c r="I2180">
        <f ca="1">Referencia_Hoy-Master_ventas[[#This Row],[Order Date]]</f>
        <v>1163</v>
      </c>
      <c r="J2180" t="str">
        <f>UPPER(Master_ventas[[#This Row],[Product Name]])</f>
        <v>SMARTWATCH</v>
      </c>
      <c r="K2180" t="str">
        <f>UPPER(Master_ventas[[#This Row],[Category]])</f>
        <v>ELECTRONICS</v>
      </c>
      <c r="L2180">
        <f>YEAR(Master_ventas[[#This Row],[Order Date]])</f>
        <v>2023</v>
      </c>
      <c r="M2180" t="str">
        <f>CONCATENATE(LEFT(Master_ventas[[#This Row],[ProdUpper]],3),RIGHT(Master_ventas[[#This Row],[Ext-Year]],2),"-",MID(Master_ventas[[#This Row],[Category]],1,1))</f>
        <v>SMA23-E</v>
      </c>
      <c r="N2180" t="str">
        <f>MID(Master_ventas[[#This Row],[ProdUpper]],1,3)</f>
        <v>SMA</v>
      </c>
      <c r="O2180" t="str">
        <f>UPPER(IF(Master_ventas[[#This Row],[Profit]]&gt;500,"High","Std"))</f>
        <v>STD</v>
      </c>
      <c r="P2180">
        <v>2179</v>
      </c>
    </row>
    <row r="2181" spans="1:16" x14ac:dyDescent="0.3">
      <c r="A2181" s="1">
        <v>44980</v>
      </c>
      <c r="B2181" t="s">
        <v>23</v>
      </c>
      <c r="C2181" t="s">
        <v>14</v>
      </c>
      <c r="D2181" t="s">
        <v>15</v>
      </c>
      <c r="E2181">
        <v>2</v>
      </c>
      <c r="F2181" s="3">
        <v>120</v>
      </c>
      <c r="G2181" s="2">
        <v>7.74</v>
      </c>
      <c r="H2181">
        <f>Master_ventas[[#This Row],[Profit]]/Master_ventas[[#This Row],[Sales]]</f>
        <v>6.4500000000000002E-2</v>
      </c>
      <c r="I2181">
        <f ca="1">Referencia_Hoy-Master_ventas[[#This Row],[Order Date]]</f>
        <v>1343</v>
      </c>
      <c r="J2181" t="str">
        <f>UPPER(Master_ventas[[#This Row],[Product Name]])</f>
        <v>LAPTOP</v>
      </c>
      <c r="K2181" t="str">
        <f>UPPER(Master_ventas[[#This Row],[Category]])</f>
        <v>ELECTRONICS</v>
      </c>
      <c r="L2181">
        <f>YEAR(Master_ventas[[#This Row],[Order Date]])</f>
        <v>2023</v>
      </c>
      <c r="M2181" t="str">
        <f>CONCATENATE(LEFT(Master_ventas[[#This Row],[ProdUpper]],3),RIGHT(Master_ventas[[#This Row],[Ext-Year]],2),"-",MID(Master_ventas[[#This Row],[Category]],1,1))</f>
        <v>LAP23-E</v>
      </c>
      <c r="N2181" t="str">
        <f>MID(Master_ventas[[#This Row],[ProdUpper]],1,3)</f>
        <v>LAP</v>
      </c>
      <c r="O2181" t="str">
        <f>UPPER(IF(Master_ventas[[#This Row],[Profit]]&gt;500,"High","Std"))</f>
        <v>STD</v>
      </c>
      <c r="P2181">
        <v>2180</v>
      </c>
    </row>
    <row r="2182" spans="1:16" x14ac:dyDescent="0.3">
      <c r="A2182" s="1">
        <v>45516</v>
      </c>
      <c r="B2182" t="s">
        <v>17</v>
      </c>
      <c r="C2182" t="s">
        <v>14</v>
      </c>
      <c r="D2182" t="s">
        <v>9</v>
      </c>
      <c r="E2182">
        <v>4</v>
      </c>
      <c r="F2182" s="3">
        <v>564</v>
      </c>
      <c r="G2182" s="2">
        <v>32.799999999999997</v>
      </c>
      <c r="H2182">
        <f>Master_ventas[[#This Row],[Profit]]/Master_ventas[[#This Row],[Sales]]</f>
        <v>5.815602836879432E-2</v>
      </c>
      <c r="I2182">
        <f ca="1">Referencia_Hoy-Master_ventas[[#This Row],[Order Date]]</f>
        <v>807</v>
      </c>
      <c r="J2182" t="str">
        <f>UPPER(Master_ventas[[#This Row],[Product Name]])</f>
        <v>CAMERA</v>
      </c>
      <c r="K2182" t="str">
        <f>UPPER(Master_ventas[[#This Row],[Category]])</f>
        <v>ELECTRONICS</v>
      </c>
      <c r="L2182">
        <f>YEAR(Master_ventas[[#This Row],[Order Date]])</f>
        <v>2024</v>
      </c>
      <c r="M2182" t="str">
        <f>CONCATENATE(LEFT(Master_ventas[[#This Row],[ProdUpper]],3),RIGHT(Master_ventas[[#This Row],[Ext-Year]],2),"-",MID(Master_ventas[[#This Row],[Category]],1,1))</f>
        <v>CAM24-E</v>
      </c>
      <c r="N2182" t="str">
        <f>MID(Master_ventas[[#This Row],[ProdUpper]],1,3)</f>
        <v>CAM</v>
      </c>
      <c r="O2182" t="str">
        <f>UPPER(IF(Master_ventas[[#This Row],[Profit]]&gt;500,"High","Std"))</f>
        <v>STD</v>
      </c>
      <c r="P2182">
        <v>2181</v>
      </c>
    </row>
    <row r="2183" spans="1:16" x14ac:dyDescent="0.3">
      <c r="A2183" s="1">
        <v>45200</v>
      </c>
      <c r="B2183" t="s">
        <v>19</v>
      </c>
      <c r="C2183" t="s">
        <v>14</v>
      </c>
      <c r="D2183" t="s">
        <v>12</v>
      </c>
      <c r="E2183">
        <v>2</v>
      </c>
      <c r="F2183" s="3">
        <v>486</v>
      </c>
      <c r="G2183" s="2">
        <v>62.58</v>
      </c>
      <c r="H2183">
        <f>Master_ventas[[#This Row],[Profit]]/Master_ventas[[#This Row],[Sales]]</f>
        <v>0.12876543209876543</v>
      </c>
      <c r="I2183">
        <f ca="1">Referencia_Hoy-Master_ventas[[#This Row],[Order Date]]</f>
        <v>1123</v>
      </c>
      <c r="J2183" t="str">
        <f>UPPER(Master_ventas[[#This Row],[Product Name]])</f>
        <v>SMARTWATCH</v>
      </c>
      <c r="K2183" t="str">
        <f>UPPER(Master_ventas[[#This Row],[Category]])</f>
        <v>ELECTRONICS</v>
      </c>
      <c r="L2183">
        <f>YEAR(Master_ventas[[#This Row],[Order Date]])</f>
        <v>2023</v>
      </c>
      <c r="M2183" t="str">
        <f>CONCATENATE(LEFT(Master_ventas[[#This Row],[ProdUpper]],3),RIGHT(Master_ventas[[#This Row],[Ext-Year]],2),"-",MID(Master_ventas[[#This Row],[Category]],1,1))</f>
        <v>SMA23-E</v>
      </c>
      <c r="N2183" t="str">
        <f>MID(Master_ventas[[#This Row],[ProdUpper]],1,3)</f>
        <v>SMA</v>
      </c>
      <c r="O2183" t="str">
        <f>UPPER(IF(Master_ventas[[#This Row],[Profit]]&gt;500,"High","Std"))</f>
        <v>STD</v>
      </c>
      <c r="P2183">
        <v>2182</v>
      </c>
    </row>
    <row r="2184" spans="1:16" x14ac:dyDescent="0.3">
      <c r="A2184" s="1">
        <v>45031</v>
      </c>
      <c r="B2184" t="s">
        <v>19</v>
      </c>
      <c r="C2184" t="s">
        <v>14</v>
      </c>
      <c r="D2184" t="s">
        <v>12</v>
      </c>
      <c r="E2184">
        <v>2</v>
      </c>
      <c r="F2184" s="3">
        <v>1488</v>
      </c>
      <c r="G2184" s="2">
        <v>342.87</v>
      </c>
      <c r="H2184">
        <f>Master_ventas[[#This Row],[Profit]]/Master_ventas[[#This Row],[Sales]]</f>
        <v>0.23042338709677421</v>
      </c>
      <c r="I2184">
        <f ca="1">Referencia_Hoy-Master_ventas[[#This Row],[Order Date]]</f>
        <v>1292</v>
      </c>
      <c r="J2184" t="str">
        <f>UPPER(Master_ventas[[#This Row],[Product Name]])</f>
        <v>SMARTWATCH</v>
      </c>
      <c r="K2184" t="str">
        <f>UPPER(Master_ventas[[#This Row],[Category]])</f>
        <v>ELECTRONICS</v>
      </c>
      <c r="L2184">
        <f>YEAR(Master_ventas[[#This Row],[Order Date]])</f>
        <v>2023</v>
      </c>
      <c r="M2184" t="str">
        <f>CONCATENATE(LEFT(Master_ventas[[#This Row],[ProdUpper]],3),RIGHT(Master_ventas[[#This Row],[Ext-Year]],2),"-",MID(Master_ventas[[#This Row],[Category]],1,1))</f>
        <v>SMA23-E</v>
      </c>
      <c r="N2184" t="str">
        <f>MID(Master_ventas[[#This Row],[ProdUpper]],1,3)</f>
        <v>SMA</v>
      </c>
      <c r="O2184" t="str">
        <f>UPPER(IF(Master_ventas[[#This Row],[Profit]]&gt;500,"High","Std"))</f>
        <v>STD</v>
      </c>
      <c r="P2184">
        <v>2183</v>
      </c>
    </row>
    <row r="2185" spans="1:16" x14ac:dyDescent="0.3">
      <c r="A2185" s="1">
        <v>44981</v>
      </c>
      <c r="B2185" t="s">
        <v>23</v>
      </c>
      <c r="C2185" t="s">
        <v>14</v>
      </c>
      <c r="D2185" t="s">
        <v>16</v>
      </c>
      <c r="E2185">
        <v>6</v>
      </c>
      <c r="F2185" s="3">
        <v>3096</v>
      </c>
      <c r="G2185" s="2">
        <v>277.68</v>
      </c>
      <c r="H2185">
        <f>Master_ventas[[#This Row],[Profit]]/Master_ventas[[#This Row],[Sales]]</f>
        <v>8.968992248062016E-2</v>
      </c>
      <c r="I2185">
        <f ca="1">Referencia_Hoy-Master_ventas[[#This Row],[Order Date]]</f>
        <v>1342</v>
      </c>
      <c r="J2185" t="str">
        <f>UPPER(Master_ventas[[#This Row],[Product Name]])</f>
        <v>LAPTOP</v>
      </c>
      <c r="K2185" t="str">
        <f>UPPER(Master_ventas[[#This Row],[Category]])</f>
        <v>ELECTRONICS</v>
      </c>
      <c r="L2185">
        <f>YEAR(Master_ventas[[#This Row],[Order Date]])</f>
        <v>2023</v>
      </c>
      <c r="M2185" t="str">
        <f>CONCATENATE(LEFT(Master_ventas[[#This Row],[ProdUpper]],3),RIGHT(Master_ventas[[#This Row],[Ext-Year]],2),"-",MID(Master_ventas[[#This Row],[Category]],1,1))</f>
        <v>LAP23-E</v>
      </c>
      <c r="N2185" t="str">
        <f>MID(Master_ventas[[#This Row],[ProdUpper]],1,3)</f>
        <v>LAP</v>
      </c>
      <c r="O2185" t="str">
        <f>UPPER(IF(Master_ventas[[#This Row],[Profit]]&gt;500,"High","Std"))</f>
        <v>STD</v>
      </c>
      <c r="P2185">
        <v>2184</v>
      </c>
    </row>
    <row r="2186" spans="1:16" x14ac:dyDescent="0.3">
      <c r="A2186" s="1">
        <v>44869</v>
      </c>
      <c r="B2186" t="s">
        <v>19</v>
      </c>
      <c r="C2186" t="s">
        <v>14</v>
      </c>
      <c r="D2186" t="s">
        <v>16</v>
      </c>
      <c r="E2186">
        <v>8</v>
      </c>
      <c r="F2186" s="3">
        <v>6488</v>
      </c>
      <c r="G2186" s="2">
        <v>1845.07</v>
      </c>
      <c r="H2186">
        <f>Master_ventas[[#This Row],[Profit]]/Master_ventas[[#This Row],[Sales]]</f>
        <v>0.28438193588162763</v>
      </c>
      <c r="I2186">
        <f ca="1">Referencia_Hoy-Master_ventas[[#This Row],[Order Date]]</f>
        <v>1454</v>
      </c>
      <c r="J2186" t="str">
        <f>UPPER(Master_ventas[[#This Row],[Product Name]])</f>
        <v>SMARTWATCH</v>
      </c>
      <c r="K2186" t="str">
        <f>UPPER(Master_ventas[[#This Row],[Category]])</f>
        <v>ELECTRONICS</v>
      </c>
      <c r="L2186">
        <f>YEAR(Master_ventas[[#This Row],[Order Date]])</f>
        <v>2022</v>
      </c>
      <c r="M2186" t="str">
        <f>CONCATENATE(LEFT(Master_ventas[[#This Row],[ProdUpper]],3),RIGHT(Master_ventas[[#This Row],[Ext-Year]],2),"-",MID(Master_ventas[[#This Row],[Category]],1,1))</f>
        <v>SMA22-E</v>
      </c>
      <c r="N2186" t="str">
        <f>MID(Master_ventas[[#This Row],[ProdUpper]],1,3)</f>
        <v>SMA</v>
      </c>
      <c r="O2186" t="str">
        <f>UPPER(IF(Master_ventas[[#This Row],[Profit]]&gt;500,"High","Std"))</f>
        <v>HIGH</v>
      </c>
      <c r="P2186">
        <v>2185</v>
      </c>
    </row>
    <row r="2187" spans="1:16" x14ac:dyDescent="0.3">
      <c r="A2187" s="1">
        <v>45393</v>
      </c>
      <c r="B2187" t="s">
        <v>19</v>
      </c>
      <c r="C2187" t="s">
        <v>14</v>
      </c>
      <c r="D2187" t="s">
        <v>16</v>
      </c>
      <c r="E2187">
        <v>4</v>
      </c>
      <c r="F2187" s="3">
        <v>4284</v>
      </c>
      <c r="G2187" s="2">
        <v>848.44</v>
      </c>
      <c r="H2187">
        <f>Master_ventas[[#This Row],[Profit]]/Master_ventas[[#This Row],[Sales]]</f>
        <v>0.19804855275443511</v>
      </c>
      <c r="I2187">
        <f ca="1">Referencia_Hoy-Master_ventas[[#This Row],[Order Date]]</f>
        <v>930</v>
      </c>
      <c r="J2187" t="str">
        <f>UPPER(Master_ventas[[#This Row],[Product Name]])</f>
        <v>SMARTWATCH</v>
      </c>
      <c r="K2187" t="str">
        <f>UPPER(Master_ventas[[#This Row],[Category]])</f>
        <v>ELECTRONICS</v>
      </c>
      <c r="L2187">
        <f>YEAR(Master_ventas[[#This Row],[Order Date]])</f>
        <v>2024</v>
      </c>
      <c r="M2187" t="str">
        <f>CONCATENATE(LEFT(Master_ventas[[#This Row],[ProdUpper]],3),RIGHT(Master_ventas[[#This Row],[Ext-Year]],2),"-",MID(Master_ventas[[#This Row],[Category]],1,1))</f>
        <v>SMA24-E</v>
      </c>
      <c r="N2187" t="str">
        <f>MID(Master_ventas[[#This Row],[ProdUpper]],1,3)</f>
        <v>SMA</v>
      </c>
      <c r="O2187" t="str">
        <f>UPPER(IF(Master_ventas[[#This Row],[Profit]]&gt;500,"High","Std"))</f>
        <v>HIGH</v>
      </c>
      <c r="P2187">
        <v>2186</v>
      </c>
    </row>
    <row r="2188" spans="1:16" x14ac:dyDescent="0.3">
      <c r="A2188" s="1">
        <v>44747</v>
      </c>
      <c r="B2188" t="s">
        <v>19</v>
      </c>
      <c r="C2188" t="s">
        <v>14</v>
      </c>
      <c r="D2188" t="s">
        <v>9</v>
      </c>
      <c r="E2188">
        <v>8</v>
      </c>
      <c r="F2188" s="3">
        <v>1864</v>
      </c>
      <c r="G2188" s="2">
        <v>110.81</v>
      </c>
      <c r="H2188">
        <f>Master_ventas[[#This Row],[Profit]]/Master_ventas[[#This Row],[Sales]]</f>
        <v>5.9447424892703861E-2</v>
      </c>
      <c r="I2188">
        <f ca="1">Referencia_Hoy-Master_ventas[[#This Row],[Order Date]]</f>
        <v>1576</v>
      </c>
      <c r="J2188" t="str">
        <f>UPPER(Master_ventas[[#This Row],[Product Name]])</f>
        <v>SMARTWATCH</v>
      </c>
      <c r="K2188" t="str">
        <f>UPPER(Master_ventas[[#This Row],[Category]])</f>
        <v>ELECTRONICS</v>
      </c>
      <c r="L2188">
        <f>YEAR(Master_ventas[[#This Row],[Order Date]])</f>
        <v>2022</v>
      </c>
      <c r="M2188" t="str">
        <f>CONCATENATE(LEFT(Master_ventas[[#This Row],[ProdUpper]],3),RIGHT(Master_ventas[[#This Row],[Ext-Year]],2),"-",MID(Master_ventas[[#This Row],[Category]],1,1))</f>
        <v>SMA22-E</v>
      </c>
      <c r="N2188" t="str">
        <f>MID(Master_ventas[[#This Row],[ProdUpper]],1,3)</f>
        <v>SMA</v>
      </c>
      <c r="O2188" t="str">
        <f>UPPER(IF(Master_ventas[[#This Row],[Profit]]&gt;500,"High","Std"))</f>
        <v>STD</v>
      </c>
      <c r="P2188">
        <v>2187</v>
      </c>
    </row>
    <row r="2189" spans="1:16" x14ac:dyDescent="0.3">
      <c r="A2189" s="1">
        <v>45420</v>
      </c>
      <c r="B2189" t="s">
        <v>17</v>
      </c>
      <c r="C2189" t="s">
        <v>14</v>
      </c>
      <c r="D2189" t="s">
        <v>16</v>
      </c>
      <c r="E2189">
        <v>5</v>
      </c>
      <c r="F2189" s="3">
        <v>4435</v>
      </c>
      <c r="G2189" s="2">
        <v>954.12</v>
      </c>
      <c r="H2189">
        <f>Master_ventas[[#This Row],[Profit]]/Master_ventas[[#This Row],[Sales]]</f>
        <v>0.21513416009019165</v>
      </c>
      <c r="I2189">
        <f ca="1">Referencia_Hoy-Master_ventas[[#This Row],[Order Date]]</f>
        <v>903</v>
      </c>
      <c r="J2189" t="str">
        <f>UPPER(Master_ventas[[#This Row],[Product Name]])</f>
        <v>CAMERA</v>
      </c>
      <c r="K2189" t="str">
        <f>UPPER(Master_ventas[[#This Row],[Category]])</f>
        <v>ELECTRONICS</v>
      </c>
      <c r="L2189">
        <f>YEAR(Master_ventas[[#This Row],[Order Date]])</f>
        <v>2024</v>
      </c>
      <c r="M2189" t="str">
        <f>CONCATENATE(LEFT(Master_ventas[[#This Row],[ProdUpper]],3),RIGHT(Master_ventas[[#This Row],[Ext-Year]],2),"-",MID(Master_ventas[[#This Row],[Category]],1,1))</f>
        <v>CAM24-E</v>
      </c>
      <c r="N2189" t="str">
        <f>MID(Master_ventas[[#This Row],[ProdUpper]],1,3)</f>
        <v>CAM</v>
      </c>
      <c r="O2189" t="str">
        <f>UPPER(IF(Master_ventas[[#This Row],[Profit]]&gt;500,"High","Std"))</f>
        <v>HIGH</v>
      </c>
      <c r="P2189">
        <v>2188</v>
      </c>
    </row>
    <row r="2190" spans="1:16" x14ac:dyDescent="0.3">
      <c r="A2190" s="1">
        <v>45568</v>
      </c>
      <c r="B2190" t="s">
        <v>17</v>
      </c>
      <c r="C2190" t="s">
        <v>14</v>
      </c>
      <c r="D2190" t="s">
        <v>12</v>
      </c>
      <c r="E2190">
        <v>4</v>
      </c>
      <c r="F2190" s="3">
        <v>3296</v>
      </c>
      <c r="G2190" s="2">
        <v>460.98</v>
      </c>
      <c r="H2190">
        <f>Master_ventas[[#This Row],[Profit]]/Master_ventas[[#This Row],[Sales]]</f>
        <v>0.13986043689320388</v>
      </c>
      <c r="I2190">
        <f ca="1">Referencia_Hoy-Master_ventas[[#This Row],[Order Date]]</f>
        <v>755</v>
      </c>
      <c r="J2190" t="str">
        <f>UPPER(Master_ventas[[#This Row],[Product Name]])</f>
        <v>CAMERA</v>
      </c>
      <c r="K2190" t="str">
        <f>UPPER(Master_ventas[[#This Row],[Category]])</f>
        <v>ELECTRONICS</v>
      </c>
      <c r="L2190">
        <f>YEAR(Master_ventas[[#This Row],[Order Date]])</f>
        <v>2024</v>
      </c>
      <c r="M2190" t="str">
        <f>CONCATENATE(LEFT(Master_ventas[[#This Row],[ProdUpper]],3),RIGHT(Master_ventas[[#This Row],[Ext-Year]],2),"-",MID(Master_ventas[[#This Row],[Category]],1,1))</f>
        <v>CAM24-E</v>
      </c>
      <c r="N2190" t="str">
        <f>MID(Master_ventas[[#This Row],[ProdUpper]],1,3)</f>
        <v>CAM</v>
      </c>
      <c r="O2190" t="str">
        <f>UPPER(IF(Master_ventas[[#This Row],[Profit]]&gt;500,"High","Std"))</f>
        <v>STD</v>
      </c>
      <c r="P2190">
        <v>2189</v>
      </c>
    </row>
    <row r="2191" spans="1:16" x14ac:dyDescent="0.3">
      <c r="A2191" s="1">
        <v>45051</v>
      </c>
      <c r="B2191" t="s">
        <v>10</v>
      </c>
      <c r="C2191" t="s">
        <v>11</v>
      </c>
      <c r="D2191" t="s">
        <v>12</v>
      </c>
      <c r="E2191">
        <v>3</v>
      </c>
      <c r="F2191" s="3">
        <v>780</v>
      </c>
      <c r="G2191" s="2">
        <v>217.92</v>
      </c>
      <c r="H2191">
        <f>Master_ventas[[#This Row],[Profit]]/Master_ventas[[#This Row],[Sales]]</f>
        <v>0.27938461538461534</v>
      </c>
      <c r="I2191">
        <f ca="1">Referencia_Hoy-Master_ventas[[#This Row],[Order Date]]</f>
        <v>1272</v>
      </c>
      <c r="J2191" t="str">
        <f>UPPER(Master_ventas[[#This Row],[Product Name]])</f>
        <v>MOUSE</v>
      </c>
      <c r="K2191" t="str">
        <f>UPPER(Master_ventas[[#This Row],[Category]])</f>
        <v>ACCESSORIES</v>
      </c>
      <c r="L2191">
        <f>YEAR(Master_ventas[[#This Row],[Order Date]])</f>
        <v>2023</v>
      </c>
      <c r="M2191" t="str">
        <f>CONCATENATE(LEFT(Master_ventas[[#This Row],[ProdUpper]],3),RIGHT(Master_ventas[[#This Row],[Ext-Year]],2),"-",MID(Master_ventas[[#This Row],[Category]],1,1))</f>
        <v>MOU23-A</v>
      </c>
      <c r="N2191" t="str">
        <f>MID(Master_ventas[[#This Row],[ProdUpper]],1,3)</f>
        <v>MOU</v>
      </c>
      <c r="O2191" t="str">
        <f>UPPER(IF(Master_ventas[[#This Row],[Profit]]&gt;500,"High","Std"))</f>
        <v>STD</v>
      </c>
      <c r="P2191">
        <v>2190</v>
      </c>
    </row>
    <row r="2192" spans="1:16" x14ac:dyDescent="0.3">
      <c r="A2192" s="1">
        <v>44714</v>
      </c>
      <c r="B2192" t="s">
        <v>19</v>
      </c>
      <c r="C2192" t="s">
        <v>14</v>
      </c>
      <c r="D2192" t="s">
        <v>12</v>
      </c>
      <c r="E2192">
        <v>7</v>
      </c>
      <c r="F2192" s="3">
        <v>4396</v>
      </c>
      <c r="G2192" s="2">
        <v>962.61</v>
      </c>
      <c r="H2192">
        <f>Master_ventas[[#This Row],[Profit]]/Master_ventas[[#This Row],[Sales]]</f>
        <v>0.21897406733393995</v>
      </c>
      <c r="I2192">
        <f ca="1">Referencia_Hoy-Master_ventas[[#This Row],[Order Date]]</f>
        <v>1609</v>
      </c>
      <c r="J2192" t="str">
        <f>UPPER(Master_ventas[[#This Row],[Product Name]])</f>
        <v>SMARTWATCH</v>
      </c>
      <c r="K2192" t="str">
        <f>UPPER(Master_ventas[[#This Row],[Category]])</f>
        <v>ELECTRONICS</v>
      </c>
      <c r="L2192">
        <f>YEAR(Master_ventas[[#This Row],[Order Date]])</f>
        <v>2022</v>
      </c>
      <c r="M2192" t="str">
        <f>CONCATENATE(LEFT(Master_ventas[[#This Row],[ProdUpper]],3),RIGHT(Master_ventas[[#This Row],[Ext-Year]],2),"-",MID(Master_ventas[[#This Row],[Category]],1,1))</f>
        <v>SMA22-E</v>
      </c>
      <c r="N2192" t="str">
        <f>MID(Master_ventas[[#This Row],[ProdUpper]],1,3)</f>
        <v>SMA</v>
      </c>
      <c r="O2192" t="str">
        <f>UPPER(IF(Master_ventas[[#This Row],[Profit]]&gt;500,"High","Std"))</f>
        <v>HIGH</v>
      </c>
      <c r="P2192">
        <v>2191</v>
      </c>
    </row>
    <row r="2193" spans="1:16" x14ac:dyDescent="0.3">
      <c r="A2193" s="1">
        <v>45048</v>
      </c>
      <c r="B2193" t="s">
        <v>22</v>
      </c>
      <c r="C2193" t="s">
        <v>11</v>
      </c>
      <c r="D2193" t="s">
        <v>15</v>
      </c>
      <c r="E2193">
        <v>6</v>
      </c>
      <c r="F2193" s="3">
        <v>1362</v>
      </c>
      <c r="G2193" s="2">
        <v>202.68</v>
      </c>
      <c r="H2193">
        <f>Master_ventas[[#This Row],[Profit]]/Master_ventas[[#This Row],[Sales]]</f>
        <v>0.14881057268722467</v>
      </c>
      <c r="I2193">
        <f ca="1">Referencia_Hoy-Master_ventas[[#This Row],[Order Date]]</f>
        <v>1275</v>
      </c>
      <c r="J2193" t="str">
        <f>UPPER(Master_ventas[[#This Row],[Product Name]])</f>
        <v>KEYBOARD</v>
      </c>
      <c r="K2193" t="str">
        <f>UPPER(Master_ventas[[#This Row],[Category]])</f>
        <v>ACCESSORIES</v>
      </c>
      <c r="L2193">
        <f>YEAR(Master_ventas[[#This Row],[Order Date]])</f>
        <v>2023</v>
      </c>
      <c r="M2193" t="str">
        <f>CONCATENATE(LEFT(Master_ventas[[#This Row],[ProdUpper]],3),RIGHT(Master_ventas[[#This Row],[Ext-Year]],2),"-",MID(Master_ventas[[#This Row],[Category]],1,1))</f>
        <v>KEY23-A</v>
      </c>
      <c r="N2193" t="str">
        <f>MID(Master_ventas[[#This Row],[ProdUpper]],1,3)</f>
        <v>KEY</v>
      </c>
      <c r="O2193" t="str">
        <f>UPPER(IF(Master_ventas[[#This Row],[Profit]]&gt;500,"High","Std"))</f>
        <v>STD</v>
      </c>
      <c r="P2193">
        <v>2192</v>
      </c>
    </row>
    <row r="2194" spans="1:16" x14ac:dyDescent="0.3">
      <c r="A2194" s="1">
        <v>44574</v>
      </c>
      <c r="B2194" t="s">
        <v>10</v>
      </c>
      <c r="C2194" t="s">
        <v>11</v>
      </c>
      <c r="D2194" t="s">
        <v>12</v>
      </c>
      <c r="E2194">
        <v>7</v>
      </c>
      <c r="F2194" s="3">
        <v>3843</v>
      </c>
      <c r="G2194" s="2">
        <v>378.03</v>
      </c>
      <c r="H2194">
        <f>Master_ventas[[#This Row],[Profit]]/Master_ventas[[#This Row],[Sales]]</f>
        <v>9.8368462138953935E-2</v>
      </c>
      <c r="I2194">
        <f ca="1">Referencia_Hoy-Master_ventas[[#This Row],[Order Date]]</f>
        <v>1749</v>
      </c>
      <c r="J2194" t="str">
        <f>UPPER(Master_ventas[[#This Row],[Product Name]])</f>
        <v>MOUSE</v>
      </c>
      <c r="K2194" t="str">
        <f>UPPER(Master_ventas[[#This Row],[Category]])</f>
        <v>ACCESSORIES</v>
      </c>
      <c r="L2194">
        <f>YEAR(Master_ventas[[#This Row],[Order Date]])</f>
        <v>2022</v>
      </c>
      <c r="M2194" t="str">
        <f>CONCATENATE(LEFT(Master_ventas[[#This Row],[ProdUpper]],3),RIGHT(Master_ventas[[#This Row],[Ext-Year]],2),"-",MID(Master_ventas[[#This Row],[Category]],1,1))</f>
        <v>MOU22-A</v>
      </c>
      <c r="N2194" t="str">
        <f>MID(Master_ventas[[#This Row],[ProdUpper]],1,3)</f>
        <v>MOU</v>
      </c>
      <c r="O2194" t="str">
        <f>UPPER(IF(Master_ventas[[#This Row],[Profit]]&gt;500,"High","Std"))</f>
        <v>STD</v>
      </c>
      <c r="P2194">
        <v>2193</v>
      </c>
    </row>
    <row r="2195" spans="1:16" x14ac:dyDescent="0.3">
      <c r="A2195" s="1">
        <v>44813</v>
      </c>
      <c r="B2195" t="s">
        <v>7</v>
      </c>
      <c r="C2195" t="s">
        <v>8</v>
      </c>
      <c r="D2195" t="s">
        <v>12</v>
      </c>
      <c r="E2195">
        <v>2</v>
      </c>
      <c r="F2195" s="3">
        <v>2080</v>
      </c>
      <c r="G2195" s="2">
        <v>450.24</v>
      </c>
      <c r="H2195">
        <f>Master_ventas[[#This Row],[Profit]]/Master_ventas[[#This Row],[Sales]]</f>
        <v>0.21646153846153846</v>
      </c>
      <c r="I2195">
        <f ca="1">Referencia_Hoy-Master_ventas[[#This Row],[Order Date]]</f>
        <v>1510</v>
      </c>
      <c r="J2195" t="str">
        <f>UPPER(Master_ventas[[#This Row],[Product Name]])</f>
        <v>PRINTER</v>
      </c>
      <c r="K2195" t="str">
        <f>UPPER(Master_ventas[[#This Row],[Category]])</f>
        <v>OFFICE</v>
      </c>
      <c r="L2195">
        <f>YEAR(Master_ventas[[#This Row],[Order Date]])</f>
        <v>2022</v>
      </c>
      <c r="M2195" t="str">
        <f>CONCATENATE(LEFT(Master_ventas[[#This Row],[ProdUpper]],3),RIGHT(Master_ventas[[#This Row],[Ext-Year]],2),"-",MID(Master_ventas[[#This Row],[Category]],1,1))</f>
        <v>PRI22-O</v>
      </c>
      <c r="N2195" t="str">
        <f>MID(Master_ventas[[#This Row],[ProdUpper]],1,3)</f>
        <v>PRI</v>
      </c>
      <c r="O2195" t="str">
        <f>UPPER(IF(Master_ventas[[#This Row],[Profit]]&gt;500,"High","Std"))</f>
        <v>STD</v>
      </c>
      <c r="P2195">
        <v>2194</v>
      </c>
    </row>
    <row r="2196" spans="1:16" x14ac:dyDescent="0.3">
      <c r="A2196" s="1">
        <v>44658</v>
      </c>
      <c r="B2196" t="s">
        <v>10</v>
      </c>
      <c r="C2196" t="s">
        <v>11</v>
      </c>
      <c r="D2196" t="s">
        <v>15</v>
      </c>
      <c r="E2196">
        <v>5</v>
      </c>
      <c r="F2196" s="3">
        <v>1210</v>
      </c>
      <c r="G2196" s="2">
        <v>201.45</v>
      </c>
      <c r="H2196">
        <f>Master_ventas[[#This Row],[Profit]]/Master_ventas[[#This Row],[Sales]]</f>
        <v>0.1664876033057851</v>
      </c>
      <c r="I2196">
        <f ca="1">Referencia_Hoy-Master_ventas[[#This Row],[Order Date]]</f>
        <v>1665</v>
      </c>
      <c r="J2196" t="str">
        <f>UPPER(Master_ventas[[#This Row],[Product Name]])</f>
        <v>MOUSE</v>
      </c>
      <c r="K2196" t="str">
        <f>UPPER(Master_ventas[[#This Row],[Category]])</f>
        <v>ACCESSORIES</v>
      </c>
      <c r="L2196">
        <f>YEAR(Master_ventas[[#This Row],[Order Date]])</f>
        <v>2022</v>
      </c>
      <c r="M2196" t="str">
        <f>CONCATENATE(LEFT(Master_ventas[[#This Row],[ProdUpper]],3),RIGHT(Master_ventas[[#This Row],[Ext-Year]],2),"-",MID(Master_ventas[[#This Row],[Category]],1,1))</f>
        <v>MOU22-A</v>
      </c>
      <c r="N2196" t="str">
        <f>MID(Master_ventas[[#This Row],[ProdUpper]],1,3)</f>
        <v>MOU</v>
      </c>
      <c r="O2196" t="str">
        <f>UPPER(IF(Master_ventas[[#This Row],[Profit]]&gt;500,"High","Std"))</f>
        <v>STD</v>
      </c>
      <c r="P2196">
        <v>2195</v>
      </c>
    </row>
    <row r="2197" spans="1:16" x14ac:dyDescent="0.3">
      <c r="A2197" s="1">
        <v>45245</v>
      </c>
      <c r="B2197" t="s">
        <v>7</v>
      </c>
      <c r="C2197" t="s">
        <v>8</v>
      </c>
      <c r="D2197" t="s">
        <v>16</v>
      </c>
      <c r="E2197">
        <v>3</v>
      </c>
      <c r="F2197" s="3">
        <v>2316</v>
      </c>
      <c r="G2197" s="2">
        <v>356.5</v>
      </c>
      <c r="H2197">
        <f>Master_ventas[[#This Row],[Profit]]/Master_ventas[[#This Row],[Sales]]</f>
        <v>0.15392918825561314</v>
      </c>
      <c r="I2197">
        <f ca="1">Referencia_Hoy-Master_ventas[[#This Row],[Order Date]]</f>
        <v>1078</v>
      </c>
      <c r="J2197" t="str">
        <f>UPPER(Master_ventas[[#This Row],[Product Name]])</f>
        <v>PRINTER</v>
      </c>
      <c r="K2197" t="str">
        <f>UPPER(Master_ventas[[#This Row],[Category]])</f>
        <v>OFFICE</v>
      </c>
      <c r="L2197">
        <f>YEAR(Master_ventas[[#This Row],[Order Date]])</f>
        <v>2023</v>
      </c>
      <c r="M2197" t="str">
        <f>CONCATENATE(LEFT(Master_ventas[[#This Row],[ProdUpper]],3),RIGHT(Master_ventas[[#This Row],[Ext-Year]],2),"-",MID(Master_ventas[[#This Row],[Category]],1,1))</f>
        <v>PRI23-O</v>
      </c>
      <c r="N2197" t="str">
        <f>MID(Master_ventas[[#This Row],[ProdUpper]],1,3)</f>
        <v>PRI</v>
      </c>
      <c r="O2197" t="str">
        <f>UPPER(IF(Master_ventas[[#This Row],[Profit]]&gt;500,"High","Std"))</f>
        <v>STD</v>
      </c>
      <c r="P2197">
        <v>2196</v>
      </c>
    </row>
    <row r="2198" spans="1:16" x14ac:dyDescent="0.3">
      <c r="A2198" s="1">
        <v>45125</v>
      </c>
      <c r="B2198" t="s">
        <v>20</v>
      </c>
      <c r="C2198" t="s">
        <v>11</v>
      </c>
      <c r="D2198" t="s">
        <v>16</v>
      </c>
      <c r="E2198">
        <v>6</v>
      </c>
      <c r="F2198" s="3">
        <v>3366</v>
      </c>
      <c r="G2198" s="2">
        <v>614.22</v>
      </c>
      <c r="H2198">
        <f>Master_ventas[[#This Row],[Profit]]/Master_ventas[[#This Row],[Sales]]</f>
        <v>0.18247771836007132</v>
      </c>
      <c r="I2198">
        <f ca="1">Referencia_Hoy-Master_ventas[[#This Row],[Order Date]]</f>
        <v>1198</v>
      </c>
      <c r="J2198" t="str">
        <f>UPPER(Master_ventas[[#This Row],[Product Name]])</f>
        <v>MONITOR</v>
      </c>
      <c r="K2198" t="str">
        <f>UPPER(Master_ventas[[#This Row],[Category]])</f>
        <v>ACCESSORIES</v>
      </c>
      <c r="L2198">
        <f>YEAR(Master_ventas[[#This Row],[Order Date]])</f>
        <v>2023</v>
      </c>
      <c r="M2198" t="str">
        <f>CONCATENATE(LEFT(Master_ventas[[#This Row],[ProdUpper]],3),RIGHT(Master_ventas[[#This Row],[Ext-Year]],2),"-",MID(Master_ventas[[#This Row],[Category]],1,1))</f>
        <v>MON23-A</v>
      </c>
      <c r="N2198" t="str">
        <f>MID(Master_ventas[[#This Row],[ProdUpper]],1,3)</f>
        <v>MON</v>
      </c>
      <c r="O2198" t="str">
        <f>UPPER(IF(Master_ventas[[#This Row],[Profit]]&gt;500,"High","Std"))</f>
        <v>HIGH</v>
      </c>
      <c r="P2198">
        <v>2197</v>
      </c>
    </row>
    <row r="2199" spans="1:16" x14ac:dyDescent="0.3">
      <c r="A2199" s="1">
        <v>45450</v>
      </c>
      <c r="B2199" t="s">
        <v>13</v>
      </c>
      <c r="C2199" t="s">
        <v>14</v>
      </c>
      <c r="D2199" t="s">
        <v>16</v>
      </c>
      <c r="E2199">
        <v>9</v>
      </c>
      <c r="F2199" s="3">
        <v>6507</v>
      </c>
      <c r="G2199" s="2">
        <v>1075.51</v>
      </c>
      <c r="H2199">
        <f>Master_ventas[[#This Row],[Profit]]/Master_ventas[[#This Row],[Sales]]</f>
        <v>0.16528507760872907</v>
      </c>
      <c r="I2199">
        <f ca="1">Referencia_Hoy-Master_ventas[[#This Row],[Order Date]]</f>
        <v>873</v>
      </c>
      <c r="J2199" t="str">
        <f>UPPER(Master_ventas[[#This Row],[Product Name]])</f>
        <v>TABLET</v>
      </c>
      <c r="K2199" t="str">
        <f>UPPER(Master_ventas[[#This Row],[Category]])</f>
        <v>ELECTRONICS</v>
      </c>
      <c r="L2199">
        <f>YEAR(Master_ventas[[#This Row],[Order Date]])</f>
        <v>2024</v>
      </c>
      <c r="M2199" t="str">
        <f>CONCATENATE(LEFT(Master_ventas[[#This Row],[ProdUpper]],3),RIGHT(Master_ventas[[#This Row],[Ext-Year]],2),"-",MID(Master_ventas[[#This Row],[Category]],1,1))</f>
        <v>TAB24-E</v>
      </c>
      <c r="N2199" t="str">
        <f>MID(Master_ventas[[#This Row],[ProdUpper]],1,3)</f>
        <v>TAB</v>
      </c>
      <c r="O2199" t="str">
        <f>UPPER(IF(Master_ventas[[#This Row],[Profit]]&gt;500,"High","Std"))</f>
        <v>HIGH</v>
      </c>
      <c r="P2199">
        <v>2198</v>
      </c>
    </row>
    <row r="2200" spans="1:16" x14ac:dyDescent="0.3">
      <c r="A2200" s="1">
        <v>45426</v>
      </c>
      <c r="B2200" t="s">
        <v>10</v>
      </c>
      <c r="C2200" t="s">
        <v>11</v>
      </c>
      <c r="D2200" t="s">
        <v>15</v>
      </c>
      <c r="E2200">
        <v>1</v>
      </c>
      <c r="F2200" s="3">
        <v>384</v>
      </c>
      <c r="G2200" s="2">
        <v>35.36</v>
      </c>
      <c r="H2200">
        <f>Master_ventas[[#This Row],[Profit]]/Master_ventas[[#This Row],[Sales]]</f>
        <v>9.2083333333333336E-2</v>
      </c>
      <c r="I2200">
        <f ca="1">Referencia_Hoy-Master_ventas[[#This Row],[Order Date]]</f>
        <v>897</v>
      </c>
      <c r="J2200" t="str">
        <f>UPPER(Master_ventas[[#This Row],[Product Name]])</f>
        <v>MOUSE</v>
      </c>
      <c r="K2200" t="str">
        <f>UPPER(Master_ventas[[#This Row],[Category]])</f>
        <v>ACCESSORIES</v>
      </c>
      <c r="L2200">
        <f>YEAR(Master_ventas[[#This Row],[Order Date]])</f>
        <v>2024</v>
      </c>
      <c r="M2200" t="str">
        <f>CONCATENATE(LEFT(Master_ventas[[#This Row],[ProdUpper]],3),RIGHT(Master_ventas[[#This Row],[Ext-Year]],2),"-",MID(Master_ventas[[#This Row],[Category]],1,1))</f>
        <v>MOU24-A</v>
      </c>
      <c r="N2200" t="str">
        <f>MID(Master_ventas[[#This Row],[ProdUpper]],1,3)</f>
        <v>MOU</v>
      </c>
      <c r="O2200" t="str">
        <f>UPPER(IF(Master_ventas[[#This Row],[Profit]]&gt;500,"High","Std"))</f>
        <v>STD</v>
      </c>
      <c r="P2200">
        <v>2199</v>
      </c>
    </row>
    <row r="2201" spans="1:16" x14ac:dyDescent="0.3">
      <c r="A2201" s="1">
        <v>44566</v>
      </c>
      <c r="B2201" t="s">
        <v>23</v>
      </c>
      <c r="C2201" t="s">
        <v>14</v>
      </c>
      <c r="D2201" t="s">
        <v>15</v>
      </c>
      <c r="E2201">
        <v>5</v>
      </c>
      <c r="F2201" s="3">
        <v>3625</v>
      </c>
      <c r="G2201" s="2">
        <v>563.95000000000005</v>
      </c>
      <c r="H2201">
        <f>Master_ventas[[#This Row],[Profit]]/Master_ventas[[#This Row],[Sales]]</f>
        <v>0.15557241379310346</v>
      </c>
      <c r="I2201">
        <f ca="1">Referencia_Hoy-Master_ventas[[#This Row],[Order Date]]</f>
        <v>1757</v>
      </c>
      <c r="J2201" t="str">
        <f>UPPER(Master_ventas[[#This Row],[Product Name]])</f>
        <v>LAPTOP</v>
      </c>
      <c r="K2201" t="str">
        <f>UPPER(Master_ventas[[#This Row],[Category]])</f>
        <v>ELECTRONICS</v>
      </c>
      <c r="L2201">
        <f>YEAR(Master_ventas[[#This Row],[Order Date]])</f>
        <v>2022</v>
      </c>
      <c r="M2201" t="str">
        <f>CONCATENATE(LEFT(Master_ventas[[#This Row],[ProdUpper]],3),RIGHT(Master_ventas[[#This Row],[Ext-Year]],2),"-",MID(Master_ventas[[#This Row],[Category]],1,1))</f>
        <v>LAP22-E</v>
      </c>
      <c r="N2201" t="str">
        <f>MID(Master_ventas[[#This Row],[ProdUpper]],1,3)</f>
        <v>LAP</v>
      </c>
      <c r="O2201" t="str">
        <f>UPPER(IF(Master_ventas[[#This Row],[Profit]]&gt;500,"High","Std"))</f>
        <v>HIGH</v>
      </c>
      <c r="P2201">
        <v>2200</v>
      </c>
    </row>
    <row r="2202" spans="1:16" x14ac:dyDescent="0.3">
      <c r="A2202" s="1">
        <v>44909</v>
      </c>
      <c r="B2202" t="s">
        <v>13</v>
      </c>
      <c r="C2202" t="s">
        <v>14</v>
      </c>
      <c r="D2202" t="s">
        <v>15</v>
      </c>
      <c r="E2202">
        <v>1</v>
      </c>
      <c r="F2202" s="3">
        <v>400</v>
      </c>
      <c r="G2202" s="2">
        <v>45.16</v>
      </c>
      <c r="H2202">
        <f>Master_ventas[[#This Row],[Profit]]/Master_ventas[[#This Row],[Sales]]</f>
        <v>0.11289999999999999</v>
      </c>
      <c r="I2202">
        <f ca="1">Referencia_Hoy-Master_ventas[[#This Row],[Order Date]]</f>
        <v>1414</v>
      </c>
      <c r="J2202" t="str">
        <f>UPPER(Master_ventas[[#This Row],[Product Name]])</f>
        <v>TABLET</v>
      </c>
      <c r="K2202" t="str">
        <f>UPPER(Master_ventas[[#This Row],[Category]])</f>
        <v>ELECTRONICS</v>
      </c>
      <c r="L2202">
        <f>YEAR(Master_ventas[[#This Row],[Order Date]])</f>
        <v>2022</v>
      </c>
      <c r="M2202" t="str">
        <f>CONCATENATE(LEFT(Master_ventas[[#This Row],[ProdUpper]],3),RIGHT(Master_ventas[[#This Row],[Ext-Year]],2),"-",MID(Master_ventas[[#This Row],[Category]],1,1))</f>
        <v>TAB22-E</v>
      </c>
      <c r="N2202" t="str">
        <f>MID(Master_ventas[[#This Row],[ProdUpper]],1,3)</f>
        <v>TAB</v>
      </c>
      <c r="O2202" t="str">
        <f>UPPER(IF(Master_ventas[[#This Row],[Profit]]&gt;500,"High","Std"))</f>
        <v>STD</v>
      </c>
      <c r="P2202">
        <v>2201</v>
      </c>
    </row>
    <row r="2203" spans="1:16" x14ac:dyDescent="0.3">
      <c r="A2203" s="1">
        <v>44614</v>
      </c>
      <c r="B2203" t="s">
        <v>20</v>
      </c>
      <c r="C2203" t="s">
        <v>11</v>
      </c>
      <c r="D2203" t="s">
        <v>9</v>
      </c>
      <c r="E2203">
        <v>5</v>
      </c>
      <c r="F2203" s="3">
        <v>2880</v>
      </c>
      <c r="G2203" s="2">
        <v>209.58</v>
      </c>
      <c r="H2203">
        <f>Master_ventas[[#This Row],[Profit]]/Master_ventas[[#This Row],[Sales]]</f>
        <v>7.277083333333334E-2</v>
      </c>
      <c r="I2203">
        <f ca="1">Referencia_Hoy-Master_ventas[[#This Row],[Order Date]]</f>
        <v>1709</v>
      </c>
      <c r="J2203" t="str">
        <f>UPPER(Master_ventas[[#This Row],[Product Name]])</f>
        <v>MONITOR</v>
      </c>
      <c r="K2203" t="str">
        <f>UPPER(Master_ventas[[#This Row],[Category]])</f>
        <v>ACCESSORIES</v>
      </c>
      <c r="L2203">
        <f>YEAR(Master_ventas[[#This Row],[Order Date]])</f>
        <v>2022</v>
      </c>
      <c r="M2203" t="str">
        <f>CONCATENATE(LEFT(Master_ventas[[#This Row],[ProdUpper]],3),RIGHT(Master_ventas[[#This Row],[Ext-Year]],2),"-",MID(Master_ventas[[#This Row],[Category]],1,1))</f>
        <v>MON22-A</v>
      </c>
      <c r="N2203" t="str">
        <f>MID(Master_ventas[[#This Row],[ProdUpper]],1,3)</f>
        <v>MON</v>
      </c>
      <c r="O2203" t="str">
        <f>UPPER(IF(Master_ventas[[#This Row],[Profit]]&gt;500,"High","Std"))</f>
        <v>STD</v>
      </c>
      <c r="P2203">
        <v>2202</v>
      </c>
    </row>
    <row r="2204" spans="1:16" x14ac:dyDescent="0.3">
      <c r="A2204" s="1">
        <v>45013</v>
      </c>
      <c r="B2204" t="s">
        <v>7</v>
      </c>
      <c r="C2204" t="s">
        <v>8</v>
      </c>
      <c r="D2204" t="s">
        <v>16</v>
      </c>
      <c r="E2204">
        <v>6</v>
      </c>
      <c r="F2204" s="3">
        <v>1608</v>
      </c>
      <c r="G2204" s="2">
        <v>302.32</v>
      </c>
      <c r="H2204">
        <f>Master_ventas[[#This Row],[Profit]]/Master_ventas[[#This Row],[Sales]]</f>
        <v>0.18800995024875622</v>
      </c>
      <c r="I2204">
        <f ca="1">Referencia_Hoy-Master_ventas[[#This Row],[Order Date]]</f>
        <v>1310</v>
      </c>
      <c r="J2204" t="str">
        <f>UPPER(Master_ventas[[#This Row],[Product Name]])</f>
        <v>PRINTER</v>
      </c>
      <c r="K2204" t="str">
        <f>UPPER(Master_ventas[[#This Row],[Category]])</f>
        <v>OFFICE</v>
      </c>
      <c r="L2204">
        <f>YEAR(Master_ventas[[#This Row],[Order Date]])</f>
        <v>2023</v>
      </c>
      <c r="M2204" t="str">
        <f>CONCATENATE(LEFT(Master_ventas[[#This Row],[ProdUpper]],3),RIGHT(Master_ventas[[#This Row],[Ext-Year]],2),"-",MID(Master_ventas[[#This Row],[Category]],1,1))</f>
        <v>PRI23-O</v>
      </c>
      <c r="N2204" t="str">
        <f>MID(Master_ventas[[#This Row],[ProdUpper]],1,3)</f>
        <v>PRI</v>
      </c>
      <c r="O2204" t="str">
        <f>UPPER(IF(Master_ventas[[#This Row],[Profit]]&gt;500,"High","Std"))</f>
        <v>STD</v>
      </c>
      <c r="P2204">
        <v>2203</v>
      </c>
    </row>
    <row r="2205" spans="1:16" x14ac:dyDescent="0.3">
      <c r="A2205" s="1">
        <v>44965</v>
      </c>
      <c r="B2205" t="s">
        <v>18</v>
      </c>
      <c r="C2205" t="s">
        <v>11</v>
      </c>
      <c r="D2205" t="s">
        <v>15</v>
      </c>
      <c r="E2205">
        <v>2</v>
      </c>
      <c r="F2205" s="3">
        <v>1574</v>
      </c>
      <c r="G2205" s="2">
        <v>196.84</v>
      </c>
      <c r="H2205">
        <f>Master_ventas[[#This Row],[Profit]]/Master_ventas[[#This Row],[Sales]]</f>
        <v>0.12505717916137229</v>
      </c>
      <c r="I2205">
        <f ca="1">Referencia_Hoy-Master_ventas[[#This Row],[Order Date]]</f>
        <v>1358</v>
      </c>
      <c r="J2205" t="str">
        <f>UPPER(Master_ventas[[#This Row],[Product Name]])</f>
        <v>HEADPHONES</v>
      </c>
      <c r="K2205" t="str">
        <f>UPPER(Master_ventas[[#This Row],[Category]])</f>
        <v>ACCESSORIES</v>
      </c>
      <c r="L2205">
        <f>YEAR(Master_ventas[[#This Row],[Order Date]])</f>
        <v>2023</v>
      </c>
      <c r="M2205" t="str">
        <f>CONCATENATE(LEFT(Master_ventas[[#This Row],[ProdUpper]],3),RIGHT(Master_ventas[[#This Row],[Ext-Year]],2),"-",MID(Master_ventas[[#This Row],[Category]],1,1))</f>
        <v>HEA23-A</v>
      </c>
      <c r="N2205" t="str">
        <f>MID(Master_ventas[[#This Row],[ProdUpper]],1,3)</f>
        <v>HEA</v>
      </c>
      <c r="O2205" t="str">
        <f>UPPER(IF(Master_ventas[[#This Row],[Profit]]&gt;500,"High","Std"))</f>
        <v>STD</v>
      </c>
      <c r="P2205">
        <v>2204</v>
      </c>
    </row>
    <row r="2206" spans="1:16" x14ac:dyDescent="0.3">
      <c r="A2206" s="1">
        <v>45548</v>
      </c>
      <c r="B2206" t="s">
        <v>22</v>
      </c>
      <c r="C2206" t="s">
        <v>11</v>
      </c>
      <c r="D2206" t="s">
        <v>12</v>
      </c>
      <c r="E2206">
        <v>3</v>
      </c>
      <c r="F2206" s="3">
        <v>2478</v>
      </c>
      <c r="G2206" s="2">
        <v>584.37</v>
      </c>
      <c r="H2206">
        <f>Master_ventas[[#This Row],[Profit]]/Master_ventas[[#This Row],[Sales]]</f>
        <v>0.23582324455205811</v>
      </c>
      <c r="I2206">
        <f ca="1">Referencia_Hoy-Master_ventas[[#This Row],[Order Date]]</f>
        <v>775</v>
      </c>
      <c r="J2206" t="str">
        <f>UPPER(Master_ventas[[#This Row],[Product Name]])</f>
        <v>KEYBOARD</v>
      </c>
      <c r="K2206" t="str">
        <f>UPPER(Master_ventas[[#This Row],[Category]])</f>
        <v>ACCESSORIES</v>
      </c>
      <c r="L2206">
        <f>YEAR(Master_ventas[[#This Row],[Order Date]])</f>
        <v>2024</v>
      </c>
      <c r="M2206" t="str">
        <f>CONCATENATE(LEFT(Master_ventas[[#This Row],[ProdUpper]],3),RIGHT(Master_ventas[[#This Row],[Ext-Year]],2),"-",MID(Master_ventas[[#This Row],[Category]],1,1))</f>
        <v>KEY24-A</v>
      </c>
      <c r="N2206" t="str">
        <f>MID(Master_ventas[[#This Row],[ProdUpper]],1,3)</f>
        <v>KEY</v>
      </c>
      <c r="O2206" t="str">
        <f>UPPER(IF(Master_ventas[[#This Row],[Profit]]&gt;500,"High","Std"))</f>
        <v>HIGH</v>
      </c>
      <c r="P2206">
        <v>2205</v>
      </c>
    </row>
    <row r="2207" spans="1:16" x14ac:dyDescent="0.3">
      <c r="A2207" s="1">
        <v>45555</v>
      </c>
      <c r="B2207" t="s">
        <v>18</v>
      </c>
      <c r="C2207" t="s">
        <v>11</v>
      </c>
      <c r="D2207" t="s">
        <v>12</v>
      </c>
      <c r="E2207">
        <v>8</v>
      </c>
      <c r="F2207" s="3">
        <v>8872</v>
      </c>
      <c r="G2207" s="2">
        <v>1486.58</v>
      </c>
      <c r="H2207">
        <f>Master_ventas[[#This Row],[Profit]]/Master_ventas[[#This Row],[Sales]]</f>
        <v>0.16755861136158701</v>
      </c>
      <c r="I2207">
        <f ca="1">Referencia_Hoy-Master_ventas[[#This Row],[Order Date]]</f>
        <v>768</v>
      </c>
      <c r="J2207" t="str">
        <f>UPPER(Master_ventas[[#This Row],[Product Name]])</f>
        <v>HEADPHONES</v>
      </c>
      <c r="K2207" t="str">
        <f>UPPER(Master_ventas[[#This Row],[Category]])</f>
        <v>ACCESSORIES</v>
      </c>
      <c r="L2207">
        <f>YEAR(Master_ventas[[#This Row],[Order Date]])</f>
        <v>2024</v>
      </c>
      <c r="M2207" t="str">
        <f>CONCATENATE(LEFT(Master_ventas[[#This Row],[ProdUpper]],3),RIGHT(Master_ventas[[#This Row],[Ext-Year]],2),"-",MID(Master_ventas[[#This Row],[Category]],1,1))</f>
        <v>HEA24-A</v>
      </c>
      <c r="N2207" t="str">
        <f>MID(Master_ventas[[#This Row],[ProdUpper]],1,3)</f>
        <v>HEA</v>
      </c>
      <c r="O2207" t="str">
        <f>UPPER(IF(Master_ventas[[#This Row],[Profit]]&gt;500,"High","Std"))</f>
        <v>HIGH</v>
      </c>
      <c r="P2207">
        <v>2206</v>
      </c>
    </row>
    <row r="2208" spans="1:16" x14ac:dyDescent="0.3">
      <c r="A2208" s="1">
        <v>45375</v>
      </c>
      <c r="B2208" t="s">
        <v>7</v>
      </c>
      <c r="C2208" t="s">
        <v>8</v>
      </c>
      <c r="D2208" t="s">
        <v>12</v>
      </c>
      <c r="E2208">
        <v>8</v>
      </c>
      <c r="F2208" s="3">
        <v>2320</v>
      </c>
      <c r="G2208" s="2">
        <v>668.63</v>
      </c>
      <c r="H2208">
        <f>Master_ventas[[#This Row],[Profit]]/Master_ventas[[#This Row],[Sales]]</f>
        <v>0.28820258620689654</v>
      </c>
      <c r="I2208">
        <f ca="1">Referencia_Hoy-Master_ventas[[#This Row],[Order Date]]</f>
        <v>948</v>
      </c>
      <c r="J2208" t="str">
        <f>UPPER(Master_ventas[[#This Row],[Product Name]])</f>
        <v>PRINTER</v>
      </c>
      <c r="K2208" t="str">
        <f>UPPER(Master_ventas[[#This Row],[Category]])</f>
        <v>OFFICE</v>
      </c>
      <c r="L2208">
        <f>YEAR(Master_ventas[[#This Row],[Order Date]])</f>
        <v>2024</v>
      </c>
      <c r="M2208" t="str">
        <f>CONCATENATE(LEFT(Master_ventas[[#This Row],[ProdUpper]],3),RIGHT(Master_ventas[[#This Row],[Ext-Year]],2),"-",MID(Master_ventas[[#This Row],[Category]],1,1))</f>
        <v>PRI24-O</v>
      </c>
      <c r="N2208" t="str">
        <f>MID(Master_ventas[[#This Row],[ProdUpper]],1,3)</f>
        <v>PRI</v>
      </c>
      <c r="O2208" t="str">
        <f>UPPER(IF(Master_ventas[[#This Row],[Profit]]&gt;500,"High","Std"))</f>
        <v>HIGH</v>
      </c>
      <c r="P2208">
        <v>2207</v>
      </c>
    </row>
    <row r="2209" spans="1:16" x14ac:dyDescent="0.3">
      <c r="A2209" s="1">
        <v>45136</v>
      </c>
      <c r="B2209" t="s">
        <v>18</v>
      </c>
      <c r="C2209" t="s">
        <v>11</v>
      </c>
      <c r="D2209" t="s">
        <v>16</v>
      </c>
      <c r="E2209">
        <v>3</v>
      </c>
      <c r="F2209" s="3">
        <v>171</v>
      </c>
      <c r="G2209" s="2">
        <v>9.02</v>
      </c>
      <c r="H2209">
        <f>Master_ventas[[#This Row],[Profit]]/Master_ventas[[#This Row],[Sales]]</f>
        <v>5.2748538011695906E-2</v>
      </c>
      <c r="I2209">
        <f ca="1">Referencia_Hoy-Master_ventas[[#This Row],[Order Date]]</f>
        <v>1187</v>
      </c>
      <c r="J2209" t="str">
        <f>UPPER(Master_ventas[[#This Row],[Product Name]])</f>
        <v>HEADPHONES</v>
      </c>
      <c r="K2209" t="str">
        <f>UPPER(Master_ventas[[#This Row],[Category]])</f>
        <v>ACCESSORIES</v>
      </c>
      <c r="L2209">
        <f>YEAR(Master_ventas[[#This Row],[Order Date]])</f>
        <v>2023</v>
      </c>
      <c r="M2209" t="str">
        <f>CONCATENATE(LEFT(Master_ventas[[#This Row],[ProdUpper]],3),RIGHT(Master_ventas[[#This Row],[Ext-Year]],2),"-",MID(Master_ventas[[#This Row],[Category]],1,1))</f>
        <v>HEA23-A</v>
      </c>
      <c r="N2209" t="str">
        <f>MID(Master_ventas[[#This Row],[ProdUpper]],1,3)</f>
        <v>HEA</v>
      </c>
      <c r="O2209" t="str">
        <f>UPPER(IF(Master_ventas[[#This Row],[Profit]]&gt;500,"High","Std"))</f>
        <v>STD</v>
      </c>
      <c r="P2209">
        <v>2208</v>
      </c>
    </row>
    <row r="2210" spans="1:16" x14ac:dyDescent="0.3">
      <c r="A2210" s="1">
        <v>45616</v>
      </c>
      <c r="B2210" t="s">
        <v>22</v>
      </c>
      <c r="C2210" t="s">
        <v>11</v>
      </c>
      <c r="D2210" t="s">
        <v>15</v>
      </c>
      <c r="E2210">
        <v>8</v>
      </c>
      <c r="F2210" s="3">
        <v>4536</v>
      </c>
      <c r="G2210" s="2">
        <v>627.13</v>
      </c>
      <c r="H2210">
        <f>Master_ventas[[#This Row],[Profit]]/Master_ventas[[#This Row],[Sales]]</f>
        <v>0.13825617283950617</v>
      </c>
      <c r="I2210">
        <f ca="1">Referencia_Hoy-Master_ventas[[#This Row],[Order Date]]</f>
        <v>707</v>
      </c>
      <c r="J2210" t="str">
        <f>UPPER(Master_ventas[[#This Row],[Product Name]])</f>
        <v>KEYBOARD</v>
      </c>
      <c r="K2210" t="str">
        <f>UPPER(Master_ventas[[#This Row],[Category]])</f>
        <v>ACCESSORIES</v>
      </c>
      <c r="L2210">
        <f>YEAR(Master_ventas[[#This Row],[Order Date]])</f>
        <v>2024</v>
      </c>
      <c r="M2210" t="str">
        <f>CONCATENATE(LEFT(Master_ventas[[#This Row],[ProdUpper]],3),RIGHT(Master_ventas[[#This Row],[Ext-Year]],2),"-",MID(Master_ventas[[#This Row],[Category]],1,1))</f>
        <v>KEY24-A</v>
      </c>
      <c r="N2210" t="str">
        <f>MID(Master_ventas[[#This Row],[ProdUpper]],1,3)</f>
        <v>KEY</v>
      </c>
      <c r="O2210" t="str">
        <f>UPPER(IF(Master_ventas[[#This Row],[Profit]]&gt;500,"High","Std"))</f>
        <v>HIGH</v>
      </c>
      <c r="P2210">
        <v>2209</v>
      </c>
    </row>
    <row r="2211" spans="1:16" x14ac:dyDescent="0.3">
      <c r="A2211" s="1">
        <v>45452</v>
      </c>
      <c r="B2211" t="s">
        <v>18</v>
      </c>
      <c r="C2211" t="s">
        <v>11</v>
      </c>
      <c r="D2211" t="s">
        <v>15</v>
      </c>
      <c r="E2211">
        <v>3</v>
      </c>
      <c r="F2211" s="3">
        <v>1308</v>
      </c>
      <c r="G2211" s="2">
        <v>73.28</v>
      </c>
      <c r="H2211">
        <f>Master_ventas[[#This Row],[Profit]]/Master_ventas[[#This Row],[Sales]]</f>
        <v>5.6024464831804281E-2</v>
      </c>
      <c r="I2211">
        <f ca="1">Referencia_Hoy-Master_ventas[[#This Row],[Order Date]]</f>
        <v>871</v>
      </c>
      <c r="J2211" t="str">
        <f>UPPER(Master_ventas[[#This Row],[Product Name]])</f>
        <v>HEADPHONES</v>
      </c>
      <c r="K2211" t="str">
        <f>UPPER(Master_ventas[[#This Row],[Category]])</f>
        <v>ACCESSORIES</v>
      </c>
      <c r="L2211">
        <f>YEAR(Master_ventas[[#This Row],[Order Date]])</f>
        <v>2024</v>
      </c>
      <c r="M2211" t="str">
        <f>CONCATENATE(LEFT(Master_ventas[[#This Row],[ProdUpper]],3),RIGHT(Master_ventas[[#This Row],[Ext-Year]],2),"-",MID(Master_ventas[[#This Row],[Category]],1,1))</f>
        <v>HEA24-A</v>
      </c>
      <c r="N2211" t="str">
        <f>MID(Master_ventas[[#This Row],[ProdUpper]],1,3)</f>
        <v>HEA</v>
      </c>
      <c r="O2211" t="str">
        <f>UPPER(IF(Master_ventas[[#This Row],[Profit]]&gt;500,"High","Std"))</f>
        <v>STD</v>
      </c>
      <c r="P2211">
        <v>2210</v>
      </c>
    </row>
    <row r="2212" spans="1:16" x14ac:dyDescent="0.3">
      <c r="A2212" s="1">
        <v>44861</v>
      </c>
      <c r="B2212" t="s">
        <v>23</v>
      </c>
      <c r="C2212" t="s">
        <v>14</v>
      </c>
      <c r="D2212" t="s">
        <v>9</v>
      </c>
      <c r="E2212">
        <v>4</v>
      </c>
      <c r="F2212" s="3">
        <v>4048</v>
      </c>
      <c r="G2212" s="2">
        <v>641.23</v>
      </c>
      <c r="H2212">
        <f>Master_ventas[[#This Row],[Profit]]/Master_ventas[[#This Row],[Sales]]</f>
        <v>0.15840662055335969</v>
      </c>
      <c r="I2212">
        <f ca="1">Referencia_Hoy-Master_ventas[[#This Row],[Order Date]]</f>
        <v>1462</v>
      </c>
      <c r="J2212" t="str">
        <f>UPPER(Master_ventas[[#This Row],[Product Name]])</f>
        <v>LAPTOP</v>
      </c>
      <c r="K2212" t="str">
        <f>UPPER(Master_ventas[[#This Row],[Category]])</f>
        <v>ELECTRONICS</v>
      </c>
      <c r="L2212">
        <f>YEAR(Master_ventas[[#This Row],[Order Date]])</f>
        <v>2022</v>
      </c>
      <c r="M2212" t="str">
        <f>CONCATENATE(LEFT(Master_ventas[[#This Row],[ProdUpper]],3),RIGHT(Master_ventas[[#This Row],[Ext-Year]],2),"-",MID(Master_ventas[[#This Row],[Category]],1,1))</f>
        <v>LAP22-E</v>
      </c>
      <c r="N2212" t="str">
        <f>MID(Master_ventas[[#This Row],[ProdUpper]],1,3)</f>
        <v>LAP</v>
      </c>
      <c r="O2212" t="str">
        <f>UPPER(IF(Master_ventas[[#This Row],[Profit]]&gt;500,"High","Std"))</f>
        <v>HIGH</v>
      </c>
      <c r="P2212">
        <v>2211</v>
      </c>
    </row>
    <row r="2213" spans="1:16" x14ac:dyDescent="0.3">
      <c r="A2213" s="1">
        <v>44710</v>
      </c>
      <c r="B2213" t="s">
        <v>13</v>
      </c>
      <c r="C2213" t="s">
        <v>14</v>
      </c>
      <c r="D2213" t="s">
        <v>12</v>
      </c>
      <c r="E2213">
        <v>9</v>
      </c>
      <c r="F2213" s="3">
        <v>4041</v>
      </c>
      <c r="G2213" s="2">
        <v>963.58</v>
      </c>
      <c r="H2213">
        <f>Master_ventas[[#This Row],[Profit]]/Master_ventas[[#This Row],[Sales]]</f>
        <v>0.23845087849542193</v>
      </c>
      <c r="I2213">
        <f ca="1">Referencia_Hoy-Master_ventas[[#This Row],[Order Date]]</f>
        <v>1613</v>
      </c>
      <c r="J2213" t="str">
        <f>UPPER(Master_ventas[[#This Row],[Product Name]])</f>
        <v>TABLET</v>
      </c>
      <c r="K2213" t="str">
        <f>UPPER(Master_ventas[[#This Row],[Category]])</f>
        <v>ELECTRONICS</v>
      </c>
      <c r="L2213">
        <f>YEAR(Master_ventas[[#This Row],[Order Date]])</f>
        <v>2022</v>
      </c>
      <c r="M2213" t="str">
        <f>CONCATENATE(LEFT(Master_ventas[[#This Row],[ProdUpper]],3),RIGHT(Master_ventas[[#This Row],[Ext-Year]],2),"-",MID(Master_ventas[[#This Row],[Category]],1,1))</f>
        <v>TAB22-E</v>
      </c>
      <c r="N2213" t="str">
        <f>MID(Master_ventas[[#This Row],[ProdUpper]],1,3)</f>
        <v>TAB</v>
      </c>
      <c r="O2213" t="str">
        <f>UPPER(IF(Master_ventas[[#This Row],[Profit]]&gt;500,"High","Std"))</f>
        <v>HIGH</v>
      </c>
      <c r="P2213">
        <v>2212</v>
      </c>
    </row>
    <row r="2214" spans="1:16" x14ac:dyDescent="0.3">
      <c r="A2214" s="1">
        <v>45436</v>
      </c>
      <c r="B2214" t="s">
        <v>18</v>
      </c>
      <c r="C2214" t="s">
        <v>11</v>
      </c>
      <c r="D2214" t="s">
        <v>15</v>
      </c>
      <c r="E2214">
        <v>5</v>
      </c>
      <c r="F2214" s="3">
        <v>5665</v>
      </c>
      <c r="G2214" s="2">
        <v>332.46</v>
      </c>
      <c r="H2214">
        <f>Master_ventas[[#This Row],[Profit]]/Master_ventas[[#This Row],[Sales]]</f>
        <v>5.8686672550750218E-2</v>
      </c>
      <c r="I2214">
        <f ca="1">Referencia_Hoy-Master_ventas[[#This Row],[Order Date]]</f>
        <v>887</v>
      </c>
      <c r="J2214" t="str">
        <f>UPPER(Master_ventas[[#This Row],[Product Name]])</f>
        <v>HEADPHONES</v>
      </c>
      <c r="K2214" t="str">
        <f>UPPER(Master_ventas[[#This Row],[Category]])</f>
        <v>ACCESSORIES</v>
      </c>
      <c r="L2214">
        <f>YEAR(Master_ventas[[#This Row],[Order Date]])</f>
        <v>2024</v>
      </c>
      <c r="M2214" t="str">
        <f>CONCATENATE(LEFT(Master_ventas[[#This Row],[ProdUpper]],3),RIGHT(Master_ventas[[#This Row],[Ext-Year]],2),"-",MID(Master_ventas[[#This Row],[Category]],1,1))</f>
        <v>HEA24-A</v>
      </c>
      <c r="N2214" t="str">
        <f>MID(Master_ventas[[#This Row],[ProdUpper]],1,3)</f>
        <v>HEA</v>
      </c>
      <c r="O2214" t="str">
        <f>UPPER(IF(Master_ventas[[#This Row],[Profit]]&gt;500,"High","Std"))</f>
        <v>STD</v>
      </c>
      <c r="P2214">
        <v>2213</v>
      </c>
    </row>
    <row r="2215" spans="1:16" x14ac:dyDescent="0.3">
      <c r="A2215" s="1">
        <v>45259</v>
      </c>
      <c r="B2215" t="s">
        <v>10</v>
      </c>
      <c r="C2215" t="s">
        <v>11</v>
      </c>
      <c r="D2215" t="s">
        <v>15</v>
      </c>
      <c r="E2215">
        <v>6</v>
      </c>
      <c r="F2215" s="3">
        <v>6876</v>
      </c>
      <c r="G2215" s="2">
        <v>1029.92</v>
      </c>
      <c r="H2215">
        <f>Master_ventas[[#This Row],[Profit]]/Master_ventas[[#This Row],[Sales]]</f>
        <v>0.14978475858057011</v>
      </c>
      <c r="I2215">
        <f ca="1">Referencia_Hoy-Master_ventas[[#This Row],[Order Date]]</f>
        <v>1064</v>
      </c>
      <c r="J2215" t="str">
        <f>UPPER(Master_ventas[[#This Row],[Product Name]])</f>
        <v>MOUSE</v>
      </c>
      <c r="K2215" t="str">
        <f>UPPER(Master_ventas[[#This Row],[Category]])</f>
        <v>ACCESSORIES</v>
      </c>
      <c r="L2215">
        <f>YEAR(Master_ventas[[#This Row],[Order Date]])</f>
        <v>2023</v>
      </c>
      <c r="M2215" t="str">
        <f>CONCATENATE(LEFT(Master_ventas[[#This Row],[ProdUpper]],3),RIGHT(Master_ventas[[#This Row],[Ext-Year]],2),"-",MID(Master_ventas[[#This Row],[Category]],1,1))</f>
        <v>MOU23-A</v>
      </c>
      <c r="N2215" t="str">
        <f>MID(Master_ventas[[#This Row],[ProdUpper]],1,3)</f>
        <v>MOU</v>
      </c>
      <c r="O2215" t="str">
        <f>UPPER(IF(Master_ventas[[#This Row],[Profit]]&gt;500,"High","Std"))</f>
        <v>HIGH</v>
      </c>
      <c r="P2215">
        <v>2214</v>
      </c>
    </row>
    <row r="2216" spans="1:16" x14ac:dyDescent="0.3">
      <c r="A2216" s="1">
        <v>44987</v>
      </c>
      <c r="B2216" t="s">
        <v>20</v>
      </c>
      <c r="C2216" t="s">
        <v>11</v>
      </c>
      <c r="D2216" t="s">
        <v>15</v>
      </c>
      <c r="E2216">
        <v>1</v>
      </c>
      <c r="F2216" s="3">
        <v>617</v>
      </c>
      <c r="G2216" s="2">
        <v>145.37</v>
      </c>
      <c r="H2216">
        <f>Master_ventas[[#This Row],[Profit]]/Master_ventas[[#This Row],[Sales]]</f>
        <v>0.23560777957860615</v>
      </c>
      <c r="I2216">
        <f ca="1">Referencia_Hoy-Master_ventas[[#This Row],[Order Date]]</f>
        <v>1336</v>
      </c>
      <c r="J2216" t="str">
        <f>UPPER(Master_ventas[[#This Row],[Product Name]])</f>
        <v>MONITOR</v>
      </c>
      <c r="K2216" t="str">
        <f>UPPER(Master_ventas[[#This Row],[Category]])</f>
        <v>ACCESSORIES</v>
      </c>
      <c r="L2216">
        <f>YEAR(Master_ventas[[#This Row],[Order Date]])</f>
        <v>2023</v>
      </c>
      <c r="M2216" t="str">
        <f>CONCATENATE(LEFT(Master_ventas[[#This Row],[ProdUpper]],3),RIGHT(Master_ventas[[#This Row],[Ext-Year]],2),"-",MID(Master_ventas[[#This Row],[Category]],1,1))</f>
        <v>MON23-A</v>
      </c>
      <c r="N2216" t="str">
        <f>MID(Master_ventas[[#This Row],[ProdUpper]],1,3)</f>
        <v>MON</v>
      </c>
      <c r="O2216" t="str">
        <f>UPPER(IF(Master_ventas[[#This Row],[Profit]]&gt;500,"High","Std"))</f>
        <v>STD</v>
      </c>
      <c r="P2216">
        <v>2215</v>
      </c>
    </row>
    <row r="2217" spans="1:16" x14ac:dyDescent="0.3">
      <c r="A2217" s="1">
        <v>44819</v>
      </c>
      <c r="B2217" t="s">
        <v>20</v>
      </c>
      <c r="C2217" t="s">
        <v>11</v>
      </c>
      <c r="D2217" t="s">
        <v>15</v>
      </c>
      <c r="E2217">
        <v>6</v>
      </c>
      <c r="F2217" s="3">
        <v>1440</v>
      </c>
      <c r="G2217" s="2">
        <v>130.4</v>
      </c>
      <c r="H2217">
        <f>Master_ventas[[#This Row],[Profit]]/Master_ventas[[#This Row],[Sales]]</f>
        <v>9.0555555555555556E-2</v>
      </c>
      <c r="I2217">
        <f ca="1">Referencia_Hoy-Master_ventas[[#This Row],[Order Date]]</f>
        <v>1504</v>
      </c>
      <c r="J2217" t="str">
        <f>UPPER(Master_ventas[[#This Row],[Product Name]])</f>
        <v>MONITOR</v>
      </c>
      <c r="K2217" t="str">
        <f>UPPER(Master_ventas[[#This Row],[Category]])</f>
        <v>ACCESSORIES</v>
      </c>
      <c r="L2217">
        <f>YEAR(Master_ventas[[#This Row],[Order Date]])</f>
        <v>2022</v>
      </c>
      <c r="M2217" t="str">
        <f>CONCATENATE(LEFT(Master_ventas[[#This Row],[ProdUpper]],3),RIGHT(Master_ventas[[#This Row],[Ext-Year]],2),"-",MID(Master_ventas[[#This Row],[Category]],1,1))</f>
        <v>MON22-A</v>
      </c>
      <c r="N2217" t="str">
        <f>MID(Master_ventas[[#This Row],[ProdUpper]],1,3)</f>
        <v>MON</v>
      </c>
      <c r="O2217" t="str">
        <f>UPPER(IF(Master_ventas[[#This Row],[Profit]]&gt;500,"High","Std"))</f>
        <v>STD</v>
      </c>
      <c r="P2217">
        <v>2216</v>
      </c>
    </row>
    <row r="2218" spans="1:16" x14ac:dyDescent="0.3">
      <c r="A2218" s="1">
        <v>45399</v>
      </c>
      <c r="B2218" t="s">
        <v>19</v>
      </c>
      <c r="C2218" t="s">
        <v>14</v>
      </c>
      <c r="D2218" t="s">
        <v>12</v>
      </c>
      <c r="E2218">
        <v>8</v>
      </c>
      <c r="F2218" s="3">
        <v>472</v>
      </c>
      <c r="G2218" s="2">
        <v>116.36</v>
      </c>
      <c r="H2218">
        <f>Master_ventas[[#This Row],[Profit]]/Master_ventas[[#This Row],[Sales]]</f>
        <v>0.24652542372881356</v>
      </c>
      <c r="I2218">
        <f ca="1">Referencia_Hoy-Master_ventas[[#This Row],[Order Date]]</f>
        <v>924</v>
      </c>
      <c r="J2218" t="str">
        <f>UPPER(Master_ventas[[#This Row],[Product Name]])</f>
        <v>SMARTWATCH</v>
      </c>
      <c r="K2218" t="str">
        <f>UPPER(Master_ventas[[#This Row],[Category]])</f>
        <v>ELECTRONICS</v>
      </c>
      <c r="L2218">
        <f>YEAR(Master_ventas[[#This Row],[Order Date]])</f>
        <v>2024</v>
      </c>
      <c r="M2218" t="str">
        <f>CONCATENATE(LEFT(Master_ventas[[#This Row],[ProdUpper]],3),RIGHT(Master_ventas[[#This Row],[Ext-Year]],2),"-",MID(Master_ventas[[#This Row],[Category]],1,1))</f>
        <v>SMA24-E</v>
      </c>
      <c r="N2218" t="str">
        <f>MID(Master_ventas[[#This Row],[ProdUpper]],1,3)</f>
        <v>SMA</v>
      </c>
      <c r="O2218" t="str">
        <f>UPPER(IF(Master_ventas[[#This Row],[Profit]]&gt;500,"High","Std"))</f>
        <v>STD</v>
      </c>
      <c r="P2218">
        <v>2217</v>
      </c>
    </row>
    <row r="2219" spans="1:16" x14ac:dyDescent="0.3">
      <c r="A2219" s="1">
        <v>45107</v>
      </c>
      <c r="B2219" t="s">
        <v>23</v>
      </c>
      <c r="C2219" t="s">
        <v>14</v>
      </c>
      <c r="D2219" t="s">
        <v>9</v>
      </c>
      <c r="E2219">
        <v>5</v>
      </c>
      <c r="F2219" s="3">
        <v>5640</v>
      </c>
      <c r="G2219" s="2">
        <v>1227.77</v>
      </c>
      <c r="H2219">
        <f>Master_ventas[[#This Row],[Profit]]/Master_ventas[[#This Row],[Sales]]</f>
        <v>0.21768971631205675</v>
      </c>
      <c r="I2219">
        <f ca="1">Referencia_Hoy-Master_ventas[[#This Row],[Order Date]]</f>
        <v>1216</v>
      </c>
      <c r="J2219" t="str">
        <f>UPPER(Master_ventas[[#This Row],[Product Name]])</f>
        <v>LAPTOP</v>
      </c>
      <c r="K2219" t="str">
        <f>UPPER(Master_ventas[[#This Row],[Category]])</f>
        <v>ELECTRONICS</v>
      </c>
      <c r="L2219">
        <f>YEAR(Master_ventas[[#This Row],[Order Date]])</f>
        <v>2023</v>
      </c>
      <c r="M2219" t="str">
        <f>CONCATENATE(LEFT(Master_ventas[[#This Row],[ProdUpper]],3),RIGHT(Master_ventas[[#This Row],[Ext-Year]],2),"-",MID(Master_ventas[[#This Row],[Category]],1,1))</f>
        <v>LAP23-E</v>
      </c>
      <c r="N2219" t="str">
        <f>MID(Master_ventas[[#This Row],[ProdUpper]],1,3)</f>
        <v>LAP</v>
      </c>
      <c r="O2219" t="str">
        <f>UPPER(IF(Master_ventas[[#This Row],[Profit]]&gt;500,"High","Std"))</f>
        <v>HIGH</v>
      </c>
      <c r="P2219">
        <v>2218</v>
      </c>
    </row>
    <row r="2220" spans="1:16" x14ac:dyDescent="0.3">
      <c r="A2220" s="1">
        <v>44860</v>
      </c>
      <c r="B2220" t="s">
        <v>18</v>
      </c>
      <c r="C2220" t="s">
        <v>11</v>
      </c>
      <c r="D2220" t="s">
        <v>16</v>
      </c>
      <c r="E2220">
        <v>6</v>
      </c>
      <c r="F2220" s="3">
        <v>2640</v>
      </c>
      <c r="G2220" s="2">
        <v>668.12</v>
      </c>
      <c r="H2220">
        <f>Master_ventas[[#This Row],[Profit]]/Master_ventas[[#This Row],[Sales]]</f>
        <v>0.25307575757575757</v>
      </c>
      <c r="I2220">
        <f ca="1">Referencia_Hoy-Master_ventas[[#This Row],[Order Date]]</f>
        <v>1463</v>
      </c>
      <c r="J2220" t="str">
        <f>UPPER(Master_ventas[[#This Row],[Product Name]])</f>
        <v>HEADPHONES</v>
      </c>
      <c r="K2220" t="str">
        <f>UPPER(Master_ventas[[#This Row],[Category]])</f>
        <v>ACCESSORIES</v>
      </c>
      <c r="L2220">
        <f>YEAR(Master_ventas[[#This Row],[Order Date]])</f>
        <v>2022</v>
      </c>
      <c r="M2220" t="str">
        <f>CONCATENATE(LEFT(Master_ventas[[#This Row],[ProdUpper]],3),RIGHT(Master_ventas[[#This Row],[Ext-Year]],2),"-",MID(Master_ventas[[#This Row],[Category]],1,1))</f>
        <v>HEA22-A</v>
      </c>
      <c r="N2220" t="str">
        <f>MID(Master_ventas[[#This Row],[ProdUpper]],1,3)</f>
        <v>HEA</v>
      </c>
      <c r="O2220" t="str">
        <f>UPPER(IF(Master_ventas[[#This Row],[Profit]]&gt;500,"High","Std"))</f>
        <v>HIGH</v>
      </c>
      <c r="P2220">
        <v>2219</v>
      </c>
    </row>
    <row r="2221" spans="1:16" x14ac:dyDescent="0.3">
      <c r="A2221" s="1">
        <v>45486</v>
      </c>
      <c r="B2221" t="s">
        <v>21</v>
      </c>
      <c r="C2221" t="s">
        <v>14</v>
      </c>
      <c r="D2221" t="s">
        <v>15</v>
      </c>
      <c r="E2221">
        <v>3</v>
      </c>
      <c r="F2221" s="3">
        <v>768</v>
      </c>
      <c r="G2221" s="2">
        <v>72.67</v>
      </c>
      <c r="H2221">
        <f>Master_ventas[[#This Row],[Profit]]/Master_ventas[[#This Row],[Sales]]</f>
        <v>9.4622395833333331E-2</v>
      </c>
      <c r="I2221">
        <f ca="1">Referencia_Hoy-Master_ventas[[#This Row],[Order Date]]</f>
        <v>837</v>
      </c>
      <c r="J2221" t="str">
        <f>UPPER(Master_ventas[[#This Row],[Product Name]])</f>
        <v>SMARTPHONE</v>
      </c>
      <c r="K2221" t="str">
        <f>UPPER(Master_ventas[[#This Row],[Category]])</f>
        <v>ELECTRONICS</v>
      </c>
      <c r="L2221">
        <f>YEAR(Master_ventas[[#This Row],[Order Date]])</f>
        <v>2024</v>
      </c>
      <c r="M2221" t="str">
        <f>CONCATENATE(LEFT(Master_ventas[[#This Row],[ProdUpper]],3),RIGHT(Master_ventas[[#This Row],[Ext-Year]],2),"-",MID(Master_ventas[[#This Row],[Category]],1,1))</f>
        <v>SMA24-E</v>
      </c>
      <c r="N2221" t="str">
        <f>MID(Master_ventas[[#This Row],[ProdUpper]],1,3)</f>
        <v>SMA</v>
      </c>
      <c r="O2221" t="str">
        <f>UPPER(IF(Master_ventas[[#This Row],[Profit]]&gt;500,"High","Std"))</f>
        <v>STD</v>
      </c>
      <c r="P2221">
        <v>2220</v>
      </c>
    </row>
    <row r="2222" spans="1:16" x14ac:dyDescent="0.3">
      <c r="A2222" s="1">
        <v>45344</v>
      </c>
      <c r="B2222" t="s">
        <v>22</v>
      </c>
      <c r="C2222" t="s">
        <v>11</v>
      </c>
      <c r="D2222" t="s">
        <v>15</v>
      </c>
      <c r="E2222">
        <v>1</v>
      </c>
      <c r="F2222" s="3">
        <v>725</v>
      </c>
      <c r="G2222" s="2">
        <v>81.96</v>
      </c>
      <c r="H2222">
        <f>Master_ventas[[#This Row],[Profit]]/Master_ventas[[#This Row],[Sales]]</f>
        <v>0.11304827586206896</v>
      </c>
      <c r="I2222">
        <f ca="1">Referencia_Hoy-Master_ventas[[#This Row],[Order Date]]</f>
        <v>979</v>
      </c>
      <c r="J2222" t="str">
        <f>UPPER(Master_ventas[[#This Row],[Product Name]])</f>
        <v>KEYBOARD</v>
      </c>
      <c r="K2222" t="str">
        <f>UPPER(Master_ventas[[#This Row],[Category]])</f>
        <v>ACCESSORIES</v>
      </c>
      <c r="L2222">
        <f>YEAR(Master_ventas[[#This Row],[Order Date]])</f>
        <v>2024</v>
      </c>
      <c r="M2222" t="str">
        <f>CONCATENATE(LEFT(Master_ventas[[#This Row],[ProdUpper]],3),RIGHT(Master_ventas[[#This Row],[Ext-Year]],2),"-",MID(Master_ventas[[#This Row],[Category]],1,1))</f>
        <v>KEY24-A</v>
      </c>
      <c r="N2222" t="str">
        <f>MID(Master_ventas[[#This Row],[ProdUpper]],1,3)</f>
        <v>KEY</v>
      </c>
      <c r="O2222" t="str">
        <f>UPPER(IF(Master_ventas[[#This Row],[Profit]]&gt;500,"High","Std"))</f>
        <v>STD</v>
      </c>
      <c r="P2222">
        <v>2221</v>
      </c>
    </row>
    <row r="2223" spans="1:16" x14ac:dyDescent="0.3">
      <c r="A2223" s="1">
        <v>45410</v>
      </c>
      <c r="B2223" t="s">
        <v>18</v>
      </c>
      <c r="C2223" t="s">
        <v>11</v>
      </c>
      <c r="D2223" t="s">
        <v>9</v>
      </c>
      <c r="E2223">
        <v>8</v>
      </c>
      <c r="F2223" s="3">
        <v>1080</v>
      </c>
      <c r="G2223" s="2">
        <v>210.69</v>
      </c>
      <c r="H2223">
        <f>Master_ventas[[#This Row],[Profit]]/Master_ventas[[#This Row],[Sales]]</f>
        <v>0.19508333333333333</v>
      </c>
      <c r="I2223">
        <f ca="1">Referencia_Hoy-Master_ventas[[#This Row],[Order Date]]</f>
        <v>913</v>
      </c>
      <c r="J2223" t="str">
        <f>UPPER(Master_ventas[[#This Row],[Product Name]])</f>
        <v>HEADPHONES</v>
      </c>
      <c r="K2223" t="str">
        <f>UPPER(Master_ventas[[#This Row],[Category]])</f>
        <v>ACCESSORIES</v>
      </c>
      <c r="L2223">
        <f>YEAR(Master_ventas[[#This Row],[Order Date]])</f>
        <v>2024</v>
      </c>
      <c r="M2223" t="str">
        <f>CONCATENATE(LEFT(Master_ventas[[#This Row],[ProdUpper]],3),RIGHT(Master_ventas[[#This Row],[Ext-Year]],2),"-",MID(Master_ventas[[#This Row],[Category]],1,1))</f>
        <v>HEA24-A</v>
      </c>
      <c r="N2223" t="str">
        <f>MID(Master_ventas[[#This Row],[ProdUpper]],1,3)</f>
        <v>HEA</v>
      </c>
      <c r="O2223" t="str">
        <f>UPPER(IF(Master_ventas[[#This Row],[Profit]]&gt;500,"High","Std"))</f>
        <v>STD</v>
      </c>
      <c r="P2223">
        <v>2222</v>
      </c>
    </row>
    <row r="2224" spans="1:16" x14ac:dyDescent="0.3">
      <c r="A2224" s="1">
        <v>45595</v>
      </c>
      <c r="B2224" t="s">
        <v>18</v>
      </c>
      <c r="C2224" t="s">
        <v>11</v>
      </c>
      <c r="D2224" t="s">
        <v>15</v>
      </c>
      <c r="E2224">
        <v>1</v>
      </c>
      <c r="F2224" s="3">
        <v>393</v>
      </c>
      <c r="G2224" s="2">
        <v>40.340000000000003</v>
      </c>
      <c r="H2224">
        <f>Master_ventas[[#This Row],[Profit]]/Master_ventas[[#This Row],[Sales]]</f>
        <v>0.10264631043256998</v>
      </c>
      <c r="I2224">
        <f ca="1">Referencia_Hoy-Master_ventas[[#This Row],[Order Date]]</f>
        <v>728</v>
      </c>
      <c r="J2224" t="str">
        <f>UPPER(Master_ventas[[#This Row],[Product Name]])</f>
        <v>HEADPHONES</v>
      </c>
      <c r="K2224" t="str">
        <f>UPPER(Master_ventas[[#This Row],[Category]])</f>
        <v>ACCESSORIES</v>
      </c>
      <c r="L2224">
        <f>YEAR(Master_ventas[[#This Row],[Order Date]])</f>
        <v>2024</v>
      </c>
      <c r="M2224" t="str">
        <f>CONCATENATE(LEFT(Master_ventas[[#This Row],[ProdUpper]],3),RIGHT(Master_ventas[[#This Row],[Ext-Year]],2),"-",MID(Master_ventas[[#This Row],[Category]],1,1))</f>
        <v>HEA24-A</v>
      </c>
      <c r="N2224" t="str">
        <f>MID(Master_ventas[[#This Row],[ProdUpper]],1,3)</f>
        <v>HEA</v>
      </c>
      <c r="O2224" t="str">
        <f>UPPER(IF(Master_ventas[[#This Row],[Profit]]&gt;500,"High","Std"))</f>
        <v>STD</v>
      </c>
      <c r="P2224">
        <v>2223</v>
      </c>
    </row>
    <row r="2225" spans="1:16" x14ac:dyDescent="0.3">
      <c r="A2225" s="1">
        <v>45454</v>
      </c>
      <c r="B2225" t="s">
        <v>19</v>
      </c>
      <c r="C2225" t="s">
        <v>14</v>
      </c>
      <c r="D2225" t="s">
        <v>9</v>
      </c>
      <c r="E2225">
        <v>4</v>
      </c>
      <c r="F2225" s="3">
        <v>1264</v>
      </c>
      <c r="G2225" s="2">
        <v>371.92</v>
      </c>
      <c r="H2225">
        <f>Master_ventas[[#This Row],[Profit]]/Master_ventas[[#This Row],[Sales]]</f>
        <v>0.29424050632911392</v>
      </c>
      <c r="I2225">
        <f ca="1">Referencia_Hoy-Master_ventas[[#This Row],[Order Date]]</f>
        <v>869</v>
      </c>
      <c r="J2225" t="str">
        <f>UPPER(Master_ventas[[#This Row],[Product Name]])</f>
        <v>SMARTWATCH</v>
      </c>
      <c r="K2225" t="str">
        <f>UPPER(Master_ventas[[#This Row],[Category]])</f>
        <v>ELECTRONICS</v>
      </c>
      <c r="L2225">
        <f>YEAR(Master_ventas[[#This Row],[Order Date]])</f>
        <v>2024</v>
      </c>
      <c r="M2225" t="str">
        <f>CONCATENATE(LEFT(Master_ventas[[#This Row],[ProdUpper]],3),RIGHT(Master_ventas[[#This Row],[Ext-Year]],2),"-",MID(Master_ventas[[#This Row],[Category]],1,1))</f>
        <v>SMA24-E</v>
      </c>
      <c r="N2225" t="str">
        <f>MID(Master_ventas[[#This Row],[ProdUpper]],1,3)</f>
        <v>SMA</v>
      </c>
      <c r="O2225" t="str">
        <f>UPPER(IF(Master_ventas[[#This Row],[Profit]]&gt;500,"High","Std"))</f>
        <v>STD</v>
      </c>
      <c r="P2225">
        <v>2224</v>
      </c>
    </row>
    <row r="2226" spans="1:16" x14ac:dyDescent="0.3">
      <c r="A2226" s="1">
        <v>44807</v>
      </c>
      <c r="B2226" t="s">
        <v>18</v>
      </c>
      <c r="C2226" t="s">
        <v>11</v>
      </c>
      <c r="D2226" t="s">
        <v>15</v>
      </c>
      <c r="E2226">
        <v>9</v>
      </c>
      <c r="F2226" s="3">
        <v>4797</v>
      </c>
      <c r="G2226" s="2">
        <v>1193.95</v>
      </c>
      <c r="H2226">
        <f>Master_ventas[[#This Row],[Profit]]/Master_ventas[[#This Row],[Sales]]</f>
        <v>0.24889514279758182</v>
      </c>
      <c r="I2226">
        <f ca="1">Referencia_Hoy-Master_ventas[[#This Row],[Order Date]]</f>
        <v>1516</v>
      </c>
      <c r="J2226" t="str">
        <f>UPPER(Master_ventas[[#This Row],[Product Name]])</f>
        <v>HEADPHONES</v>
      </c>
      <c r="K2226" t="str">
        <f>UPPER(Master_ventas[[#This Row],[Category]])</f>
        <v>ACCESSORIES</v>
      </c>
      <c r="L2226">
        <f>YEAR(Master_ventas[[#This Row],[Order Date]])</f>
        <v>2022</v>
      </c>
      <c r="M2226" t="str">
        <f>CONCATENATE(LEFT(Master_ventas[[#This Row],[ProdUpper]],3),RIGHT(Master_ventas[[#This Row],[Ext-Year]],2),"-",MID(Master_ventas[[#This Row],[Category]],1,1))</f>
        <v>HEA22-A</v>
      </c>
      <c r="N2226" t="str">
        <f>MID(Master_ventas[[#This Row],[ProdUpper]],1,3)</f>
        <v>HEA</v>
      </c>
      <c r="O2226" t="str">
        <f>UPPER(IF(Master_ventas[[#This Row],[Profit]]&gt;500,"High","Std"))</f>
        <v>HIGH</v>
      </c>
      <c r="P2226">
        <v>2225</v>
      </c>
    </row>
    <row r="2227" spans="1:16" x14ac:dyDescent="0.3">
      <c r="A2227" s="1">
        <v>44647</v>
      </c>
      <c r="B2227" t="s">
        <v>13</v>
      </c>
      <c r="C2227" t="s">
        <v>14</v>
      </c>
      <c r="D2227" t="s">
        <v>12</v>
      </c>
      <c r="E2227">
        <v>8</v>
      </c>
      <c r="F2227" s="3">
        <v>2080</v>
      </c>
      <c r="G2227" s="2">
        <v>151.13999999999999</v>
      </c>
      <c r="H2227">
        <f>Master_ventas[[#This Row],[Profit]]/Master_ventas[[#This Row],[Sales]]</f>
        <v>7.2663461538461538E-2</v>
      </c>
      <c r="I2227">
        <f ca="1">Referencia_Hoy-Master_ventas[[#This Row],[Order Date]]</f>
        <v>1676</v>
      </c>
      <c r="J2227" t="str">
        <f>UPPER(Master_ventas[[#This Row],[Product Name]])</f>
        <v>TABLET</v>
      </c>
      <c r="K2227" t="str">
        <f>UPPER(Master_ventas[[#This Row],[Category]])</f>
        <v>ELECTRONICS</v>
      </c>
      <c r="L2227">
        <f>YEAR(Master_ventas[[#This Row],[Order Date]])</f>
        <v>2022</v>
      </c>
      <c r="M2227" t="str">
        <f>CONCATENATE(LEFT(Master_ventas[[#This Row],[ProdUpper]],3),RIGHT(Master_ventas[[#This Row],[Ext-Year]],2),"-",MID(Master_ventas[[#This Row],[Category]],1,1))</f>
        <v>TAB22-E</v>
      </c>
      <c r="N2227" t="str">
        <f>MID(Master_ventas[[#This Row],[ProdUpper]],1,3)</f>
        <v>TAB</v>
      </c>
      <c r="O2227" t="str">
        <f>UPPER(IF(Master_ventas[[#This Row],[Profit]]&gt;500,"High","Std"))</f>
        <v>STD</v>
      </c>
      <c r="P2227">
        <v>2226</v>
      </c>
    </row>
    <row r="2228" spans="1:16" x14ac:dyDescent="0.3">
      <c r="A2228" s="1">
        <v>44608</v>
      </c>
      <c r="B2228" t="s">
        <v>17</v>
      </c>
      <c r="C2228" t="s">
        <v>14</v>
      </c>
      <c r="D2228" t="s">
        <v>16</v>
      </c>
      <c r="E2228">
        <v>4</v>
      </c>
      <c r="F2228" s="3">
        <v>3812</v>
      </c>
      <c r="G2228" s="2">
        <v>312.8</v>
      </c>
      <c r="H2228">
        <f>Master_ventas[[#This Row],[Profit]]/Master_ventas[[#This Row],[Sales]]</f>
        <v>8.2056663168940197E-2</v>
      </c>
      <c r="I2228">
        <f ca="1">Referencia_Hoy-Master_ventas[[#This Row],[Order Date]]</f>
        <v>1715</v>
      </c>
      <c r="J2228" t="str">
        <f>UPPER(Master_ventas[[#This Row],[Product Name]])</f>
        <v>CAMERA</v>
      </c>
      <c r="K2228" t="str">
        <f>UPPER(Master_ventas[[#This Row],[Category]])</f>
        <v>ELECTRONICS</v>
      </c>
      <c r="L2228">
        <f>YEAR(Master_ventas[[#This Row],[Order Date]])</f>
        <v>2022</v>
      </c>
      <c r="M2228" t="str">
        <f>CONCATENATE(LEFT(Master_ventas[[#This Row],[ProdUpper]],3),RIGHT(Master_ventas[[#This Row],[Ext-Year]],2),"-",MID(Master_ventas[[#This Row],[Category]],1,1))</f>
        <v>CAM22-E</v>
      </c>
      <c r="N2228" t="str">
        <f>MID(Master_ventas[[#This Row],[ProdUpper]],1,3)</f>
        <v>CAM</v>
      </c>
      <c r="O2228" t="str">
        <f>UPPER(IF(Master_ventas[[#This Row],[Profit]]&gt;500,"High","Std"))</f>
        <v>STD</v>
      </c>
      <c r="P2228">
        <v>2227</v>
      </c>
    </row>
    <row r="2229" spans="1:16" x14ac:dyDescent="0.3">
      <c r="A2229" s="1">
        <v>45347</v>
      </c>
      <c r="B2229" t="s">
        <v>10</v>
      </c>
      <c r="C2229" t="s">
        <v>11</v>
      </c>
      <c r="D2229" t="s">
        <v>16</v>
      </c>
      <c r="E2229">
        <v>5</v>
      </c>
      <c r="F2229" s="3">
        <v>3695</v>
      </c>
      <c r="G2229" s="2">
        <v>463.57</v>
      </c>
      <c r="H2229">
        <f>Master_ventas[[#This Row],[Profit]]/Master_ventas[[#This Row],[Sales]]</f>
        <v>0.12545872801082544</v>
      </c>
      <c r="I2229">
        <f ca="1">Referencia_Hoy-Master_ventas[[#This Row],[Order Date]]</f>
        <v>976</v>
      </c>
      <c r="J2229" t="str">
        <f>UPPER(Master_ventas[[#This Row],[Product Name]])</f>
        <v>MOUSE</v>
      </c>
      <c r="K2229" t="str">
        <f>UPPER(Master_ventas[[#This Row],[Category]])</f>
        <v>ACCESSORIES</v>
      </c>
      <c r="L2229">
        <f>YEAR(Master_ventas[[#This Row],[Order Date]])</f>
        <v>2024</v>
      </c>
      <c r="M2229" t="str">
        <f>CONCATENATE(LEFT(Master_ventas[[#This Row],[ProdUpper]],3),RIGHT(Master_ventas[[#This Row],[Ext-Year]],2),"-",MID(Master_ventas[[#This Row],[Category]],1,1))</f>
        <v>MOU24-A</v>
      </c>
      <c r="N2229" t="str">
        <f>MID(Master_ventas[[#This Row],[ProdUpper]],1,3)</f>
        <v>MOU</v>
      </c>
      <c r="O2229" t="str">
        <f>UPPER(IF(Master_ventas[[#This Row],[Profit]]&gt;500,"High","Std"))</f>
        <v>STD</v>
      </c>
      <c r="P2229">
        <v>2228</v>
      </c>
    </row>
    <row r="2230" spans="1:16" x14ac:dyDescent="0.3">
      <c r="A2230" s="1">
        <v>44592</v>
      </c>
      <c r="B2230" t="s">
        <v>10</v>
      </c>
      <c r="C2230" t="s">
        <v>11</v>
      </c>
      <c r="D2230" t="s">
        <v>15</v>
      </c>
      <c r="E2230">
        <v>1</v>
      </c>
      <c r="F2230" s="3">
        <v>1159</v>
      </c>
      <c r="G2230" s="2">
        <v>344.22</v>
      </c>
      <c r="H2230">
        <f>Master_ventas[[#This Row],[Profit]]/Master_ventas[[#This Row],[Sales]]</f>
        <v>0.29699741156169113</v>
      </c>
      <c r="I2230">
        <f ca="1">Referencia_Hoy-Master_ventas[[#This Row],[Order Date]]</f>
        <v>1731</v>
      </c>
      <c r="J2230" t="str">
        <f>UPPER(Master_ventas[[#This Row],[Product Name]])</f>
        <v>MOUSE</v>
      </c>
      <c r="K2230" t="str">
        <f>UPPER(Master_ventas[[#This Row],[Category]])</f>
        <v>ACCESSORIES</v>
      </c>
      <c r="L2230">
        <f>YEAR(Master_ventas[[#This Row],[Order Date]])</f>
        <v>2022</v>
      </c>
      <c r="M2230" t="str">
        <f>CONCATENATE(LEFT(Master_ventas[[#This Row],[ProdUpper]],3),RIGHT(Master_ventas[[#This Row],[Ext-Year]],2),"-",MID(Master_ventas[[#This Row],[Category]],1,1))</f>
        <v>MOU22-A</v>
      </c>
      <c r="N2230" t="str">
        <f>MID(Master_ventas[[#This Row],[ProdUpper]],1,3)</f>
        <v>MOU</v>
      </c>
      <c r="O2230" t="str">
        <f>UPPER(IF(Master_ventas[[#This Row],[Profit]]&gt;500,"High","Std"))</f>
        <v>STD</v>
      </c>
      <c r="P2230">
        <v>2229</v>
      </c>
    </row>
    <row r="2231" spans="1:16" x14ac:dyDescent="0.3">
      <c r="A2231" s="1">
        <v>45510</v>
      </c>
      <c r="B2231" t="s">
        <v>13</v>
      </c>
      <c r="C2231" t="s">
        <v>14</v>
      </c>
      <c r="D2231" t="s">
        <v>16</v>
      </c>
      <c r="E2231">
        <v>9</v>
      </c>
      <c r="F2231" s="3">
        <v>4149</v>
      </c>
      <c r="G2231" s="2">
        <v>605.52</v>
      </c>
      <c r="H2231">
        <f>Master_ventas[[#This Row],[Profit]]/Master_ventas[[#This Row],[Sales]]</f>
        <v>0.14594360086767896</v>
      </c>
      <c r="I2231">
        <f ca="1">Referencia_Hoy-Master_ventas[[#This Row],[Order Date]]</f>
        <v>813</v>
      </c>
      <c r="J2231" t="str">
        <f>UPPER(Master_ventas[[#This Row],[Product Name]])</f>
        <v>TABLET</v>
      </c>
      <c r="K2231" t="str">
        <f>UPPER(Master_ventas[[#This Row],[Category]])</f>
        <v>ELECTRONICS</v>
      </c>
      <c r="L2231">
        <f>YEAR(Master_ventas[[#This Row],[Order Date]])</f>
        <v>2024</v>
      </c>
      <c r="M2231" t="str">
        <f>CONCATENATE(LEFT(Master_ventas[[#This Row],[ProdUpper]],3),RIGHT(Master_ventas[[#This Row],[Ext-Year]],2),"-",MID(Master_ventas[[#This Row],[Category]],1,1))</f>
        <v>TAB24-E</v>
      </c>
      <c r="N2231" t="str">
        <f>MID(Master_ventas[[#This Row],[ProdUpper]],1,3)</f>
        <v>TAB</v>
      </c>
      <c r="O2231" t="str">
        <f>UPPER(IF(Master_ventas[[#This Row],[Profit]]&gt;500,"High","Std"))</f>
        <v>HIGH</v>
      </c>
      <c r="P2231">
        <v>2230</v>
      </c>
    </row>
    <row r="2232" spans="1:16" x14ac:dyDescent="0.3">
      <c r="A2232" s="1">
        <v>45265</v>
      </c>
      <c r="B2232" t="s">
        <v>22</v>
      </c>
      <c r="C2232" t="s">
        <v>11</v>
      </c>
      <c r="D2232" t="s">
        <v>12</v>
      </c>
      <c r="E2232">
        <v>2</v>
      </c>
      <c r="F2232" s="3">
        <v>1446</v>
      </c>
      <c r="G2232" s="2">
        <v>171.73</v>
      </c>
      <c r="H2232">
        <f>Master_ventas[[#This Row],[Profit]]/Master_ventas[[#This Row],[Sales]]</f>
        <v>0.11876210235131396</v>
      </c>
      <c r="I2232">
        <f ca="1">Referencia_Hoy-Master_ventas[[#This Row],[Order Date]]</f>
        <v>1058</v>
      </c>
      <c r="J2232" t="str">
        <f>UPPER(Master_ventas[[#This Row],[Product Name]])</f>
        <v>KEYBOARD</v>
      </c>
      <c r="K2232" t="str">
        <f>UPPER(Master_ventas[[#This Row],[Category]])</f>
        <v>ACCESSORIES</v>
      </c>
      <c r="L2232">
        <f>YEAR(Master_ventas[[#This Row],[Order Date]])</f>
        <v>2023</v>
      </c>
      <c r="M2232" t="str">
        <f>CONCATENATE(LEFT(Master_ventas[[#This Row],[ProdUpper]],3),RIGHT(Master_ventas[[#This Row],[Ext-Year]],2),"-",MID(Master_ventas[[#This Row],[Category]],1,1))</f>
        <v>KEY23-A</v>
      </c>
      <c r="N2232" t="str">
        <f>MID(Master_ventas[[#This Row],[ProdUpper]],1,3)</f>
        <v>KEY</v>
      </c>
      <c r="O2232" t="str">
        <f>UPPER(IF(Master_ventas[[#This Row],[Profit]]&gt;500,"High","Std"))</f>
        <v>STD</v>
      </c>
      <c r="P2232">
        <v>2231</v>
      </c>
    </row>
    <row r="2233" spans="1:16" x14ac:dyDescent="0.3">
      <c r="A2233" s="1">
        <v>45497</v>
      </c>
      <c r="B2233" t="s">
        <v>23</v>
      </c>
      <c r="C2233" t="s">
        <v>14</v>
      </c>
      <c r="D2233" t="s">
        <v>15</v>
      </c>
      <c r="E2233">
        <v>1</v>
      </c>
      <c r="F2233" s="3">
        <v>225</v>
      </c>
      <c r="G2233" s="2">
        <v>48.82</v>
      </c>
      <c r="H2233">
        <f>Master_ventas[[#This Row],[Profit]]/Master_ventas[[#This Row],[Sales]]</f>
        <v>0.21697777777777777</v>
      </c>
      <c r="I2233">
        <f ca="1">Referencia_Hoy-Master_ventas[[#This Row],[Order Date]]</f>
        <v>826</v>
      </c>
      <c r="J2233" t="str">
        <f>UPPER(Master_ventas[[#This Row],[Product Name]])</f>
        <v>LAPTOP</v>
      </c>
      <c r="K2233" t="str">
        <f>UPPER(Master_ventas[[#This Row],[Category]])</f>
        <v>ELECTRONICS</v>
      </c>
      <c r="L2233">
        <f>YEAR(Master_ventas[[#This Row],[Order Date]])</f>
        <v>2024</v>
      </c>
      <c r="M2233" t="str">
        <f>CONCATENATE(LEFT(Master_ventas[[#This Row],[ProdUpper]],3),RIGHT(Master_ventas[[#This Row],[Ext-Year]],2),"-",MID(Master_ventas[[#This Row],[Category]],1,1))</f>
        <v>LAP24-E</v>
      </c>
      <c r="N2233" t="str">
        <f>MID(Master_ventas[[#This Row],[ProdUpper]],1,3)</f>
        <v>LAP</v>
      </c>
      <c r="O2233" t="str">
        <f>UPPER(IF(Master_ventas[[#This Row],[Profit]]&gt;500,"High","Std"))</f>
        <v>STD</v>
      </c>
      <c r="P2233">
        <v>2232</v>
      </c>
    </row>
    <row r="2234" spans="1:16" x14ac:dyDescent="0.3">
      <c r="A2234" s="1">
        <v>44904</v>
      </c>
      <c r="B2234" t="s">
        <v>18</v>
      </c>
      <c r="C2234" t="s">
        <v>11</v>
      </c>
      <c r="D2234" t="s">
        <v>15</v>
      </c>
      <c r="E2234">
        <v>1</v>
      </c>
      <c r="F2234" s="3">
        <v>355</v>
      </c>
      <c r="G2234" s="2">
        <v>26.8</v>
      </c>
      <c r="H2234">
        <f>Master_ventas[[#This Row],[Profit]]/Master_ventas[[#This Row],[Sales]]</f>
        <v>7.5492957746478878E-2</v>
      </c>
      <c r="I2234">
        <f ca="1">Referencia_Hoy-Master_ventas[[#This Row],[Order Date]]</f>
        <v>1419</v>
      </c>
      <c r="J2234" t="str">
        <f>UPPER(Master_ventas[[#This Row],[Product Name]])</f>
        <v>HEADPHONES</v>
      </c>
      <c r="K2234" t="str">
        <f>UPPER(Master_ventas[[#This Row],[Category]])</f>
        <v>ACCESSORIES</v>
      </c>
      <c r="L2234">
        <f>YEAR(Master_ventas[[#This Row],[Order Date]])</f>
        <v>2022</v>
      </c>
      <c r="M2234" t="str">
        <f>CONCATENATE(LEFT(Master_ventas[[#This Row],[ProdUpper]],3),RIGHT(Master_ventas[[#This Row],[Ext-Year]],2),"-",MID(Master_ventas[[#This Row],[Category]],1,1))</f>
        <v>HEA22-A</v>
      </c>
      <c r="N2234" t="str">
        <f>MID(Master_ventas[[#This Row],[ProdUpper]],1,3)</f>
        <v>HEA</v>
      </c>
      <c r="O2234" t="str">
        <f>UPPER(IF(Master_ventas[[#This Row],[Profit]]&gt;500,"High","Std"))</f>
        <v>STD</v>
      </c>
      <c r="P2234">
        <v>2233</v>
      </c>
    </row>
    <row r="2235" spans="1:16" x14ac:dyDescent="0.3">
      <c r="A2235" s="1">
        <v>45184</v>
      </c>
      <c r="B2235" t="s">
        <v>13</v>
      </c>
      <c r="C2235" t="s">
        <v>14</v>
      </c>
      <c r="D2235" t="s">
        <v>16</v>
      </c>
      <c r="E2235">
        <v>7</v>
      </c>
      <c r="F2235" s="3">
        <v>3164</v>
      </c>
      <c r="G2235" s="2">
        <v>166.4</v>
      </c>
      <c r="H2235">
        <f>Master_ventas[[#This Row],[Profit]]/Master_ventas[[#This Row],[Sales]]</f>
        <v>5.2591656131479141E-2</v>
      </c>
      <c r="I2235">
        <f ca="1">Referencia_Hoy-Master_ventas[[#This Row],[Order Date]]</f>
        <v>1139</v>
      </c>
      <c r="J2235" t="str">
        <f>UPPER(Master_ventas[[#This Row],[Product Name]])</f>
        <v>TABLET</v>
      </c>
      <c r="K2235" t="str">
        <f>UPPER(Master_ventas[[#This Row],[Category]])</f>
        <v>ELECTRONICS</v>
      </c>
      <c r="L2235">
        <f>YEAR(Master_ventas[[#This Row],[Order Date]])</f>
        <v>2023</v>
      </c>
      <c r="M2235" t="str">
        <f>CONCATENATE(LEFT(Master_ventas[[#This Row],[ProdUpper]],3),RIGHT(Master_ventas[[#This Row],[Ext-Year]],2),"-",MID(Master_ventas[[#This Row],[Category]],1,1))</f>
        <v>TAB23-E</v>
      </c>
      <c r="N2235" t="str">
        <f>MID(Master_ventas[[#This Row],[ProdUpper]],1,3)</f>
        <v>TAB</v>
      </c>
      <c r="O2235" t="str">
        <f>UPPER(IF(Master_ventas[[#This Row],[Profit]]&gt;500,"High","Std"))</f>
        <v>STD</v>
      </c>
      <c r="P2235">
        <v>2234</v>
      </c>
    </row>
    <row r="2236" spans="1:16" x14ac:dyDescent="0.3">
      <c r="A2236" s="1">
        <v>44862</v>
      </c>
      <c r="B2236" t="s">
        <v>19</v>
      </c>
      <c r="C2236" t="s">
        <v>14</v>
      </c>
      <c r="D2236" t="s">
        <v>12</v>
      </c>
      <c r="E2236">
        <v>1</v>
      </c>
      <c r="F2236" s="3">
        <v>498</v>
      </c>
      <c r="G2236" s="2">
        <v>38.67</v>
      </c>
      <c r="H2236">
        <f>Master_ventas[[#This Row],[Profit]]/Master_ventas[[#This Row],[Sales]]</f>
        <v>7.7650602409638558E-2</v>
      </c>
      <c r="I2236">
        <f ca="1">Referencia_Hoy-Master_ventas[[#This Row],[Order Date]]</f>
        <v>1461</v>
      </c>
      <c r="J2236" t="str">
        <f>UPPER(Master_ventas[[#This Row],[Product Name]])</f>
        <v>SMARTWATCH</v>
      </c>
      <c r="K2236" t="str">
        <f>UPPER(Master_ventas[[#This Row],[Category]])</f>
        <v>ELECTRONICS</v>
      </c>
      <c r="L2236">
        <f>YEAR(Master_ventas[[#This Row],[Order Date]])</f>
        <v>2022</v>
      </c>
      <c r="M2236" t="str">
        <f>CONCATENATE(LEFT(Master_ventas[[#This Row],[ProdUpper]],3),RIGHT(Master_ventas[[#This Row],[Ext-Year]],2),"-",MID(Master_ventas[[#This Row],[Category]],1,1))</f>
        <v>SMA22-E</v>
      </c>
      <c r="N2236" t="str">
        <f>MID(Master_ventas[[#This Row],[ProdUpper]],1,3)</f>
        <v>SMA</v>
      </c>
      <c r="O2236" t="str">
        <f>UPPER(IF(Master_ventas[[#This Row],[Profit]]&gt;500,"High","Std"))</f>
        <v>STD</v>
      </c>
      <c r="P2236">
        <v>2235</v>
      </c>
    </row>
    <row r="2237" spans="1:16" x14ac:dyDescent="0.3">
      <c r="A2237" s="1">
        <v>45044</v>
      </c>
      <c r="B2237" t="s">
        <v>18</v>
      </c>
      <c r="C2237" t="s">
        <v>11</v>
      </c>
      <c r="D2237" t="s">
        <v>15</v>
      </c>
      <c r="E2237">
        <v>5</v>
      </c>
      <c r="F2237" s="3">
        <v>1315</v>
      </c>
      <c r="G2237" s="2">
        <v>217.79</v>
      </c>
      <c r="H2237">
        <f>Master_ventas[[#This Row],[Profit]]/Master_ventas[[#This Row],[Sales]]</f>
        <v>0.16561977186311785</v>
      </c>
      <c r="I2237">
        <f ca="1">Referencia_Hoy-Master_ventas[[#This Row],[Order Date]]</f>
        <v>1279</v>
      </c>
      <c r="J2237" t="str">
        <f>UPPER(Master_ventas[[#This Row],[Product Name]])</f>
        <v>HEADPHONES</v>
      </c>
      <c r="K2237" t="str">
        <f>UPPER(Master_ventas[[#This Row],[Category]])</f>
        <v>ACCESSORIES</v>
      </c>
      <c r="L2237">
        <f>YEAR(Master_ventas[[#This Row],[Order Date]])</f>
        <v>2023</v>
      </c>
      <c r="M2237" t="str">
        <f>CONCATENATE(LEFT(Master_ventas[[#This Row],[ProdUpper]],3),RIGHT(Master_ventas[[#This Row],[Ext-Year]],2),"-",MID(Master_ventas[[#This Row],[Category]],1,1))</f>
        <v>HEA23-A</v>
      </c>
      <c r="N2237" t="str">
        <f>MID(Master_ventas[[#This Row],[ProdUpper]],1,3)</f>
        <v>HEA</v>
      </c>
      <c r="O2237" t="str">
        <f>UPPER(IF(Master_ventas[[#This Row],[Profit]]&gt;500,"High","Std"))</f>
        <v>STD</v>
      </c>
      <c r="P2237">
        <v>2236</v>
      </c>
    </row>
    <row r="2238" spans="1:16" x14ac:dyDescent="0.3">
      <c r="A2238" s="1">
        <v>45548</v>
      </c>
      <c r="B2238" t="s">
        <v>18</v>
      </c>
      <c r="C2238" t="s">
        <v>11</v>
      </c>
      <c r="D2238" t="s">
        <v>9</v>
      </c>
      <c r="E2238">
        <v>5</v>
      </c>
      <c r="F2238" s="3">
        <v>2805</v>
      </c>
      <c r="G2238" s="2">
        <v>438.89</v>
      </c>
      <c r="H2238">
        <f>Master_ventas[[#This Row],[Profit]]/Master_ventas[[#This Row],[Sales]]</f>
        <v>0.15646702317290553</v>
      </c>
      <c r="I2238">
        <f ca="1">Referencia_Hoy-Master_ventas[[#This Row],[Order Date]]</f>
        <v>775</v>
      </c>
      <c r="J2238" t="str">
        <f>UPPER(Master_ventas[[#This Row],[Product Name]])</f>
        <v>HEADPHONES</v>
      </c>
      <c r="K2238" t="str">
        <f>UPPER(Master_ventas[[#This Row],[Category]])</f>
        <v>ACCESSORIES</v>
      </c>
      <c r="L2238">
        <f>YEAR(Master_ventas[[#This Row],[Order Date]])</f>
        <v>2024</v>
      </c>
      <c r="M2238" t="str">
        <f>CONCATENATE(LEFT(Master_ventas[[#This Row],[ProdUpper]],3),RIGHT(Master_ventas[[#This Row],[Ext-Year]],2),"-",MID(Master_ventas[[#This Row],[Category]],1,1))</f>
        <v>HEA24-A</v>
      </c>
      <c r="N2238" t="str">
        <f>MID(Master_ventas[[#This Row],[ProdUpper]],1,3)</f>
        <v>HEA</v>
      </c>
      <c r="O2238" t="str">
        <f>UPPER(IF(Master_ventas[[#This Row],[Profit]]&gt;500,"High","Std"))</f>
        <v>STD</v>
      </c>
      <c r="P2238">
        <v>2237</v>
      </c>
    </row>
    <row r="2239" spans="1:16" x14ac:dyDescent="0.3">
      <c r="A2239" s="1">
        <v>44866</v>
      </c>
      <c r="B2239" t="s">
        <v>20</v>
      </c>
      <c r="C2239" t="s">
        <v>11</v>
      </c>
      <c r="D2239" t="s">
        <v>12</v>
      </c>
      <c r="E2239">
        <v>5</v>
      </c>
      <c r="F2239" s="3">
        <v>5180</v>
      </c>
      <c r="G2239" s="2">
        <v>726.62</v>
      </c>
      <c r="H2239">
        <f>Master_ventas[[#This Row],[Profit]]/Master_ventas[[#This Row],[Sales]]</f>
        <v>0.14027413127413127</v>
      </c>
      <c r="I2239">
        <f ca="1">Referencia_Hoy-Master_ventas[[#This Row],[Order Date]]</f>
        <v>1457</v>
      </c>
      <c r="J2239" t="str">
        <f>UPPER(Master_ventas[[#This Row],[Product Name]])</f>
        <v>MONITOR</v>
      </c>
      <c r="K2239" t="str">
        <f>UPPER(Master_ventas[[#This Row],[Category]])</f>
        <v>ACCESSORIES</v>
      </c>
      <c r="L2239">
        <f>YEAR(Master_ventas[[#This Row],[Order Date]])</f>
        <v>2022</v>
      </c>
      <c r="M2239" t="str">
        <f>CONCATENATE(LEFT(Master_ventas[[#This Row],[ProdUpper]],3),RIGHT(Master_ventas[[#This Row],[Ext-Year]],2),"-",MID(Master_ventas[[#This Row],[Category]],1,1))</f>
        <v>MON22-A</v>
      </c>
      <c r="N2239" t="str">
        <f>MID(Master_ventas[[#This Row],[ProdUpper]],1,3)</f>
        <v>MON</v>
      </c>
      <c r="O2239" t="str">
        <f>UPPER(IF(Master_ventas[[#This Row],[Profit]]&gt;500,"High","Std"))</f>
        <v>HIGH</v>
      </c>
      <c r="P2239">
        <v>2238</v>
      </c>
    </row>
    <row r="2240" spans="1:16" x14ac:dyDescent="0.3">
      <c r="A2240" s="1">
        <v>44719</v>
      </c>
      <c r="B2240" t="s">
        <v>17</v>
      </c>
      <c r="C2240" t="s">
        <v>14</v>
      </c>
      <c r="D2240" t="s">
        <v>9</v>
      </c>
      <c r="E2240">
        <v>5</v>
      </c>
      <c r="F2240" s="3">
        <v>4045</v>
      </c>
      <c r="G2240" s="2">
        <v>203.35</v>
      </c>
      <c r="H2240">
        <f>Master_ventas[[#This Row],[Profit]]/Master_ventas[[#This Row],[Sales]]</f>
        <v>5.027194066749073E-2</v>
      </c>
      <c r="I2240">
        <f ca="1">Referencia_Hoy-Master_ventas[[#This Row],[Order Date]]</f>
        <v>1604</v>
      </c>
      <c r="J2240" t="str">
        <f>UPPER(Master_ventas[[#This Row],[Product Name]])</f>
        <v>CAMERA</v>
      </c>
      <c r="K2240" t="str">
        <f>UPPER(Master_ventas[[#This Row],[Category]])</f>
        <v>ELECTRONICS</v>
      </c>
      <c r="L2240">
        <f>YEAR(Master_ventas[[#This Row],[Order Date]])</f>
        <v>2022</v>
      </c>
      <c r="M2240" t="str">
        <f>CONCATENATE(LEFT(Master_ventas[[#This Row],[ProdUpper]],3),RIGHT(Master_ventas[[#This Row],[Ext-Year]],2),"-",MID(Master_ventas[[#This Row],[Category]],1,1))</f>
        <v>CAM22-E</v>
      </c>
      <c r="N2240" t="str">
        <f>MID(Master_ventas[[#This Row],[ProdUpper]],1,3)</f>
        <v>CAM</v>
      </c>
      <c r="O2240" t="str">
        <f>UPPER(IF(Master_ventas[[#This Row],[Profit]]&gt;500,"High","Std"))</f>
        <v>STD</v>
      </c>
      <c r="P2240">
        <v>2239</v>
      </c>
    </row>
    <row r="2241" spans="1:16" x14ac:dyDescent="0.3">
      <c r="A2241" s="1">
        <v>45465</v>
      </c>
      <c r="B2241" t="s">
        <v>23</v>
      </c>
      <c r="C2241" t="s">
        <v>14</v>
      </c>
      <c r="D2241" t="s">
        <v>9</v>
      </c>
      <c r="E2241">
        <v>9</v>
      </c>
      <c r="F2241" s="3">
        <v>8793</v>
      </c>
      <c r="G2241" s="2">
        <v>2262.4299999999998</v>
      </c>
      <c r="H2241">
        <f>Master_ventas[[#This Row],[Profit]]/Master_ventas[[#This Row],[Sales]]</f>
        <v>0.25729898783122934</v>
      </c>
      <c r="I2241">
        <f ca="1">Referencia_Hoy-Master_ventas[[#This Row],[Order Date]]</f>
        <v>858</v>
      </c>
      <c r="J2241" t="str">
        <f>UPPER(Master_ventas[[#This Row],[Product Name]])</f>
        <v>LAPTOP</v>
      </c>
      <c r="K2241" t="str">
        <f>UPPER(Master_ventas[[#This Row],[Category]])</f>
        <v>ELECTRONICS</v>
      </c>
      <c r="L2241">
        <f>YEAR(Master_ventas[[#This Row],[Order Date]])</f>
        <v>2024</v>
      </c>
      <c r="M2241" t="str">
        <f>CONCATENATE(LEFT(Master_ventas[[#This Row],[ProdUpper]],3),RIGHT(Master_ventas[[#This Row],[Ext-Year]],2),"-",MID(Master_ventas[[#This Row],[Category]],1,1))</f>
        <v>LAP24-E</v>
      </c>
      <c r="N2241" t="str">
        <f>MID(Master_ventas[[#This Row],[ProdUpper]],1,3)</f>
        <v>LAP</v>
      </c>
      <c r="O2241" t="str">
        <f>UPPER(IF(Master_ventas[[#This Row],[Profit]]&gt;500,"High","Std"))</f>
        <v>HIGH</v>
      </c>
      <c r="P2241">
        <v>2240</v>
      </c>
    </row>
    <row r="2242" spans="1:16" x14ac:dyDescent="0.3">
      <c r="A2242" s="1">
        <v>45512</v>
      </c>
      <c r="B2242" t="s">
        <v>18</v>
      </c>
      <c r="C2242" t="s">
        <v>11</v>
      </c>
      <c r="D2242" t="s">
        <v>15</v>
      </c>
      <c r="E2242">
        <v>8</v>
      </c>
      <c r="F2242" s="3">
        <v>2592</v>
      </c>
      <c r="G2242" s="2">
        <v>526.38</v>
      </c>
      <c r="H2242">
        <f>Master_ventas[[#This Row],[Profit]]/Master_ventas[[#This Row],[Sales]]</f>
        <v>0.20307870370370371</v>
      </c>
      <c r="I2242">
        <f ca="1">Referencia_Hoy-Master_ventas[[#This Row],[Order Date]]</f>
        <v>811</v>
      </c>
      <c r="J2242" t="str">
        <f>UPPER(Master_ventas[[#This Row],[Product Name]])</f>
        <v>HEADPHONES</v>
      </c>
      <c r="K2242" t="str">
        <f>UPPER(Master_ventas[[#This Row],[Category]])</f>
        <v>ACCESSORIES</v>
      </c>
      <c r="L2242">
        <f>YEAR(Master_ventas[[#This Row],[Order Date]])</f>
        <v>2024</v>
      </c>
      <c r="M2242" t="str">
        <f>CONCATENATE(LEFT(Master_ventas[[#This Row],[ProdUpper]],3),RIGHT(Master_ventas[[#This Row],[Ext-Year]],2),"-",MID(Master_ventas[[#This Row],[Category]],1,1))</f>
        <v>HEA24-A</v>
      </c>
      <c r="N2242" t="str">
        <f>MID(Master_ventas[[#This Row],[ProdUpper]],1,3)</f>
        <v>HEA</v>
      </c>
      <c r="O2242" t="str">
        <f>UPPER(IF(Master_ventas[[#This Row],[Profit]]&gt;500,"High","Std"))</f>
        <v>HIGH</v>
      </c>
      <c r="P2242">
        <v>2241</v>
      </c>
    </row>
    <row r="2243" spans="1:16" x14ac:dyDescent="0.3">
      <c r="A2243" s="1">
        <v>44600</v>
      </c>
      <c r="B2243" t="s">
        <v>22</v>
      </c>
      <c r="C2243" t="s">
        <v>11</v>
      </c>
      <c r="D2243" t="s">
        <v>12</v>
      </c>
      <c r="E2243">
        <v>7</v>
      </c>
      <c r="F2243" s="3">
        <v>7819</v>
      </c>
      <c r="G2243" s="2">
        <v>1708.84</v>
      </c>
      <c r="H2243">
        <f>Master_ventas[[#This Row],[Profit]]/Master_ventas[[#This Row],[Sales]]</f>
        <v>0.21854968666069829</v>
      </c>
      <c r="I2243">
        <f ca="1">Referencia_Hoy-Master_ventas[[#This Row],[Order Date]]</f>
        <v>1723</v>
      </c>
      <c r="J2243" t="str">
        <f>UPPER(Master_ventas[[#This Row],[Product Name]])</f>
        <v>KEYBOARD</v>
      </c>
      <c r="K2243" t="str">
        <f>UPPER(Master_ventas[[#This Row],[Category]])</f>
        <v>ACCESSORIES</v>
      </c>
      <c r="L2243">
        <f>YEAR(Master_ventas[[#This Row],[Order Date]])</f>
        <v>2022</v>
      </c>
      <c r="M2243" t="str">
        <f>CONCATENATE(LEFT(Master_ventas[[#This Row],[ProdUpper]],3),RIGHT(Master_ventas[[#This Row],[Ext-Year]],2),"-",MID(Master_ventas[[#This Row],[Category]],1,1))</f>
        <v>KEY22-A</v>
      </c>
      <c r="N2243" t="str">
        <f>MID(Master_ventas[[#This Row],[ProdUpper]],1,3)</f>
        <v>KEY</v>
      </c>
      <c r="O2243" t="str">
        <f>UPPER(IF(Master_ventas[[#This Row],[Profit]]&gt;500,"High","Std"))</f>
        <v>HIGH</v>
      </c>
      <c r="P2243">
        <v>2242</v>
      </c>
    </row>
    <row r="2244" spans="1:16" x14ac:dyDescent="0.3">
      <c r="A2244" s="1">
        <v>45484</v>
      </c>
      <c r="B2244" t="s">
        <v>19</v>
      </c>
      <c r="C2244" t="s">
        <v>14</v>
      </c>
      <c r="D2244" t="s">
        <v>9</v>
      </c>
      <c r="E2244">
        <v>7</v>
      </c>
      <c r="F2244" s="3">
        <v>2919</v>
      </c>
      <c r="G2244" s="2">
        <v>325.35000000000002</v>
      </c>
      <c r="H2244">
        <f>Master_ventas[[#This Row],[Profit]]/Master_ventas[[#This Row],[Sales]]</f>
        <v>0.11145940390544708</v>
      </c>
      <c r="I2244">
        <f ca="1">Referencia_Hoy-Master_ventas[[#This Row],[Order Date]]</f>
        <v>839</v>
      </c>
      <c r="J2244" t="str">
        <f>UPPER(Master_ventas[[#This Row],[Product Name]])</f>
        <v>SMARTWATCH</v>
      </c>
      <c r="K2244" t="str">
        <f>UPPER(Master_ventas[[#This Row],[Category]])</f>
        <v>ELECTRONICS</v>
      </c>
      <c r="L2244">
        <f>YEAR(Master_ventas[[#This Row],[Order Date]])</f>
        <v>2024</v>
      </c>
      <c r="M2244" t="str">
        <f>CONCATENATE(LEFT(Master_ventas[[#This Row],[ProdUpper]],3),RIGHT(Master_ventas[[#This Row],[Ext-Year]],2),"-",MID(Master_ventas[[#This Row],[Category]],1,1))</f>
        <v>SMA24-E</v>
      </c>
      <c r="N2244" t="str">
        <f>MID(Master_ventas[[#This Row],[ProdUpper]],1,3)</f>
        <v>SMA</v>
      </c>
      <c r="O2244" t="str">
        <f>UPPER(IF(Master_ventas[[#This Row],[Profit]]&gt;500,"High","Std"))</f>
        <v>STD</v>
      </c>
      <c r="P2244">
        <v>2243</v>
      </c>
    </row>
    <row r="2245" spans="1:16" x14ac:dyDescent="0.3">
      <c r="A2245" s="1">
        <v>45080</v>
      </c>
      <c r="B2245" t="s">
        <v>7</v>
      </c>
      <c r="C2245" t="s">
        <v>8</v>
      </c>
      <c r="D2245" t="s">
        <v>15</v>
      </c>
      <c r="E2245">
        <v>3</v>
      </c>
      <c r="F2245" s="3">
        <v>768</v>
      </c>
      <c r="G2245" s="2">
        <v>85.37</v>
      </c>
      <c r="H2245">
        <f>Master_ventas[[#This Row],[Profit]]/Master_ventas[[#This Row],[Sales]]</f>
        <v>0.11115885416666667</v>
      </c>
      <c r="I2245">
        <f ca="1">Referencia_Hoy-Master_ventas[[#This Row],[Order Date]]</f>
        <v>1243</v>
      </c>
      <c r="J2245" t="str">
        <f>UPPER(Master_ventas[[#This Row],[Product Name]])</f>
        <v>PRINTER</v>
      </c>
      <c r="K2245" t="str">
        <f>UPPER(Master_ventas[[#This Row],[Category]])</f>
        <v>OFFICE</v>
      </c>
      <c r="L2245">
        <f>YEAR(Master_ventas[[#This Row],[Order Date]])</f>
        <v>2023</v>
      </c>
      <c r="M2245" t="str">
        <f>CONCATENATE(LEFT(Master_ventas[[#This Row],[ProdUpper]],3),RIGHT(Master_ventas[[#This Row],[Ext-Year]],2),"-",MID(Master_ventas[[#This Row],[Category]],1,1))</f>
        <v>PRI23-O</v>
      </c>
      <c r="N2245" t="str">
        <f>MID(Master_ventas[[#This Row],[ProdUpper]],1,3)</f>
        <v>PRI</v>
      </c>
      <c r="O2245" t="str">
        <f>UPPER(IF(Master_ventas[[#This Row],[Profit]]&gt;500,"High","Std"))</f>
        <v>STD</v>
      </c>
      <c r="P2245">
        <v>2244</v>
      </c>
    </row>
    <row r="2246" spans="1:16" x14ac:dyDescent="0.3">
      <c r="A2246" s="1">
        <v>45262</v>
      </c>
      <c r="B2246" t="s">
        <v>21</v>
      </c>
      <c r="C2246" t="s">
        <v>14</v>
      </c>
      <c r="D2246" t="s">
        <v>16</v>
      </c>
      <c r="E2246">
        <v>2</v>
      </c>
      <c r="F2246" s="3">
        <v>1736</v>
      </c>
      <c r="G2246" s="2">
        <v>388.09</v>
      </c>
      <c r="H2246">
        <f>Master_ventas[[#This Row],[Profit]]/Master_ventas[[#This Row],[Sales]]</f>
        <v>0.22355414746543778</v>
      </c>
      <c r="I2246">
        <f ca="1">Referencia_Hoy-Master_ventas[[#This Row],[Order Date]]</f>
        <v>1061</v>
      </c>
      <c r="J2246" t="str">
        <f>UPPER(Master_ventas[[#This Row],[Product Name]])</f>
        <v>SMARTPHONE</v>
      </c>
      <c r="K2246" t="str">
        <f>UPPER(Master_ventas[[#This Row],[Category]])</f>
        <v>ELECTRONICS</v>
      </c>
      <c r="L2246">
        <f>YEAR(Master_ventas[[#This Row],[Order Date]])</f>
        <v>2023</v>
      </c>
      <c r="M2246" t="str">
        <f>CONCATENATE(LEFT(Master_ventas[[#This Row],[ProdUpper]],3),RIGHT(Master_ventas[[#This Row],[Ext-Year]],2),"-",MID(Master_ventas[[#This Row],[Category]],1,1))</f>
        <v>SMA23-E</v>
      </c>
      <c r="N2246" t="str">
        <f>MID(Master_ventas[[#This Row],[ProdUpper]],1,3)</f>
        <v>SMA</v>
      </c>
      <c r="O2246" t="str">
        <f>UPPER(IF(Master_ventas[[#This Row],[Profit]]&gt;500,"High","Std"))</f>
        <v>STD</v>
      </c>
      <c r="P2246">
        <v>2245</v>
      </c>
    </row>
    <row r="2247" spans="1:16" x14ac:dyDescent="0.3">
      <c r="A2247" s="1">
        <v>45125</v>
      </c>
      <c r="B2247" t="s">
        <v>19</v>
      </c>
      <c r="C2247" t="s">
        <v>14</v>
      </c>
      <c r="D2247" t="s">
        <v>15</v>
      </c>
      <c r="E2247">
        <v>7</v>
      </c>
      <c r="F2247" s="3">
        <v>6293</v>
      </c>
      <c r="G2247" s="2">
        <v>389.22</v>
      </c>
      <c r="H2247">
        <f>Master_ventas[[#This Row],[Profit]]/Master_ventas[[#This Row],[Sales]]</f>
        <v>6.1849674241220405E-2</v>
      </c>
      <c r="I2247">
        <f ca="1">Referencia_Hoy-Master_ventas[[#This Row],[Order Date]]</f>
        <v>1198</v>
      </c>
      <c r="J2247" t="str">
        <f>UPPER(Master_ventas[[#This Row],[Product Name]])</f>
        <v>SMARTWATCH</v>
      </c>
      <c r="K2247" t="str">
        <f>UPPER(Master_ventas[[#This Row],[Category]])</f>
        <v>ELECTRONICS</v>
      </c>
      <c r="L2247">
        <f>YEAR(Master_ventas[[#This Row],[Order Date]])</f>
        <v>2023</v>
      </c>
      <c r="M2247" t="str">
        <f>CONCATENATE(LEFT(Master_ventas[[#This Row],[ProdUpper]],3),RIGHT(Master_ventas[[#This Row],[Ext-Year]],2),"-",MID(Master_ventas[[#This Row],[Category]],1,1))</f>
        <v>SMA23-E</v>
      </c>
      <c r="N2247" t="str">
        <f>MID(Master_ventas[[#This Row],[ProdUpper]],1,3)</f>
        <v>SMA</v>
      </c>
      <c r="O2247" t="str">
        <f>UPPER(IF(Master_ventas[[#This Row],[Profit]]&gt;500,"High","Std"))</f>
        <v>STD</v>
      </c>
      <c r="P2247">
        <v>2246</v>
      </c>
    </row>
    <row r="2248" spans="1:16" x14ac:dyDescent="0.3">
      <c r="A2248" s="1">
        <v>45372</v>
      </c>
      <c r="B2248" t="s">
        <v>18</v>
      </c>
      <c r="C2248" t="s">
        <v>11</v>
      </c>
      <c r="D2248" t="s">
        <v>15</v>
      </c>
      <c r="E2248">
        <v>6</v>
      </c>
      <c r="F2248" s="3">
        <v>3684</v>
      </c>
      <c r="G2248" s="2">
        <v>477.02</v>
      </c>
      <c r="H2248">
        <f>Master_ventas[[#This Row],[Profit]]/Master_ventas[[#This Row],[Sales]]</f>
        <v>0.12948425624321389</v>
      </c>
      <c r="I2248">
        <f ca="1">Referencia_Hoy-Master_ventas[[#This Row],[Order Date]]</f>
        <v>951</v>
      </c>
      <c r="J2248" t="str">
        <f>UPPER(Master_ventas[[#This Row],[Product Name]])</f>
        <v>HEADPHONES</v>
      </c>
      <c r="K2248" t="str">
        <f>UPPER(Master_ventas[[#This Row],[Category]])</f>
        <v>ACCESSORIES</v>
      </c>
      <c r="L2248">
        <f>YEAR(Master_ventas[[#This Row],[Order Date]])</f>
        <v>2024</v>
      </c>
      <c r="M2248" t="str">
        <f>CONCATENATE(LEFT(Master_ventas[[#This Row],[ProdUpper]],3),RIGHT(Master_ventas[[#This Row],[Ext-Year]],2),"-",MID(Master_ventas[[#This Row],[Category]],1,1))</f>
        <v>HEA24-A</v>
      </c>
      <c r="N2248" t="str">
        <f>MID(Master_ventas[[#This Row],[ProdUpper]],1,3)</f>
        <v>HEA</v>
      </c>
      <c r="O2248" t="str">
        <f>UPPER(IF(Master_ventas[[#This Row],[Profit]]&gt;500,"High","Std"))</f>
        <v>STD</v>
      </c>
      <c r="P2248">
        <v>2247</v>
      </c>
    </row>
    <row r="2249" spans="1:16" x14ac:dyDescent="0.3">
      <c r="A2249" s="1">
        <v>45650</v>
      </c>
      <c r="B2249" t="s">
        <v>7</v>
      </c>
      <c r="C2249" t="s">
        <v>8</v>
      </c>
      <c r="D2249" t="s">
        <v>15</v>
      </c>
      <c r="E2249">
        <v>9</v>
      </c>
      <c r="F2249" s="3">
        <v>8370</v>
      </c>
      <c r="G2249" s="2">
        <v>1064.6500000000001</v>
      </c>
      <c r="H2249">
        <f>Master_ventas[[#This Row],[Profit]]/Master_ventas[[#This Row],[Sales]]</f>
        <v>0.1271983273596177</v>
      </c>
      <c r="I2249">
        <f ca="1">Referencia_Hoy-Master_ventas[[#This Row],[Order Date]]</f>
        <v>673</v>
      </c>
      <c r="J2249" t="str">
        <f>UPPER(Master_ventas[[#This Row],[Product Name]])</f>
        <v>PRINTER</v>
      </c>
      <c r="K2249" t="str">
        <f>UPPER(Master_ventas[[#This Row],[Category]])</f>
        <v>OFFICE</v>
      </c>
      <c r="L2249">
        <f>YEAR(Master_ventas[[#This Row],[Order Date]])</f>
        <v>2024</v>
      </c>
      <c r="M2249" t="str">
        <f>CONCATENATE(LEFT(Master_ventas[[#This Row],[ProdUpper]],3),RIGHT(Master_ventas[[#This Row],[Ext-Year]],2),"-",MID(Master_ventas[[#This Row],[Category]],1,1))</f>
        <v>PRI24-O</v>
      </c>
      <c r="N2249" t="str">
        <f>MID(Master_ventas[[#This Row],[ProdUpper]],1,3)</f>
        <v>PRI</v>
      </c>
      <c r="O2249" t="str">
        <f>UPPER(IF(Master_ventas[[#This Row],[Profit]]&gt;500,"High","Std"))</f>
        <v>HIGH</v>
      </c>
      <c r="P2249">
        <v>2248</v>
      </c>
    </row>
    <row r="2250" spans="1:16" x14ac:dyDescent="0.3">
      <c r="A2250" s="1">
        <v>45162</v>
      </c>
      <c r="B2250" t="s">
        <v>22</v>
      </c>
      <c r="C2250" t="s">
        <v>11</v>
      </c>
      <c r="D2250" t="s">
        <v>15</v>
      </c>
      <c r="E2250">
        <v>4</v>
      </c>
      <c r="F2250" s="3">
        <v>3788</v>
      </c>
      <c r="G2250" s="2">
        <v>875.54</v>
      </c>
      <c r="H2250">
        <f>Master_ventas[[#This Row],[Profit]]/Master_ventas[[#This Row],[Sales]]</f>
        <v>0.23113516367476239</v>
      </c>
      <c r="I2250">
        <f ca="1">Referencia_Hoy-Master_ventas[[#This Row],[Order Date]]</f>
        <v>1161</v>
      </c>
      <c r="J2250" t="str">
        <f>UPPER(Master_ventas[[#This Row],[Product Name]])</f>
        <v>KEYBOARD</v>
      </c>
      <c r="K2250" t="str">
        <f>UPPER(Master_ventas[[#This Row],[Category]])</f>
        <v>ACCESSORIES</v>
      </c>
      <c r="L2250">
        <f>YEAR(Master_ventas[[#This Row],[Order Date]])</f>
        <v>2023</v>
      </c>
      <c r="M2250" t="str">
        <f>CONCATENATE(LEFT(Master_ventas[[#This Row],[ProdUpper]],3),RIGHT(Master_ventas[[#This Row],[Ext-Year]],2),"-",MID(Master_ventas[[#This Row],[Category]],1,1))</f>
        <v>KEY23-A</v>
      </c>
      <c r="N2250" t="str">
        <f>MID(Master_ventas[[#This Row],[ProdUpper]],1,3)</f>
        <v>KEY</v>
      </c>
      <c r="O2250" t="str">
        <f>UPPER(IF(Master_ventas[[#This Row],[Profit]]&gt;500,"High","Std"))</f>
        <v>HIGH</v>
      </c>
      <c r="P2250">
        <v>2249</v>
      </c>
    </row>
    <row r="2251" spans="1:16" x14ac:dyDescent="0.3">
      <c r="A2251" s="1">
        <v>45160</v>
      </c>
      <c r="B2251" t="s">
        <v>23</v>
      </c>
      <c r="C2251" t="s">
        <v>14</v>
      </c>
      <c r="D2251" t="s">
        <v>16</v>
      </c>
      <c r="E2251">
        <v>8</v>
      </c>
      <c r="F2251" s="3">
        <v>8296</v>
      </c>
      <c r="G2251" s="2">
        <v>1884.18</v>
      </c>
      <c r="H2251">
        <f>Master_ventas[[#This Row],[Profit]]/Master_ventas[[#This Row],[Sales]]</f>
        <v>0.22711909353905496</v>
      </c>
      <c r="I2251">
        <f ca="1">Referencia_Hoy-Master_ventas[[#This Row],[Order Date]]</f>
        <v>1163</v>
      </c>
      <c r="J2251" t="str">
        <f>UPPER(Master_ventas[[#This Row],[Product Name]])</f>
        <v>LAPTOP</v>
      </c>
      <c r="K2251" t="str">
        <f>UPPER(Master_ventas[[#This Row],[Category]])</f>
        <v>ELECTRONICS</v>
      </c>
      <c r="L2251">
        <f>YEAR(Master_ventas[[#This Row],[Order Date]])</f>
        <v>2023</v>
      </c>
      <c r="M2251" t="str">
        <f>CONCATENATE(LEFT(Master_ventas[[#This Row],[ProdUpper]],3),RIGHT(Master_ventas[[#This Row],[Ext-Year]],2),"-",MID(Master_ventas[[#This Row],[Category]],1,1))</f>
        <v>LAP23-E</v>
      </c>
      <c r="N2251" t="str">
        <f>MID(Master_ventas[[#This Row],[ProdUpper]],1,3)</f>
        <v>LAP</v>
      </c>
      <c r="O2251" t="str">
        <f>UPPER(IF(Master_ventas[[#This Row],[Profit]]&gt;500,"High","Std"))</f>
        <v>HIGH</v>
      </c>
      <c r="P2251">
        <v>2250</v>
      </c>
    </row>
    <row r="2252" spans="1:16" x14ac:dyDescent="0.3">
      <c r="A2252" s="1">
        <v>44844</v>
      </c>
      <c r="B2252" t="s">
        <v>13</v>
      </c>
      <c r="C2252" t="s">
        <v>14</v>
      </c>
      <c r="D2252" t="s">
        <v>16</v>
      </c>
      <c r="E2252">
        <v>5</v>
      </c>
      <c r="F2252" s="3">
        <v>325</v>
      </c>
      <c r="G2252" s="2">
        <v>21.01</v>
      </c>
      <c r="H2252">
        <f>Master_ventas[[#This Row],[Profit]]/Master_ventas[[#This Row],[Sales]]</f>
        <v>6.4646153846153853E-2</v>
      </c>
      <c r="I2252">
        <f ca="1">Referencia_Hoy-Master_ventas[[#This Row],[Order Date]]</f>
        <v>1479</v>
      </c>
      <c r="J2252" t="str">
        <f>UPPER(Master_ventas[[#This Row],[Product Name]])</f>
        <v>TABLET</v>
      </c>
      <c r="K2252" t="str">
        <f>UPPER(Master_ventas[[#This Row],[Category]])</f>
        <v>ELECTRONICS</v>
      </c>
      <c r="L2252">
        <f>YEAR(Master_ventas[[#This Row],[Order Date]])</f>
        <v>2022</v>
      </c>
      <c r="M2252" t="str">
        <f>CONCATENATE(LEFT(Master_ventas[[#This Row],[ProdUpper]],3),RIGHT(Master_ventas[[#This Row],[Ext-Year]],2),"-",MID(Master_ventas[[#This Row],[Category]],1,1))</f>
        <v>TAB22-E</v>
      </c>
      <c r="N2252" t="str">
        <f>MID(Master_ventas[[#This Row],[ProdUpper]],1,3)</f>
        <v>TAB</v>
      </c>
      <c r="O2252" t="str">
        <f>UPPER(IF(Master_ventas[[#This Row],[Profit]]&gt;500,"High","Std"))</f>
        <v>STD</v>
      </c>
      <c r="P2252">
        <v>2251</v>
      </c>
    </row>
    <row r="2253" spans="1:16" x14ac:dyDescent="0.3">
      <c r="A2253" s="1">
        <v>45520</v>
      </c>
      <c r="B2253" t="s">
        <v>17</v>
      </c>
      <c r="C2253" t="s">
        <v>14</v>
      </c>
      <c r="D2253" t="s">
        <v>9</v>
      </c>
      <c r="E2253">
        <v>2</v>
      </c>
      <c r="F2253" s="3">
        <v>2216</v>
      </c>
      <c r="G2253" s="2">
        <v>444.36</v>
      </c>
      <c r="H2253">
        <f>Master_ventas[[#This Row],[Profit]]/Master_ventas[[#This Row],[Sales]]</f>
        <v>0.20052346570397112</v>
      </c>
      <c r="I2253">
        <f ca="1">Referencia_Hoy-Master_ventas[[#This Row],[Order Date]]</f>
        <v>803</v>
      </c>
      <c r="J2253" t="str">
        <f>UPPER(Master_ventas[[#This Row],[Product Name]])</f>
        <v>CAMERA</v>
      </c>
      <c r="K2253" t="str">
        <f>UPPER(Master_ventas[[#This Row],[Category]])</f>
        <v>ELECTRONICS</v>
      </c>
      <c r="L2253">
        <f>YEAR(Master_ventas[[#This Row],[Order Date]])</f>
        <v>2024</v>
      </c>
      <c r="M2253" t="str">
        <f>CONCATENATE(LEFT(Master_ventas[[#This Row],[ProdUpper]],3),RIGHT(Master_ventas[[#This Row],[Ext-Year]],2),"-",MID(Master_ventas[[#This Row],[Category]],1,1))</f>
        <v>CAM24-E</v>
      </c>
      <c r="N2253" t="str">
        <f>MID(Master_ventas[[#This Row],[ProdUpper]],1,3)</f>
        <v>CAM</v>
      </c>
      <c r="O2253" t="str">
        <f>UPPER(IF(Master_ventas[[#This Row],[Profit]]&gt;500,"High","Std"))</f>
        <v>STD</v>
      </c>
      <c r="P2253">
        <v>2252</v>
      </c>
    </row>
    <row r="2254" spans="1:16" x14ac:dyDescent="0.3">
      <c r="A2254" s="1">
        <v>44592</v>
      </c>
      <c r="B2254" t="s">
        <v>23</v>
      </c>
      <c r="C2254" t="s">
        <v>14</v>
      </c>
      <c r="D2254" t="s">
        <v>9</v>
      </c>
      <c r="E2254">
        <v>8</v>
      </c>
      <c r="F2254" s="3">
        <v>7064</v>
      </c>
      <c r="G2254" s="2">
        <v>1873.02</v>
      </c>
      <c r="H2254">
        <f>Master_ventas[[#This Row],[Profit]]/Master_ventas[[#This Row],[Sales]]</f>
        <v>0.26515005662514157</v>
      </c>
      <c r="I2254">
        <f ca="1">Referencia_Hoy-Master_ventas[[#This Row],[Order Date]]</f>
        <v>1731</v>
      </c>
      <c r="J2254" t="str">
        <f>UPPER(Master_ventas[[#This Row],[Product Name]])</f>
        <v>LAPTOP</v>
      </c>
      <c r="K2254" t="str">
        <f>UPPER(Master_ventas[[#This Row],[Category]])</f>
        <v>ELECTRONICS</v>
      </c>
      <c r="L2254">
        <f>YEAR(Master_ventas[[#This Row],[Order Date]])</f>
        <v>2022</v>
      </c>
      <c r="M2254" t="str">
        <f>CONCATENATE(LEFT(Master_ventas[[#This Row],[ProdUpper]],3),RIGHT(Master_ventas[[#This Row],[Ext-Year]],2),"-",MID(Master_ventas[[#This Row],[Category]],1,1))</f>
        <v>LAP22-E</v>
      </c>
      <c r="N2254" t="str">
        <f>MID(Master_ventas[[#This Row],[ProdUpper]],1,3)</f>
        <v>LAP</v>
      </c>
      <c r="O2254" t="str">
        <f>UPPER(IF(Master_ventas[[#This Row],[Profit]]&gt;500,"High","Std"))</f>
        <v>HIGH</v>
      </c>
      <c r="P2254">
        <v>2253</v>
      </c>
    </row>
    <row r="2255" spans="1:16" x14ac:dyDescent="0.3">
      <c r="A2255" s="1">
        <v>45512</v>
      </c>
      <c r="B2255" t="s">
        <v>10</v>
      </c>
      <c r="C2255" t="s">
        <v>11</v>
      </c>
      <c r="D2255" t="s">
        <v>12</v>
      </c>
      <c r="E2255">
        <v>9</v>
      </c>
      <c r="F2255" s="3">
        <v>2538</v>
      </c>
      <c r="G2255" s="2">
        <v>575.41</v>
      </c>
      <c r="H2255">
        <f>Master_ventas[[#This Row],[Profit]]/Master_ventas[[#This Row],[Sales]]</f>
        <v>0.22671788810086682</v>
      </c>
      <c r="I2255">
        <f ca="1">Referencia_Hoy-Master_ventas[[#This Row],[Order Date]]</f>
        <v>811</v>
      </c>
      <c r="J2255" t="str">
        <f>UPPER(Master_ventas[[#This Row],[Product Name]])</f>
        <v>MOUSE</v>
      </c>
      <c r="K2255" t="str">
        <f>UPPER(Master_ventas[[#This Row],[Category]])</f>
        <v>ACCESSORIES</v>
      </c>
      <c r="L2255">
        <f>YEAR(Master_ventas[[#This Row],[Order Date]])</f>
        <v>2024</v>
      </c>
      <c r="M2255" t="str">
        <f>CONCATENATE(LEFT(Master_ventas[[#This Row],[ProdUpper]],3),RIGHT(Master_ventas[[#This Row],[Ext-Year]],2),"-",MID(Master_ventas[[#This Row],[Category]],1,1))</f>
        <v>MOU24-A</v>
      </c>
      <c r="N2255" t="str">
        <f>MID(Master_ventas[[#This Row],[ProdUpper]],1,3)</f>
        <v>MOU</v>
      </c>
      <c r="O2255" t="str">
        <f>UPPER(IF(Master_ventas[[#This Row],[Profit]]&gt;500,"High","Std"))</f>
        <v>HIGH</v>
      </c>
      <c r="P2255">
        <v>2254</v>
      </c>
    </row>
    <row r="2256" spans="1:16" x14ac:dyDescent="0.3">
      <c r="A2256" s="1">
        <v>45364</v>
      </c>
      <c r="B2256" t="s">
        <v>18</v>
      </c>
      <c r="C2256" t="s">
        <v>11</v>
      </c>
      <c r="D2256" t="s">
        <v>9</v>
      </c>
      <c r="E2256">
        <v>1</v>
      </c>
      <c r="F2256" s="3">
        <v>1151</v>
      </c>
      <c r="G2256" s="2">
        <v>77.22</v>
      </c>
      <c r="H2256">
        <f>Master_ventas[[#This Row],[Profit]]/Master_ventas[[#This Row],[Sales]]</f>
        <v>6.708948740225891E-2</v>
      </c>
      <c r="I2256">
        <f ca="1">Referencia_Hoy-Master_ventas[[#This Row],[Order Date]]</f>
        <v>959</v>
      </c>
      <c r="J2256" t="str">
        <f>UPPER(Master_ventas[[#This Row],[Product Name]])</f>
        <v>HEADPHONES</v>
      </c>
      <c r="K2256" t="str">
        <f>UPPER(Master_ventas[[#This Row],[Category]])</f>
        <v>ACCESSORIES</v>
      </c>
      <c r="L2256">
        <f>YEAR(Master_ventas[[#This Row],[Order Date]])</f>
        <v>2024</v>
      </c>
      <c r="M2256" t="str">
        <f>CONCATENATE(LEFT(Master_ventas[[#This Row],[ProdUpper]],3),RIGHT(Master_ventas[[#This Row],[Ext-Year]],2),"-",MID(Master_ventas[[#This Row],[Category]],1,1))</f>
        <v>HEA24-A</v>
      </c>
      <c r="N2256" t="str">
        <f>MID(Master_ventas[[#This Row],[ProdUpper]],1,3)</f>
        <v>HEA</v>
      </c>
      <c r="O2256" t="str">
        <f>UPPER(IF(Master_ventas[[#This Row],[Profit]]&gt;500,"High","Std"))</f>
        <v>STD</v>
      </c>
      <c r="P2256">
        <v>2255</v>
      </c>
    </row>
    <row r="2257" spans="1:16" x14ac:dyDescent="0.3">
      <c r="A2257" s="1">
        <v>44579</v>
      </c>
      <c r="B2257" t="s">
        <v>22</v>
      </c>
      <c r="C2257" t="s">
        <v>11</v>
      </c>
      <c r="D2257" t="s">
        <v>12</v>
      </c>
      <c r="E2257">
        <v>1</v>
      </c>
      <c r="F2257" s="3">
        <v>717</v>
      </c>
      <c r="G2257" s="2">
        <v>137.27000000000001</v>
      </c>
      <c r="H2257">
        <f>Master_ventas[[#This Row],[Profit]]/Master_ventas[[#This Row],[Sales]]</f>
        <v>0.19145048814504884</v>
      </c>
      <c r="I2257">
        <f ca="1">Referencia_Hoy-Master_ventas[[#This Row],[Order Date]]</f>
        <v>1744</v>
      </c>
      <c r="J2257" t="str">
        <f>UPPER(Master_ventas[[#This Row],[Product Name]])</f>
        <v>KEYBOARD</v>
      </c>
      <c r="K2257" t="str">
        <f>UPPER(Master_ventas[[#This Row],[Category]])</f>
        <v>ACCESSORIES</v>
      </c>
      <c r="L2257">
        <f>YEAR(Master_ventas[[#This Row],[Order Date]])</f>
        <v>2022</v>
      </c>
      <c r="M2257" t="str">
        <f>CONCATENATE(LEFT(Master_ventas[[#This Row],[ProdUpper]],3),RIGHT(Master_ventas[[#This Row],[Ext-Year]],2),"-",MID(Master_ventas[[#This Row],[Category]],1,1))</f>
        <v>KEY22-A</v>
      </c>
      <c r="N2257" t="str">
        <f>MID(Master_ventas[[#This Row],[ProdUpper]],1,3)</f>
        <v>KEY</v>
      </c>
      <c r="O2257" t="str">
        <f>UPPER(IF(Master_ventas[[#This Row],[Profit]]&gt;500,"High","Std"))</f>
        <v>STD</v>
      </c>
      <c r="P2257">
        <v>2256</v>
      </c>
    </row>
    <row r="2258" spans="1:16" x14ac:dyDescent="0.3">
      <c r="A2258" s="1">
        <v>44573</v>
      </c>
      <c r="B2258" t="s">
        <v>19</v>
      </c>
      <c r="C2258" t="s">
        <v>14</v>
      </c>
      <c r="D2258" t="s">
        <v>12</v>
      </c>
      <c r="E2258">
        <v>8</v>
      </c>
      <c r="F2258" s="3">
        <v>3048</v>
      </c>
      <c r="G2258" s="2">
        <v>444.3</v>
      </c>
      <c r="H2258">
        <f>Master_ventas[[#This Row],[Profit]]/Master_ventas[[#This Row],[Sales]]</f>
        <v>0.14576771653543308</v>
      </c>
      <c r="I2258">
        <f ca="1">Referencia_Hoy-Master_ventas[[#This Row],[Order Date]]</f>
        <v>1750</v>
      </c>
      <c r="J2258" t="str">
        <f>UPPER(Master_ventas[[#This Row],[Product Name]])</f>
        <v>SMARTWATCH</v>
      </c>
      <c r="K2258" t="str">
        <f>UPPER(Master_ventas[[#This Row],[Category]])</f>
        <v>ELECTRONICS</v>
      </c>
      <c r="L2258">
        <f>YEAR(Master_ventas[[#This Row],[Order Date]])</f>
        <v>2022</v>
      </c>
      <c r="M2258" t="str">
        <f>CONCATENATE(LEFT(Master_ventas[[#This Row],[ProdUpper]],3),RIGHT(Master_ventas[[#This Row],[Ext-Year]],2),"-",MID(Master_ventas[[#This Row],[Category]],1,1))</f>
        <v>SMA22-E</v>
      </c>
      <c r="N2258" t="str">
        <f>MID(Master_ventas[[#This Row],[ProdUpper]],1,3)</f>
        <v>SMA</v>
      </c>
      <c r="O2258" t="str">
        <f>UPPER(IF(Master_ventas[[#This Row],[Profit]]&gt;500,"High","Std"))</f>
        <v>STD</v>
      </c>
      <c r="P2258">
        <v>2257</v>
      </c>
    </row>
    <row r="2259" spans="1:16" x14ac:dyDescent="0.3">
      <c r="A2259" s="1">
        <v>45341</v>
      </c>
      <c r="B2259" t="s">
        <v>22</v>
      </c>
      <c r="C2259" t="s">
        <v>11</v>
      </c>
      <c r="D2259" t="s">
        <v>15</v>
      </c>
      <c r="E2259">
        <v>3</v>
      </c>
      <c r="F2259" s="3">
        <v>2070</v>
      </c>
      <c r="G2259" s="2">
        <v>163.22999999999999</v>
      </c>
      <c r="H2259">
        <f>Master_ventas[[#This Row],[Profit]]/Master_ventas[[#This Row],[Sales]]</f>
        <v>7.8855072463768106E-2</v>
      </c>
      <c r="I2259">
        <f ca="1">Referencia_Hoy-Master_ventas[[#This Row],[Order Date]]</f>
        <v>982</v>
      </c>
      <c r="J2259" t="str">
        <f>UPPER(Master_ventas[[#This Row],[Product Name]])</f>
        <v>KEYBOARD</v>
      </c>
      <c r="K2259" t="str">
        <f>UPPER(Master_ventas[[#This Row],[Category]])</f>
        <v>ACCESSORIES</v>
      </c>
      <c r="L2259">
        <f>YEAR(Master_ventas[[#This Row],[Order Date]])</f>
        <v>2024</v>
      </c>
      <c r="M2259" t="str">
        <f>CONCATENATE(LEFT(Master_ventas[[#This Row],[ProdUpper]],3),RIGHT(Master_ventas[[#This Row],[Ext-Year]],2),"-",MID(Master_ventas[[#This Row],[Category]],1,1))</f>
        <v>KEY24-A</v>
      </c>
      <c r="N2259" t="str">
        <f>MID(Master_ventas[[#This Row],[ProdUpper]],1,3)</f>
        <v>KEY</v>
      </c>
      <c r="O2259" t="str">
        <f>UPPER(IF(Master_ventas[[#This Row],[Profit]]&gt;500,"High","Std"))</f>
        <v>STD</v>
      </c>
      <c r="P2259">
        <v>2258</v>
      </c>
    </row>
    <row r="2260" spans="1:16" x14ac:dyDescent="0.3">
      <c r="A2260" s="1">
        <v>45152</v>
      </c>
      <c r="B2260" t="s">
        <v>17</v>
      </c>
      <c r="C2260" t="s">
        <v>14</v>
      </c>
      <c r="D2260" t="s">
        <v>12</v>
      </c>
      <c r="E2260">
        <v>5</v>
      </c>
      <c r="F2260" s="3">
        <v>3630</v>
      </c>
      <c r="G2260" s="2">
        <v>537.92999999999995</v>
      </c>
      <c r="H2260">
        <f>Master_ventas[[#This Row],[Profit]]/Master_ventas[[#This Row],[Sales]]</f>
        <v>0.14819008264462807</v>
      </c>
      <c r="I2260">
        <f ca="1">Referencia_Hoy-Master_ventas[[#This Row],[Order Date]]</f>
        <v>1171</v>
      </c>
      <c r="J2260" t="str">
        <f>UPPER(Master_ventas[[#This Row],[Product Name]])</f>
        <v>CAMERA</v>
      </c>
      <c r="K2260" t="str">
        <f>UPPER(Master_ventas[[#This Row],[Category]])</f>
        <v>ELECTRONICS</v>
      </c>
      <c r="L2260">
        <f>YEAR(Master_ventas[[#This Row],[Order Date]])</f>
        <v>2023</v>
      </c>
      <c r="M2260" t="str">
        <f>CONCATENATE(LEFT(Master_ventas[[#This Row],[ProdUpper]],3),RIGHT(Master_ventas[[#This Row],[Ext-Year]],2),"-",MID(Master_ventas[[#This Row],[Category]],1,1))</f>
        <v>CAM23-E</v>
      </c>
      <c r="N2260" t="str">
        <f>MID(Master_ventas[[#This Row],[ProdUpper]],1,3)</f>
        <v>CAM</v>
      </c>
      <c r="O2260" t="str">
        <f>UPPER(IF(Master_ventas[[#This Row],[Profit]]&gt;500,"High","Std"))</f>
        <v>HIGH</v>
      </c>
      <c r="P2260">
        <v>2259</v>
      </c>
    </row>
    <row r="2261" spans="1:16" x14ac:dyDescent="0.3">
      <c r="A2261" s="1">
        <v>44664</v>
      </c>
      <c r="B2261" t="s">
        <v>13</v>
      </c>
      <c r="C2261" t="s">
        <v>14</v>
      </c>
      <c r="D2261" t="s">
        <v>12</v>
      </c>
      <c r="E2261">
        <v>7</v>
      </c>
      <c r="F2261" s="3">
        <v>896</v>
      </c>
      <c r="G2261" s="2">
        <v>219.98</v>
      </c>
      <c r="H2261">
        <f>Master_ventas[[#This Row],[Profit]]/Master_ventas[[#This Row],[Sales]]</f>
        <v>0.24551339285714285</v>
      </c>
      <c r="I2261">
        <f ca="1">Referencia_Hoy-Master_ventas[[#This Row],[Order Date]]</f>
        <v>1659</v>
      </c>
      <c r="J2261" t="str">
        <f>UPPER(Master_ventas[[#This Row],[Product Name]])</f>
        <v>TABLET</v>
      </c>
      <c r="K2261" t="str">
        <f>UPPER(Master_ventas[[#This Row],[Category]])</f>
        <v>ELECTRONICS</v>
      </c>
      <c r="L2261">
        <f>YEAR(Master_ventas[[#This Row],[Order Date]])</f>
        <v>2022</v>
      </c>
      <c r="M2261" t="str">
        <f>CONCATENATE(LEFT(Master_ventas[[#This Row],[ProdUpper]],3),RIGHT(Master_ventas[[#This Row],[Ext-Year]],2),"-",MID(Master_ventas[[#This Row],[Category]],1,1))</f>
        <v>TAB22-E</v>
      </c>
      <c r="N2261" t="str">
        <f>MID(Master_ventas[[#This Row],[ProdUpper]],1,3)</f>
        <v>TAB</v>
      </c>
      <c r="O2261" t="str">
        <f>UPPER(IF(Master_ventas[[#This Row],[Profit]]&gt;500,"High","Std"))</f>
        <v>STD</v>
      </c>
      <c r="P2261">
        <v>2260</v>
      </c>
    </row>
    <row r="2262" spans="1:16" x14ac:dyDescent="0.3">
      <c r="A2262" s="1">
        <v>45351</v>
      </c>
      <c r="B2262" t="s">
        <v>13</v>
      </c>
      <c r="C2262" t="s">
        <v>14</v>
      </c>
      <c r="D2262" t="s">
        <v>12</v>
      </c>
      <c r="E2262">
        <v>7</v>
      </c>
      <c r="F2262" s="3">
        <v>1981</v>
      </c>
      <c r="G2262" s="2">
        <v>311.44</v>
      </c>
      <c r="H2262">
        <f>Master_ventas[[#This Row],[Profit]]/Master_ventas[[#This Row],[Sales]]</f>
        <v>0.15721352852094903</v>
      </c>
      <c r="I2262">
        <f ca="1">Referencia_Hoy-Master_ventas[[#This Row],[Order Date]]</f>
        <v>972</v>
      </c>
      <c r="J2262" t="str">
        <f>UPPER(Master_ventas[[#This Row],[Product Name]])</f>
        <v>TABLET</v>
      </c>
      <c r="K2262" t="str">
        <f>UPPER(Master_ventas[[#This Row],[Category]])</f>
        <v>ELECTRONICS</v>
      </c>
      <c r="L2262">
        <f>YEAR(Master_ventas[[#This Row],[Order Date]])</f>
        <v>2024</v>
      </c>
      <c r="M2262" t="str">
        <f>CONCATENATE(LEFT(Master_ventas[[#This Row],[ProdUpper]],3),RIGHT(Master_ventas[[#This Row],[Ext-Year]],2),"-",MID(Master_ventas[[#This Row],[Category]],1,1))</f>
        <v>TAB24-E</v>
      </c>
      <c r="N2262" t="str">
        <f>MID(Master_ventas[[#This Row],[ProdUpper]],1,3)</f>
        <v>TAB</v>
      </c>
      <c r="O2262" t="str">
        <f>UPPER(IF(Master_ventas[[#This Row],[Profit]]&gt;500,"High","Std"))</f>
        <v>STD</v>
      </c>
      <c r="P2262">
        <v>2261</v>
      </c>
    </row>
    <row r="2263" spans="1:16" x14ac:dyDescent="0.3">
      <c r="A2263" s="1">
        <v>45123</v>
      </c>
      <c r="B2263" t="s">
        <v>18</v>
      </c>
      <c r="C2263" t="s">
        <v>11</v>
      </c>
      <c r="D2263" t="s">
        <v>16</v>
      </c>
      <c r="E2263">
        <v>6</v>
      </c>
      <c r="F2263" s="3">
        <v>7140</v>
      </c>
      <c r="G2263" s="2">
        <v>605.22</v>
      </c>
      <c r="H2263">
        <f>Master_ventas[[#This Row],[Profit]]/Master_ventas[[#This Row],[Sales]]</f>
        <v>8.476470588235295E-2</v>
      </c>
      <c r="I2263">
        <f ca="1">Referencia_Hoy-Master_ventas[[#This Row],[Order Date]]</f>
        <v>1200</v>
      </c>
      <c r="J2263" t="str">
        <f>UPPER(Master_ventas[[#This Row],[Product Name]])</f>
        <v>HEADPHONES</v>
      </c>
      <c r="K2263" t="str">
        <f>UPPER(Master_ventas[[#This Row],[Category]])</f>
        <v>ACCESSORIES</v>
      </c>
      <c r="L2263">
        <f>YEAR(Master_ventas[[#This Row],[Order Date]])</f>
        <v>2023</v>
      </c>
      <c r="M2263" t="str">
        <f>CONCATENATE(LEFT(Master_ventas[[#This Row],[ProdUpper]],3),RIGHT(Master_ventas[[#This Row],[Ext-Year]],2),"-",MID(Master_ventas[[#This Row],[Category]],1,1))</f>
        <v>HEA23-A</v>
      </c>
      <c r="N2263" t="str">
        <f>MID(Master_ventas[[#This Row],[ProdUpper]],1,3)</f>
        <v>HEA</v>
      </c>
      <c r="O2263" t="str">
        <f>UPPER(IF(Master_ventas[[#This Row],[Profit]]&gt;500,"High","Std"))</f>
        <v>HIGH</v>
      </c>
      <c r="P2263">
        <v>2262</v>
      </c>
    </row>
    <row r="2264" spans="1:16" x14ac:dyDescent="0.3">
      <c r="A2264" s="1">
        <v>45029</v>
      </c>
      <c r="B2264" t="s">
        <v>20</v>
      </c>
      <c r="C2264" t="s">
        <v>11</v>
      </c>
      <c r="D2264" t="s">
        <v>9</v>
      </c>
      <c r="E2264">
        <v>5</v>
      </c>
      <c r="F2264" s="3">
        <v>1015</v>
      </c>
      <c r="G2264" s="2">
        <v>85.06</v>
      </c>
      <c r="H2264">
        <f>Master_ventas[[#This Row],[Profit]]/Master_ventas[[#This Row],[Sales]]</f>
        <v>8.3802955665024631E-2</v>
      </c>
      <c r="I2264">
        <f ca="1">Referencia_Hoy-Master_ventas[[#This Row],[Order Date]]</f>
        <v>1294</v>
      </c>
      <c r="J2264" t="str">
        <f>UPPER(Master_ventas[[#This Row],[Product Name]])</f>
        <v>MONITOR</v>
      </c>
      <c r="K2264" t="str">
        <f>UPPER(Master_ventas[[#This Row],[Category]])</f>
        <v>ACCESSORIES</v>
      </c>
      <c r="L2264">
        <f>YEAR(Master_ventas[[#This Row],[Order Date]])</f>
        <v>2023</v>
      </c>
      <c r="M2264" t="str">
        <f>CONCATENATE(LEFT(Master_ventas[[#This Row],[ProdUpper]],3),RIGHT(Master_ventas[[#This Row],[Ext-Year]],2),"-",MID(Master_ventas[[#This Row],[Category]],1,1))</f>
        <v>MON23-A</v>
      </c>
      <c r="N2264" t="str">
        <f>MID(Master_ventas[[#This Row],[ProdUpper]],1,3)</f>
        <v>MON</v>
      </c>
      <c r="O2264" t="str">
        <f>UPPER(IF(Master_ventas[[#This Row],[Profit]]&gt;500,"High","Std"))</f>
        <v>STD</v>
      </c>
      <c r="P2264">
        <v>2263</v>
      </c>
    </row>
    <row r="2265" spans="1:16" x14ac:dyDescent="0.3">
      <c r="A2265" s="1">
        <v>45516</v>
      </c>
      <c r="B2265" t="s">
        <v>18</v>
      </c>
      <c r="C2265" t="s">
        <v>11</v>
      </c>
      <c r="D2265" t="s">
        <v>9</v>
      </c>
      <c r="E2265">
        <v>4</v>
      </c>
      <c r="F2265" s="3">
        <v>524</v>
      </c>
      <c r="G2265" s="2">
        <v>52.31</v>
      </c>
      <c r="H2265">
        <f>Master_ventas[[#This Row],[Profit]]/Master_ventas[[#This Row],[Sales]]</f>
        <v>9.9828244274809158E-2</v>
      </c>
      <c r="I2265">
        <f ca="1">Referencia_Hoy-Master_ventas[[#This Row],[Order Date]]</f>
        <v>807</v>
      </c>
      <c r="J2265" t="str">
        <f>UPPER(Master_ventas[[#This Row],[Product Name]])</f>
        <v>HEADPHONES</v>
      </c>
      <c r="K2265" t="str">
        <f>UPPER(Master_ventas[[#This Row],[Category]])</f>
        <v>ACCESSORIES</v>
      </c>
      <c r="L2265">
        <f>YEAR(Master_ventas[[#This Row],[Order Date]])</f>
        <v>2024</v>
      </c>
      <c r="M2265" t="str">
        <f>CONCATENATE(LEFT(Master_ventas[[#This Row],[ProdUpper]],3),RIGHT(Master_ventas[[#This Row],[Ext-Year]],2),"-",MID(Master_ventas[[#This Row],[Category]],1,1))</f>
        <v>HEA24-A</v>
      </c>
      <c r="N2265" t="str">
        <f>MID(Master_ventas[[#This Row],[ProdUpper]],1,3)</f>
        <v>HEA</v>
      </c>
      <c r="O2265" t="str">
        <f>UPPER(IF(Master_ventas[[#This Row],[Profit]]&gt;500,"High","Std"))</f>
        <v>STD</v>
      </c>
      <c r="P2265">
        <v>2264</v>
      </c>
    </row>
    <row r="2266" spans="1:16" x14ac:dyDescent="0.3">
      <c r="A2266" s="1">
        <v>45126</v>
      </c>
      <c r="B2266" t="s">
        <v>19</v>
      </c>
      <c r="C2266" t="s">
        <v>14</v>
      </c>
      <c r="D2266" t="s">
        <v>9</v>
      </c>
      <c r="E2266">
        <v>2</v>
      </c>
      <c r="F2266" s="3">
        <v>1678</v>
      </c>
      <c r="G2266" s="2">
        <v>372.78</v>
      </c>
      <c r="H2266">
        <f>Master_ventas[[#This Row],[Profit]]/Master_ventas[[#This Row],[Sales]]</f>
        <v>0.22215733015494635</v>
      </c>
      <c r="I2266">
        <f ca="1">Referencia_Hoy-Master_ventas[[#This Row],[Order Date]]</f>
        <v>1197</v>
      </c>
      <c r="J2266" t="str">
        <f>UPPER(Master_ventas[[#This Row],[Product Name]])</f>
        <v>SMARTWATCH</v>
      </c>
      <c r="K2266" t="str">
        <f>UPPER(Master_ventas[[#This Row],[Category]])</f>
        <v>ELECTRONICS</v>
      </c>
      <c r="L2266">
        <f>YEAR(Master_ventas[[#This Row],[Order Date]])</f>
        <v>2023</v>
      </c>
      <c r="M2266" t="str">
        <f>CONCATENATE(LEFT(Master_ventas[[#This Row],[ProdUpper]],3),RIGHT(Master_ventas[[#This Row],[Ext-Year]],2),"-",MID(Master_ventas[[#This Row],[Category]],1,1))</f>
        <v>SMA23-E</v>
      </c>
      <c r="N2266" t="str">
        <f>MID(Master_ventas[[#This Row],[ProdUpper]],1,3)</f>
        <v>SMA</v>
      </c>
      <c r="O2266" t="str">
        <f>UPPER(IF(Master_ventas[[#This Row],[Profit]]&gt;500,"High","Std"))</f>
        <v>STD</v>
      </c>
      <c r="P2266">
        <v>2265</v>
      </c>
    </row>
    <row r="2267" spans="1:16" x14ac:dyDescent="0.3">
      <c r="A2267" s="1">
        <v>45072</v>
      </c>
      <c r="B2267" t="s">
        <v>13</v>
      </c>
      <c r="C2267" t="s">
        <v>14</v>
      </c>
      <c r="D2267" t="s">
        <v>15</v>
      </c>
      <c r="E2267">
        <v>4</v>
      </c>
      <c r="F2267" s="3">
        <v>3260</v>
      </c>
      <c r="G2267" s="2">
        <v>969.76</v>
      </c>
      <c r="H2267">
        <f>Master_ventas[[#This Row],[Profit]]/Master_ventas[[#This Row],[Sales]]</f>
        <v>0.29747239263803682</v>
      </c>
      <c r="I2267">
        <f ca="1">Referencia_Hoy-Master_ventas[[#This Row],[Order Date]]</f>
        <v>1251</v>
      </c>
      <c r="J2267" t="str">
        <f>UPPER(Master_ventas[[#This Row],[Product Name]])</f>
        <v>TABLET</v>
      </c>
      <c r="K2267" t="str">
        <f>UPPER(Master_ventas[[#This Row],[Category]])</f>
        <v>ELECTRONICS</v>
      </c>
      <c r="L2267">
        <f>YEAR(Master_ventas[[#This Row],[Order Date]])</f>
        <v>2023</v>
      </c>
      <c r="M2267" t="str">
        <f>CONCATENATE(LEFT(Master_ventas[[#This Row],[ProdUpper]],3),RIGHT(Master_ventas[[#This Row],[Ext-Year]],2),"-",MID(Master_ventas[[#This Row],[Category]],1,1))</f>
        <v>TAB23-E</v>
      </c>
      <c r="N2267" t="str">
        <f>MID(Master_ventas[[#This Row],[ProdUpper]],1,3)</f>
        <v>TAB</v>
      </c>
      <c r="O2267" t="str">
        <f>UPPER(IF(Master_ventas[[#This Row],[Profit]]&gt;500,"High","Std"))</f>
        <v>HIGH</v>
      </c>
      <c r="P2267">
        <v>2266</v>
      </c>
    </row>
    <row r="2268" spans="1:16" x14ac:dyDescent="0.3">
      <c r="A2268" s="1">
        <v>45583</v>
      </c>
      <c r="B2268" t="s">
        <v>18</v>
      </c>
      <c r="C2268" t="s">
        <v>11</v>
      </c>
      <c r="D2268" t="s">
        <v>15</v>
      </c>
      <c r="E2268">
        <v>5</v>
      </c>
      <c r="F2268" s="3">
        <v>720</v>
      </c>
      <c r="G2268" s="2">
        <v>214.31</v>
      </c>
      <c r="H2268">
        <f>Master_ventas[[#This Row],[Profit]]/Master_ventas[[#This Row],[Sales]]</f>
        <v>0.29765277777777777</v>
      </c>
      <c r="I2268">
        <f ca="1">Referencia_Hoy-Master_ventas[[#This Row],[Order Date]]</f>
        <v>740</v>
      </c>
      <c r="J2268" t="str">
        <f>UPPER(Master_ventas[[#This Row],[Product Name]])</f>
        <v>HEADPHONES</v>
      </c>
      <c r="K2268" t="str">
        <f>UPPER(Master_ventas[[#This Row],[Category]])</f>
        <v>ACCESSORIES</v>
      </c>
      <c r="L2268">
        <f>YEAR(Master_ventas[[#This Row],[Order Date]])</f>
        <v>2024</v>
      </c>
      <c r="M2268" t="str">
        <f>CONCATENATE(LEFT(Master_ventas[[#This Row],[ProdUpper]],3),RIGHT(Master_ventas[[#This Row],[Ext-Year]],2),"-",MID(Master_ventas[[#This Row],[Category]],1,1))</f>
        <v>HEA24-A</v>
      </c>
      <c r="N2268" t="str">
        <f>MID(Master_ventas[[#This Row],[ProdUpper]],1,3)</f>
        <v>HEA</v>
      </c>
      <c r="O2268" t="str">
        <f>UPPER(IF(Master_ventas[[#This Row],[Profit]]&gt;500,"High","Std"))</f>
        <v>STD</v>
      </c>
      <c r="P2268">
        <v>2267</v>
      </c>
    </row>
    <row r="2269" spans="1:16" x14ac:dyDescent="0.3">
      <c r="A2269" s="1">
        <v>45416</v>
      </c>
      <c r="B2269" t="s">
        <v>7</v>
      </c>
      <c r="C2269" t="s">
        <v>8</v>
      </c>
      <c r="D2269" t="s">
        <v>16</v>
      </c>
      <c r="E2269">
        <v>4</v>
      </c>
      <c r="F2269" s="3">
        <v>1792</v>
      </c>
      <c r="G2269" s="2">
        <v>417.99</v>
      </c>
      <c r="H2269">
        <f>Master_ventas[[#This Row],[Profit]]/Master_ventas[[#This Row],[Sales]]</f>
        <v>0.23325334821428573</v>
      </c>
      <c r="I2269">
        <f ca="1">Referencia_Hoy-Master_ventas[[#This Row],[Order Date]]</f>
        <v>907</v>
      </c>
      <c r="J2269" t="str">
        <f>UPPER(Master_ventas[[#This Row],[Product Name]])</f>
        <v>PRINTER</v>
      </c>
      <c r="K2269" t="str">
        <f>UPPER(Master_ventas[[#This Row],[Category]])</f>
        <v>OFFICE</v>
      </c>
      <c r="L2269">
        <f>YEAR(Master_ventas[[#This Row],[Order Date]])</f>
        <v>2024</v>
      </c>
      <c r="M2269" t="str">
        <f>CONCATENATE(LEFT(Master_ventas[[#This Row],[ProdUpper]],3),RIGHT(Master_ventas[[#This Row],[Ext-Year]],2),"-",MID(Master_ventas[[#This Row],[Category]],1,1))</f>
        <v>PRI24-O</v>
      </c>
      <c r="N2269" t="str">
        <f>MID(Master_ventas[[#This Row],[ProdUpper]],1,3)</f>
        <v>PRI</v>
      </c>
      <c r="O2269" t="str">
        <f>UPPER(IF(Master_ventas[[#This Row],[Profit]]&gt;500,"High","Std"))</f>
        <v>STD</v>
      </c>
      <c r="P2269">
        <v>2268</v>
      </c>
    </row>
    <row r="2270" spans="1:16" x14ac:dyDescent="0.3">
      <c r="A2270" s="1">
        <v>44730</v>
      </c>
      <c r="B2270" t="s">
        <v>13</v>
      </c>
      <c r="C2270" t="s">
        <v>14</v>
      </c>
      <c r="D2270" t="s">
        <v>15</v>
      </c>
      <c r="E2270">
        <v>9</v>
      </c>
      <c r="F2270" s="3">
        <v>3096</v>
      </c>
      <c r="G2270" s="2">
        <v>505.08</v>
      </c>
      <c r="H2270">
        <f>Master_ventas[[#This Row],[Profit]]/Master_ventas[[#This Row],[Sales]]</f>
        <v>0.16313953488372093</v>
      </c>
      <c r="I2270">
        <f ca="1">Referencia_Hoy-Master_ventas[[#This Row],[Order Date]]</f>
        <v>1593</v>
      </c>
      <c r="J2270" t="str">
        <f>UPPER(Master_ventas[[#This Row],[Product Name]])</f>
        <v>TABLET</v>
      </c>
      <c r="K2270" t="str">
        <f>UPPER(Master_ventas[[#This Row],[Category]])</f>
        <v>ELECTRONICS</v>
      </c>
      <c r="L2270">
        <f>YEAR(Master_ventas[[#This Row],[Order Date]])</f>
        <v>2022</v>
      </c>
      <c r="M2270" t="str">
        <f>CONCATENATE(LEFT(Master_ventas[[#This Row],[ProdUpper]],3),RIGHT(Master_ventas[[#This Row],[Ext-Year]],2),"-",MID(Master_ventas[[#This Row],[Category]],1,1))</f>
        <v>TAB22-E</v>
      </c>
      <c r="N2270" t="str">
        <f>MID(Master_ventas[[#This Row],[ProdUpper]],1,3)</f>
        <v>TAB</v>
      </c>
      <c r="O2270" t="str">
        <f>UPPER(IF(Master_ventas[[#This Row],[Profit]]&gt;500,"High","Std"))</f>
        <v>HIGH</v>
      </c>
      <c r="P2270">
        <v>2269</v>
      </c>
    </row>
    <row r="2271" spans="1:16" x14ac:dyDescent="0.3">
      <c r="A2271" s="1">
        <v>45541</v>
      </c>
      <c r="B2271" t="s">
        <v>22</v>
      </c>
      <c r="C2271" t="s">
        <v>11</v>
      </c>
      <c r="D2271" t="s">
        <v>15</v>
      </c>
      <c r="E2271">
        <v>5</v>
      </c>
      <c r="F2271" s="3">
        <v>1400</v>
      </c>
      <c r="G2271" s="2">
        <v>273.39</v>
      </c>
      <c r="H2271">
        <f>Master_ventas[[#This Row],[Profit]]/Master_ventas[[#This Row],[Sales]]</f>
        <v>0.19527857142857141</v>
      </c>
      <c r="I2271">
        <f ca="1">Referencia_Hoy-Master_ventas[[#This Row],[Order Date]]</f>
        <v>782</v>
      </c>
      <c r="J2271" t="str">
        <f>UPPER(Master_ventas[[#This Row],[Product Name]])</f>
        <v>KEYBOARD</v>
      </c>
      <c r="K2271" t="str">
        <f>UPPER(Master_ventas[[#This Row],[Category]])</f>
        <v>ACCESSORIES</v>
      </c>
      <c r="L2271">
        <f>YEAR(Master_ventas[[#This Row],[Order Date]])</f>
        <v>2024</v>
      </c>
      <c r="M2271" t="str">
        <f>CONCATENATE(LEFT(Master_ventas[[#This Row],[ProdUpper]],3),RIGHT(Master_ventas[[#This Row],[Ext-Year]],2),"-",MID(Master_ventas[[#This Row],[Category]],1,1))</f>
        <v>KEY24-A</v>
      </c>
      <c r="N2271" t="str">
        <f>MID(Master_ventas[[#This Row],[ProdUpper]],1,3)</f>
        <v>KEY</v>
      </c>
      <c r="O2271" t="str">
        <f>UPPER(IF(Master_ventas[[#This Row],[Profit]]&gt;500,"High","Std"))</f>
        <v>STD</v>
      </c>
      <c r="P2271">
        <v>2270</v>
      </c>
    </row>
    <row r="2272" spans="1:16" x14ac:dyDescent="0.3">
      <c r="A2272" s="1">
        <v>44962</v>
      </c>
      <c r="B2272" t="s">
        <v>19</v>
      </c>
      <c r="C2272" t="s">
        <v>14</v>
      </c>
      <c r="D2272" t="s">
        <v>9</v>
      </c>
      <c r="E2272">
        <v>4</v>
      </c>
      <c r="F2272" s="3">
        <v>508</v>
      </c>
      <c r="G2272" s="2">
        <v>37.94</v>
      </c>
      <c r="H2272">
        <f>Master_ventas[[#This Row],[Profit]]/Master_ventas[[#This Row],[Sales]]</f>
        <v>7.468503937007874E-2</v>
      </c>
      <c r="I2272">
        <f ca="1">Referencia_Hoy-Master_ventas[[#This Row],[Order Date]]</f>
        <v>1361</v>
      </c>
      <c r="J2272" t="str">
        <f>UPPER(Master_ventas[[#This Row],[Product Name]])</f>
        <v>SMARTWATCH</v>
      </c>
      <c r="K2272" t="str">
        <f>UPPER(Master_ventas[[#This Row],[Category]])</f>
        <v>ELECTRONICS</v>
      </c>
      <c r="L2272">
        <f>YEAR(Master_ventas[[#This Row],[Order Date]])</f>
        <v>2023</v>
      </c>
      <c r="M2272" t="str">
        <f>CONCATENATE(LEFT(Master_ventas[[#This Row],[ProdUpper]],3),RIGHT(Master_ventas[[#This Row],[Ext-Year]],2),"-",MID(Master_ventas[[#This Row],[Category]],1,1))</f>
        <v>SMA23-E</v>
      </c>
      <c r="N2272" t="str">
        <f>MID(Master_ventas[[#This Row],[ProdUpper]],1,3)</f>
        <v>SMA</v>
      </c>
      <c r="O2272" t="str">
        <f>UPPER(IF(Master_ventas[[#This Row],[Profit]]&gt;500,"High","Std"))</f>
        <v>STD</v>
      </c>
      <c r="P2272">
        <v>2271</v>
      </c>
    </row>
    <row r="2273" spans="1:16" x14ac:dyDescent="0.3">
      <c r="A2273" s="1">
        <v>44820</v>
      </c>
      <c r="B2273" t="s">
        <v>13</v>
      </c>
      <c r="C2273" t="s">
        <v>14</v>
      </c>
      <c r="D2273" t="s">
        <v>12</v>
      </c>
      <c r="E2273">
        <v>7</v>
      </c>
      <c r="F2273" s="3">
        <v>2646</v>
      </c>
      <c r="G2273" s="2">
        <v>380.83</v>
      </c>
      <c r="H2273">
        <f>Master_ventas[[#This Row],[Profit]]/Master_ventas[[#This Row],[Sales]]</f>
        <v>0.14392668178382464</v>
      </c>
      <c r="I2273">
        <f ca="1">Referencia_Hoy-Master_ventas[[#This Row],[Order Date]]</f>
        <v>1503</v>
      </c>
      <c r="J2273" t="str">
        <f>UPPER(Master_ventas[[#This Row],[Product Name]])</f>
        <v>TABLET</v>
      </c>
      <c r="K2273" t="str">
        <f>UPPER(Master_ventas[[#This Row],[Category]])</f>
        <v>ELECTRONICS</v>
      </c>
      <c r="L2273">
        <f>YEAR(Master_ventas[[#This Row],[Order Date]])</f>
        <v>2022</v>
      </c>
      <c r="M2273" t="str">
        <f>CONCATENATE(LEFT(Master_ventas[[#This Row],[ProdUpper]],3),RIGHT(Master_ventas[[#This Row],[Ext-Year]],2),"-",MID(Master_ventas[[#This Row],[Category]],1,1))</f>
        <v>TAB22-E</v>
      </c>
      <c r="N2273" t="str">
        <f>MID(Master_ventas[[#This Row],[ProdUpper]],1,3)</f>
        <v>TAB</v>
      </c>
      <c r="O2273" t="str">
        <f>UPPER(IF(Master_ventas[[#This Row],[Profit]]&gt;500,"High","Std"))</f>
        <v>STD</v>
      </c>
      <c r="P2273">
        <v>2272</v>
      </c>
    </row>
    <row r="2274" spans="1:16" x14ac:dyDescent="0.3">
      <c r="A2274" s="1">
        <v>45358</v>
      </c>
      <c r="B2274" t="s">
        <v>10</v>
      </c>
      <c r="C2274" t="s">
        <v>11</v>
      </c>
      <c r="D2274" t="s">
        <v>12</v>
      </c>
      <c r="E2274">
        <v>1</v>
      </c>
      <c r="F2274" s="3">
        <v>357</v>
      </c>
      <c r="G2274" s="2">
        <v>79.86</v>
      </c>
      <c r="H2274">
        <f>Master_ventas[[#This Row],[Profit]]/Master_ventas[[#This Row],[Sales]]</f>
        <v>0.22369747899159664</v>
      </c>
      <c r="I2274">
        <f ca="1">Referencia_Hoy-Master_ventas[[#This Row],[Order Date]]</f>
        <v>965</v>
      </c>
      <c r="J2274" t="str">
        <f>UPPER(Master_ventas[[#This Row],[Product Name]])</f>
        <v>MOUSE</v>
      </c>
      <c r="K2274" t="str">
        <f>UPPER(Master_ventas[[#This Row],[Category]])</f>
        <v>ACCESSORIES</v>
      </c>
      <c r="L2274">
        <f>YEAR(Master_ventas[[#This Row],[Order Date]])</f>
        <v>2024</v>
      </c>
      <c r="M2274" t="str">
        <f>CONCATENATE(LEFT(Master_ventas[[#This Row],[ProdUpper]],3),RIGHT(Master_ventas[[#This Row],[Ext-Year]],2),"-",MID(Master_ventas[[#This Row],[Category]],1,1))</f>
        <v>MOU24-A</v>
      </c>
      <c r="N2274" t="str">
        <f>MID(Master_ventas[[#This Row],[ProdUpper]],1,3)</f>
        <v>MOU</v>
      </c>
      <c r="O2274" t="str">
        <f>UPPER(IF(Master_ventas[[#This Row],[Profit]]&gt;500,"High","Std"))</f>
        <v>STD</v>
      </c>
      <c r="P2274">
        <v>2273</v>
      </c>
    </row>
    <row r="2275" spans="1:16" x14ac:dyDescent="0.3">
      <c r="A2275" s="1">
        <v>45288</v>
      </c>
      <c r="B2275" t="s">
        <v>13</v>
      </c>
      <c r="C2275" t="s">
        <v>14</v>
      </c>
      <c r="D2275" t="s">
        <v>9</v>
      </c>
      <c r="E2275">
        <v>1</v>
      </c>
      <c r="F2275" s="3">
        <v>373</v>
      </c>
      <c r="G2275" s="2">
        <v>53.15</v>
      </c>
      <c r="H2275">
        <f>Master_ventas[[#This Row],[Profit]]/Master_ventas[[#This Row],[Sales]]</f>
        <v>0.14249329758713136</v>
      </c>
      <c r="I2275">
        <f ca="1">Referencia_Hoy-Master_ventas[[#This Row],[Order Date]]</f>
        <v>1035</v>
      </c>
      <c r="J2275" t="str">
        <f>UPPER(Master_ventas[[#This Row],[Product Name]])</f>
        <v>TABLET</v>
      </c>
      <c r="K2275" t="str">
        <f>UPPER(Master_ventas[[#This Row],[Category]])</f>
        <v>ELECTRONICS</v>
      </c>
      <c r="L2275">
        <f>YEAR(Master_ventas[[#This Row],[Order Date]])</f>
        <v>2023</v>
      </c>
      <c r="M2275" t="str">
        <f>CONCATENATE(LEFT(Master_ventas[[#This Row],[ProdUpper]],3),RIGHT(Master_ventas[[#This Row],[Ext-Year]],2),"-",MID(Master_ventas[[#This Row],[Category]],1,1))</f>
        <v>TAB23-E</v>
      </c>
      <c r="N2275" t="str">
        <f>MID(Master_ventas[[#This Row],[ProdUpper]],1,3)</f>
        <v>TAB</v>
      </c>
      <c r="O2275" t="str">
        <f>UPPER(IF(Master_ventas[[#This Row],[Profit]]&gt;500,"High","Std"))</f>
        <v>STD</v>
      </c>
      <c r="P2275">
        <v>2274</v>
      </c>
    </row>
    <row r="2276" spans="1:16" x14ac:dyDescent="0.3">
      <c r="A2276" s="1">
        <v>45009</v>
      </c>
      <c r="B2276" t="s">
        <v>21</v>
      </c>
      <c r="C2276" t="s">
        <v>14</v>
      </c>
      <c r="D2276" t="s">
        <v>12</v>
      </c>
      <c r="E2276">
        <v>1</v>
      </c>
      <c r="F2276" s="3">
        <v>266</v>
      </c>
      <c r="G2276" s="2">
        <v>55.52</v>
      </c>
      <c r="H2276">
        <f>Master_ventas[[#This Row],[Profit]]/Master_ventas[[#This Row],[Sales]]</f>
        <v>0.2087218045112782</v>
      </c>
      <c r="I2276">
        <f ca="1">Referencia_Hoy-Master_ventas[[#This Row],[Order Date]]</f>
        <v>1314</v>
      </c>
      <c r="J2276" t="str">
        <f>UPPER(Master_ventas[[#This Row],[Product Name]])</f>
        <v>SMARTPHONE</v>
      </c>
      <c r="K2276" t="str">
        <f>UPPER(Master_ventas[[#This Row],[Category]])</f>
        <v>ELECTRONICS</v>
      </c>
      <c r="L2276">
        <f>YEAR(Master_ventas[[#This Row],[Order Date]])</f>
        <v>2023</v>
      </c>
      <c r="M2276" t="str">
        <f>CONCATENATE(LEFT(Master_ventas[[#This Row],[ProdUpper]],3),RIGHT(Master_ventas[[#This Row],[Ext-Year]],2),"-",MID(Master_ventas[[#This Row],[Category]],1,1))</f>
        <v>SMA23-E</v>
      </c>
      <c r="N2276" t="str">
        <f>MID(Master_ventas[[#This Row],[ProdUpper]],1,3)</f>
        <v>SMA</v>
      </c>
      <c r="O2276" t="str">
        <f>UPPER(IF(Master_ventas[[#This Row],[Profit]]&gt;500,"High","Std"))</f>
        <v>STD</v>
      </c>
      <c r="P2276">
        <v>2275</v>
      </c>
    </row>
    <row r="2277" spans="1:16" x14ac:dyDescent="0.3">
      <c r="A2277" s="1">
        <v>45572</v>
      </c>
      <c r="B2277" t="s">
        <v>21</v>
      </c>
      <c r="C2277" t="s">
        <v>14</v>
      </c>
      <c r="D2277" t="s">
        <v>9</v>
      </c>
      <c r="E2277">
        <v>4</v>
      </c>
      <c r="F2277" s="3">
        <v>344</v>
      </c>
      <c r="G2277" s="2">
        <v>25.7</v>
      </c>
      <c r="H2277">
        <f>Master_ventas[[#This Row],[Profit]]/Master_ventas[[#This Row],[Sales]]</f>
        <v>7.4709302325581387E-2</v>
      </c>
      <c r="I2277">
        <f ca="1">Referencia_Hoy-Master_ventas[[#This Row],[Order Date]]</f>
        <v>751</v>
      </c>
      <c r="J2277" t="str">
        <f>UPPER(Master_ventas[[#This Row],[Product Name]])</f>
        <v>SMARTPHONE</v>
      </c>
      <c r="K2277" t="str">
        <f>UPPER(Master_ventas[[#This Row],[Category]])</f>
        <v>ELECTRONICS</v>
      </c>
      <c r="L2277">
        <f>YEAR(Master_ventas[[#This Row],[Order Date]])</f>
        <v>2024</v>
      </c>
      <c r="M2277" t="str">
        <f>CONCATENATE(LEFT(Master_ventas[[#This Row],[ProdUpper]],3),RIGHT(Master_ventas[[#This Row],[Ext-Year]],2),"-",MID(Master_ventas[[#This Row],[Category]],1,1))</f>
        <v>SMA24-E</v>
      </c>
      <c r="N2277" t="str">
        <f>MID(Master_ventas[[#This Row],[ProdUpper]],1,3)</f>
        <v>SMA</v>
      </c>
      <c r="O2277" t="str">
        <f>UPPER(IF(Master_ventas[[#This Row],[Profit]]&gt;500,"High","Std"))</f>
        <v>STD</v>
      </c>
      <c r="P2277">
        <v>2276</v>
      </c>
    </row>
    <row r="2278" spans="1:16" x14ac:dyDescent="0.3">
      <c r="A2278" s="1">
        <v>45460</v>
      </c>
      <c r="B2278" t="s">
        <v>21</v>
      </c>
      <c r="C2278" t="s">
        <v>14</v>
      </c>
      <c r="D2278" t="s">
        <v>9</v>
      </c>
      <c r="E2278">
        <v>7</v>
      </c>
      <c r="F2278" s="3">
        <v>1806</v>
      </c>
      <c r="G2278" s="2">
        <v>308.92</v>
      </c>
      <c r="H2278">
        <f>Master_ventas[[#This Row],[Profit]]/Master_ventas[[#This Row],[Sales]]</f>
        <v>0.17105204872646734</v>
      </c>
      <c r="I2278">
        <f ca="1">Referencia_Hoy-Master_ventas[[#This Row],[Order Date]]</f>
        <v>863</v>
      </c>
      <c r="J2278" t="str">
        <f>UPPER(Master_ventas[[#This Row],[Product Name]])</f>
        <v>SMARTPHONE</v>
      </c>
      <c r="K2278" t="str">
        <f>UPPER(Master_ventas[[#This Row],[Category]])</f>
        <v>ELECTRONICS</v>
      </c>
      <c r="L2278">
        <f>YEAR(Master_ventas[[#This Row],[Order Date]])</f>
        <v>2024</v>
      </c>
      <c r="M2278" t="str">
        <f>CONCATENATE(LEFT(Master_ventas[[#This Row],[ProdUpper]],3),RIGHT(Master_ventas[[#This Row],[Ext-Year]],2),"-",MID(Master_ventas[[#This Row],[Category]],1,1))</f>
        <v>SMA24-E</v>
      </c>
      <c r="N2278" t="str">
        <f>MID(Master_ventas[[#This Row],[ProdUpper]],1,3)</f>
        <v>SMA</v>
      </c>
      <c r="O2278" t="str">
        <f>UPPER(IF(Master_ventas[[#This Row],[Profit]]&gt;500,"High","Std"))</f>
        <v>STD</v>
      </c>
      <c r="P2278">
        <v>2277</v>
      </c>
    </row>
    <row r="2279" spans="1:16" x14ac:dyDescent="0.3">
      <c r="A2279" s="1">
        <v>44995</v>
      </c>
      <c r="B2279" t="s">
        <v>7</v>
      </c>
      <c r="C2279" t="s">
        <v>8</v>
      </c>
      <c r="D2279" t="s">
        <v>9</v>
      </c>
      <c r="E2279">
        <v>9</v>
      </c>
      <c r="F2279" s="3">
        <v>7281</v>
      </c>
      <c r="G2279" s="2">
        <v>396.28</v>
      </c>
      <c r="H2279">
        <f>Master_ventas[[#This Row],[Profit]]/Master_ventas[[#This Row],[Sales]]</f>
        <v>5.4426589754154646E-2</v>
      </c>
      <c r="I2279">
        <f ca="1">Referencia_Hoy-Master_ventas[[#This Row],[Order Date]]</f>
        <v>1328</v>
      </c>
      <c r="J2279" t="str">
        <f>UPPER(Master_ventas[[#This Row],[Product Name]])</f>
        <v>PRINTER</v>
      </c>
      <c r="K2279" t="str">
        <f>UPPER(Master_ventas[[#This Row],[Category]])</f>
        <v>OFFICE</v>
      </c>
      <c r="L2279">
        <f>YEAR(Master_ventas[[#This Row],[Order Date]])</f>
        <v>2023</v>
      </c>
      <c r="M2279" t="str">
        <f>CONCATENATE(LEFT(Master_ventas[[#This Row],[ProdUpper]],3),RIGHT(Master_ventas[[#This Row],[Ext-Year]],2),"-",MID(Master_ventas[[#This Row],[Category]],1,1))</f>
        <v>PRI23-O</v>
      </c>
      <c r="N2279" t="str">
        <f>MID(Master_ventas[[#This Row],[ProdUpper]],1,3)</f>
        <v>PRI</v>
      </c>
      <c r="O2279" t="str">
        <f>UPPER(IF(Master_ventas[[#This Row],[Profit]]&gt;500,"High","Std"))</f>
        <v>STD</v>
      </c>
      <c r="P2279">
        <v>2278</v>
      </c>
    </row>
    <row r="2280" spans="1:16" x14ac:dyDescent="0.3">
      <c r="A2280" s="1">
        <v>45471</v>
      </c>
      <c r="B2280" t="s">
        <v>19</v>
      </c>
      <c r="C2280" t="s">
        <v>14</v>
      </c>
      <c r="D2280" t="s">
        <v>16</v>
      </c>
      <c r="E2280">
        <v>7</v>
      </c>
      <c r="F2280" s="3">
        <v>3094</v>
      </c>
      <c r="G2280" s="2">
        <v>463.72</v>
      </c>
      <c r="H2280">
        <f>Master_ventas[[#This Row],[Profit]]/Master_ventas[[#This Row],[Sales]]</f>
        <v>0.14987718164188754</v>
      </c>
      <c r="I2280">
        <f ca="1">Referencia_Hoy-Master_ventas[[#This Row],[Order Date]]</f>
        <v>852</v>
      </c>
      <c r="J2280" t="str">
        <f>UPPER(Master_ventas[[#This Row],[Product Name]])</f>
        <v>SMARTWATCH</v>
      </c>
      <c r="K2280" t="str">
        <f>UPPER(Master_ventas[[#This Row],[Category]])</f>
        <v>ELECTRONICS</v>
      </c>
      <c r="L2280">
        <f>YEAR(Master_ventas[[#This Row],[Order Date]])</f>
        <v>2024</v>
      </c>
      <c r="M2280" t="str">
        <f>CONCATENATE(LEFT(Master_ventas[[#This Row],[ProdUpper]],3),RIGHT(Master_ventas[[#This Row],[Ext-Year]],2),"-",MID(Master_ventas[[#This Row],[Category]],1,1))</f>
        <v>SMA24-E</v>
      </c>
      <c r="N2280" t="str">
        <f>MID(Master_ventas[[#This Row],[ProdUpper]],1,3)</f>
        <v>SMA</v>
      </c>
      <c r="O2280" t="str">
        <f>UPPER(IF(Master_ventas[[#This Row],[Profit]]&gt;500,"High","Std"))</f>
        <v>STD</v>
      </c>
      <c r="P2280">
        <v>2279</v>
      </c>
    </row>
    <row r="2281" spans="1:16" x14ac:dyDescent="0.3">
      <c r="A2281" s="1">
        <v>45445</v>
      </c>
      <c r="B2281" t="s">
        <v>22</v>
      </c>
      <c r="C2281" t="s">
        <v>11</v>
      </c>
      <c r="D2281" t="s">
        <v>12</v>
      </c>
      <c r="E2281">
        <v>2</v>
      </c>
      <c r="F2281" s="3">
        <v>252</v>
      </c>
      <c r="G2281" s="2">
        <v>67.37</v>
      </c>
      <c r="H2281">
        <f>Master_ventas[[#This Row],[Profit]]/Master_ventas[[#This Row],[Sales]]</f>
        <v>0.26734126984126988</v>
      </c>
      <c r="I2281">
        <f ca="1">Referencia_Hoy-Master_ventas[[#This Row],[Order Date]]</f>
        <v>878</v>
      </c>
      <c r="J2281" t="str">
        <f>UPPER(Master_ventas[[#This Row],[Product Name]])</f>
        <v>KEYBOARD</v>
      </c>
      <c r="K2281" t="str">
        <f>UPPER(Master_ventas[[#This Row],[Category]])</f>
        <v>ACCESSORIES</v>
      </c>
      <c r="L2281">
        <f>YEAR(Master_ventas[[#This Row],[Order Date]])</f>
        <v>2024</v>
      </c>
      <c r="M2281" t="str">
        <f>CONCATENATE(LEFT(Master_ventas[[#This Row],[ProdUpper]],3),RIGHT(Master_ventas[[#This Row],[Ext-Year]],2),"-",MID(Master_ventas[[#This Row],[Category]],1,1))</f>
        <v>KEY24-A</v>
      </c>
      <c r="N2281" t="str">
        <f>MID(Master_ventas[[#This Row],[ProdUpper]],1,3)</f>
        <v>KEY</v>
      </c>
      <c r="O2281" t="str">
        <f>UPPER(IF(Master_ventas[[#This Row],[Profit]]&gt;500,"High","Std"))</f>
        <v>STD</v>
      </c>
      <c r="P2281">
        <v>2280</v>
      </c>
    </row>
    <row r="2282" spans="1:16" x14ac:dyDescent="0.3">
      <c r="A2282" s="1">
        <v>44678</v>
      </c>
      <c r="B2282" t="s">
        <v>17</v>
      </c>
      <c r="C2282" t="s">
        <v>14</v>
      </c>
      <c r="D2282" t="s">
        <v>12</v>
      </c>
      <c r="E2282">
        <v>9</v>
      </c>
      <c r="F2282" s="3">
        <v>2691</v>
      </c>
      <c r="G2282" s="2">
        <v>761.16</v>
      </c>
      <c r="H2282">
        <f>Master_ventas[[#This Row],[Profit]]/Master_ventas[[#This Row],[Sales]]</f>
        <v>0.28285395763656634</v>
      </c>
      <c r="I2282">
        <f ca="1">Referencia_Hoy-Master_ventas[[#This Row],[Order Date]]</f>
        <v>1645</v>
      </c>
      <c r="J2282" t="str">
        <f>UPPER(Master_ventas[[#This Row],[Product Name]])</f>
        <v>CAMERA</v>
      </c>
      <c r="K2282" t="str">
        <f>UPPER(Master_ventas[[#This Row],[Category]])</f>
        <v>ELECTRONICS</v>
      </c>
      <c r="L2282">
        <f>YEAR(Master_ventas[[#This Row],[Order Date]])</f>
        <v>2022</v>
      </c>
      <c r="M2282" t="str">
        <f>CONCATENATE(LEFT(Master_ventas[[#This Row],[ProdUpper]],3),RIGHT(Master_ventas[[#This Row],[Ext-Year]],2),"-",MID(Master_ventas[[#This Row],[Category]],1,1))</f>
        <v>CAM22-E</v>
      </c>
      <c r="N2282" t="str">
        <f>MID(Master_ventas[[#This Row],[ProdUpper]],1,3)</f>
        <v>CAM</v>
      </c>
      <c r="O2282" t="str">
        <f>UPPER(IF(Master_ventas[[#This Row],[Profit]]&gt;500,"High","Std"))</f>
        <v>HIGH</v>
      </c>
      <c r="P2282">
        <v>2281</v>
      </c>
    </row>
    <row r="2283" spans="1:16" x14ac:dyDescent="0.3">
      <c r="A2283" s="1">
        <v>45408</v>
      </c>
      <c r="B2283" t="s">
        <v>7</v>
      </c>
      <c r="C2283" t="s">
        <v>8</v>
      </c>
      <c r="D2283" t="s">
        <v>16</v>
      </c>
      <c r="E2283">
        <v>6</v>
      </c>
      <c r="F2283" s="3">
        <v>990</v>
      </c>
      <c r="G2283" s="2">
        <v>102.83</v>
      </c>
      <c r="H2283">
        <f>Master_ventas[[#This Row],[Profit]]/Master_ventas[[#This Row],[Sales]]</f>
        <v>0.10386868686868686</v>
      </c>
      <c r="I2283">
        <f ca="1">Referencia_Hoy-Master_ventas[[#This Row],[Order Date]]</f>
        <v>915</v>
      </c>
      <c r="J2283" t="str">
        <f>UPPER(Master_ventas[[#This Row],[Product Name]])</f>
        <v>PRINTER</v>
      </c>
      <c r="K2283" t="str">
        <f>UPPER(Master_ventas[[#This Row],[Category]])</f>
        <v>OFFICE</v>
      </c>
      <c r="L2283">
        <f>YEAR(Master_ventas[[#This Row],[Order Date]])</f>
        <v>2024</v>
      </c>
      <c r="M2283" t="str">
        <f>CONCATENATE(LEFT(Master_ventas[[#This Row],[ProdUpper]],3),RIGHT(Master_ventas[[#This Row],[Ext-Year]],2),"-",MID(Master_ventas[[#This Row],[Category]],1,1))</f>
        <v>PRI24-O</v>
      </c>
      <c r="N2283" t="str">
        <f>MID(Master_ventas[[#This Row],[ProdUpper]],1,3)</f>
        <v>PRI</v>
      </c>
      <c r="O2283" t="str">
        <f>UPPER(IF(Master_ventas[[#This Row],[Profit]]&gt;500,"High","Std"))</f>
        <v>STD</v>
      </c>
      <c r="P2283">
        <v>2282</v>
      </c>
    </row>
    <row r="2284" spans="1:16" x14ac:dyDescent="0.3">
      <c r="A2284" s="1">
        <v>44717</v>
      </c>
      <c r="B2284" t="s">
        <v>19</v>
      </c>
      <c r="C2284" t="s">
        <v>14</v>
      </c>
      <c r="D2284" t="s">
        <v>15</v>
      </c>
      <c r="E2284">
        <v>4</v>
      </c>
      <c r="F2284" s="3">
        <v>3236</v>
      </c>
      <c r="G2284" s="2">
        <v>655.17999999999995</v>
      </c>
      <c r="H2284">
        <f>Master_ventas[[#This Row],[Profit]]/Master_ventas[[#This Row],[Sales]]</f>
        <v>0.20246600741656365</v>
      </c>
      <c r="I2284">
        <f ca="1">Referencia_Hoy-Master_ventas[[#This Row],[Order Date]]</f>
        <v>1606</v>
      </c>
      <c r="J2284" t="str">
        <f>UPPER(Master_ventas[[#This Row],[Product Name]])</f>
        <v>SMARTWATCH</v>
      </c>
      <c r="K2284" t="str">
        <f>UPPER(Master_ventas[[#This Row],[Category]])</f>
        <v>ELECTRONICS</v>
      </c>
      <c r="L2284">
        <f>YEAR(Master_ventas[[#This Row],[Order Date]])</f>
        <v>2022</v>
      </c>
      <c r="M2284" t="str">
        <f>CONCATENATE(LEFT(Master_ventas[[#This Row],[ProdUpper]],3),RIGHT(Master_ventas[[#This Row],[Ext-Year]],2),"-",MID(Master_ventas[[#This Row],[Category]],1,1))</f>
        <v>SMA22-E</v>
      </c>
      <c r="N2284" t="str">
        <f>MID(Master_ventas[[#This Row],[ProdUpper]],1,3)</f>
        <v>SMA</v>
      </c>
      <c r="O2284" t="str">
        <f>UPPER(IF(Master_ventas[[#This Row],[Profit]]&gt;500,"High","Std"))</f>
        <v>HIGH</v>
      </c>
      <c r="P2284">
        <v>2283</v>
      </c>
    </row>
    <row r="2285" spans="1:16" x14ac:dyDescent="0.3">
      <c r="A2285" s="1">
        <v>44678</v>
      </c>
      <c r="B2285" t="s">
        <v>23</v>
      </c>
      <c r="C2285" t="s">
        <v>14</v>
      </c>
      <c r="D2285" t="s">
        <v>12</v>
      </c>
      <c r="E2285">
        <v>4</v>
      </c>
      <c r="F2285" s="3">
        <v>1076</v>
      </c>
      <c r="G2285" s="2">
        <v>124.56</v>
      </c>
      <c r="H2285">
        <f>Master_ventas[[#This Row],[Profit]]/Master_ventas[[#This Row],[Sales]]</f>
        <v>0.11576208178438661</v>
      </c>
      <c r="I2285">
        <f ca="1">Referencia_Hoy-Master_ventas[[#This Row],[Order Date]]</f>
        <v>1645</v>
      </c>
      <c r="J2285" t="str">
        <f>UPPER(Master_ventas[[#This Row],[Product Name]])</f>
        <v>LAPTOP</v>
      </c>
      <c r="K2285" t="str">
        <f>UPPER(Master_ventas[[#This Row],[Category]])</f>
        <v>ELECTRONICS</v>
      </c>
      <c r="L2285">
        <f>YEAR(Master_ventas[[#This Row],[Order Date]])</f>
        <v>2022</v>
      </c>
      <c r="M2285" t="str">
        <f>CONCATENATE(LEFT(Master_ventas[[#This Row],[ProdUpper]],3),RIGHT(Master_ventas[[#This Row],[Ext-Year]],2),"-",MID(Master_ventas[[#This Row],[Category]],1,1))</f>
        <v>LAP22-E</v>
      </c>
      <c r="N2285" t="str">
        <f>MID(Master_ventas[[#This Row],[ProdUpper]],1,3)</f>
        <v>LAP</v>
      </c>
      <c r="O2285" t="str">
        <f>UPPER(IF(Master_ventas[[#This Row],[Profit]]&gt;500,"High","Std"))</f>
        <v>STD</v>
      </c>
      <c r="P2285">
        <v>2284</v>
      </c>
    </row>
    <row r="2286" spans="1:16" x14ac:dyDescent="0.3">
      <c r="A2286" s="1">
        <v>44783</v>
      </c>
      <c r="B2286" t="s">
        <v>13</v>
      </c>
      <c r="C2286" t="s">
        <v>14</v>
      </c>
      <c r="D2286" t="s">
        <v>9</v>
      </c>
      <c r="E2286">
        <v>4</v>
      </c>
      <c r="F2286" s="3">
        <v>1428</v>
      </c>
      <c r="G2286" s="2">
        <v>160.54</v>
      </c>
      <c r="H2286">
        <f>Master_ventas[[#This Row],[Profit]]/Master_ventas[[#This Row],[Sales]]</f>
        <v>0.11242296918767507</v>
      </c>
      <c r="I2286">
        <f ca="1">Referencia_Hoy-Master_ventas[[#This Row],[Order Date]]</f>
        <v>1540</v>
      </c>
      <c r="J2286" t="str">
        <f>UPPER(Master_ventas[[#This Row],[Product Name]])</f>
        <v>TABLET</v>
      </c>
      <c r="K2286" t="str">
        <f>UPPER(Master_ventas[[#This Row],[Category]])</f>
        <v>ELECTRONICS</v>
      </c>
      <c r="L2286">
        <f>YEAR(Master_ventas[[#This Row],[Order Date]])</f>
        <v>2022</v>
      </c>
      <c r="M2286" t="str">
        <f>CONCATENATE(LEFT(Master_ventas[[#This Row],[ProdUpper]],3),RIGHT(Master_ventas[[#This Row],[Ext-Year]],2),"-",MID(Master_ventas[[#This Row],[Category]],1,1))</f>
        <v>TAB22-E</v>
      </c>
      <c r="N2286" t="str">
        <f>MID(Master_ventas[[#This Row],[ProdUpper]],1,3)</f>
        <v>TAB</v>
      </c>
      <c r="O2286" t="str">
        <f>UPPER(IF(Master_ventas[[#This Row],[Profit]]&gt;500,"High","Std"))</f>
        <v>STD</v>
      </c>
      <c r="P2286">
        <v>2285</v>
      </c>
    </row>
    <row r="2287" spans="1:16" x14ac:dyDescent="0.3">
      <c r="A2287" s="1">
        <v>44673</v>
      </c>
      <c r="B2287" t="s">
        <v>22</v>
      </c>
      <c r="C2287" t="s">
        <v>11</v>
      </c>
      <c r="D2287" t="s">
        <v>12</v>
      </c>
      <c r="E2287">
        <v>5</v>
      </c>
      <c r="F2287" s="3">
        <v>1000</v>
      </c>
      <c r="G2287" s="2">
        <v>292.04000000000002</v>
      </c>
      <c r="H2287">
        <f>Master_ventas[[#This Row],[Profit]]/Master_ventas[[#This Row],[Sales]]</f>
        <v>0.29204000000000002</v>
      </c>
      <c r="I2287">
        <f ca="1">Referencia_Hoy-Master_ventas[[#This Row],[Order Date]]</f>
        <v>1650</v>
      </c>
      <c r="J2287" t="str">
        <f>UPPER(Master_ventas[[#This Row],[Product Name]])</f>
        <v>KEYBOARD</v>
      </c>
      <c r="K2287" t="str">
        <f>UPPER(Master_ventas[[#This Row],[Category]])</f>
        <v>ACCESSORIES</v>
      </c>
      <c r="L2287">
        <f>YEAR(Master_ventas[[#This Row],[Order Date]])</f>
        <v>2022</v>
      </c>
      <c r="M2287" t="str">
        <f>CONCATENATE(LEFT(Master_ventas[[#This Row],[ProdUpper]],3),RIGHT(Master_ventas[[#This Row],[Ext-Year]],2),"-",MID(Master_ventas[[#This Row],[Category]],1,1))</f>
        <v>KEY22-A</v>
      </c>
      <c r="N2287" t="str">
        <f>MID(Master_ventas[[#This Row],[ProdUpper]],1,3)</f>
        <v>KEY</v>
      </c>
      <c r="O2287" t="str">
        <f>UPPER(IF(Master_ventas[[#This Row],[Profit]]&gt;500,"High","Std"))</f>
        <v>STD</v>
      </c>
      <c r="P2287">
        <v>2286</v>
      </c>
    </row>
    <row r="2288" spans="1:16" x14ac:dyDescent="0.3">
      <c r="A2288" s="1">
        <v>44722</v>
      </c>
      <c r="B2288" t="s">
        <v>19</v>
      </c>
      <c r="C2288" t="s">
        <v>14</v>
      </c>
      <c r="D2288" t="s">
        <v>15</v>
      </c>
      <c r="E2288">
        <v>9</v>
      </c>
      <c r="F2288" s="3">
        <v>3429</v>
      </c>
      <c r="G2288" s="2">
        <v>998.82</v>
      </c>
      <c r="H2288">
        <f>Master_ventas[[#This Row],[Profit]]/Master_ventas[[#This Row],[Sales]]</f>
        <v>0.29128608923884514</v>
      </c>
      <c r="I2288">
        <f ca="1">Referencia_Hoy-Master_ventas[[#This Row],[Order Date]]</f>
        <v>1601</v>
      </c>
      <c r="J2288" t="str">
        <f>UPPER(Master_ventas[[#This Row],[Product Name]])</f>
        <v>SMARTWATCH</v>
      </c>
      <c r="K2288" t="str">
        <f>UPPER(Master_ventas[[#This Row],[Category]])</f>
        <v>ELECTRONICS</v>
      </c>
      <c r="L2288">
        <f>YEAR(Master_ventas[[#This Row],[Order Date]])</f>
        <v>2022</v>
      </c>
      <c r="M2288" t="str">
        <f>CONCATENATE(LEFT(Master_ventas[[#This Row],[ProdUpper]],3),RIGHT(Master_ventas[[#This Row],[Ext-Year]],2),"-",MID(Master_ventas[[#This Row],[Category]],1,1))</f>
        <v>SMA22-E</v>
      </c>
      <c r="N2288" t="str">
        <f>MID(Master_ventas[[#This Row],[ProdUpper]],1,3)</f>
        <v>SMA</v>
      </c>
      <c r="O2288" t="str">
        <f>UPPER(IF(Master_ventas[[#This Row],[Profit]]&gt;500,"High","Std"))</f>
        <v>HIGH</v>
      </c>
      <c r="P2288">
        <v>2287</v>
      </c>
    </row>
    <row r="2289" spans="1:16" x14ac:dyDescent="0.3">
      <c r="A2289" s="1">
        <v>45216</v>
      </c>
      <c r="B2289" t="s">
        <v>20</v>
      </c>
      <c r="C2289" t="s">
        <v>11</v>
      </c>
      <c r="D2289" t="s">
        <v>16</v>
      </c>
      <c r="E2289">
        <v>5</v>
      </c>
      <c r="F2289" s="3">
        <v>4730</v>
      </c>
      <c r="G2289" s="2">
        <v>1416.1</v>
      </c>
      <c r="H2289">
        <f>Master_ventas[[#This Row],[Profit]]/Master_ventas[[#This Row],[Sales]]</f>
        <v>0.29938689217758985</v>
      </c>
      <c r="I2289">
        <f ca="1">Referencia_Hoy-Master_ventas[[#This Row],[Order Date]]</f>
        <v>1107</v>
      </c>
      <c r="J2289" t="str">
        <f>UPPER(Master_ventas[[#This Row],[Product Name]])</f>
        <v>MONITOR</v>
      </c>
      <c r="K2289" t="str">
        <f>UPPER(Master_ventas[[#This Row],[Category]])</f>
        <v>ACCESSORIES</v>
      </c>
      <c r="L2289">
        <f>YEAR(Master_ventas[[#This Row],[Order Date]])</f>
        <v>2023</v>
      </c>
      <c r="M2289" t="str">
        <f>CONCATENATE(LEFT(Master_ventas[[#This Row],[ProdUpper]],3),RIGHT(Master_ventas[[#This Row],[Ext-Year]],2),"-",MID(Master_ventas[[#This Row],[Category]],1,1))</f>
        <v>MON23-A</v>
      </c>
      <c r="N2289" t="str">
        <f>MID(Master_ventas[[#This Row],[ProdUpper]],1,3)</f>
        <v>MON</v>
      </c>
      <c r="O2289" t="str">
        <f>UPPER(IF(Master_ventas[[#This Row],[Profit]]&gt;500,"High","Std"))</f>
        <v>HIGH</v>
      </c>
      <c r="P2289">
        <v>2288</v>
      </c>
    </row>
    <row r="2290" spans="1:16" x14ac:dyDescent="0.3">
      <c r="A2290" s="1">
        <v>45234</v>
      </c>
      <c r="B2290" t="s">
        <v>20</v>
      </c>
      <c r="C2290" t="s">
        <v>11</v>
      </c>
      <c r="D2290" t="s">
        <v>15</v>
      </c>
      <c r="E2290">
        <v>6</v>
      </c>
      <c r="F2290" s="3">
        <v>6630</v>
      </c>
      <c r="G2290" s="2">
        <v>512.6</v>
      </c>
      <c r="H2290">
        <f>Master_ventas[[#This Row],[Profit]]/Master_ventas[[#This Row],[Sales]]</f>
        <v>7.731523378582203E-2</v>
      </c>
      <c r="I2290">
        <f ca="1">Referencia_Hoy-Master_ventas[[#This Row],[Order Date]]</f>
        <v>1089</v>
      </c>
      <c r="J2290" t="str">
        <f>UPPER(Master_ventas[[#This Row],[Product Name]])</f>
        <v>MONITOR</v>
      </c>
      <c r="K2290" t="str">
        <f>UPPER(Master_ventas[[#This Row],[Category]])</f>
        <v>ACCESSORIES</v>
      </c>
      <c r="L2290">
        <f>YEAR(Master_ventas[[#This Row],[Order Date]])</f>
        <v>2023</v>
      </c>
      <c r="M2290" t="str">
        <f>CONCATENATE(LEFT(Master_ventas[[#This Row],[ProdUpper]],3),RIGHT(Master_ventas[[#This Row],[Ext-Year]],2),"-",MID(Master_ventas[[#This Row],[Category]],1,1))</f>
        <v>MON23-A</v>
      </c>
      <c r="N2290" t="str">
        <f>MID(Master_ventas[[#This Row],[ProdUpper]],1,3)</f>
        <v>MON</v>
      </c>
      <c r="O2290" t="str">
        <f>UPPER(IF(Master_ventas[[#This Row],[Profit]]&gt;500,"High","Std"))</f>
        <v>HIGH</v>
      </c>
      <c r="P2290">
        <v>2289</v>
      </c>
    </row>
    <row r="2291" spans="1:16" x14ac:dyDescent="0.3">
      <c r="A2291" s="1">
        <v>45587</v>
      </c>
      <c r="B2291" t="s">
        <v>17</v>
      </c>
      <c r="C2291" t="s">
        <v>14</v>
      </c>
      <c r="D2291" t="s">
        <v>15</v>
      </c>
      <c r="E2291">
        <v>7</v>
      </c>
      <c r="F2291" s="3">
        <v>2296</v>
      </c>
      <c r="G2291" s="2">
        <v>138.93</v>
      </c>
      <c r="H2291">
        <f>Master_ventas[[#This Row],[Profit]]/Master_ventas[[#This Row],[Sales]]</f>
        <v>6.0509581881533103E-2</v>
      </c>
      <c r="I2291">
        <f ca="1">Referencia_Hoy-Master_ventas[[#This Row],[Order Date]]</f>
        <v>736</v>
      </c>
      <c r="J2291" t="str">
        <f>UPPER(Master_ventas[[#This Row],[Product Name]])</f>
        <v>CAMERA</v>
      </c>
      <c r="K2291" t="str">
        <f>UPPER(Master_ventas[[#This Row],[Category]])</f>
        <v>ELECTRONICS</v>
      </c>
      <c r="L2291">
        <f>YEAR(Master_ventas[[#This Row],[Order Date]])</f>
        <v>2024</v>
      </c>
      <c r="M2291" t="str">
        <f>CONCATENATE(LEFT(Master_ventas[[#This Row],[ProdUpper]],3),RIGHT(Master_ventas[[#This Row],[Ext-Year]],2),"-",MID(Master_ventas[[#This Row],[Category]],1,1))</f>
        <v>CAM24-E</v>
      </c>
      <c r="N2291" t="str">
        <f>MID(Master_ventas[[#This Row],[ProdUpper]],1,3)</f>
        <v>CAM</v>
      </c>
      <c r="O2291" t="str">
        <f>UPPER(IF(Master_ventas[[#This Row],[Profit]]&gt;500,"High","Std"))</f>
        <v>STD</v>
      </c>
      <c r="P2291">
        <v>2290</v>
      </c>
    </row>
    <row r="2292" spans="1:16" x14ac:dyDescent="0.3">
      <c r="A2292" s="1">
        <v>44941</v>
      </c>
      <c r="B2292" t="s">
        <v>20</v>
      </c>
      <c r="C2292" t="s">
        <v>11</v>
      </c>
      <c r="D2292" t="s">
        <v>12</v>
      </c>
      <c r="E2292">
        <v>7</v>
      </c>
      <c r="F2292" s="3">
        <v>7420</v>
      </c>
      <c r="G2292" s="2">
        <v>1107.31</v>
      </c>
      <c r="H2292">
        <f>Master_ventas[[#This Row],[Profit]]/Master_ventas[[#This Row],[Sales]]</f>
        <v>0.14923315363881401</v>
      </c>
      <c r="I2292">
        <f ca="1">Referencia_Hoy-Master_ventas[[#This Row],[Order Date]]</f>
        <v>1382</v>
      </c>
      <c r="J2292" t="str">
        <f>UPPER(Master_ventas[[#This Row],[Product Name]])</f>
        <v>MONITOR</v>
      </c>
      <c r="K2292" t="str">
        <f>UPPER(Master_ventas[[#This Row],[Category]])</f>
        <v>ACCESSORIES</v>
      </c>
      <c r="L2292">
        <f>YEAR(Master_ventas[[#This Row],[Order Date]])</f>
        <v>2023</v>
      </c>
      <c r="M2292" t="str">
        <f>CONCATENATE(LEFT(Master_ventas[[#This Row],[ProdUpper]],3),RIGHT(Master_ventas[[#This Row],[Ext-Year]],2),"-",MID(Master_ventas[[#This Row],[Category]],1,1))</f>
        <v>MON23-A</v>
      </c>
      <c r="N2292" t="str">
        <f>MID(Master_ventas[[#This Row],[ProdUpper]],1,3)</f>
        <v>MON</v>
      </c>
      <c r="O2292" t="str">
        <f>UPPER(IF(Master_ventas[[#This Row],[Profit]]&gt;500,"High","Std"))</f>
        <v>HIGH</v>
      </c>
      <c r="P2292">
        <v>2291</v>
      </c>
    </row>
    <row r="2293" spans="1:16" x14ac:dyDescent="0.3">
      <c r="A2293" s="1">
        <v>44674</v>
      </c>
      <c r="B2293" t="s">
        <v>7</v>
      </c>
      <c r="C2293" t="s">
        <v>8</v>
      </c>
      <c r="D2293" t="s">
        <v>15</v>
      </c>
      <c r="E2293">
        <v>7</v>
      </c>
      <c r="F2293" s="3">
        <v>2338</v>
      </c>
      <c r="G2293" s="2">
        <v>531.5</v>
      </c>
      <c r="H2293">
        <f>Master_ventas[[#This Row],[Profit]]/Master_ventas[[#This Row],[Sales]]</f>
        <v>0.22733105218135158</v>
      </c>
      <c r="I2293">
        <f ca="1">Referencia_Hoy-Master_ventas[[#This Row],[Order Date]]</f>
        <v>1649</v>
      </c>
      <c r="J2293" t="str">
        <f>UPPER(Master_ventas[[#This Row],[Product Name]])</f>
        <v>PRINTER</v>
      </c>
      <c r="K2293" t="str">
        <f>UPPER(Master_ventas[[#This Row],[Category]])</f>
        <v>OFFICE</v>
      </c>
      <c r="L2293">
        <f>YEAR(Master_ventas[[#This Row],[Order Date]])</f>
        <v>2022</v>
      </c>
      <c r="M2293" t="str">
        <f>CONCATENATE(LEFT(Master_ventas[[#This Row],[ProdUpper]],3),RIGHT(Master_ventas[[#This Row],[Ext-Year]],2),"-",MID(Master_ventas[[#This Row],[Category]],1,1))</f>
        <v>PRI22-O</v>
      </c>
      <c r="N2293" t="str">
        <f>MID(Master_ventas[[#This Row],[ProdUpper]],1,3)</f>
        <v>PRI</v>
      </c>
      <c r="O2293" t="str">
        <f>UPPER(IF(Master_ventas[[#This Row],[Profit]]&gt;500,"High","Std"))</f>
        <v>HIGH</v>
      </c>
      <c r="P2293">
        <v>2292</v>
      </c>
    </row>
    <row r="2294" spans="1:16" x14ac:dyDescent="0.3">
      <c r="A2294" s="1">
        <v>44723</v>
      </c>
      <c r="B2294" t="s">
        <v>22</v>
      </c>
      <c r="C2294" t="s">
        <v>11</v>
      </c>
      <c r="D2294" t="s">
        <v>15</v>
      </c>
      <c r="E2294">
        <v>7</v>
      </c>
      <c r="F2294" s="3">
        <v>4039</v>
      </c>
      <c r="G2294" s="2">
        <v>420.29</v>
      </c>
      <c r="H2294">
        <f>Master_ventas[[#This Row],[Profit]]/Master_ventas[[#This Row],[Sales]]</f>
        <v>0.10405793513245853</v>
      </c>
      <c r="I2294">
        <f ca="1">Referencia_Hoy-Master_ventas[[#This Row],[Order Date]]</f>
        <v>1600</v>
      </c>
      <c r="J2294" t="str">
        <f>UPPER(Master_ventas[[#This Row],[Product Name]])</f>
        <v>KEYBOARD</v>
      </c>
      <c r="K2294" t="str">
        <f>UPPER(Master_ventas[[#This Row],[Category]])</f>
        <v>ACCESSORIES</v>
      </c>
      <c r="L2294">
        <f>YEAR(Master_ventas[[#This Row],[Order Date]])</f>
        <v>2022</v>
      </c>
      <c r="M2294" t="str">
        <f>CONCATENATE(LEFT(Master_ventas[[#This Row],[ProdUpper]],3),RIGHT(Master_ventas[[#This Row],[Ext-Year]],2),"-",MID(Master_ventas[[#This Row],[Category]],1,1))</f>
        <v>KEY22-A</v>
      </c>
      <c r="N2294" t="str">
        <f>MID(Master_ventas[[#This Row],[ProdUpper]],1,3)</f>
        <v>KEY</v>
      </c>
      <c r="O2294" t="str">
        <f>UPPER(IF(Master_ventas[[#This Row],[Profit]]&gt;500,"High","Std"))</f>
        <v>STD</v>
      </c>
      <c r="P2294">
        <v>2293</v>
      </c>
    </row>
    <row r="2295" spans="1:16" x14ac:dyDescent="0.3">
      <c r="A2295" s="1">
        <v>45065</v>
      </c>
      <c r="B2295" t="s">
        <v>23</v>
      </c>
      <c r="C2295" t="s">
        <v>14</v>
      </c>
      <c r="D2295" t="s">
        <v>12</v>
      </c>
      <c r="E2295">
        <v>2</v>
      </c>
      <c r="F2295" s="3">
        <v>990</v>
      </c>
      <c r="G2295" s="2">
        <v>76.87</v>
      </c>
      <c r="H2295">
        <f>Master_ventas[[#This Row],[Profit]]/Master_ventas[[#This Row],[Sales]]</f>
        <v>7.7646464646464658E-2</v>
      </c>
      <c r="I2295">
        <f ca="1">Referencia_Hoy-Master_ventas[[#This Row],[Order Date]]</f>
        <v>1258</v>
      </c>
      <c r="J2295" t="str">
        <f>UPPER(Master_ventas[[#This Row],[Product Name]])</f>
        <v>LAPTOP</v>
      </c>
      <c r="K2295" t="str">
        <f>UPPER(Master_ventas[[#This Row],[Category]])</f>
        <v>ELECTRONICS</v>
      </c>
      <c r="L2295">
        <f>YEAR(Master_ventas[[#This Row],[Order Date]])</f>
        <v>2023</v>
      </c>
      <c r="M2295" t="str">
        <f>CONCATENATE(LEFT(Master_ventas[[#This Row],[ProdUpper]],3),RIGHT(Master_ventas[[#This Row],[Ext-Year]],2),"-",MID(Master_ventas[[#This Row],[Category]],1,1))</f>
        <v>LAP23-E</v>
      </c>
      <c r="N2295" t="str">
        <f>MID(Master_ventas[[#This Row],[ProdUpper]],1,3)</f>
        <v>LAP</v>
      </c>
      <c r="O2295" t="str">
        <f>UPPER(IF(Master_ventas[[#This Row],[Profit]]&gt;500,"High","Std"))</f>
        <v>STD</v>
      </c>
      <c r="P2295">
        <v>2294</v>
      </c>
    </row>
    <row r="2296" spans="1:16" x14ac:dyDescent="0.3">
      <c r="A2296" s="1">
        <v>45143</v>
      </c>
      <c r="B2296" t="s">
        <v>23</v>
      </c>
      <c r="C2296" t="s">
        <v>14</v>
      </c>
      <c r="D2296" t="s">
        <v>16</v>
      </c>
      <c r="E2296">
        <v>1</v>
      </c>
      <c r="F2296" s="3">
        <v>733</v>
      </c>
      <c r="G2296" s="2">
        <v>54.11</v>
      </c>
      <c r="H2296">
        <f>Master_ventas[[#This Row],[Profit]]/Master_ventas[[#This Row],[Sales]]</f>
        <v>7.3819918144611182E-2</v>
      </c>
      <c r="I2296">
        <f ca="1">Referencia_Hoy-Master_ventas[[#This Row],[Order Date]]</f>
        <v>1180</v>
      </c>
      <c r="J2296" t="str">
        <f>UPPER(Master_ventas[[#This Row],[Product Name]])</f>
        <v>LAPTOP</v>
      </c>
      <c r="K2296" t="str">
        <f>UPPER(Master_ventas[[#This Row],[Category]])</f>
        <v>ELECTRONICS</v>
      </c>
      <c r="L2296">
        <f>YEAR(Master_ventas[[#This Row],[Order Date]])</f>
        <v>2023</v>
      </c>
      <c r="M2296" t="str">
        <f>CONCATENATE(LEFT(Master_ventas[[#This Row],[ProdUpper]],3),RIGHT(Master_ventas[[#This Row],[Ext-Year]],2),"-",MID(Master_ventas[[#This Row],[Category]],1,1))</f>
        <v>LAP23-E</v>
      </c>
      <c r="N2296" t="str">
        <f>MID(Master_ventas[[#This Row],[ProdUpper]],1,3)</f>
        <v>LAP</v>
      </c>
      <c r="O2296" t="str">
        <f>UPPER(IF(Master_ventas[[#This Row],[Profit]]&gt;500,"High","Std"))</f>
        <v>STD</v>
      </c>
      <c r="P2296">
        <v>2295</v>
      </c>
    </row>
    <row r="2297" spans="1:16" x14ac:dyDescent="0.3">
      <c r="A2297" s="1">
        <v>45315</v>
      </c>
      <c r="B2297" t="s">
        <v>21</v>
      </c>
      <c r="C2297" t="s">
        <v>14</v>
      </c>
      <c r="D2297" t="s">
        <v>12</v>
      </c>
      <c r="E2297">
        <v>3</v>
      </c>
      <c r="F2297" s="3">
        <v>2421</v>
      </c>
      <c r="G2297" s="2">
        <v>334.61</v>
      </c>
      <c r="H2297">
        <f>Master_ventas[[#This Row],[Profit]]/Master_ventas[[#This Row],[Sales]]</f>
        <v>0.13821148285832302</v>
      </c>
      <c r="I2297">
        <f ca="1">Referencia_Hoy-Master_ventas[[#This Row],[Order Date]]</f>
        <v>1008</v>
      </c>
      <c r="J2297" t="str">
        <f>UPPER(Master_ventas[[#This Row],[Product Name]])</f>
        <v>SMARTPHONE</v>
      </c>
      <c r="K2297" t="str">
        <f>UPPER(Master_ventas[[#This Row],[Category]])</f>
        <v>ELECTRONICS</v>
      </c>
      <c r="L2297">
        <f>YEAR(Master_ventas[[#This Row],[Order Date]])</f>
        <v>2024</v>
      </c>
      <c r="M2297" t="str">
        <f>CONCATENATE(LEFT(Master_ventas[[#This Row],[ProdUpper]],3),RIGHT(Master_ventas[[#This Row],[Ext-Year]],2),"-",MID(Master_ventas[[#This Row],[Category]],1,1))</f>
        <v>SMA24-E</v>
      </c>
      <c r="N2297" t="str">
        <f>MID(Master_ventas[[#This Row],[ProdUpper]],1,3)</f>
        <v>SMA</v>
      </c>
      <c r="O2297" t="str">
        <f>UPPER(IF(Master_ventas[[#This Row],[Profit]]&gt;500,"High","Std"))</f>
        <v>STD</v>
      </c>
      <c r="P2297">
        <v>2296</v>
      </c>
    </row>
    <row r="2298" spans="1:16" x14ac:dyDescent="0.3">
      <c r="A2298" s="1">
        <v>45365</v>
      </c>
      <c r="B2298" t="s">
        <v>22</v>
      </c>
      <c r="C2298" t="s">
        <v>11</v>
      </c>
      <c r="D2298" t="s">
        <v>12</v>
      </c>
      <c r="E2298">
        <v>8</v>
      </c>
      <c r="F2298" s="3">
        <v>832</v>
      </c>
      <c r="G2298" s="2">
        <v>214.81</v>
      </c>
      <c r="H2298">
        <f>Master_ventas[[#This Row],[Profit]]/Master_ventas[[#This Row],[Sales]]</f>
        <v>0.25818509615384616</v>
      </c>
      <c r="I2298">
        <f ca="1">Referencia_Hoy-Master_ventas[[#This Row],[Order Date]]</f>
        <v>958</v>
      </c>
      <c r="J2298" t="str">
        <f>UPPER(Master_ventas[[#This Row],[Product Name]])</f>
        <v>KEYBOARD</v>
      </c>
      <c r="K2298" t="str">
        <f>UPPER(Master_ventas[[#This Row],[Category]])</f>
        <v>ACCESSORIES</v>
      </c>
      <c r="L2298">
        <f>YEAR(Master_ventas[[#This Row],[Order Date]])</f>
        <v>2024</v>
      </c>
      <c r="M2298" t="str">
        <f>CONCATENATE(LEFT(Master_ventas[[#This Row],[ProdUpper]],3),RIGHT(Master_ventas[[#This Row],[Ext-Year]],2),"-",MID(Master_ventas[[#This Row],[Category]],1,1))</f>
        <v>KEY24-A</v>
      </c>
      <c r="N2298" t="str">
        <f>MID(Master_ventas[[#This Row],[ProdUpper]],1,3)</f>
        <v>KEY</v>
      </c>
      <c r="O2298" t="str">
        <f>UPPER(IF(Master_ventas[[#This Row],[Profit]]&gt;500,"High","Std"))</f>
        <v>STD</v>
      </c>
      <c r="P2298">
        <v>2297</v>
      </c>
    </row>
    <row r="2299" spans="1:16" x14ac:dyDescent="0.3">
      <c r="A2299" s="1">
        <v>44694</v>
      </c>
      <c r="B2299" t="s">
        <v>19</v>
      </c>
      <c r="C2299" t="s">
        <v>14</v>
      </c>
      <c r="D2299" t="s">
        <v>12</v>
      </c>
      <c r="E2299">
        <v>1</v>
      </c>
      <c r="F2299" s="3">
        <v>483</v>
      </c>
      <c r="G2299" s="2">
        <v>98.15</v>
      </c>
      <c r="H2299">
        <f>Master_ventas[[#This Row],[Profit]]/Master_ventas[[#This Row],[Sales]]</f>
        <v>0.20320910973084888</v>
      </c>
      <c r="I2299">
        <f ca="1">Referencia_Hoy-Master_ventas[[#This Row],[Order Date]]</f>
        <v>1629</v>
      </c>
      <c r="J2299" t="str">
        <f>UPPER(Master_ventas[[#This Row],[Product Name]])</f>
        <v>SMARTWATCH</v>
      </c>
      <c r="K2299" t="str">
        <f>UPPER(Master_ventas[[#This Row],[Category]])</f>
        <v>ELECTRONICS</v>
      </c>
      <c r="L2299">
        <f>YEAR(Master_ventas[[#This Row],[Order Date]])</f>
        <v>2022</v>
      </c>
      <c r="M2299" t="str">
        <f>CONCATENATE(LEFT(Master_ventas[[#This Row],[ProdUpper]],3),RIGHT(Master_ventas[[#This Row],[Ext-Year]],2),"-",MID(Master_ventas[[#This Row],[Category]],1,1))</f>
        <v>SMA22-E</v>
      </c>
      <c r="N2299" t="str">
        <f>MID(Master_ventas[[#This Row],[ProdUpper]],1,3)</f>
        <v>SMA</v>
      </c>
      <c r="O2299" t="str">
        <f>UPPER(IF(Master_ventas[[#This Row],[Profit]]&gt;500,"High","Std"))</f>
        <v>STD</v>
      </c>
      <c r="P2299">
        <v>2298</v>
      </c>
    </row>
    <row r="2300" spans="1:16" x14ac:dyDescent="0.3">
      <c r="A2300" s="1">
        <v>44984</v>
      </c>
      <c r="B2300" t="s">
        <v>22</v>
      </c>
      <c r="C2300" t="s">
        <v>11</v>
      </c>
      <c r="D2300" t="s">
        <v>9</v>
      </c>
      <c r="E2300">
        <v>6</v>
      </c>
      <c r="F2300" s="3">
        <v>2508</v>
      </c>
      <c r="G2300" s="2">
        <v>480.48</v>
      </c>
      <c r="H2300">
        <f>Master_ventas[[#This Row],[Profit]]/Master_ventas[[#This Row],[Sales]]</f>
        <v>0.19157894736842107</v>
      </c>
      <c r="I2300">
        <f ca="1">Referencia_Hoy-Master_ventas[[#This Row],[Order Date]]</f>
        <v>1339</v>
      </c>
      <c r="J2300" t="str">
        <f>UPPER(Master_ventas[[#This Row],[Product Name]])</f>
        <v>KEYBOARD</v>
      </c>
      <c r="K2300" t="str">
        <f>UPPER(Master_ventas[[#This Row],[Category]])</f>
        <v>ACCESSORIES</v>
      </c>
      <c r="L2300">
        <f>YEAR(Master_ventas[[#This Row],[Order Date]])</f>
        <v>2023</v>
      </c>
      <c r="M2300" t="str">
        <f>CONCATENATE(LEFT(Master_ventas[[#This Row],[ProdUpper]],3),RIGHT(Master_ventas[[#This Row],[Ext-Year]],2),"-",MID(Master_ventas[[#This Row],[Category]],1,1))</f>
        <v>KEY23-A</v>
      </c>
      <c r="N2300" t="str">
        <f>MID(Master_ventas[[#This Row],[ProdUpper]],1,3)</f>
        <v>KEY</v>
      </c>
      <c r="O2300" t="str">
        <f>UPPER(IF(Master_ventas[[#This Row],[Profit]]&gt;500,"High","Std"))</f>
        <v>STD</v>
      </c>
      <c r="P2300">
        <v>2299</v>
      </c>
    </row>
    <row r="2301" spans="1:16" x14ac:dyDescent="0.3">
      <c r="A2301" s="1">
        <v>45200</v>
      </c>
      <c r="B2301" t="s">
        <v>22</v>
      </c>
      <c r="C2301" t="s">
        <v>11</v>
      </c>
      <c r="D2301" t="s">
        <v>9</v>
      </c>
      <c r="E2301">
        <v>7</v>
      </c>
      <c r="F2301" s="3">
        <v>4032</v>
      </c>
      <c r="G2301" s="2">
        <v>426.13</v>
      </c>
      <c r="H2301">
        <f>Master_ventas[[#This Row],[Profit]]/Master_ventas[[#This Row],[Sales]]</f>
        <v>0.10568700396825396</v>
      </c>
      <c r="I2301">
        <f ca="1">Referencia_Hoy-Master_ventas[[#This Row],[Order Date]]</f>
        <v>1123</v>
      </c>
      <c r="J2301" t="str">
        <f>UPPER(Master_ventas[[#This Row],[Product Name]])</f>
        <v>KEYBOARD</v>
      </c>
      <c r="K2301" t="str">
        <f>UPPER(Master_ventas[[#This Row],[Category]])</f>
        <v>ACCESSORIES</v>
      </c>
      <c r="L2301">
        <f>YEAR(Master_ventas[[#This Row],[Order Date]])</f>
        <v>2023</v>
      </c>
      <c r="M2301" t="str">
        <f>CONCATENATE(LEFT(Master_ventas[[#This Row],[ProdUpper]],3),RIGHT(Master_ventas[[#This Row],[Ext-Year]],2),"-",MID(Master_ventas[[#This Row],[Category]],1,1))</f>
        <v>KEY23-A</v>
      </c>
      <c r="N2301" t="str">
        <f>MID(Master_ventas[[#This Row],[ProdUpper]],1,3)</f>
        <v>KEY</v>
      </c>
      <c r="O2301" t="str">
        <f>UPPER(IF(Master_ventas[[#This Row],[Profit]]&gt;500,"High","Std"))</f>
        <v>STD</v>
      </c>
      <c r="P2301">
        <v>2300</v>
      </c>
    </row>
    <row r="2302" spans="1:16" x14ac:dyDescent="0.3">
      <c r="A2302" s="1">
        <v>44666</v>
      </c>
      <c r="B2302" t="s">
        <v>22</v>
      </c>
      <c r="C2302" t="s">
        <v>11</v>
      </c>
      <c r="D2302" t="s">
        <v>12</v>
      </c>
      <c r="E2302">
        <v>8</v>
      </c>
      <c r="F2302" s="3">
        <v>3208</v>
      </c>
      <c r="G2302" s="2">
        <v>840.97</v>
      </c>
      <c r="H2302">
        <f>Master_ventas[[#This Row],[Profit]]/Master_ventas[[#This Row],[Sales]]</f>
        <v>0.26214775561097259</v>
      </c>
      <c r="I2302">
        <f ca="1">Referencia_Hoy-Master_ventas[[#This Row],[Order Date]]</f>
        <v>1657</v>
      </c>
      <c r="J2302" t="str">
        <f>UPPER(Master_ventas[[#This Row],[Product Name]])</f>
        <v>KEYBOARD</v>
      </c>
      <c r="K2302" t="str">
        <f>UPPER(Master_ventas[[#This Row],[Category]])</f>
        <v>ACCESSORIES</v>
      </c>
      <c r="L2302">
        <f>YEAR(Master_ventas[[#This Row],[Order Date]])</f>
        <v>2022</v>
      </c>
      <c r="M2302" t="str">
        <f>CONCATENATE(LEFT(Master_ventas[[#This Row],[ProdUpper]],3),RIGHT(Master_ventas[[#This Row],[Ext-Year]],2),"-",MID(Master_ventas[[#This Row],[Category]],1,1))</f>
        <v>KEY22-A</v>
      </c>
      <c r="N2302" t="str">
        <f>MID(Master_ventas[[#This Row],[ProdUpper]],1,3)</f>
        <v>KEY</v>
      </c>
      <c r="O2302" t="str">
        <f>UPPER(IF(Master_ventas[[#This Row],[Profit]]&gt;500,"High","Std"))</f>
        <v>HIGH</v>
      </c>
      <c r="P2302">
        <v>2301</v>
      </c>
    </row>
    <row r="2303" spans="1:16" x14ac:dyDescent="0.3">
      <c r="A2303" s="1">
        <v>45422</v>
      </c>
      <c r="B2303" t="s">
        <v>19</v>
      </c>
      <c r="C2303" t="s">
        <v>14</v>
      </c>
      <c r="D2303" t="s">
        <v>15</v>
      </c>
      <c r="E2303">
        <v>6</v>
      </c>
      <c r="F2303" s="3">
        <v>3402</v>
      </c>
      <c r="G2303" s="2">
        <v>857.61</v>
      </c>
      <c r="H2303">
        <f>Master_ventas[[#This Row],[Profit]]/Master_ventas[[#This Row],[Sales]]</f>
        <v>0.25208994708994709</v>
      </c>
      <c r="I2303">
        <f ca="1">Referencia_Hoy-Master_ventas[[#This Row],[Order Date]]</f>
        <v>901</v>
      </c>
      <c r="J2303" t="str">
        <f>UPPER(Master_ventas[[#This Row],[Product Name]])</f>
        <v>SMARTWATCH</v>
      </c>
      <c r="K2303" t="str">
        <f>UPPER(Master_ventas[[#This Row],[Category]])</f>
        <v>ELECTRONICS</v>
      </c>
      <c r="L2303">
        <f>YEAR(Master_ventas[[#This Row],[Order Date]])</f>
        <v>2024</v>
      </c>
      <c r="M2303" t="str">
        <f>CONCATENATE(LEFT(Master_ventas[[#This Row],[ProdUpper]],3),RIGHT(Master_ventas[[#This Row],[Ext-Year]],2),"-",MID(Master_ventas[[#This Row],[Category]],1,1))</f>
        <v>SMA24-E</v>
      </c>
      <c r="N2303" t="str">
        <f>MID(Master_ventas[[#This Row],[ProdUpper]],1,3)</f>
        <v>SMA</v>
      </c>
      <c r="O2303" t="str">
        <f>UPPER(IF(Master_ventas[[#This Row],[Profit]]&gt;500,"High","Std"))</f>
        <v>HIGH</v>
      </c>
      <c r="P2303">
        <v>2302</v>
      </c>
    </row>
    <row r="2304" spans="1:16" x14ac:dyDescent="0.3">
      <c r="A2304" s="1">
        <v>45632</v>
      </c>
      <c r="B2304" t="s">
        <v>18</v>
      </c>
      <c r="C2304" t="s">
        <v>11</v>
      </c>
      <c r="D2304" t="s">
        <v>9</v>
      </c>
      <c r="E2304">
        <v>1</v>
      </c>
      <c r="F2304" s="3">
        <v>541</v>
      </c>
      <c r="G2304" s="2">
        <v>52.5</v>
      </c>
      <c r="H2304">
        <f>Master_ventas[[#This Row],[Profit]]/Master_ventas[[#This Row],[Sales]]</f>
        <v>9.7042513863216259E-2</v>
      </c>
      <c r="I2304">
        <f ca="1">Referencia_Hoy-Master_ventas[[#This Row],[Order Date]]</f>
        <v>691</v>
      </c>
      <c r="J2304" t="str">
        <f>UPPER(Master_ventas[[#This Row],[Product Name]])</f>
        <v>HEADPHONES</v>
      </c>
      <c r="K2304" t="str">
        <f>UPPER(Master_ventas[[#This Row],[Category]])</f>
        <v>ACCESSORIES</v>
      </c>
      <c r="L2304">
        <f>YEAR(Master_ventas[[#This Row],[Order Date]])</f>
        <v>2024</v>
      </c>
      <c r="M2304" t="str">
        <f>CONCATENATE(LEFT(Master_ventas[[#This Row],[ProdUpper]],3),RIGHT(Master_ventas[[#This Row],[Ext-Year]],2),"-",MID(Master_ventas[[#This Row],[Category]],1,1))</f>
        <v>HEA24-A</v>
      </c>
      <c r="N2304" t="str">
        <f>MID(Master_ventas[[#This Row],[ProdUpper]],1,3)</f>
        <v>HEA</v>
      </c>
      <c r="O2304" t="str">
        <f>UPPER(IF(Master_ventas[[#This Row],[Profit]]&gt;500,"High","Std"))</f>
        <v>STD</v>
      </c>
      <c r="P2304">
        <v>2303</v>
      </c>
    </row>
    <row r="2305" spans="1:16" x14ac:dyDescent="0.3">
      <c r="A2305" s="1">
        <v>44600</v>
      </c>
      <c r="B2305" t="s">
        <v>19</v>
      </c>
      <c r="C2305" t="s">
        <v>14</v>
      </c>
      <c r="D2305" t="s">
        <v>16</v>
      </c>
      <c r="E2305">
        <v>7</v>
      </c>
      <c r="F2305" s="3">
        <v>1806</v>
      </c>
      <c r="G2305" s="2">
        <v>129.6</v>
      </c>
      <c r="H2305">
        <f>Master_ventas[[#This Row],[Profit]]/Master_ventas[[#This Row],[Sales]]</f>
        <v>7.1760797342192692E-2</v>
      </c>
      <c r="I2305">
        <f ca="1">Referencia_Hoy-Master_ventas[[#This Row],[Order Date]]</f>
        <v>1723</v>
      </c>
      <c r="J2305" t="str">
        <f>UPPER(Master_ventas[[#This Row],[Product Name]])</f>
        <v>SMARTWATCH</v>
      </c>
      <c r="K2305" t="str">
        <f>UPPER(Master_ventas[[#This Row],[Category]])</f>
        <v>ELECTRONICS</v>
      </c>
      <c r="L2305">
        <f>YEAR(Master_ventas[[#This Row],[Order Date]])</f>
        <v>2022</v>
      </c>
      <c r="M2305" t="str">
        <f>CONCATENATE(LEFT(Master_ventas[[#This Row],[ProdUpper]],3),RIGHT(Master_ventas[[#This Row],[Ext-Year]],2),"-",MID(Master_ventas[[#This Row],[Category]],1,1))</f>
        <v>SMA22-E</v>
      </c>
      <c r="N2305" t="str">
        <f>MID(Master_ventas[[#This Row],[ProdUpper]],1,3)</f>
        <v>SMA</v>
      </c>
      <c r="O2305" t="str">
        <f>UPPER(IF(Master_ventas[[#This Row],[Profit]]&gt;500,"High","Std"))</f>
        <v>STD</v>
      </c>
      <c r="P2305">
        <v>2304</v>
      </c>
    </row>
    <row r="2306" spans="1:16" x14ac:dyDescent="0.3">
      <c r="A2306" s="1">
        <v>45507</v>
      </c>
      <c r="B2306" t="s">
        <v>18</v>
      </c>
      <c r="C2306" t="s">
        <v>11</v>
      </c>
      <c r="D2306" t="s">
        <v>15</v>
      </c>
      <c r="E2306">
        <v>3</v>
      </c>
      <c r="F2306" s="3">
        <v>2433</v>
      </c>
      <c r="G2306" s="2">
        <v>515.28</v>
      </c>
      <c r="H2306">
        <f>Master_ventas[[#This Row],[Profit]]/Master_ventas[[#This Row],[Sales]]</f>
        <v>0.21178791615289766</v>
      </c>
      <c r="I2306">
        <f ca="1">Referencia_Hoy-Master_ventas[[#This Row],[Order Date]]</f>
        <v>816</v>
      </c>
      <c r="J2306" t="str">
        <f>UPPER(Master_ventas[[#This Row],[Product Name]])</f>
        <v>HEADPHONES</v>
      </c>
      <c r="K2306" t="str">
        <f>UPPER(Master_ventas[[#This Row],[Category]])</f>
        <v>ACCESSORIES</v>
      </c>
      <c r="L2306">
        <f>YEAR(Master_ventas[[#This Row],[Order Date]])</f>
        <v>2024</v>
      </c>
      <c r="M2306" t="str">
        <f>CONCATENATE(LEFT(Master_ventas[[#This Row],[ProdUpper]],3),RIGHT(Master_ventas[[#This Row],[Ext-Year]],2),"-",MID(Master_ventas[[#This Row],[Category]],1,1))</f>
        <v>HEA24-A</v>
      </c>
      <c r="N2306" t="str">
        <f>MID(Master_ventas[[#This Row],[ProdUpper]],1,3)</f>
        <v>HEA</v>
      </c>
      <c r="O2306" t="str">
        <f>UPPER(IF(Master_ventas[[#This Row],[Profit]]&gt;500,"High","Std"))</f>
        <v>HIGH</v>
      </c>
      <c r="P2306">
        <v>2305</v>
      </c>
    </row>
    <row r="2307" spans="1:16" x14ac:dyDescent="0.3">
      <c r="A2307" s="1">
        <v>45240</v>
      </c>
      <c r="B2307" t="s">
        <v>22</v>
      </c>
      <c r="C2307" t="s">
        <v>11</v>
      </c>
      <c r="D2307" t="s">
        <v>12</v>
      </c>
      <c r="E2307">
        <v>6</v>
      </c>
      <c r="F2307" s="3">
        <v>5880</v>
      </c>
      <c r="G2307" s="2">
        <v>454.19</v>
      </c>
      <c r="H2307">
        <f>Master_ventas[[#This Row],[Profit]]/Master_ventas[[#This Row],[Sales]]</f>
        <v>7.724319727891156E-2</v>
      </c>
      <c r="I2307">
        <f ca="1">Referencia_Hoy-Master_ventas[[#This Row],[Order Date]]</f>
        <v>1083</v>
      </c>
      <c r="J2307" t="str">
        <f>UPPER(Master_ventas[[#This Row],[Product Name]])</f>
        <v>KEYBOARD</v>
      </c>
      <c r="K2307" t="str">
        <f>UPPER(Master_ventas[[#This Row],[Category]])</f>
        <v>ACCESSORIES</v>
      </c>
      <c r="L2307">
        <f>YEAR(Master_ventas[[#This Row],[Order Date]])</f>
        <v>2023</v>
      </c>
      <c r="M2307" t="str">
        <f>CONCATENATE(LEFT(Master_ventas[[#This Row],[ProdUpper]],3),RIGHT(Master_ventas[[#This Row],[Ext-Year]],2),"-",MID(Master_ventas[[#This Row],[Category]],1,1))</f>
        <v>KEY23-A</v>
      </c>
      <c r="N2307" t="str">
        <f>MID(Master_ventas[[#This Row],[ProdUpper]],1,3)</f>
        <v>KEY</v>
      </c>
      <c r="O2307" t="str">
        <f>UPPER(IF(Master_ventas[[#This Row],[Profit]]&gt;500,"High","Std"))</f>
        <v>STD</v>
      </c>
      <c r="P2307">
        <v>2306</v>
      </c>
    </row>
    <row r="2308" spans="1:16" x14ac:dyDescent="0.3">
      <c r="A2308" s="1">
        <v>45070</v>
      </c>
      <c r="B2308" t="s">
        <v>10</v>
      </c>
      <c r="C2308" t="s">
        <v>11</v>
      </c>
      <c r="D2308" t="s">
        <v>16</v>
      </c>
      <c r="E2308">
        <v>3</v>
      </c>
      <c r="F2308" s="3">
        <v>3375</v>
      </c>
      <c r="G2308" s="2">
        <v>451.5</v>
      </c>
      <c r="H2308">
        <f>Master_ventas[[#This Row],[Profit]]/Master_ventas[[#This Row],[Sales]]</f>
        <v>0.13377777777777777</v>
      </c>
      <c r="I2308">
        <f ca="1">Referencia_Hoy-Master_ventas[[#This Row],[Order Date]]</f>
        <v>1253</v>
      </c>
      <c r="J2308" t="str">
        <f>UPPER(Master_ventas[[#This Row],[Product Name]])</f>
        <v>MOUSE</v>
      </c>
      <c r="K2308" t="str">
        <f>UPPER(Master_ventas[[#This Row],[Category]])</f>
        <v>ACCESSORIES</v>
      </c>
      <c r="L2308">
        <f>YEAR(Master_ventas[[#This Row],[Order Date]])</f>
        <v>2023</v>
      </c>
      <c r="M2308" t="str">
        <f>CONCATENATE(LEFT(Master_ventas[[#This Row],[ProdUpper]],3),RIGHT(Master_ventas[[#This Row],[Ext-Year]],2),"-",MID(Master_ventas[[#This Row],[Category]],1,1))</f>
        <v>MOU23-A</v>
      </c>
      <c r="N2308" t="str">
        <f>MID(Master_ventas[[#This Row],[ProdUpper]],1,3)</f>
        <v>MOU</v>
      </c>
      <c r="O2308" t="str">
        <f>UPPER(IF(Master_ventas[[#This Row],[Profit]]&gt;500,"High","Std"))</f>
        <v>STD</v>
      </c>
      <c r="P2308">
        <v>2307</v>
      </c>
    </row>
    <row r="2309" spans="1:16" x14ac:dyDescent="0.3">
      <c r="A2309" s="1">
        <v>45442</v>
      </c>
      <c r="B2309" t="s">
        <v>13</v>
      </c>
      <c r="C2309" t="s">
        <v>14</v>
      </c>
      <c r="D2309" t="s">
        <v>9</v>
      </c>
      <c r="E2309">
        <v>8</v>
      </c>
      <c r="F2309" s="3">
        <v>6960</v>
      </c>
      <c r="G2309" s="2">
        <v>1913.58</v>
      </c>
      <c r="H2309">
        <f>Master_ventas[[#This Row],[Profit]]/Master_ventas[[#This Row],[Sales]]</f>
        <v>0.27493965517241375</v>
      </c>
      <c r="I2309">
        <f ca="1">Referencia_Hoy-Master_ventas[[#This Row],[Order Date]]</f>
        <v>881</v>
      </c>
      <c r="J2309" t="str">
        <f>UPPER(Master_ventas[[#This Row],[Product Name]])</f>
        <v>TABLET</v>
      </c>
      <c r="K2309" t="str">
        <f>UPPER(Master_ventas[[#This Row],[Category]])</f>
        <v>ELECTRONICS</v>
      </c>
      <c r="L2309">
        <f>YEAR(Master_ventas[[#This Row],[Order Date]])</f>
        <v>2024</v>
      </c>
      <c r="M2309" t="str">
        <f>CONCATENATE(LEFT(Master_ventas[[#This Row],[ProdUpper]],3),RIGHT(Master_ventas[[#This Row],[Ext-Year]],2),"-",MID(Master_ventas[[#This Row],[Category]],1,1))</f>
        <v>TAB24-E</v>
      </c>
      <c r="N2309" t="str">
        <f>MID(Master_ventas[[#This Row],[ProdUpper]],1,3)</f>
        <v>TAB</v>
      </c>
      <c r="O2309" t="str">
        <f>UPPER(IF(Master_ventas[[#This Row],[Profit]]&gt;500,"High","Std"))</f>
        <v>HIGH</v>
      </c>
      <c r="P2309">
        <v>2308</v>
      </c>
    </row>
    <row r="2310" spans="1:16" x14ac:dyDescent="0.3">
      <c r="A2310" s="1">
        <v>45510</v>
      </c>
      <c r="B2310" t="s">
        <v>22</v>
      </c>
      <c r="C2310" t="s">
        <v>11</v>
      </c>
      <c r="D2310" t="s">
        <v>16</v>
      </c>
      <c r="E2310">
        <v>4</v>
      </c>
      <c r="F2310" s="3">
        <v>316</v>
      </c>
      <c r="G2310" s="2">
        <v>32.79</v>
      </c>
      <c r="H2310">
        <f>Master_ventas[[#This Row],[Profit]]/Master_ventas[[#This Row],[Sales]]</f>
        <v>0.10376582278481013</v>
      </c>
      <c r="I2310">
        <f ca="1">Referencia_Hoy-Master_ventas[[#This Row],[Order Date]]</f>
        <v>813</v>
      </c>
      <c r="J2310" t="str">
        <f>UPPER(Master_ventas[[#This Row],[Product Name]])</f>
        <v>KEYBOARD</v>
      </c>
      <c r="K2310" t="str">
        <f>UPPER(Master_ventas[[#This Row],[Category]])</f>
        <v>ACCESSORIES</v>
      </c>
      <c r="L2310">
        <f>YEAR(Master_ventas[[#This Row],[Order Date]])</f>
        <v>2024</v>
      </c>
      <c r="M2310" t="str">
        <f>CONCATENATE(LEFT(Master_ventas[[#This Row],[ProdUpper]],3),RIGHT(Master_ventas[[#This Row],[Ext-Year]],2),"-",MID(Master_ventas[[#This Row],[Category]],1,1))</f>
        <v>KEY24-A</v>
      </c>
      <c r="N2310" t="str">
        <f>MID(Master_ventas[[#This Row],[ProdUpper]],1,3)</f>
        <v>KEY</v>
      </c>
      <c r="O2310" t="str">
        <f>UPPER(IF(Master_ventas[[#This Row],[Profit]]&gt;500,"High","Std"))</f>
        <v>STD</v>
      </c>
      <c r="P2310">
        <v>2309</v>
      </c>
    </row>
    <row r="2311" spans="1:16" x14ac:dyDescent="0.3">
      <c r="A2311" s="1">
        <v>44844</v>
      </c>
      <c r="B2311" t="s">
        <v>13</v>
      </c>
      <c r="C2311" t="s">
        <v>14</v>
      </c>
      <c r="D2311" t="s">
        <v>9</v>
      </c>
      <c r="E2311">
        <v>9</v>
      </c>
      <c r="F2311" s="3">
        <v>1404</v>
      </c>
      <c r="G2311" s="2">
        <v>89.43</v>
      </c>
      <c r="H2311">
        <f>Master_ventas[[#This Row],[Profit]]/Master_ventas[[#This Row],[Sales]]</f>
        <v>6.3696581196581198E-2</v>
      </c>
      <c r="I2311">
        <f ca="1">Referencia_Hoy-Master_ventas[[#This Row],[Order Date]]</f>
        <v>1479</v>
      </c>
      <c r="J2311" t="str">
        <f>UPPER(Master_ventas[[#This Row],[Product Name]])</f>
        <v>TABLET</v>
      </c>
      <c r="K2311" t="str">
        <f>UPPER(Master_ventas[[#This Row],[Category]])</f>
        <v>ELECTRONICS</v>
      </c>
      <c r="L2311">
        <f>YEAR(Master_ventas[[#This Row],[Order Date]])</f>
        <v>2022</v>
      </c>
      <c r="M2311" t="str">
        <f>CONCATENATE(LEFT(Master_ventas[[#This Row],[ProdUpper]],3),RIGHT(Master_ventas[[#This Row],[Ext-Year]],2),"-",MID(Master_ventas[[#This Row],[Category]],1,1))</f>
        <v>TAB22-E</v>
      </c>
      <c r="N2311" t="str">
        <f>MID(Master_ventas[[#This Row],[ProdUpper]],1,3)</f>
        <v>TAB</v>
      </c>
      <c r="O2311" t="str">
        <f>UPPER(IF(Master_ventas[[#This Row],[Profit]]&gt;500,"High","Std"))</f>
        <v>STD</v>
      </c>
      <c r="P2311">
        <v>2310</v>
      </c>
    </row>
    <row r="2312" spans="1:16" x14ac:dyDescent="0.3">
      <c r="A2312" s="1">
        <v>45359</v>
      </c>
      <c r="B2312" t="s">
        <v>22</v>
      </c>
      <c r="C2312" t="s">
        <v>11</v>
      </c>
      <c r="D2312" t="s">
        <v>9</v>
      </c>
      <c r="E2312">
        <v>9</v>
      </c>
      <c r="F2312" s="3">
        <v>5823</v>
      </c>
      <c r="G2312" s="2">
        <v>478.22</v>
      </c>
      <c r="H2312">
        <f>Master_ventas[[#This Row],[Profit]]/Master_ventas[[#This Row],[Sales]]</f>
        <v>8.2126051863300714E-2</v>
      </c>
      <c r="I2312">
        <f ca="1">Referencia_Hoy-Master_ventas[[#This Row],[Order Date]]</f>
        <v>964</v>
      </c>
      <c r="J2312" t="str">
        <f>UPPER(Master_ventas[[#This Row],[Product Name]])</f>
        <v>KEYBOARD</v>
      </c>
      <c r="K2312" t="str">
        <f>UPPER(Master_ventas[[#This Row],[Category]])</f>
        <v>ACCESSORIES</v>
      </c>
      <c r="L2312">
        <f>YEAR(Master_ventas[[#This Row],[Order Date]])</f>
        <v>2024</v>
      </c>
      <c r="M2312" t="str">
        <f>CONCATENATE(LEFT(Master_ventas[[#This Row],[ProdUpper]],3),RIGHT(Master_ventas[[#This Row],[Ext-Year]],2),"-",MID(Master_ventas[[#This Row],[Category]],1,1))</f>
        <v>KEY24-A</v>
      </c>
      <c r="N2312" t="str">
        <f>MID(Master_ventas[[#This Row],[ProdUpper]],1,3)</f>
        <v>KEY</v>
      </c>
      <c r="O2312" t="str">
        <f>UPPER(IF(Master_ventas[[#This Row],[Profit]]&gt;500,"High","Std"))</f>
        <v>STD</v>
      </c>
      <c r="P2312">
        <v>2311</v>
      </c>
    </row>
    <row r="2313" spans="1:16" x14ac:dyDescent="0.3">
      <c r="A2313" s="1">
        <v>45428</v>
      </c>
      <c r="B2313" t="s">
        <v>18</v>
      </c>
      <c r="C2313" t="s">
        <v>11</v>
      </c>
      <c r="D2313" t="s">
        <v>15</v>
      </c>
      <c r="E2313">
        <v>6</v>
      </c>
      <c r="F2313" s="3">
        <v>2790</v>
      </c>
      <c r="G2313" s="2">
        <v>719.15</v>
      </c>
      <c r="H2313">
        <f>Master_ventas[[#This Row],[Profit]]/Master_ventas[[#This Row],[Sales]]</f>
        <v>0.25775985663082435</v>
      </c>
      <c r="I2313">
        <f ca="1">Referencia_Hoy-Master_ventas[[#This Row],[Order Date]]</f>
        <v>895</v>
      </c>
      <c r="J2313" t="str">
        <f>UPPER(Master_ventas[[#This Row],[Product Name]])</f>
        <v>HEADPHONES</v>
      </c>
      <c r="K2313" t="str">
        <f>UPPER(Master_ventas[[#This Row],[Category]])</f>
        <v>ACCESSORIES</v>
      </c>
      <c r="L2313">
        <f>YEAR(Master_ventas[[#This Row],[Order Date]])</f>
        <v>2024</v>
      </c>
      <c r="M2313" t="str">
        <f>CONCATENATE(LEFT(Master_ventas[[#This Row],[ProdUpper]],3),RIGHT(Master_ventas[[#This Row],[Ext-Year]],2),"-",MID(Master_ventas[[#This Row],[Category]],1,1))</f>
        <v>HEA24-A</v>
      </c>
      <c r="N2313" t="str">
        <f>MID(Master_ventas[[#This Row],[ProdUpper]],1,3)</f>
        <v>HEA</v>
      </c>
      <c r="O2313" t="str">
        <f>UPPER(IF(Master_ventas[[#This Row],[Profit]]&gt;500,"High","Std"))</f>
        <v>HIGH</v>
      </c>
      <c r="P2313">
        <v>2312</v>
      </c>
    </row>
    <row r="2314" spans="1:16" x14ac:dyDescent="0.3">
      <c r="A2314" s="1">
        <v>45443</v>
      </c>
      <c r="B2314" t="s">
        <v>13</v>
      </c>
      <c r="C2314" t="s">
        <v>14</v>
      </c>
      <c r="D2314" t="s">
        <v>16</v>
      </c>
      <c r="E2314">
        <v>7</v>
      </c>
      <c r="F2314" s="3">
        <v>1169</v>
      </c>
      <c r="G2314" s="2">
        <v>69.41</v>
      </c>
      <c r="H2314">
        <f>Master_ventas[[#This Row],[Profit]]/Master_ventas[[#This Row],[Sales]]</f>
        <v>5.9375534644995717E-2</v>
      </c>
      <c r="I2314">
        <f ca="1">Referencia_Hoy-Master_ventas[[#This Row],[Order Date]]</f>
        <v>880</v>
      </c>
      <c r="J2314" t="str">
        <f>UPPER(Master_ventas[[#This Row],[Product Name]])</f>
        <v>TABLET</v>
      </c>
      <c r="K2314" t="str">
        <f>UPPER(Master_ventas[[#This Row],[Category]])</f>
        <v>ELECTRONICS</v>
      </c>
      <c r="L2314">
        <f>YEAR(Master_ventas[[#This Row],[Order Date]])</f>
        <v>2024</v>
      </c>
      <c r="M2314" t="str">
        <f>CONCATENATE(LEFT(Master_ventas[[#This Row],[ProdUpper]],3),RIGHT(Master_ventas[[#This Row],[Ext-Year]],2),"-",MID(Master_ventas[[#This Row],[Category]],1,1))</f>
        <v>TAB24-E</v>
      </c>
      <c r="N2314" t="str">
        <f>MID(Master_ventas[[#This Row],[ProdUpper]],1,3)</f>
        <v>TAB</v>
      </c>
      <c r="O2314" t="str">
        <f>UPPER(IF(Master_ventas[[#This Row],[Profit]]&gt;500,"High","Std"))</f>
        <v>STD</v>
      </c>
      <c r="P2314">
        <v>2313</v>
      </c>
    </row>
    <row r="2315" spans="1:16" x14ac:dyDescent="0.3">
      <c r="A2315" s="1">
        <v>45225</v>
      </c>
      <c r="B2315" t="s">
        <v>7</v>
      </c>
      <c r="C2315" t="s">
        <v>8</v>
      </c>
      <c r="D2315" t="s">
        <v>12</v>
      </c>
      <c r="E2315">
        <v>8</v>
      </c>
      <c r="F2315" s="3">
        <v>6016</v>
      </c>
      <c r="G2315" s="2">
        <v>406.13</v>
      </c>
      <c r="H2315">
        <f>Master_ventas[[#This Row],[Profit]]/Master_ventas[[#This Row],[Sales]]</f>
        <v>6.7508311170212762E-2</v>
      </c>
      <c r="I2315">
        <f ca="1">Referencia_Hoy-Master_ventas[[#This Row],[Order Date]]</f>
        <v>1098</v>
      </c>
      <c r="J2315" t="str">
        <f>UPPER(Master_ventas[[#This Row],[Product Name]])</f>
        <v>PRINTER</v>
      </c>
      <c r="K2315" t="str">
        <f>UPPER(Master_ventas[[#This Row],[Category]])</f>
        <v>OFFICE</v>
      </c>
      <c r="L2315">
        <f>YEAR(Master_ventas[[#This Row],[Order Date]])</f>
        <v>2023</v>
      </c>
      <c r="M2315" t="str">
        <f>CONCATENATE(LEFT(Master_ventas[[#This Row],[ProdUpper]],3),RIGHT(Master_ventas[[#This Row],[Ext-Year]],2),"-",MID(Master_ventas[[#This Row],[Category]],1,1))</f>
        <v>PRI23-O</v>
      </c>
      <c r="N2315" t="str">
        <f>MID(Master_ventas[[#This Row],[ProdUpper]],1,3)</f>
        <v>PRI</v>
      </c>
      <c r="O2315" t="str">
        <f>UPPER(IF(Master_ventas[[#This Row],[Profit]]&gt;500,"High","Std"))</f>
        <v>STD</v>
      </c>
      <c r="P2315">
        <v>2314</v>
      </c>
    </row>
    <row r="2316" spans="1:16" x14ac:dyDescent="0.3">
      <c r="A2316" s="1">
        <v>44849</v>
      </c>
      <c r="B2316" t="s">
        <v>19</v>
      </c>
      <c r="C2316" t="s">
        <v>14</v>
      </c>
      <c r="D2316" t="s">
        <v>9</v>
      </c>
      <c r="E2316">
        <v>7</v>
      </c>
      <c r="F2316" s="3">
        <v>7154</v>
      </c>
      <c r="G2316" s="2">
        <v>1177.51</v>
      </c>
      <c r="H2316">
        <f>Master_ventas[[#This Row],[Profit]]/Master_ventas[[#This Row],[Sales]]</f>
        <v>0.16459463237349733</v>
      </c>
      <c r="I2316">
        <f ca="1">Referencia_Hoy-Master_ventas[[#This Row],[Order Date]]</f>
        <v>1474</v>
      </c>
      <c r="J2316" t="str">
        <f>UPPER(Master_ventas[[#This Row],[Product Name]])</f>
        <v>SMARTWATCH</v>
      </c>
      <c r="K2316" t="str">
        <f>UPPER(Master_ventas[[#This Row],[Category]])</f>
        <v>ELECTRONICS</v>
      </c>
      <c r="L2316">
        <f>YEAR(Master_ventas[[#This Row],[Order Date]])</f>
        <v>2022</v>
      </c>
      <c r="M2316" t="str">
        <f>CONCATENATE(LEFT(Master_ventas[[#This Row],[ProdUpper]],3),RIGHT(Master_ventas[[#This Row],[Ext-Year]],2),"-",MID(Master_ventas[[#This Row],[Category]],1,1))</f>
        <v>SMA22-E</v>
      </c>
      <c r="N2316" t="str">
        <f>MID(Master_ventas[[#This Row],[ProdUpper]],1,3)</f>
        <v>SMA</v>
      </c>
      <c r="O2316" t="str">
        <f>UPPER(IF(Master_ventas[[#This Row],[Profit]]&gt;500,"High","Std"))</f>
        <v>HIGH</v>
      </c>
      <c r="P2316">
        <v>2315</v>
      </c>
    </row>
    <row r="2317" spans="1:16" x14ac:dyDescent="0.3">
      <c r="A2317" s="1">
        <v>45320</v>
      </c>
      <c r="B2317" t="s">
        <v>22</v>
      </c>
      <c r="C2317" t="s">
        <v>11</v>
      </c>
      <c r="D2317" t="s">
        <v>16</v>
      </c>
      <c r="E2317">
        <v>2</v>
      </c>
      <c r="F2317" s="3">
        <v>370</v>
      </c>
      <c r="G2317" s="2">
        <v>102.74</v>
      </c>
      <c r="H2317">
        <f>Master_ventas[[#This Row],[Profit]]/Master_ventas[[#This Row],[Sales]]</f>
        <v>0.27767567567567564</v>
      </c>
      <c r="I2317">
        <f ca="1">Referencia_Hoy-Master_ventas[[#This Row],[Order Date]]</f>
        <v>1003</v>
      </c>
      <c r="J2317" t="str">
        <f>UPPER(Master_ventas[[#This Row],[Product Name]])</f>
        <v>KEYBOARD</v>
      </c>
      <c r="K2317" t="str">
        <f>UPPER(Master_ventas[[#This Row],[Category]])</f>
        <v>ACCESSORIES</v>
      </c>
      <c r="L2317">
        <f>YEAR(Master_ventas[[#This Row],[Order Date]])</f>
        <v>2024</v>
      </c>
      <c r="M2317" t="str">
        <f>CONCATENATE(LEFT(Master_ventas[[#This Row],[ProdUpper]],3),RIGHT(Master_ventas[[#This Row],[Ext-Year]],2),"-",MID(Master_ventas[[#This Row],[Category]],1,1))</f>
        <v>KEY24-A</v>
      </c>
      <c r="N2317" t="str">
        <f>MID(Master_ventas[[#This Row],[ProdUpper]],1,3)</f>
        <v>KEY</v>
      </c>
      <c r="O2317" t="str">
        <f>UPPER(IF(Master_ventas[[#This Row],[Profit]]&gt;500,"High","Std"))</f>
        <v>STD</v>
      </c>
      <c r="P2317">
        <v>2316</v>
      </c>
    </row>
    <row r="2318" spans="1:16" x14ac:dyDescent="0.3">
      <c r="A2318" s="1">
        <v>45367</v>
      </c>
      <c r="B2318" t="s">
        <v>20</v>
      </c>
      <c r="C2318" t="s">
        <v>11</v>
      </c>
      <c r="D2318" t="s">
        <v>16</v>
      </c>
      <c r="E2318">
        <v>1</v>
      </c>
      <c r="F2318" s="3">
        <v>430</v>
      </c>
      <c r="G2318" s="2">
        <v>113.57</v>
      </c>
      <c r="H2318">
        <f>Master_ventas[[#This Row],[Profit]]/Master_ventas[[#This Row],[Sales]]</f>
        <v>0.26411627906976742</v>
      </c>
      <c r="I2318">
        <f ca="1">Referencia_Hoy-Master_ventas[[#This Row],[Order Date]]</f>
        <v>956</v>
      </c>
      <c r="J2318" t="str">
        <f>UPPER(Master_ventas[[#This Row],[Product Name]])</f>
        <v>MONITOR</v>
      </c>
      <c r="K2318" t="str">
        <f>UPPER(Master_ventas[[#This Row],[Category]])</f>
        <v>ACCESSORIES</v>
      </c>
      <c r="L2318">
        <f>YEAR(Master_ventas[[#This Row],[Order Date]])</f>
        <v>2024</v>
      </c>
      <c r="M2318" t="str">
        <f>CONCATENATE(LEFT(Master_ventas[[#This Row],[ProdUpper]],3),RIGHT(Master_ventas[[#This Row],[Ext-Year]],2),"-",MID(Master_ventas[[#This Row],[Category]],1,1))</f>
        <v>MON24-A</v>
      </c>
      <c r="N2318" t="str">
        <f>MID(Master_ventas[[#This Row],[ProdUpper]],1,3)</f>
        <v>MON</v>
      </c>
      <c r="O2318" t="str">
        <f>UPPER(IF(Master_ventas[[#This Row],[Profit]]&gt;500,"High","Std"))</f>
        <v>STD</v>
      </c>
      <c r="P2318">
        <v>2317</v>
      </c>
    </row>
    <row r="2319" spans="1:16" x14ac:dyDescent="0.3">
      <c r="A2319" s="1">
        <v>44679</v>
      </c>
      <c r="B2319" t="s">
        <v>19</v>
      </c>
      <c r="C2319" t="s">
        <v>14</v>
      </c>
      <c r="D2319" t="s">
        <v>16</v>
      </c>
      <c r="E2319">
        <v>1</v>
      </c>
      <c r="F2319" s="3">
        <v>946</v>
      </c>
      <c r="G2319" s="2">
        <v>280.52999999999997</v>
      </c>
      <c r="H2319">
        <f>Master_ventas[[#This Row],[Profit]]/Master_ventas[[#This Row],[Sales]]</f>
        <v>0.29654334038054964</v>
      </c>
      <c r="I2319">
        <f ca="1">Referencia_Hoy-Master_ventas[[#This Row],[Order Date]]</f>
        <v>1644</v>
      </c>
      <c r="J2319" t="str">
        <f>UPPER(Master_ventas[[#This Row],[Product Name]])</f>
        <v>SMARTWATCH</v>
      </c>
      <c r="K2319" t="str">
        <f>UPPER(Master_ventas[[#This Row],[Category]])</f>
        <v>ELECTRONICS</v>
      </c>
      <c r="L2319">
        <f>YEAR(Master_ventas[[#This Row],[Order Date]])</f>
        <v>2022</v>
      </c>
      <c r="M2319" t="str">
        <f>CONCATENATE(LEFT(Master_ventas[[#This Row],[ProdUpper]],3),RIGHT(Master_ventas[[#This Row],[Ext-Year]],2),"-",MID(Master_ventas[[#This Row],[Category]],1,1))</f>
        <v>SMA22-E</v>
      </c>
      <c r="N2319" t="str">
        <f>MID(Master_ventas[[#This Row],[ProdUpper]],1,3)</f>
        <v>SMA</v>
      </c>
      <c r="O2319" t="str">
        <f>UPPER(IF(Master_ventas[[#This Row],[Profit]]&gt;500,"High","Std"))</f>
        <v>STD</v>
      </c>
      <c r="P2319">
        <v>2318</v>
      </c>
    </row>
    <row r="2320" spans="1:16" x14ac:dyDescent="0.3">
      <c r="A2320" s="1">
        <v>45432</v>
      </c>
      <c r="B2320" t="s">
        <v>13</v>
      </c>
      <c r="C2320" t="s">
        <v>14</v>
      </c>
      <c r="D2320" t="s">
        <v>15</v>
      </c>
      <c r="E2320">
        <v>8</v>
      </c>
      <c r="F2320" s="3">
        <v>984</v>
      </c>
      <c r="G2320" s="2">
        <v>73.84</v>
      </c>
      <c r="H2320">
        <f>Master_ventas[[#This Row],[Profit]]/Master_ventas[[#This Row],[Sales]]</f>
        <v>7.5040650406504067E-2</v>
      </c>
      <c r="I2320">
        <f ca="1">Referencia_Hoy-Master_ventas[[#This Row],[Order Date]]</f>
        <v>891</v>
      </c>
      <c r="J2320" t="str">
        <f>UPPER(Master_ventas[[#This Row],[Product Name]])</f>
        <v>TABLET</v>
      </c>
      <c r="K2320" t="str">
        <f>UPPER(Master_ventas[[#This Row],[Category]])</f>
        <v>ELECTRONICS</v>
      </c>
      <c r="L2320">
        <f>YEAR(Master_ventas[[#This Row],[Order Date]])</f>
        <v>2024</v>
      </c>
      <c r="M2320" t="str">
        <f>CONCATENATE(LEFT(Master_ventas[[#This Row],[ProdUpper]],3),RIGHT(Master_ventas[[#This Row],[Ext-Year]],2),"-",MID(Master_ventas[[#This Row],[Category]],1,1))</f>
        <v>TAB24-E</v>
      </c>
      <c r="N2320" t="str">
        <f>MID(Master_ventas[[#This Row],[ProdUpper]],1,3)</f>
        <v>TAB</v>
      </c>
      <c r="O2320" t="str">
        <f>UPPER(IF(Master_ventas[[#This Row],[Profit]]&gt;500,"High","Std"))</f>
        <v>STD</v>
      </c>
      <c r="P2320">
        <v>2319</v>
      </c>
    </row>
    <row r="2321" spans="1:16" x14ac:dyDescent="0.3">
      <c r="A2321" s="1">
        <v>44891</v>
      </c>
      <c r="B2321" t="s">
        <v>22</v>
      </c>
      <c r="C2321" t="s">
        <v>11</v>
      </c>
      <c r="D2321" t="s">
        <v>12</v>
      </c>
      <c r="E2321">
        <v>9</v>
      </c>
      <c r="F2321" s="3">
        <v>1467</v>
      </c>
      <c r="G2321" s="2">
        <v>372.17</v>
      </c>
      <c r="H2321">
        <f>Master_ventas[[#This Row],[Profit]]/Master_ventas[[#This Row],[Sales]]</f>
        <v>0.25369461486025902</v>
      </c>
      <c r="I2321">
        <f ca="1">Referencia_Hoy-Master_ventas[[#This Row],[Order Date]]</f>
        <v>1432</v>
      </c>
      <c r="J2321" t="str">
        <f>UPPER(Master_ventas[[#This Row],[Product Name]])</f>
        <v>KEYBOARD</v>
      </c>
      <c r="K2321" t="str">
        <f>UPPER(Master_ventas[[#This Row],[Category]])</f>
        <v>ACCESSORIES</v>
      </c>
      <c r="L2321">
        <f>YEAR(Master_ventas[[#This Row],[Order Date]])</f>
        <v>2022</v>
      </c>
      <c r="M2321" t="str">
        <f>CONCATENATE(LEFT(Master_ventas[[#This Row],[ProdUpper]],3),RIGHT(Master_ventas[[#This Row],[Ext-Year]],2),"-",MID(Master_ventas[[#This Row],[Category]],1,1))</f>
        <v>KEY22-A</v>
      </c>
      <c r="N2321" t="str">
        <f>MID(Master_ventas[[#This Row],[ProdUpper]],1,3)</f>
        <v>KEY</v>
      </c>
      <c r="O2321" t="str">
        <f>UPPER(IF(Master_ventas[[#This Row],[Profit]]&gt;500,"High","Std"))</f>
        <v>STD</v>
      </c>
      <c r="P2321">
        <v>2320</v>
      </c>
    </row>
    <row r="2322" spans="1:16" x14ac:dyDescent="0.3">
      <c r="A2322" s="1">
        <v>45154</v>
      </c>
      <c r="B2322" t="s">
        <v>21</v>
      </c>
      <c r="C2322" t="s">
        <v>14</v>
      </c>
      <c r="D2322" t="s">
        <v>15</v>
      </c>
      <c r="E2322">
        <v>4</v>
      </c>
      <c r="F2322" s="3">
        <v>2444</v>
      </c>
      <c r="G2322" s="2">
        <v>155.41999999999999</v>
      </c>
      <c r="H2322">
        <f>Master_ventas[[#This Row],[Profit]]/Master_ventas[[#This Row],[Sales]]</f>
        <v>6.3592471358428798E-2</v>
      </c>
      <c r="I2322">
        <f ca="1">Referencia_Hoy-Master_ventas[[#This Row],[Order Date]]</f>
        <v>1169</v>
      </c>
      <c r="J2322" t="str">
        <f>UPPER(Master_ventas[[#This Row],[Product Name]])</f>
        <v>SMARTPHONE</v>
      </c>
      <c r="K2322" t="str">
        <f>UPPER(Master_ventas[[#This Row],[Category]])</f>
        <v>ELECTRONICS</v>
      </c>
      <c r="L2322">
        <f>YEAR(Master_ventas[[#This Row],[Order Date]])</f>
        <v>2023</v>
      </c>
      <c r="M2322" t="str">
        <f>CONCATENATE(LEFT(Master_ventas[[#This Row],[ProdUpper]],3),RIGHT(Master_ventas[[#This Row],[Ext-Year]],2),"-",MID(Master_ventas[[#This Row],[Category]],1,1))</f>
        <v>SMA23-E</v>
      </c>
      <c r="N2322" t="str">
        <f>MID(Master_ventas[[#This Row],[ProdUpper]],1,3)</f>
        <v>SMA</v>
      </c>
      <c r="O2322" t="str">
        <f>UPPER(IF(Master_ventas[[#This Row],[Profit]]&gt;500,"High","Std"))</f>
        <v>STD</v>
      </c>
      <c r="P2322">
        <v>2321</v>
      </c>
    </row>
    <row r="2323" spans="1:16" x14ac:dyDescent="0.3">
      <c r="A2323" s="1">
        <v>45232</v>
      </c>
      <c r="B2323" t="s">
        <v>10</v>
      </c>
      <c r="C2323" t="s">
        <v>11</v>
      </c>
      <c r="D2323" t="s">
        <v>9</v>
      </c>
      <c r="E2323">
        <v>9</v>
      </c>
      <c r="F2323" s="3">
        <v>8640</v>
      </c>
      <c r="G2323" s="2">
        <v>1254.3</v>
      </c>
      <c r="H2323">
        <f>Master_ventas[[#This Row],[Profit]]/Master_ventas[[#This Row],[Sales]]</f>
        <v>0.1451736111111111</v>
      </c>
      <c r="I2323">
        <f ca="1">Referencia_Hoy-Master_ventas[[#This Row],[Order Date]]</f>
        <v>1091</v>
      </c>
      <c r="J2323" t="str">
        <f>UPPER(Master_ventas[[#This Row],[Product Name]])</f>
        <v>MOUSE</v>
      </c>
      <c r="K2323" t="str">
        <f>UPPER(Master_ventas[[#This Row],[Category]])</f>
        <v>ACCESSORIES</v>
      </c>
      <c r="L2323">
        <f>YEAR(Master_ventas[[#This Row],[Order Date]])</f>
        <v>2023</v>
      </c>
      <c r="M2323" t="str">
        <f>CONCATENATE(LEFT(Master_ventas[[#This Row],[ProdUpper]],3),RIGHT(Master_ventas[[#This Row],[Ext-Year]],2),"-",MID(Master_ventas[[#This Row],[Category]],1,1))</f>
        <v>MOU23-A</v>
      </c>
      <c r="N2323" t="str">
        <f>MID(Master_ventas[[#This Row],[ProdUpper]],1,3)</f>
        <v>MOU</v>
      </c>
      <c r="O2323" t="str">
        <f>UPPER(IF(Master_ventas[[#This Row],[Profit]]&gt;500,"High","Std"))</f>
        <v>HIGH</v>
      </c>
      <c r="P2323">
        <v>2322</v>
      </c>
    </row>
    <row r="2324" spans="1:16" x14ac:dyDescent="0.3">
      <c r="A2324" s="1">
        <v>45124</v>
      </c>
      <c r="B2324" t="s">
        <v>19</v>
      </c>
      <c r="C2324" t="s">
        <v>14</v>
      </c>
      <c r="D2324" t="s">
        <v>16</v>
      </c>
      <c r="E2324">
        <v>9</v>
      </c>
      <c r="F2324" s="3">
        <v>3861</v>
      </c>
      <c r="G2324" s="2">
        <v>536.04</v>
      </c>
      <c r="H2324">
        <f>Master_ventas[[#This Row],[Profit]]/Master_ventas[[#This Row],[Sales]]</f>
        <v>0.13883449883449883</v>
      </c>
      <c r="I2324">
        <f ca="1">Referencia_Hoy-Master_ventas[[#This Row],[Order Date]]</f>
        <v>1199</v>
      </c>
      <c r="J2324" t="str">
        <f>UPPER(Master_ventas[[#This Row],[Product Name]])</f>
        <v>SMARTWATCH</v>
      </c>
      <c r="K2324" t="str">
        <f>UPPER(Master_ventas[[#This Row],[Category]])</f>
        <v>ELECTRONICS</v>
      </c>
      <c r="L2324">
        <f>YEAR(Master_ventas[[#This Row],[Order Date]])</f>
        <v>2023</v>
      </c>
      <c r="M2324" t="str">
        <f>CONCATENATE(LEFT(Master_ventas[[#This Row],[ProdUpper]],3),RIGHT(Master_ventas[[#This Row],[Ext-Year]],2),"-",MID(Master_ventas[[#This Row],[Category]],1,1))</f>
        <v>SMA23-E</v>
      </c>
      <c r="N2324" t="str">
        <f>MID(Master_ventas[[#This Row],[ProdUpper]],1,3)</f>
        <v>SMA</v>
      </c>
      <c r="O2324" t="str">
        <f>UPPER(IF(Master_ventas[[#This Row],[Profit]]&gt;500,"High","Std"))</f>
        <v>HIGH</v>
      </c>
      <c r="P2324">
        <v>2323</v>
      </c>
    </row>
    <row r="2325" spans="1:16" x14ac:dyDescent="0.3">
      <c r="A2325" s="1">
        <v>44766</v>
      </c>
      <c r="B2325" t="s">
        <v>22</v>
      </c>
      <c r="C2325" t="s">
        <v>11</v>
      </c>
      <c r="D2325" t="s">
        <v>9</v>
      </c>
      <c r="E2325">
        <v>1</v>
      </c>
      <c r="F2325" s="3">
        <v>868</v>
      </c>
      <c r="G2325" s="2">
        <v>60.12</v>
      </c>
      <c r="H2325">
        <f>Master_ventas[[#This Row],[Profit]]/Master_ventas[[#This Row],[Sales]]</f>
        <v>6.9262672811059911E-2</v>
      </c>
      <c r="I2325">
        <f ca="1">Referencia_Hoy-Master_ventas[[#This Row],[Order Date]]</f>
        <v>1557</v>
      </c>
      <c r="J2325" t="str">
        <f>UPPER(Master_ventas[[#This Row],[Product Name]])</f>
        <v>KEYBOARD</v>
      </c>
      <c r="K2325" t="str">
        <f>UPPER(Master_ventas[[#This Row],[Category]])</f>
        <v>ACCESSORIES</v>
      </c>
      <c r="L2325">
        <f>YEAR(Master_ventas[[#This Row],[Order Date]])</f>
        <v>2022</v>
      </c>
      <c r="M2325" t="str">
        <f>CONCATENATE(LEFT(Master_ventas[[#This Row],[ProdUpper]],3),RIGHT(Master_ventas[[#This Row],[Ext-Year]],2),"-",MID(Master_ventas[[#This Row],[Category]],1,1))</f>
        <v>KEY22-A</v>
      </c>
      <c r="N2325" t="str">
        <f>MID(Master_ventas[[#This Row],[ProdUpper]],1,3)</f>
        <v>KEY</v>
      </c>
      <c r="O2325" t="str">
        <f>UPPER(IF(Master_ventas[[#This Row],[Profit]]&gt;500,"High","Std"))</f>
        <v>STD</v>
      </c>
      <c r="P2325">
        <v>2324</v>
      </c>
    </row>
    <row r="2326" spans="1:16" x14ac:dyDescent="0.3">
      <c r="A2326" s="1">
        <v>45599</v>
      </c>
      <c r="B2326" t="s">
        <v>23</v>
      </c>
      <c r="C2326" t="s">
        <v>14</v>
      </c>
      <c r="D2326" t="s">
        <v>15</v>
      </c>
      <c r="E2326">
        <v>9</v>
      </c>
      <c r="F2326" s="3">
        <v>1746</v>
      </c>
      <c r="G2326" s="2">
        <v>260.5</v>
      </c>
      <c r="H2326">
        <f>Master_ventas[[#This Row],[Profit]]/Master_ventas[[#This Row],[Sales]]</f>
        <v>0.14919816723940435</v>
      </c>
      <c r="I2326">
        <f ca="1">Referencia_Hoy-Master_ventas[[#This Row],[Order Date]]</f>
        <v>724</v>
      </c>
      <c r="J2326" t="str">
        <f>UPPER(Master_ventas[[#This Row],[Product Name]])</f>
        <v>LAPTOP</v>
      </c>
      <c r="K2326" t="str">
        <f>UPPER(Master_ventas[[#This Row],[Category]])</f>
        <v>ELECTRONICS</v>
      </c>
      <c r="L2326">
        <f>YEAR(Master_ventas[[#This Row],[Order Date]])</f>
        <v>2024</v>
      </c>
      <c r="M2326" t="str">
        <f>CONCATENATE(LEFT(Master_ventas[[#This Row],[ProdUpper]],3),RIGHT(Master_ventas[[#This Row],[Ext-Year]],2),"-",MID(Master_ventas[[#This Row],[Category]],1,1))</f>
        <v>LAP24-E</v>
      </c>
      <c r="N2326" t="str">
        <f>MID(Master_ventas[[#This Row],[ProdUpper]],1,3)</f>
        <v>LAP</v>
      </c>
      <c r="O2326" t="str">
        <f>UPPER(IF(Master_ventas[[#This Row],[Profit]]&gt;500,"High","Std"))</f>
        <v>STD</v>
      </c>
      <c r="P2326">
        <v>2325</v>
      </c>
    </row>
    <row r="2327" spans="1:16" x14ac:dyDescent="0.3">
      <c r="A2327" s="1">
        <v>45523</v>
      </c>
      <c r="B2327" t="s">
        <v>7</v>
      </c>
      <c r="C2327" t="s">
        <v>8</v>
      </c>
      <c r="D2327" t="s">
        <v>15</v>
      </c>
      <c r="E2327">
        <v>1</v>
      </c>
      <c r="F2327" s="3">
        <v>915</v>
      </c>
      <c r="G2327" s="2">
        <v>129.08000000000001</v>
      </c>
      <c r="H2327">
        <f>Master_ventas[[#This Row],[Profit]]/Master_ventas[[#This Row],[Sales]]</f>
        <v>0.14107103825136613</v>
      </c>
      <c r="I2327">
        <f ca="1">Referencia_Hoy-Master_ventas[[#This Row],[Order Date]]</f>
        <v>800</v>
      </c>
      <c r="J2327" t="str">
        <f>UPPER(Master_ventas[[#This Row],[Product Name]])</f>
        <v>PRINTER</v>
      </c>
      <c r="K2327" t="str">
        <f>UPPER(Master_ventas[[#This Row],[Category]])</f>
        <v>OFFICE</v>
      </c>
      <c r="L2327">
        <f>YEAR(Master_ventas[[#This Row],[Order Date]])</f>
        <v>2024</v>
      </c>
      <c r="M2327" t="str">
        <f>CONCATENATE(LEFT(Master_ventas[[#This Row],[ProdUpper]],3),RIGHT(Master_ventas[[#This Row],[Ext-Year]],2),"-",MID(Master_ventas[[#This Row],[Category]],1,1))</f>
        <v>PRI24-O</v>
      </c>
      <c r="N2327" t="str">
        <f>MID(Master_ventas[[#This Row],[ProdUpper]],1,3)</f>
        <v>PRI</v>
      </c>
      <c r="O2327" t="str">
        <f>UPPER(IF(Master_ventas[[#This Row],[Profit]]&gt;500,"High","Std"))</f>
        <v>STD</v>
      </c>
      <c r="P2327">
        <v>2326</v>
      </c>
    </row>
    <row r="2328" spans="1:16" x14ac:dyDescent="0.3">
      <c r="A2328" s="1">
        <v>45550</v>
      </c>
      <c r="B2328" t="s">
        <v>19</v>
      </c>
      <c r="C2328" t="s">
        <v>14</v>
      </c>
      <c r="D2328" t="s">
        <v>12</v>
      </c>
      <c r="E2328">
        <v>9</v>
      </c>
      <c r="F2328" s="3">
        <v>3591</v>
      </c>
      <c r="G2328" s="2">
        <v>423</v>
      </c>
      <c r="H2328">
        <f>Master_ventas[[#This Row],[Profit]]/Master_ventas[[#This Row],[Sales]]</f>
        <v>0.11779448621553884</v>
      </c>
      <c r="I2328">
        <f ca="1">Referencia_Hoy-Master_ventas[[#This Row],[Order Date]]</f>
        <v>773</v>
      </c>
      <c r="J2328" t="str">
        <f>UPPER(Master_ventas[[#This Row],[Product Name]])</f>
        <v>SMARTWATCH</v>
      </c>
      <c r="K2328" t="str">
        <f>UPPER(Master_ventas[[#This Row],[Category]])</f>
        <v>ELECTRONICS</v>
      </c>
      <c r="L2328">
        <f>YEAR(Master_ventas[[#This Row],[Order Date]])</f>
        <v>2024</v>
      </c>
      <c r="M2328" t="str">
        <f>CONCATENATE(LEFT(Master_ventas[[#This Row],[ProdUpper]],3),RIGHT(Master_ventas[[#This Row],[Ext-Year]],2),"-",MID(Master_ventas[[#This Row],[Category]],1,1))</f>
        <v>SMA24-E</v>
      </c>
      <c r="N2328" t="str">
        <f>MID(Master_ventas[[#This Row],[ProdUpper]],1,3)</f>
        <v>SMA</v>
      </c>
      <c r="O2328" t="str">
        <f>UPPER(IF(Master_ventas[[#This Row],[Profit]]&gt;500,"High","Std"))</f>
        <v>STD</v>
      </c>
      <c r="P2328">
        <v>2327</v>
      </c>
    </row>
    <row r="2329" spans="1:16" x14ac:dyDescent="0.3">
      <c r="A2329" s="1">
        <v>44954</v>
      </c>
      <c r="B2329" t="s">
        <v>17</v>
      </c>
      <c r="C2329" t="s">
        <v>14</v>
      </c>
      <c r="D2329" t="s">
        <v>12</v>
      </c>
      <c r="E2329">
        <v>6</v>
      </c>
      <c r="F2329" s="3">
        <v>2562</v>
      </c>
      <c r="G2329" s="2">
        <v>612.36</v>
      </c>
      <c r="H2329">
        <f>Master_ventas[[#This Row],[Profit]]/Master_ventas[[#This Row],[Sales]]</f>
        <v>0.23901639344262296</v>
      </c>
      <c r="I2329">
        <f ca="1">Referencia_Hoy-Master_ventas[[#This Row],[Order Date]]</f>
        <v>1369</v>
      </c>
      <c r="J2329" t="str">
        <f>UPPER(Master_ventas[[#This Row],[Product Name]])</f>
        <v>CAMERA</v>
      </c>
      <c r="K2329" t="str">
        <f>UPPER(Master_ventas[[#This Row],[Category]])</f>
        <v>ELECTRONICS</v>
      </c>
      <c r="L2329">
        <f>YEAR(Master_ventas[[#This Row],[Order Date]])</f>
        <v>2023</v>
      </c>
      <c r="M2329" t="str">
        <f>CONCATENATE(LEFT(Master_ventas[[#This Row],[ProdUpper]],3),RIGHT(Master_ventas[[#This Row],[Ext-Year]],2),"-",MID(Master_ventas[[#This Row],[Category]],1,1))</f>
        <v>CAM23-E</v>
      </c>
      <c r="N2329" t="str">
        <f>MID(Master_ventas[[#This Row],[ProdUpper]],1,3)</f>
        <v>CAM</v>
      </c>
      <c r="O2329" t="str">
        <f>UPPER(IF(Master_ventas[[#This Row],[Profit]]&gt;500,"High","Std"))</f>
        <v>HIGH</v>
      </c>
      <c r="P2329">
        <v>2328</v>
      </c>
    </row>
    <row r="2330" spans="1:16" x14ac:dyDescent="0.3">
      <c r="A2330" s="1">
        <v>44893</v>
      </c>
      <c r="B2330" t="s">
        <v>19</v>
      </c>
      <c r="C2330" t="s">
        <v>14</v>
      </c>
      <c r="D2330" t="s">
        <v>16</v>
      </c>
      <c r="E2330">
        <v>9</v>
      </c>
      <c r="F2330" s="3">
        <v>5382</v>
      </c>
      <c r="G2330" s="2">
        <v>1037.04</v>
      </c>
      <c r="H2330">
        <f>Master_ventas[[#This Row],[Profit]]/Master_ventas[[#This Row],[Sales]]</f>
        <v>0.19268673355629876</v>
      </c>
      <c r="I2330">
        <f ca="1">Referencia_Hoy-Master_ventas[[#This Row],[Order Date]]</f>
        <v>1430</v>
      </c>
      <c r="J2330" t="str">
        <f>UPPER(Master_ventas[[#This Row],[Product Name]])</f>
        <v>SMARTWATCH</v>
      </c>
      <c r="K2330" t="str">
        <f>UPPER(Master_ventas[[#This Row],[Category]])</f>
        <v>ELECTRONICS</v>
      </c>
      <c r="L2330">
        <f>YEAR(Master_ventas[[#This Row],[Order Date]])</f>
        <v>2022</v>
      </c>
      <c r="M2330" t="str">
        <f>CONCATENATE(LEFT(Master_ventas[[#This Row],[ProdUpper]],3),RIGHT(Master_ventas[[#This Row],[Ext-Year]],2),"-",MID(Master_ventas[[#This Row],[Category]],1,1))</f>
        <v>SMA22-E</v>
      </c>
      <c r="N2330" t="str">
        <f>MID(Master_ventas[[#This Row],[ProdUpper]],1,3)</f>
        <v>SMA</v>
      </c>
      <c r="O2330" t="str">
        <f>UPPER(IF(Master_ventas[[#This Row],[Profit]]&gt;500,"High","Std"))</f>
        <v>HIGH</v>
      </c>
      <c r="P2330">
        <v>2329</v>
      </c>
    </row>
    <row r="2331" spans="1:16" x14ac:dyDescent="0.3">
      <c r="A2331" s="1">
        <v>45614</v>
      </c>
      <c r="B2331" t="s">
        <v>19</v>
      </c>
      <c r="C2331" t="s">
        <v>14</v>
      </c>
      <c r="D2331" t="s">
        <v>12</v>
      </c>
      <c r="E2331">
        <v>4</v>
      </c>
      <c r="F2331" s="3">
        <v>2792</v>
      </c>
      <c r="G2331" s="2">
        <v>170.96</v>
      </c>
      <c r="H2331">
        <f>Master_ventas[[#This Row],[Profit]]/Master_ventas[[#This Row],[Sales]]</f>
        <v>6.1232091690544416E-2</v>
      </c>
      <c r="I2331">
        <f ca="1">Referencia_Hoy-Master_ventas[[#This Row],[Order Date]]</f>
        <v>709</v>
      </c>
      <c r="J2331" t="str">
        <f>UPPER(Master_ventas[[#This Row],[Product Name]])</f>
        <v>SMARTWATCH</v>
      </c>
      <c r="K2331" t="str">
        <f>UPPER(Master_ventas[[#This Row],[Category]])</f>
        <v>ELECTRONICS</v>
      </c>
      <c r="L2331">
        <f>YEAR(Master_ventas[[#This Row],[Order Date]])</f>
        <v>2024</v>
      </c>
      <c r="M2331" t="str">
        <f>CONCATENATE(LEFT(Master_ventas[[#This Row],[ProdUpper]],3),RIGHT(Master_ventas[[#This Row],[Ext-Year]],2),"-",MID(Master_ventas[[#This Row],[Category]],1,1))</f>
        <v>SMA24-E</v>
      </c>
      <c r="N2331" t="str">
        <f>MID(Master_ventas[[#This Row],[ProdUpper]],1,3)</f>
        <v>SMA</v>
      </c>
      <c r="O2331" t="str">
        <f>UPPER(IF(Master_ventas[[#This Row],[Profit]]&gt;500,"High","Std"))</f>
        <v>STD</v>
      </c>
      <c r="P2331">
        <v>2330</v>
      </c>
    </row>
    <row r="2332" spans="1:16" x14ac:dyDescent="0.3">
      <c r="A2332" s="1">
        <v>44674</v>
      </c>
      <c r="B2332" t="s">
        <v>18</v>
      </c>
      <c r="C2332" t="s">
        <v>11</v>
      </c>
      <c r="D2332" t="s">
        <v>12</v>
      </c>
      <c r="E2332">
        <v>4</v>
      </c>
      <c r="F2332" s="3">
        <v>2160</v>
      </c>
      <c r="G2332" s="2">
        <v>631.9</v>
      </c>
      <c r="H2332">
        <f>Master_ventas[[#This Row],[Profit]]/Master_ventas[[#This Row],[Sales]]</f>
        <v>0.2925462962962963</v>
      </c>
      <c r="I2332">
        <f ca="1">Referencia_Hoy-Master_ventas[[#This Row],[Order Date]]</f>
        <v>1649</v>
      </c>
      <c r="J2332" t="str">
        <f>UPPER(Master_ventas[[#This Row],[Product Name]])</f>
        <v>HEADPHONES</v>
      </c>
      <c r="K2332" t="str">
        <f>UPPER(Master_ventas[[#This Row],[Category]])</f>
        <v>ACCESSORIES</v>
      </c>
      <c r="L2332">
        <f>YEAR(Master_ventas[[#This Row],[Order Date]])</f>
        <v>2022</v>
      </c>
      <c r="M2332" t="str">
        <f>CONCATENATE(LEFT(Master_ventas[[#This Row],[ProdUpper]],3),RIGHT(Master_ventas[[#This Row],[Ext-Year]],2),"-",MID(Master_ventas[[#This Row],[Category]],1,1))</f>
        <v>HEA22-A</v>
      </c>
      <c r="N2332" t="str">
        <f>MID(Master_ventas[[#This Row],[ProdUpper]],1,3)</f>
        <v>HEA</v>
      </c>
      <c r="O2332" t="str">
        <f>UPPER(IF(Master_ventas[[#This Row],[Profit]]&gt;500,"High","Std"))</f>
        <v>HIGH</v>
      </c>
      <c r="P2332">
        <v>2331</v>
      </c>
    </row>
    <row r="2333" spans="1:16" x14ac:dyDescent="0.3">
      <c r="A2333" s="1">
        <v>45069</v>
      </c>
      <c r="B2333" t="s">
        <v>20</v>
      </c>
      <c r="C2333" t="s">
        <v>11</v>
      </c>
      <c r="D2333" t="s">
        <v>16</v>
      </c>
      <c r="E2333">
        <v>7</v>
      </c>
      <c r="F2333" s="3">
        <v>6377</v>
      </c>
      <c r="G2333" s="2">
        <v>1332.86</v>
      </c>
      <c r="H2333">
        <f>Master_ventas[[#This Row],[Profit]]/Master_ventas[[#This Row],[Sales]]</f>
        <v>0.20901050650776226</v>
      </c>
      <c r="I2333">
        <f ca="1">Referencia_Hoy-Master_ventas[[#This Row],[Order Date]]</f>
        <v>1254</v>
      </c>
      <c r="J2333" t="str">
        <f>UPPER(Master_ventas[[#This Row],[Product Name]])</f>
        <v>MONITOR</v>
      </c>
      <c r="K2333" t="str">
        <f>UPPER(Master_ventas[[#This Row],[Category]])</f>
        <v>ACCESSORIES</v>
      </c>
      <c r="L2333">
        <f>YEAR(Master_ventas[[#This Row],[Order Date]])</f>
        <v>2023</v>
      </c>
      <c r="M2333" t="str">
        <f>CONCATENATE(LEFT(Master_ventas[[#This Row],[ProdUpper]],3),RIGHT(Master_ventas[[#This Row],[Ext-Year]],2),"-",MID(Master_ventas[[#This Row],[Category]],1,1))</f>
        <v>MON23-A</v>
      </c>
      <c r="N2333" t="str">
        <f>MID(Master_ventas[[#This Row],[ProdUpper]],1,3)</f>
        <v>MON</v>
      </c>
      <c r="O2333" t="str">
        <f>UPPER(IF(Master_ventas[[#This Row],[Profit]]&gt;500,"High","Std"))</f>
        <v>HIGH</v>
      </c>
      <c r="P2333">
        <v>2332</v>
      </c>
    </row>
    <row r="2334" spans="1:16" x14ac:dyDescent="0.3">
      <c r="A2334" s="1">
        <v>45429</v>
      </c>
      <c r="B2334" t="s">
        <v>21</v>
      </c>
      <c r="C2334" t="s">
        <v>14</v>
      </c>
      <c r="D2334" t="s">
        <v>12</v>
      </c>
      <c r="E2334">
        <v>8</v>
      </c>
      <c r="F2334" s="3">
        <v>5264</v>
      </c>
      <c r="G2334" s="2">
        <v>1051.5</v>
      </c>
      <c r="H2334">
        <f>Master_ventas[[#This Row],[Profit]]/Master_ventas[[#This Row],[Sales]]</f>
        <v>0.19975303951367782</v>
      </c>
      <c r="I2334">
        <f ca="1">Referencia_Hoy-Master_ventas[[#This Row],[Order Date]]</f>
        <v>894</v>
      </c>
      <c r="J2334" t="str">
        <f>UPPER(Master_ventas[[#This Row],[Product Name]])</f>
        <v>SMARTPHONE</v>
      </c>
      <c r="K2334" t="str">
        <f>UPPER(Master_ventas[[#This Row],[Category]])</f>
        <v>ELECTRONICS</v>
      </c>
      <c r="L2334">
        <f>YEAR(Master_ventas[[#This Row],[Order Date]])</f>
        <v>2024</v>
      </c>
      <c r="M2334" t="str">
        <f>CONCATENATE(LEFT(Master_ventas[[#This Row],[ProdUpper]],3),RIGHT(Master_ventas[[#This Row],[Ext-Year]],2),"-",MID(Master_ventas[[#This Row],[Category]],1,1))</f>
        <v>SMA24-E</v>
      </c>
      <c r="N2334" t="str">
        <f>MID(Master_ventas[[#This Row],[ProdUpper]],1,3)</f>
        <v>SMA</v>
      </c>
      <c r="O2334" t="str">
        <f>UPPER(IF(Master_ventas[[#This Row],[Profit]]&gt;500,"High","Std"))</f>
        <v>HIGH</v>
      </c>
      <c r="P2334">
        <v>2333</v>
      </c>
    </row>
    <row r="2335" spans="1:16" x14ac:dyDescent="0.3">
      <c r="A2335" s="1">
        <v>45278</v>
      </c>
      <c r="B2335" t="s">
        <v>23</v>
      </c>
      <c r="C2335" t="s">
        <v>14</v>
      </c>
      <c r="D2335" t="s">
        <v>9</v>
      </c>
      <c r="E2335">
        <v>2</v>
      </c>
      <c r="F2335" s="3">
        <v>1346</v>
      </c>
      <c r="G2335" s="2">
        <v>196.5</v>
      </c>
      <c r="H2335">
        <f>Master_ventas[[#This Row],[Profit]]/Master_ventas[[#This Row],[Sales]]</f>
        <v>0.14598811292719169</v>
      </c>
      <c r="I2335">
        <f ca="1">Referencia_Hoy-Master_ventas[[#This Row],[Order Date]]</f>
        <v>1045</v>
      </c>
      <c r="J2335" t="str">
        <f>UPPER(Master_ventas[[#This Row],[Product Name]])</f>
        <v>LAPTOP</v>
      </c>
      <c r="K2335" t="str">
        <f>UPPER(Master_ventas[[#This Row],[Category]])</f>
        <v>ELECTRONICS</v>
      </c>
      <c r="L2335">
        <f>YEAR(Master_ventas[[#This Row],[Order Date]])</f>
        <v>2023</v>
      </c>
      <c r="M2335" t="str">
        <f>CONCATENATE(LEFT(Master_ventas[[#This Row],[ProdUpper]],3),RIGHT(Master_ventas[[#This Row],[Ext-Year]],2),"-",MID(Master_ventas[[#This Row],[Category]],1,1))</f>
        <v>LAP23-E</v>
      </c>
      <c r="N2335" t="str">
        <f>MID(Master_ventas[[#This Row],[ProdUpper]],1,3)</f>
        <v>LAP</v>
      </c>
      <c r="O2335" t="str">
        <f>UPPER(IF(Master_ventas[[#This Row],[Profit]]&gt;500,"High","Std"))</f>
        <v>STD</v>
      </c>
      <c r="P2335">
        <v>2334</v>
      </c>
    </row>
    <row r="2336" spans="1:16" x14ac:dyDescent="0.3">
      <c r="A2336" s="1">
        <v>45157</v>
      </c>
      <c r="B2336" t="s">
        <v>17</v>
      </c>
      <c r="C2336" t="s">
        <v>14</v>
      </c>
      <c r="D2336" t="s">
        <v>15</v>
      </c>
      <c r="E2336">
        <v>7</v>
      </c>
      <c r="F2336" s="3">
        <v>7301</v>
      </c>
      <c r="G2336" s="2">
        <v>1311.65</v>
      </c>
      <c r="H2336">
        <f>Master_ventas[[#This Row],[Profit]]/Master_ventas[[#This Row],[Sales]]</f>
        <v>0.17965347212710589</v>
      </c>
      <c r="I2336">
        <f ca="1">Referencia_Hoy-Master_ventas[[#This Row],[Order Date]]</f>
        <v>1166</v>
      </c>
      <c r="J2336" t="str">
        <f>UPPER(Master_ventas[[#This Row],[Product Name]])</f>
        <v>CAMERA</v>
      </c>
      <c r="K2336" t="str">
        <f>UPPER(Master_ventas[[#This Row],[Category]])</f>
        <v>ELECTRONICS</v>
      </c>
      <c r="L2336">
        <f>YEAR(Master_ventas[[#This Row],[Order Date]])</f>
        <v>2023</v>
      </c>
      <c r="M2336" t="str">
        <f>CONCATENATE(LEFT(Master_ventas[[#This Row],[ProdUpper]],3),RIGHT(Master_ventas[[#This Row],[Ext-Year]],2),"-",MID(Master_ventas[[#This Row],[Category]],1,1))</f>
        <v>CAM23-E</v>
      </c>
      <c r="N2336" t="str">
        <f>MID(Master_ventas[[#This Row],[ProdUpper]],1,3)</f>
        <v>CAM</v>
      </c>
      <c r="O2336" t="str">
        <f>UPPER(IF(Master_ventas[[#This Row],[Profit]]&gt;500,"High","Std"))</f>
        <v>HIGH</v>
      </c>
      <c r="P2336">
        <v>2335</v>
      </c>
    </row>
    <row r="2337" spans="1:16" x14ac:dyDescent="0.3">
      <c r="A2337" s="1">
        <v>45036</v>
      </c>
      <c r="B2337" t="s">
        <v>22</v>
      </c>
      <c r="C2337" t="s">
        <v>11</v>
      </c>
      <c r="D2337" t="s">
        <v>15</v>
      </c>
      <c r="E2337">
        <v>2</v>
      </c>
      <c r="F2337" s="3">
        <v>2016</v>
      </c>
      <c r="G2337" s="2">
        <v>198.26</v>
      </c>
      <c r="H2337">
        <f>Master_ventas[[#This Row],[Profit]]/Master_ventas[[#This Row],[Sales]]</f>
        <v>9.8343253968253969E-2</v>
      </c>
      <c r="I2337">
        <f ca="1">Referencia_Hoy-Master_ventas[[#This Row],[Order Date]]</f>
        <v>1287</v>
      </c>
      <c r="J2337" t="str">
        <f>UPPER(Master_ventas[[#This Row],[Product Name]])</f>
        <v>KEYBOARD</v>
      </c>
      <c r="K2337" t="str">
        <f>UPPER(Master_ventas[[#This Row],[Category]])</f>
        <v>ACCESSORIES</v>
      </c>
      <c r="L2337">
        <f>YEAR(Master_ventas[[#This Row],[Order Date]])</f>
        <v>2023</v>
      </c>
      <c r="M2337" t="str">
        <f>CONCATENATE(LEFT(Master_ventas[[#This Row],[ProdUpper]],3),RIGHT(Master_ventas[[#This Row],[Ext-Year]],2),"-",MID(Master_ventas[[#This Row],[Category]],1,1))</f>
        <v>KEY23-A</v>
      </c>
      <c r="N2337" t="str">
        <f>MID(Master_ventas[[#This Row],[ProdUpper]],1,3)</f>
        <v>KEY</v>
      </c>
      <c r="O2337" t="str">
        <f>UPPER(IF(Master_ventas[[#This Row],[Profit]]&gt;500,"High","Std"))</f>
        <v>STD</v>
      </c>
      <c r="P2337">
        <v>2336</v>
      </c>
    </row>
    <row r="2338" spans="1:16" x14ac:dyDescent="0.3">
      <c r="A2338" s="1">
        <v>44742</v>
      </c>
      <c r="B2338" t="s">
        <v>23</v>
      </c>
      <c r="C2338" t="s">
        <v>14</v>
      </c>
      <c r="D2338" t="s">
        <v>9</v>
      </c>
      <c r="E2338">
        <v>6</v>
      </c>
      <c r="F2338" s="3">
        <v>1266</v>
      </c>
      <c r="G2338" s="2">
        <v>220.5</v>
      </c>
      <c r="H2338">
        <f>Master_ventas[[#This Row],[Profit]]/Master_ventas[[#This Row],[Sales]]</f>
        <v>0.17417061611374407</v>
      </c>
      <c r="I2338">
        <f ca="1">Referencia_Hoy-Master_ventas[[#This Row],[Order Date]]</f>
        <v>1581</v>
      </c>
      <c r="J2338" t="str">
        <f>UPPER(Master_ventas[[#This Row],[Product Name]])</f>
        <v>LAPTOP</v>
      </c>
      <c r="K2338" t="str">
        <f>UPPER(Master_ventas[[#This Row],[Category]])</f>
        <v>ELECTRONICS</v>
      </c>
      <c r="L2338">
        <f>YEAR(Master_ventas[[#This Row],[Order Date]])</f>
        <v>2022</v>
      </c>
      <c r="M2338" t="str">
        <f>CONCATENATE(LEFT(Master_ventas[[#This Row],[ProdUpper]],3),RIGHT(Master_ventas[[#This Row],[Ext-Year]],2),"-",MID(Master_ventas[[#This Row],[Category]],1,1))</f>
        <v>LAP22-E</v>
      </c>
      <c r="N2338" t="str">
        <f>MID(Master_ventas[[#This Row],[ProdUpper]],1,3)</f>
        <v>LAP</v>
      </c>
      <c r="O2338" t="str">
        <f>UPPER(IF(Master_ventas[[#This Row],[Profit]]&gt;500,"High","Std"))</f>
        <v>STD</v>
      </c>
      <c r="P2338">
        <v>2337</v>
      </c>
    </row>
    <row r="2339" spans="1:16" x14ac:dyDescent="0.3">
      <c r="A2339" s="1">
        <v>45027</v>
      </c>
      <c r="B2339" t="s">
        <v>10</v>
      </c>
      <c r="C2339" t="s">
        <v>11</v>
      </c>
      <c r="D2339" t="s">
        <v>16</v>
      </c>
      <c r="E2339">
        <v>2</v>
      </c>
      <c r="F2339" s="3">
        <v>140</v>
      </c>
      <c r="G2339" s="2">
        <v>35.18</v>
      </c>
      <c r="H2339">
        <f>Master_ventas[[#This Row],[Profit]]/Master_ventas[[#This Row],[Sales]]</f>
        <v>0.25128571428571428</v>
      </c>
      <c r="I2339">
        <f ca="1">Referencia_Hoy-Master_ventas[[#This Row],[Order Date]]</f>
        <v>1296</v>
      </c>
      <c r="J2339" t="str">
        <f>UPPER(Master_ventas[[#This Row],[Product Name]])</f>
        <v>MOUSE</v>
      </c>
      <c r="K2339" t="str">
        <f>UPPER(Master_ventas[[#This Row],[Category]])</f>
        <v>ACCESSORIES</v>
      </c>
      <c r="L2339">
        <f>YEAR(Master_ventas[[#This Row],[Order Date]])</f>
        <v>2023</v>
      </c>
      <c r="M2339" t="str">
        <f>CONCATENATE(LEFT(Master_ventas[[#This Row],[ProdUpper]],3),RIGHT(Master_ventas[[#This Row],[Ext-Year]],2),"-",MID(Master_ventas[[#This Row],[Category]],1,1))</f>
        <v>MOU23-A</v>
      </c>
      <c r="N2339" t="str">
        <f>MID(Master_ventas[[#This Row],[ProdUpper]],1,3)</f>
        <v>MOU</v>
      </c>
      <c r="O2339" t="str">
        <f>UPPER(IF(Master_ventas[[#This Row],[Profit]]&gt;500,"High","Std"))</f>
        <v>STD</v>
      </c>
      <c r="P2339">
        <v>2338</v>
      </c>
    </row>
    <row r="2340" spans="1:16" x14ac:dyDescent="0.3">
      <c r="A2340" s="1">
        <v>45495</v>
      </c>
      <c r="B2340" t="s">
        <v>17</v>
      </c>
      <c r="C2340" t="s">
        <v>14</v>
      </c>
      <c r="D2340" t="s">
        <v>12</v>
      </c>
      <c r="E2340">
        <v>8</v>
      </c>
      <c r="F2340" s="3">
        <v>6520</v>
      </c>
      <c r="G2340" s="2">
        <v>1073.6199999999999</v>
      </c>
      <c r="H2340">
        <f>Master_ventas[[#This Row],[Profit]]/Master_ventas[[#This Row],[Sales]]</f>
        <v>0.16466564417177912</v>
      </c>
      <c r="I2340">
        <f ca="1">Referencia_Hoy-Master_ventas[[#This Row],[Order Date]]</f>
        <v>828</v>
      </c>
      <c r="J2340" t="str">
        <f>UPPER(Master_ventas[[#This Row],[Product Name]])</f>
        <v>CAMERA</v>
      </c>
      <c r="K2340" t="str">
        <f>UPPER(Master_ventas[[#This Row],[Category]])</f>
        <v>ELECTRONICS</v>
      </c>
      <c r="L2340">
        <f>YEAR(Master_ventas[[#This Row],[Order Date]])</f>
        <v>2024</v>
      </c>
      <c r="M2340" t="str">
        <f>CONCATENATE(LEFT(Master_ventas[[#This Row],[ProdUpper]],3),RIGHT(Master_ventas[[#This Row],[Ext-Year]],2),"-",MID(Master_ventas[[#This Row],[Category]],1,1))</f>
        <v>CAM24-E</v>
      </c>
      <c r="N2340" t="str">
        <f>MID(Master_ventas[[#This Row],[ProdUpper]],1,3)</f>
        <v>CAM</v>
      </c>
      <c r="O2340" t="str">
        <f>UPPER(IF(Master_ventas[[#This Row],[Profit]]&gt;500,"High","Std"))</f>
        <v>HIGH</v>
      </c>
      <c r="P2340">
        <v>2339</v>
      </c>
    </row>
    <row r="2341" spans="1:16" x14ac:dyDescent="0.3">
      <c r="A2341" s="1">
        <v>44611</v>
      </c>
      <c r="B2341" t="s">
        <v>22</v>
      </c>
      <c r="C2341" t="s">
        <v>11</v>
      </c>
      <c r="D2341" t="s">
        <v>12</v>
      </c>
      <c r="E2341">
        <v>1</v>
      </c>
      <c r="F2341" s="3">
        <v>582</v>
      </c>
      <c r="G2341" s="2">
        <v>29.91</v>
      </c>
      <c r="H2341">
        <f>Master_ventas[[#This Row],[Profit]]/Master_ventas[[#This Row],[Sales]]</f>
        <v>5.1391752577319587E-2</v>
      </c>
      <c r="I2341">
        <f ca="1">Referencia_Hoy-Master_ventas[[#This Row],[Order Date]]</f>
        <v>1712</v>
      </c>
      <c r="J2341" t="str">
        <f>UPPER(Master_ventas[[#This Row],[Product Name]])</f>
        <v>KEYBOARD</v>
      </c>
      <c r="K2341" t="str">
        <f>UPPER(Master_ventas[[#This Row],[Category]])</f>
        <v>ACCESSORIES</v>
      </c>
      <c r="L2341">
        <f>YEAR(Master_ventas[[#This Row],[Order Date]])</f>
        <v>2022</v>
      </c>
      <c r="M2341" t="str">
        <f>CONCATENATE(LEFT(Master_ventas[[#This Row],[ProdUpper]],3),RIGHT(Master_ventas[[#This Row],[Ext-Year]],2),"-",MID(Master_ventas[[#This Row],[Category]],1,1))</f>
        <v>KEY22-A</v>
      </c>
      <c r="N2341" t="str">
        <f>MID(Master_ventas[[#This Row],[ProdUpper]],1,3)</f>
        <v>KEY</v>
      </c>
      <c r="O2341" t="str">
        <f>UPPER(IF(Master_ventas[[#This Row],[Profit]]&gt;500,"High","Std"))</f>
        <v>STD</v>
      </c>
      <c r="P2341">
        <v>2340</v>
      </c>
    </row>
    <row r="2342" spans="1:16" x14ac:dyDescent="0.3">
      <c r="A2342" s="1">
        <v>45361</v>
      </c>
      <c r="B2342" t="s">
        <v>7</v>
      </c>
      <c r="C2342" t="s">
        <v>8</v>
      </c>
      <c r="D2342" t="s">
        <v>16</v>
      </c>
      <c r="E2342">
        <v>1</v>
      </c>
      <c r="F2342" s="3">
        <v>245</v>
      </c>
      <c r="G2342" s="2">
        <v>14.5</v>
      </c>
      <c r="H2342">
        <f>Master_ventas[[#This Row],[Profit]]/Master_ventas[[#This Row],[Sales]]</f>
        <v>5.9183673469387757E-2</v>
      </c>
      <c r="I2342">
        <f ca="1">Referencia_Hoy-Master_ventas[[#This Row],[Order Date]]</f>
        <v>962</v>
      </c>
      <c r="J2342" t="str">
        <f>UPPER(Master_ventas[[#This Row],[Product Name]])</f>
        <v>PRINTER</v>
      </c>
      <c r="K2342" t="str">
        <f>UPPER(Master_ventas[[#This Row],[Category]])</f>
        <v>OFFICE</v>
      </c>
      <c r="L2342">
        <f>YEAR(Master_ventas[[#This Row],[Order Date]])</f>
        <v>2024</v>
      </c>
      <c r="M2342" t="str">
        <f>CONCATENATE(LEFT(Master_ventas[[#This Row],[ProdUpper]],3),RIGHT(Master_ventas[[#This Row],[Ext-Year]],2),"-",MID(Master_ventas[[#This Row],[Category]],1,1))</f>
        <v>PRI24-O</v>
      </c>
      <c r="N2342" t="str">
        <f>MID(Master_ventas[[#This Row],[ProdUpper]],1,3)</f>
        <v>PRI</v>
      </c>
      <c r="O2342" t="str">
        <f>UPPER(IF(Master_ventas[[#This Row],[Profit]]&gt;500,"High","Std"))</f>
        <v>STD</v>
      </c>
      <c r="P2342">
        <v>2341</v>
      </c>
    </row>
    <row r="2343" spans="1:16" x14ac:dyDescent="0.3">
      <c r="A2343" s="1">
        <v>45409</v>
      </c>
      <c r="B2343" t="s">
        <v>10</v>
      </c>
      <c r="C2343" t="s">
        <v>11</v>
      </c>
      <c r="D2343" t="s">
        <v>15</v>
      </c>
      <c r="E2343">
        <v>1</v>
      </c>
      <c r="F2343" s="3">
        <v>504</v>
      </c>
      <c r="G2343" s="2">
        <v>143.12</v>
      </c>
      <c r="H2343">
        <f>Master_ventas[[#This Row],[Profit]]/Master_ventas[[#This Row],[Sales]]</f>
        <v>0.28396825396825398</v>
      </c>
      <c r="I2343">
        <f ca="1">Referencia_Hoy-Master_ventas[[#This Row],[Order Date]]</f>
        <v>914</v>
      </c>
      <c r="J2343" t="str">
        <f>UPPER(Master_ventas[[#This Row],[Product Name]])</f>
        <v>MOUSE</v>
      </c>
      <c r="K2343" t="str">
        <f>UPPER(Master_ventas[[#This Row],[Category]])</f>
        <v>ACCESSORIES</v>
      </c>
      <c r="L2343">
        <f>YEAR(Master_ventas[[#This Row],[Order Date]])</f>
        <v>2024</v>
      </c>
      <c r="M2343" t="str">
        <f>CONCATENATE(LEFT(Master_ventas[[#This Row],[ProdUpper]],3),RIGHT(Master_ventas[[#This Row],[Ext-Year]],2),"-",MID(Master_ventas[[#This Row],[Category]],1,1))</f>
        <v>MOU24-A</v>
      </c>
      <c r="N2343" t="str">
        <f>MID(Master_ventas[[#This Row],[ProdUpper]],1,3)</f>
        <v>MOU</v>
      </c>
      <c r="O2343" t="str">
        <f>UPPER(IF(Master_ventas[[#This Row],[Profit]]&gt;500,"High","Std"))</f>
        <v>STD</v>
      </c>
      <c r="P2343">
        <v>2342</v>
      </c>
    </row>
    <row r="2344" spans="1:16" x14ac:dyDescent="0.3">
      <c r="A2344" s="1">
        <v>44840</v>
      </c>
      <c r="B2344" t="s">
        <v>20</v>
      </c>
      <c r="C2344" t="s">
        <v>11</v>
      </c>
      <c r="D2344" t="s">
        <v>15</v>
      </c>
      <c r="E2344">
        <v>6</v>
      </c>
      <c r="F2344" s="3">
        <v>6834</v>
      </c>
      <c r="G2344" s="2">
        <v>1211.75</v>
      </c>
      <c r="H2344">
        <f>Master_ventas[[#This Row],[Profit]]/Master_ventas[[#This Row],[Sales]]</f>
        <v>0.17731196956394499</v>
      </c>
      <c r="I2344">
        <f ca="1">Referencia_Hoy-Master_ventas[[#This Row],[Order Date]]</f>
        <v>1483</v>
      </c>
      <c r="J2344" t="str">
        <f>UPPER(Master_ventas[[#This Row],[Product Name]])</f>
        <v>MONITOR</v>
      </c>
      <c r="K2344" t="str">
        <f>UPPER(Master_ventas[[#This Row],[Category]])</f>
        <v>ACCESSORIES</v>
      </c>
      <c r="L2344">
        <f>YEAR(Master_ventas[[#This Row],[Order Date]])</f>
        <v>2022</v>
      </c>
      <c r="M2344" t="str">
        <f>CONCATENATE(LEFT(Master_ventas[[#This Row],[ProdUpper]],3),RIGHT(Master_ventas[[#This Row],[Ext-Year]],2),"-",MID(Master_ventas[[#This Row],[Category]],1,1))</f>
        <v>MON22-A</v>
      </c>
      <c r="N2344" t="str">
        <f>MID(Master_ventas[[#This Row],[ProdUpper]],1,3)</f>
        <v>MON</v>
      </c>
      <c r="O2344" t="str">
        <f>UPPER(IF(Master_ventas[[#This Row],[Profit]]&gt;500,"High","Std"))</f>
        <v>HIGH</v>
      </c>
      <c r="P2344">
        <v>2343</v>
      </c>
    </row>
    <row r="2345" spans="1:16" x14ac:dyDescent="0.3">
      <c r="A2345" s="1">
        <v>44835</v>
      </c>
      <c r="B2345" t="s">
        <v>18</v>
      </c>
      <c r="C2345" t="s">
        <v>11</v>
      </c>
      <c r="D2345" t="s">
        <v>16</v>
      </c>
      <c r="E2345">
        <v>8</v>
      </c>
      <c r="F2345" s="3">
        <v>5712</v>
      </c>
      <c r="G2345" s="2">
        <v>1191.02</v>
      </c>
      <c r="H2345">
        <f>Master_ventas[[#This Row],[Profit]]/Master_ventas[[#This Row],[Sales]]</f>
        <v>0.20851190476190476</v>
      </c>
      <c r="I2345">
        <f ca="1">Referencia_Hoy-Master_ventas[[#This Row],[Order Date]]</f>
        <v>1488</v>
      </c>
      <c r="J2345" t="str">
        <f>UPPER(Master_ventas[[#This Row],[Product Name]])</f>
        <v>HEADPHONES</v>
      </c>
      <c r="K2345" t="str">
        <f>UPPER(Master_ventas[[#This Row],[Category]])</f>
        <v>ACCESSORIES</v>
      </c>
      <c r="L2345">
        <f>YEAR(Master_ventas[[#This Row],[Order Date]])</f>
        <v>2022</v>
      </c>
      <c r="M2345" t="str">
        <f>CONCATENATE(LEFT(Master_ventas[[#This Row],[ProdUpper]],3),RIGHT(Master_ventas[[#This Row],[Ext-Year]],2),"-",MID(Master_ventas[[#This Row],[Category]],1,1))</f>
        <v>HEA22-A</v>
      </c>
      <c r="N2345" t="str">
        <f>MID(Master_ventas[[#This Row],[ProdUpper]],1,3)</f>
        <v>HEA</v>
      </c>
      <c r="O2345" t="str">
        <f>UPPER(IF(Master_ventas[[#This Row],[Profit]]&gt;500,"High","Std"))</f>
        <v>HIGH</v>
      </c>
      <c r="P2345">
        <v>2344</v>
      </c>
    </row>
    <row r="2346" spans="1:16" x14ac:dyDescent="0.3">
      <c r="A2346" s="1">
        <v>45055</v>
      </c>
      <c r="B2346" t="s">
        <v>23</v>
      </c>
      <c r="C2346" t="s">
        <v>14</v>
      </c>
      <c r="D2346" t="s">
        <v>15</v>
      </c>
      <c r="E2346">
        <v>5</v>
      </c>
      <c r="F2346" s="3">
        <v>4485</v>
      </c>
      <c r="G2346" s="2">
        <v>347.99</v>
      </c>
      <c r="H2346">
        <f>Master_ventas[[#This Row],[Profit]]/Master_ventas[[#This Row],[Sales]]</f>
        <v>7.758974358974359E-2</v>
      </c>
      <c r="I2346">
        <f ca="1">Referencia_Hoy-Master_ventas[[#This Row],[Order Date]]</f>
        <v>1268</v>
      </c>
      <c r="J2346" t="str">
        <f>UPPER(Master_ventas[[#This Row],[Product Name]])</f>
        <v>LAPTOP</v>
      </c>
      <c r="K2346" t="str">
        <f>UPPER(Master_ventas[[#This Row],[Category]])</f>
        <v>ELECTRONICS</v>
      </c>
      <c r="L2346">
        <f>YEAR(Master_ventas[[#This Row],[Order Date]])</f>
        <v>2023</v>
      </c>
      <c r="M2346" t="str">
        <f>CONCATENATE(LEFT(Master_ventas[[#This Row],[ProdUpper]],3),RIGHT(Master_ventas[[#This Row],[Ext-Year]],2),"-",MID(Master_ventas[[#This Row],[Category]],1,1))</f>
        <v>LAP23-E</v>
      </c>
      <c r="N2346" t="str">
        <f>MID(Master_ventas[[#This Row],[ProdUpper]],1,3)</f>
        <v>LAP</v>
      </c>
      <c r="O2346" t="str">
        <f>UPPER(IF(Master_ventas[[#This Row],[Profit]]&gt;500,"High","Std"))</f>
        <v>STD</v>
      </c>
      <c r="P2346">
        <v>2345</v>
      </c>
    </row>
    <row r="2347" spans="1:16" x14ac:dyDescent="0.3">
      <c r="A2347" s="1">
        <v>45445</v>
      </c>
      <c r="B2347" t="s">
        <v>18</v>
      </c>
      <c r="C2347" t="s">
        <v>11</v>
      </c>
      <c r="D2347" t="s">
        <v>16</v>
      </c>
      <c r="E2347">
        <v>8</v>
      </c>
      <c r="F2347" s="3">
        <v>2304</v>
      </c>
      <c r="G2347" s="2">
        <v>291.45999999999998</v>
      </c>
      <c r="H2347">
        <f>Master_ventas[[#This Row],[Profit]]/Master_ventas[[#This Row],[Sales]]</f>
        <v>0.1265017361111111</v>
      </c>
      <c r="I2347">
        <f ca="1">Referencia_Hoy-Master_ventas[[#This Row],[Order Date]]</f>
        <v>878</v>
      </c>
      <c r="J2347" t="str">
        <f>UPPER(Master_ventas[[#This Row],[Product Name]])</f>
        <v>HEADPHONES</v>
      </c>
      <c r="K2347" t="str">
        <f>UPPER(Master_ventas[[#This Row],[Category]])</f>
        <v>ACCESSORIES</v>
      </c>
      <c r="L2347">
        <f>YEAR(Master_ventas[[#This Row],[Order Date]])</f>
        <v>2024</v>
      </c>
      <c r="M2347" t="str">
        <f>CONCATENATE(LEFT(Master_ventas[[#This Row],[ProdUpper]],3),RIGHT(Master_ventas[[#This Row],[Ext-Year]],2),"-",MID(Master_ventas[[#This Row],[Category]],1,1))</f>
        <v>HEA24-A</v>
      </c>
      <c r="N2347" t="str">
        <f>MID(Master_ventas[[#This Row],[ProdUpper]],1,3)</f>
        <v>HEA</v>
      </c>
      <c r="O2347" t="str">
        <f>UPPER(IF(Master_ventas[[#This Row],[Profit]]&gt;500,"High","Std"))</f>
        <v>STD</v>
      </c>
      <c r="P2347">
        <v>2346</v>
      </c>
    </row>
    <row r="2348" spans="1:16" x14ac:dyDescent="0.3">
      <c r="A2348" s="1">
        <v>45466</v>
      </c>
      <c r="B2348" t="s">
        <v>10</v>
      </c>
      <c r="C2348" t="s">
        <v>11</v>
      </c>
      <c r="D2348" t="s">
        <v>9</v>
      </c>
      <c r="E2348">
        <v>6</v>
      </c>
      <c r="F2348" s="3">
        <v>6576</v>
      </c>
      <c r="G2348" s="2">
        <v>815.56</v>
      </c>
      <c r="H2348">
        <f>Master_ventas[[#This Row],[Profit]]/Master_ventas[[#This Row],[Sales]]</f>
        <v>0.12402068126520681</v>
      </c>
      <c r="I2348">
        <f ca="1">Referencia_Hoy-Master_ventas[[#This Row],[Order Date]]</f>
        <v>857</v>
      </c>
      <c r="J2348" t="str">
        <f>UPPER(Master_ventas[[#This Row],[Product Name]])</f>
        <v>MOUSE</v>
      </c>
      <c r="K2348" t="str">
        <f>UPPER(Master_ventas[[#This Row],[Category]])</f>
        <v>ACCESSORIES</v>
      </c>
      <c r="L2348">
        <f>YEAR(Master_ventas[[#This Row],[Order Date]])</f>
        <v>2024</v>
      </c>
      <c r="M2348" t="str">
        <f>CONCATENATE(LEFT(Master_ventas[[#This Row],[ProdUpper]],3),RIGHT(Master_ventas[[#This Row],[Ext-Year]],2),"-",MID(Master_ventas[[#This Row],[Category]],1,1))</f>
        <v>MOU24-A</v>
      </c>
      <c r="N2348" t="str">
        <f>MID(Master_ventas[[#This Row],[ProdUpper]],1,3)</f>
        <v>MOU</v>
      </c>
      <c r="O2348" t="str">
        <f>UPPER(IF(Master_ventas[[#This Row],[Profit]]&gt;500,"High","Std"))</f>
        <v>HIGH</v>
      </c>
      <c r="P2348">
        <v>2347</v>
      </c>
    </row>
    <row r="2349" spans="1:16" x14ac:dyDescent="0.3">
      <c r="A2349" s="1">
        <v>44881</v>
      </c>
      <c r="B2349" t="s">
        <v>22</v>
      </c>
      <c r="C2349" t="s">
        <v>11</v>
      </c>
      <c r="D2349" t="s">
        <v>15</v>
      </c>
      <c r="E2349">
        <v>9</v>
      </c>
      <c r="F2349" s="3">
        <v>10629</v>
      </c>
      <c r="G2349" s="2">
        <v>2843.54</v>
      </c>
      <c r="H2349">
        <f>Master_ventas[[#This Row],[Profit]]/Master_ventas[[#This Row],[Sales]]</f>
        <v>0.26752657822937248</v>
      </c>
      <c r="I2349">
        <f ca="1">Referencia_Hoy-Master_ventas[[#This Row],[Order Date]]</f>
        <v>1442</v>
      </c>
      <c r="J2349" t="str">
        <f>UPPER(Master_ventas[[#This Row],[Product Name]])</f>
        <v>KEYBOARD</v>
      </c>
      <c r="K2349" t="str">
        <f>UPPER(Master_ventas[[#This Row],[Category]])</f>
        <v>ACCESSORIES</v>
      </c>
      <c r="L2349">
        <f>YEAR(Master_ventas[[#This Row],[Order Date]])</f>
        <v>2022</v>
      </c>
      <c r="M2349" t="str">
        <f>CONCATENATE(LEFT(Master_ventas[[#This Row],[ProdUpper]],3),RIGHT(Master_ventas[[#This Row],[Ext-Year]],2),"-",MID(Master_ventas[[#This Row],[Category]],1,1))</f>
        <v>KEY22-A</v>
      </c>
      <c r="N2349" t="str">
        <f>MID(Master_ventas[[#This Row],[ProdUpper]],1,3)</f>
        <v>KEY</v>
      </c>
      <c r="O2349" t="str">
        <f>UPPER(IF(Master_ventas[[#This Row],[Profit]]&gt;500,"High","Std"))</f>
        <v>HIGH</v>
      </c>
      <c r="P2349">
        <v>2348</v>
      </c>
    </row>
    <row r="2350" spans="1:16" x14ac:dyDescent="0.3">
      <c r="A2350" s="1">
        <v>44632</v>
      </c>
      <c r="B2350" t="s">
        <v>17</v>
      </c>
      <c r="C2350" t="s">
        <v>14</v>
      </c>
      <c r="D2350" t="s">
        <v>12</v>
      </c>
      <c r="E2350">
        <v>1</v>
      </c>
      <c r="F2350" s="3">
        <v>706</v>
      </c>
      <c r="G2350" s="2">
        <v>153.59</v>
      </c>
      <c r="H2350">
        <f>Master_ventas[[#This Row],[Profit]]/Master_ventas[[#This Row],[Sales]]</f>
        <v>0.21754957507082154</v>
      </c>
      <c r="I2350">
        <f ca="1">Referencia_Hoy-Master_ventas[[#This Row],[Order Date]]</f>
        <v>1691</v>
      </c>
      <c r="J2350" t="str">
        <f>UPPER(Master_ventas[[#This Row],[Product Name]])</f>
        <v>CAMERA</v>
      </c>
      <c r="K2350" t="str">
        <f>UPPER(Master_ventas[[#This Row],[Category]])</f>
        <v>ELECTRONICS</v>
      </c>
      <c r="L2350">
        <f>YEAR(Master_ventas[[#This Row],[Order Date]])</f>
        <v>2022</v>
      </c>
      <c r="M2350" t="str">
        <f>CONCATENATE(LEFT(Master_ventas[[#This Row],[ProdUpper]],3),RIGHT(Master_ventas[[#This Row],[Ext-Year]],2),"-",MID(Master_ventas[[#This Row],[Category]],1,1))</f>
        <v>CAM22-E</v>
      </c>
      <c r="N2350" t="str">
        <f>MID(Master_ventas[[#This Row],[ProdUpper]],1,3)</f>
        <v>CAM</v>
      </c>
      <c r="O2350" t="str">
        <f>UPPER(IF(Master_ventas[[#This Row],[Profit]]&gt;500,"High","Std"))</f>
        <v>STD</v>
      </c>
      <c r="P2350">
        <v>2349</v>
      </c>
    </row>
    <row r="2351" spans="1:16" x14ac:dyDescent="0.3">
      <c r="A2351" s="1">
        <v>44667</v>
      </c>
      <c r="B2351" t="s">
        <v>18</v>
      </c>
      <c r="C2351" t="s">
        <v>11</v>
      </c>
      <c r="D2351" t="s">
        <v>15</v>
      </c>
      <c r="E2351">
        <v>1</v>
      </c>
      <c r="F2351" s="3">
        <v>977</v>
      </c>
      <c r="G2351" s="2">
        <v>103.82</v>
      </c>
      <c r="H2351">
        <f>Master_ventas[[#This Row],[Profit]]/Master_ventas[[#This Row],[Sales]]</f>
        <v>0.10626407369498464</v>
      </c>
      <c r="I2351">
        <f ca="1">Referencia_Hoy-Master_ventas[[#This Row],[Order Date]]</f>
        <v>1656</v>
      </c>
      <c r="J2351" t="str">
        <f>UPPER(Master_ventas[[#This Row],[Product Name]])</f>
        <v>HEADPHONES</v>
      </c>
      <c r="K2351" t="str">
        <f>UPPER(Master_ventas[[#This Row],[Category]])</f>
        <v>ACCESSORIES</v>
      </c>
      <c r="L2351">
        <f>YEAR(Master_ventas[[#This Row],[Order Date]])</f>
        <v>2022</v>
      </c>
      <c r="M2351" t="str">
        <f>CONCATENATE(LEFT(Master_ventas[[#This Row],[ProdUpper]],3),RIGHT(Master_ventas[[#This Row],[Ext-Year]],2),"-",MID(Master_ventas[[#This Row],[Category]],1,1))</f>
        <v>HEA22-A</v>
      </c>
      <c r="N2351" t="str">
        <f>MID(Master_ventas[[#This Row],[ProdUpper]],1,3)</f>
        <v>HEA</v>
      </c>
      <c r="O2351" t="str">
        <f>UPPER(IF(Master_ventas[[#This Row],[Profit]]&gt;500,"High","Std"))</f>
        <v>STD</v>
      </c>
      <c r="P2351">
        <v>2350</v>
      </c>
    </row>
    <row r="2352" spans="1:16" x14ac:dyDescent="0.3">
      <c r="A2352" s="1">
        <v>45032</v>
      </c>
      <c r="B2352" t="s">
        <v>19</v>
      </c>
      <c r="C2352" t="s">
        <v>14</v>
      </c>
      <c r="D2352" t="s">
        <v>15</v>
      </c>
      <c r="E2352">
        <v>4</v>
      </c>
      <c r="F2352" s="3">
        <v>776</v>
      </c>
      <c r="G2352" s="2">
        <v>73.16</v>
      </c>
      <c r="H2352">
        <f>Master_ventas[[#This Row],[Profit]]/Master_ventas[[#This Row],[Sales]]</f>
        <v>9.4278350515463918E-2</v>
      </c>
      <c r="I2352">
        <f ca="1">Referencia_Hoy-Master_ventas[[#This Row],[Order Date]]</f>
        <v>1291</v>
      </c>
      <c r="J2352" t="str">
        <f>UPPER(Master_ventas[[#This Row],[Product Name]])</f>
        <v>SMARTWATCH</v>
      </c>
      <c r="K2352" t="str">
        <f>UPPER(Master_ventas[[#This Row],[Category]])</f>
        <v>ELECTRONICS</v>
      </c>
      <c r="L2352">
        <f>YEAR(Master_ventas[[#This Row],[Order Date]])</f>
        <v>2023</v>
      </c>
      <c r="M2352" t="str">
        <f>CONCATENATE(LEFT(Master_ventas[[#This Row],[ProdUpper]],3),RIGHT(Master_ventas[[#This Row],[Ext-Year]],2),"-",MID(Master_ventas[[#This Row],[Category]],1,1))</f>
        <v>SMA23-E</v>
      </c>
      <c r="N2352" t="str">
        <f>MID(Master_ventas[[#This Row],[ProdUpper]],1,3)</f>
        <v>SMA</v>
      </c>
      <c r="O2352" t="str">
        <f>UPPER(IF(Master_ventas[[#This Row],[Profit]]&gt;500,"High","Std"))</f>
        <v>STD</v>
      </c>
      <c r="P2352">
        <v>2351</v>
      </c>
    </row>
    <row r="2353" spans="1:16" x14ac:dyDescent="0.3">
      <c r="A2353" s="1">
        <v>44846</v>
      </c>
      <c r="B2353" t="s">
        <v>13</v>
      </c>
      <c r="C2353" t="s">
        <v>14</v>
      </c>
      <c r="D2353" t="s">
        <v>16</v>
      </c>
      <c r="E2353">
        <v>4</v>
      </c>
      <c r="F2353" s="3">
        <v>3932</v>
      </c>
      <c r="G2353" s="2">
        <v>309.43</v>
      </c>
      <c r="H2353">
        <f>Master_ventas[[#This Row],[Profit]]/Master_ventas[[#This Row],[Sales]]</f>
        <v>7.8695320447609365E-2</v>
      </c>
      <c r="I2353">
        <f ca="1">Referencia_Hoy-Master_ventas[[#This Row],[Order Date]]</f>
        <v>1477</v>
      </c>
      <c r="J2353" t="str">
        <f>UPPER(Master_ventas[[#This Row],[Product Name]])</f>
        <v>TABLET</v>
      </c>
      <c r="K2353" t="str">
        <f>UPPER(Master_ventas[[#This Row],[Category]])</f>
        <v>ELECTRONICS</v>
      </c>
      <c r="L2353">
        <f>YEAR(Master_ventas[[#This Row],[Order Date]])</f>
        <v>2022</v>
      </c>
      <c r="M2353" t="str">
        <f>CONCATENATE(LEFT(Master_ventas[[#This Row],[ProdUpper]],3),RIGHT(Master_ventas[[#This Row],[Ext-Year]],2),"-",MID(Master_ventas[[#This Row],[Category]],1,1))</f>
        <v>TAB22-E</v>
      </c>
      <c r="N2353" t="str">
        <f>MID(Master_ventas[[#This Row],[ProdUpper]],1,3)</f>
        <v>TAB</v>
      </c>
      <c r="O2353" t="str">
        <f>UPPER(IF(Master_ventas[[#This Row],[Profit]]&gt;500,"High","Std"))</f>
        <v>STD</v>
      </c>
      <c r="P2353">
        <v>2352</v>
      </c>
    </row>
    <row r="2354" spans="1:16" x14ac:dyDescent="0.3">
      <c r="A2354" s="1">
        <v>44863</v>
      </c>
      <c r="B2354" t="s">
        <v>22</v>
      </c>
      <c r="C2354" t="s">
        <v>11</v>
      </c>
      <c r="D2354" t="s">
        <v>12</v>
      </c>
      <c r="E2354">
        <v>3</v>
      </c>
      <c r="F2354" s="3">
        <v>1263</v>
      </c>
      <c r="G2354" s="2">
        <v>368.46</v>
      </c>
      <c r="H2354">
        <f>Master_ventas[[#This Row],[Profit]]/Master_ventas[[#This Row],[Sales]]</f>
        <v>0.29173396674584323</v>
      </c>
      <c r="I2354">
        <f ca="1">Referencia_Hoy-Master_ventas[[#This Row],[Order Date]]</f>
        <v>1460</v>
      </c>
      <c r="J2354" t="str">
        <f>UPPER(Master_ventas[[#This Row],[Product Name]])</f>
        <v>KEYBOARD</v>
      </c>
      <c r="K2354" t="str">
        <f>UPPER(Master_ventas[[#This Row],[Category]])</f>
        <v>ACCESSORIES</v>
      </c>
      <c r="L2354">
        <f>YEAR(Master_ventas[[#This Row],[Order Date]])</f>
        <v>2022</v>
      </c>
      <c r="M2354" t="str">
        <f>CONCATENATE(LEFT(Master_ventas[[#This Row],[ProdUpper]],3),RIGHT(Master_ventas[[#This Row],[Ext-Year]],2),"-",MID(Master_ventas[[#This Row],[Category]],1,1))</f>
        <v>KEY22-A</v>
      </c>
      <c r="N2354" t="str">
        <f>MID(Master_ventas[[#This Row],[ProdUpper]],1,3)</f>
        <v>KEY</v>
      </c>
      <c r="O2354" t="str">
        <f>UPPER(IF(Master_ventas[[#This Row],[Profit]]&gt;500,"High","Std"))</f>
        <v>STD</v>
      </c>
      <c r="P2354">
        <v>2353</v>
      </c>
    </row>
    <row r="2355" spans="1:16" x14ac:dyDescent="0.3">
      <c r="A2355" s="1">
        <v>44774</v>
      </c>
      <c r="B2355" t="s">
        <v>22</v>
      </c>
      <c r="C2355" t="s">
        <v>11</v>
      </c>
      <c r="D2355" t="s">
        <v>12</v>
      </c>
      <c r="E2355">
        <v>8</v>
      </c>
      <c r="F2355" s="3">
        <v>7064</v>
      </c>
      <c r="G2355" s="2">
        <v>745.24</v>
      </c>
      <c r="H2355">
        <f>Master_ventas[[#This Row],[Profit]]/Master_ventas[[#This Row],[Sales]]</f>
        <v>0.10549830124575311</v>
      </c>
      <c r="I2355">
        <f ca="1">Referencia_Hoy-Master_ventas[[#This Row],[Order Date]]</f>
        <v>1549</v>
      </c>
      <c r="J2355" t="str">
        <f>UPPER(Master_ventas[[#This Row],[Product Name]])</f>
        <v>KEYBOARD</v>
      </c>
      <c r="K2355" t="str">
        <f>UPPER(Master_ventas[[#This Row],[Category]])</f>
        <v>ACCESSORIES</v>
      </c>
      <c r="L2355">
        <f>YEAR(Master_ventas[[#This Row],[Order Date]])</f>
        <v>2022</v>
      </c>
      <c r="M2355" t="str">
        <f>CONCATENATE(LEFT(Master_ventas[[#This Row],[ProdUpper]],3),RIGHT(Master_ventas[[#This Row],[Ext-Year]],2),"-",MID(Master_ventas[[#This Row],[Category]],1,1))</f>
        <v>KEY22-A</v>
      </c>
      <c r="N2355" t="str">
        <f>MID(Master_ventas[[#This Row],[ProdUpper]],1,3)</f>
        <v>KEY</v>
      </c>
      <c r="O2355" t="str">
        <f>UPPER(IF(Master_ventas[[#This Row],[Profit]]&gt;500,"High","Std"))</f>
        <v>HIGH</v>
      </c>
      <c r="P2355">
        <v>2354</v>
      </c>
    </row>
    <row r="2356" spans="1:16" x14ac:dyDescent="0.3">
      <c r="A2356" s="1">
        <v>45036</v>
      </c>
      <c r="B2356" t="s">
        <v>22</v>
      </c>
      <c r="C2356" t="s">
        <v>11</v>
      </c>
      <c r="D2356" t="s">
        <v>16</v>
      </c>
      <c r="E2356">
        <v>4</v>
      </c>
      <c r="F2356" s="3">
        <v>4740</v>
      </c>
      <c r="G2356" s="2">
        <v>746.77</v>
      </c>
      <c r="H2356">
        <f>Master_ventas[[#This Row],[Profit]]/Master_ventas[[#This Row],[Sales]]</f>
        <v>0.15754641350210971</v>
      </c>
      <c r="I2356">
        <f ca="1">Referencia_Hoy-Master_ventas[[#This Row],[Order Date]]</f>
        <v>1287</v>
      </c>
      <c r="J2356" t="str">
        <f>UPPER(Master_ventas[[#This Row],[Product Name]])</f>
        <v>KEYBOARD</v>
      </c>
      <c r="K2356" t="str">
        <f>UPPER(Master_ventas[[#This Row],[Category]])</f>
        <v>ACCESSORIES</v>
      </c>
      <c r="L2356">
        <f>YEAR(Master_ventas[[#This Row],[Order Date]])</f>
        <v>2023</v>
      </c>
      <c r="M2356" t="str">
        <f>CONCATENATE(LEFT(Master_ventas[[#This Row],[ProdUpper]],3),RIGHT(Master_ventas[[#This Row],[Ext-Year]],2),"-",MID(Master_ventas[[#This Row],[Category]],1,1))</f>
        <v>KEY23-A</v>
      </c>
      <c r="N2356" t="str">
        <f>MID(Master_ventas[[#This Row],[ProdUpper]],1,3)</f>
        <v>KEY</v>
      </c>
      <c r="O2356" t="str">
        <f>UPPER(IF(Master_ventas[[#This Row],[Profit]]&gt;500,"High","Std"))</f>
        <v>HIGH</v>
      </c>
      <c r="P2356">
        <v>2355</v>
      </c>
    </row>
    <row r="2357" spans="1:16" x14ac:dyDescent="0.3">
      <c r="A2357" s="1">
        <v>45376</v>
      </c>
      <c r="B2357" t="s">
        <v>7</v>
      </c>
      <c r="C2357" t="s">
        <v>8</v>
      </c>
      <c r="D2357" t="s">
        <v>15</v>
      </c>
      <c r="E2357">
        <v>7</v>
      </c>
      <c r="F2357" s="3">
        <v>4522</v>
      </c>
      <c r="G2357" s="2">
        <v>1137.23</v>
      </c>
      <c r="H2357">
        <f>Master_ventas[[#This Row],[Profit]]/Master_ventas[[#This Row],[Sales]]</f>
        <v>0.25148827952233527</v>
      </c>
      <c r="I2357">
        <f ca="1">Referencia_Hoy-Master_ventas[[#This Row],[Order Date]]</f>
        <v>947</v>
      </c>
      <c r="J2357" t="str">
        <f>UPPER(Master_ventas[[#This Row],[Product Name]])</f>
        <v>PRINTER</v>
      </c>
      <c r="K2357" t="str">
        <f>UPPER(Master_ventas[[#This Row],[Category]])</f>
        <v>OFFICE</v>
      </c>
      <c r="L2357">
        <f>YEAR(Master_ventas[[#This Row],[Order Date]])</f>
        <v>2024</v>
      </c>
      <c r="M2357" t="str">
        <f>CONCATENATE(LEFT(Master_ventas[[#This Row],[ProdUpper]],3),RIGHT(Master_ventas[[#This Row],[Ext-Year]],2),"-",MID(Master_ventas[[#This Row],[Category]],1,1))</f>
        <v>PRI24-O</v>
      </c>
      <c r="N2357" t="str">
        <f>MID(Master_ventas[[#This Row],[ProdUpper]],1,3)</f>
        <v>PRI</v>
      </c>
      <c r="O2357" t="str">
        <f>UPPER(IF(Master_ventas[[#This Row],[Profit]]&gt;500,"High","Std"))</f>
        <v>HIGH</v>
      </c>
      <c r="P2357">
        <v>2356</v>
      </c>
    </row>
    <row r="2358" spans="1:16" x14ac:dyDescent="0.3">
      <c r="A2358" s="1">
        <v>45288</v>
      </c>
      <c r="B2358" t="s">
        <v>13</v>
      </c>
      <c r="C2358" t="s">
        <v>14</v>
      </c>
      <c r="D2358" t="s">
        <v>15</v>
      </c>
      <c r="E2358">
        <v>7</v>
      </c>
      <c r="F2358" s="3">
        <v>2009</v>
      </c>
      <c r="G2358" s="2">
        <v>183.19</v>
      </c>
      <c r="H2358">
        <f>Master_ventas[[#This Row],[Profit]]/Master_ventas[[#This Row],[Sales]]</f>
        <v>9.1184668989547038E-2</v>
      </c>
      <c r="I2358">
        <f ca="1">Referencia_Hoy-Master_ventas[[#This Row],[Order Date]]</f>
        <v>1035</v>
      </c>
      <c r="J2358" t="str">
        <f>UPPER(Master_ventas[[#This Row],[Product Name]])</f>
        <v>TABLET</v>
      </c>
      <c r="K2358" t="str">
        <f>UPPER(Master_ventas[[#This Row],[Category]])</f>
        <v>ELECTRONICS</v>
      </c>
      <c r="L2358">
        <f>YEAR(Master_ventas[[#This Row],[Order Date]])</f>
        <v>2023</v>
      </c>
      <c r="M2358" t="str">
        <f>CONCATENATE(LEFT(Master_ventas[[#This Row],[ProdUpper]],3),RIGHT(Master_ventas[[#This Row],[Ext-Year]],2),"-",MID(Master_ventas[[#This Row],[Category]],1,1))</f>
        <v>TAB23-E</v>
      </c>
      <c r="N2358" t="str">
        <f>MID(Master_ventas[[#This Row],[ProdUpper]],1,3)</f>
        <v>TAB</v>
      </c>
      <c r="O2358" t="str">
        <f>UPPER(IF(Master_ventas[[#This Row],[Profit]]&gt;500,"High","Std"))</f>
        <v>STD</v>
      </c>
      <c r="P2358">
        <v>2357</v>
      </c>
    </row>
    <row r="2359" spans="1:16" x14ac:dyDescent="0.3">
      <c r="A2359" s="1">
        <v>45400</v>
      </c>
      <c r="B2359" t="s">
        <v>21</v>
      </c>
      <c r="C2359" t="s">
        <v>14</v>
      </c>
      <c r="D2359" t="s">
        <v>12</v>
      </c>
      <c r="E2359">
        <v>2</v>
      </c>
      <c r="F2359" s="3">
        <v>2110</v>
      </c>
      <c r="G2359" s="2">
        <v>548.12</v>
      </c>
      <c r="H2359">
        <f>Master_ventas[[#This Row],[Profit]]/Master_ventas[[#This Row],[Sales]]</f>
        <v>0.25977251184834121</v>
      </c>
      <c r="I2359">
        <f ca="1">Referencia_Hoy-Master_ventas[[#This Row],[Order Date]]</f>
        <v>923</v>
      </c>
      <c r="J2359" t="str">
        <f>UPPER(Master_ventas[[#This Row],[Product Name]])</f>
        <v>SMARTPHONE</v>
      </c>
      <c r="K2359" t="str">
        <f>UPPER(Master_ventas[[#This Row],[Category]])</f>
        <v>ELECTRONICS</v>
      </c>
      <c r="L2359">
        <f>YEAR(Master_ventas[[#This Row],[Order Date]])</f>
        <v>2024</v>
      </c>
      <c r="M2359" t="str">
        <f>CONCATENATE(LEFT(Master_ventas[[#This Row],[ProdUpper]],3),RIGHT(Master_ventas[[#This Row],[Ext-Year]],2),"-",MID(Master_ventas[[#This Row],[Category]],1,1))</f>
        <v>SMA24-E</v>
      </c>
      <c r="N2359" t="str">
        <f>MID(Master_ventas[[#This Row],[ProdUpper]],1,3)</f>
        <v>SMA</v>
      </c>
      <c r="O2359" t="str">
        <f>UPPER(IF(Master_ventas[[#This Row],[Profit]]&gt;500,"High","Std"))</f>
        <v>HIGH</v>
      </c>
      <c r="P2359">
        <v>2358</v>
      </c>
    </row>
    <row r="2360" spans="1:16" x14ac:dyDescent="0.3">
      <c r="A2360" s="1">
        <v>45561</v>
      </c>
      <c r="B2360" t="s">
        <v>10</v>
      </c>
      <c r="C2360" t="s">
        <v>11</v>
      </c>
      <c r="D2360" t="s">
        <v>16</v>
      </c>
      <c r="E2360">
        <v>1</v>
      </c>
      <c r="F2360" s="3">
        <v>95</v>
      </c>
      <c r="G2360" s="2">
        <v>6.97</v>
      </c>
      <c r="H2360">
        <f>Master_ventas[[#This Row],[Profit]]/Master_ventas[[#This Row],[Sales]]</f>
        <v>7.3368421052631583E-2</v>
      </c>
      <c r="I2360">
        <f ca="1">Referencia_Hoy-Master_ventas[[#This Row],[Order Date]]</f>
        <v>762</v>
      </c>
      <c r="J2360" t="str">
        <f>UPPER(Master_ventas[[#This Row],[Product Name]])</f>
        <v>MOUSE</v>
      </c>
      <c r="K2360" t="str">
        <f>UPPER(Master_ventas[[#This Row],[Category]])</f>
        <v>ACCESSORIES</v>
      </c>
      <c r="L2360">
        <f>YEAR(Master_ventas[[#This Row],[Order Date]])</f>
        <v>2024</v>
      </c>
      <c r="M2360" t="str">
        <f>CONCATENATE(LEFT(Master_ventas[[#This Row],[ProdUpper]],3),RIGHT(Master_ventas[[#This Row],[Ext-Year]],2),"-",MID(Master_ventas[[#This Row],[Category]],1,1))</f>
        <v>MOU24-A</v>
      </c>
      <c r="N2360" t="str">
        <f>MID(Master_ventas[[#This Row],[ProdUpper]],1,3)</f>
        <v>MOU</v>
      </c>
      <c r="O2360" t="str">
        <f>UPPER(IF(Master_ventas[[#This Row],[Profit]]&gt;500,"High","Std"))</f>
        <v>STD</v>
      </c>
      <c r="P2360">
        <v>2359</v>
      </c>
    </row>
    <row r="2361" spans="1:16" x14ac:dyDescent="0.3">
      <c r="A2361" s="1">
        <v>45249</v>
      </c>
      <c r="B2361" t="s">
        <v>19</v>
      </c>
      <c r="C2361" t="s">
        <v>14</v>
      </c>
      <c r="D2361" t="s">
        <v>12</v>
      </c>
      <c r="E2361">
        <v>1</v>
      </c>
      <c r="F2361" s="3">
        <v>384</v>
      </c>
      <c r="G2361" s="2">
        <v>83.58</v>
      </c>
      <c r="H2361">
        <f>Master_ventas[[#This Row],[Profit]]/Master_ventas[[#This Row],[Sales]]</f>
        <v>0.21765625</v>
      </c>
      <c r="I2361">
        <f ca="1">Referencia_Hoy-Master_ventas[[#This Row],[Order Date]]</f>
        <v>1074</v>
      </c>
      <c r="J2361" t="str">
        <f>UPPER(Master_ventas[[#This Row],[Product Name]])</f>
        <v>SMARTWATCH</v>
      </c>
      <c r="K2361" t="str">
        <f>UPPER(Master_ventas[[#This Row],[Category]])</f>
        <v>ELECTRONICS</v>
      </c>
      <c r="L2361">
        <f>YEAR(Master_ventas[[#This Row],[Order Date]])</f>
        <v>2023</v>
      </c>
      <c r="M2361" t="str">
        <f>CONCATENATE(LEFT(Master_ventas[[#This Row],[ProdUpper]],3),RIGHT(Master_ventas[[#This Row],[Ext-Year]],2),"-",MID(Master_ventas[[#This Row],[Category]],1,1))</f>
        <v>SMA23-E</v>
      </c>
      <c r="N2361" t="str">
        <f>MID(Master_ventas[[#This Row],[ProdUpper]],1,3)</f>
        <v>SMA</v>
      </c>
      <c r="O2361" t="str">
        <f>UPPER(IF(Master_ventas[[#This Row],[Profit]]&gt;500,"High","Std"))</f>
        <v>STD</v>
      </c>
      <c r="P2361">
        <v>2360</v>
      </c>
    </row>
    <row r="2362" spans="1:16" x14ac:dyDescent="0.3">
      <c r="A2362" s="1">
        <v>45039</v>
      </c>
      <c r="B2362" t="s">
        <v>13</v>
      </c>
      <c r="C2362" t="s">
        <v>14</v>
      </c>
      <c r="D2362" t="s">
        <v>9</v>
      </c>
      <c r="E2362">
        <v>3</v>
      </c>
      <c r="F2362" s="3">
        <v>3471</v>
      </c>
      <c r="G2362" s="2">
        <v>200.08</v>
      </c>
      <c r="H2362">
        <f>Master_ventas[[#This Row],[Profit]]/Master_ventas[[#This Row],[Sales]]</f>
        <v>5.7643330452319223E-2</v>
      </c>
      <c r="I2362">
        <f ca="1">Referencia_Hoy-Master_ventas[[#This Row],[Order Date]]</f>
        <v>1284</v>
      </c>
      <c r="J2362" t="str">
        <f>UPPER(Master_ventas[[#This Row],[Product Name]])</f>
        <v>TABLET</v>
      </c>
      <c r="K2362" t="str">
        <f>UPPER(Master_ventas[[#This Row],[Category]])</f>
        <v>ELECTRONICS</v>
      </c>
      <c r="L2362">
        <f>YEAR(Master_ventas[[#This Row],[Order Date]])</f>
        <v>2023</v>
      </c>
      <c r="M2362" t="str">
        <f>CONCATENATE(LEFT(Master_ventas[[#This Row],[ProdUpper]],3),RIGHT(Master_ventas[[#This Row],[Ext-Year]],2),"-",MID(Master_ventas[[#This Row],[Category]],1,1))</f>
        <v>TAB23-E</v>
      </c>
      <c r="N2362" t="str">
        <f>MID(Master_ventas[[#This Row],[ProdUpper]],1,3)</f>
        <v>TAB</v>
      </c>
      <c r="O2362" t="str">
        <f>UPPER(IF(Master_ventas[[#This Row],[Profit]]&gt;500,"High","Std"))</f>
        <v>STD</v>
      </c>
      <c r="P2362">
        <v>2361</v>
      </c>
    </row>
    <row r="2363" spans="1:16" x14ac:dyDescent="0.3">
      <c r="A2363" s="1">
        <v>45097</v>
      </c>
      <c r="B2363" t="s">
        <v>13</v>
      </c>
      <c r="C2363" t="s">
        <v>14</v>
      </c>
      <c r="D2363" t="s">
        <v>16</v>
      </c>
      <c r="E2363">
        <v>4</v>
      </c>
      <c r="F2363" s="3">
        <v>2048</v>
      </c>
      <c r="G2363" s="2">
        <v>507.01</v>
      </c>
      <c r="H2363">
        <f>Master_ventas[[#This Row],[Profit]]/Master_ventas[[#This Row],[Sales]]</f>
        <v>0.2475634765625</v>
      </c>
      <c r="I2363">
        <f ca="1">Referencia_Hoy-Master_ventas[[#This Row],[Order Date]]</f>
        <v>1226</v>
      </c>
      <c r="J2363" t="str">
        <f>UPPER(Master_ventas[[#This Row],[Product Name]])</f>
        <v>TABLET</v>
      </c>
      <c r="K2363" t="str">
        <f>UPPER(Master_ventas[[#This Row],[Category]])</f>
        <v>ELECTRONICS</v>
      </c>
      <c r="L2363">
        <f>YEAR(Master_ventas[[#This Row],[Order Date]])</f>
        <v>2023</v>
      </c>
      <c r="M2363" t="str">
        <f>CONCATENATE(LEFT(Master_ventas[[#This Row],[ProdUpper]],3),RIGHT(Master_ventas[[#This Row],[Ext-Year]],2),"-",MID(Master_ventas[[#This Row],[Category]],1,1))</f>
        <v>TAB23-E</v>
      </c>
      <c r="N2363" t="str">
        <f>MID(Master_ventas[[#This Row],[ProdUpper]],1,3)</f>
        <v>TAB</v>
      </c>
      <c r="O2363" t="str">
        <f>UPPER(IF(Master_ventas[[#This Row],[Profit]]&gt;500,"High","Std"))</f>
        <v>HIGH</v>
      </c>
      <c r="P2363">
        <v>2362</v>
      </c>
    </row>
    <row r="2364" spans="1:16" x14ac:dyDescent="0.3">
      <c r="A2364" s="1">
        <v>44778</v>
      </c>
      <c r="B2364" t="s">
        <v>20</v>
      </c>
      <c r="C2364" t="s">
        <v>11</v>
      </c>
      <c r="D2364" t="s">
        <v>15</v>
      </c>
      <c r="E2364">
        <v>8</v>
      </c>
      <c r="F2364" s="3">
        <v>9296</v>
      </c>
      <c r="G2364" s="2">
        <v>2581.06</v>
      </c>
      <c r="H2364">
        <f>Master_ventas[[#This Row],[Profit]]/Master_ventas[[#This Row],[Sales]]</f>
        <v>0.27765275387263338</v>
      </c>
      <c r="I2364">
        <f ca="1">Referencia_Hoy-Master_ventas[[#This Row],[Order Date]]</f>
        <v>1545</v>
      </c>
      <c r="J2364" t="str">
        <f>UPPER(Master_ventas[[#This Row],[Product Name]])</f>
        <v>MONITOR</v>
      </c>
      <c r="K2364" t="str">
        <f>UPPER(Master_ventas[[#This Row],[Category]])</f>
        <v>ACCESSORIES</v>
      </c>
      <c r="L2364">
        <f>YEAR(Master_ventas[[#This Row],[Order Date]])</f>
        <v>2022</v>
      </c>
      <c r="M2364" t="str">
        <f>CONCATENATE(LEFT(Master_ventas[[#This Row],[ProdUpper]],3),RIGHT(Master_ventas[[#This Row],[Ext-Year]],2),"-",MID(Master_ventas[[#This Row],[Category]],1,1))</f>
        <v>MON22-A</v>
      </c>
      <c r="N2364" t="str">
        <f>MID(Master_ventas[[#This Row],[ProdUpper]],1,3)</f>
        <v>MON</v>
      </c>
      <c r="O2364" t="str">
        <f>UPPER(IF(Master_ventas[[#This Row],[Profit]]&gt;500,"High","Std"))</f>
        <v>HIGH</v>
      </c>
      <c r="P2364">
        <v>2363</v>
      </c>
    </row>
    <row r="2365" spans="1:16" x14ac:dyDescent="0.3">
      <c r="A2365" s="1">
        <v>44709</v>
      </c>
      <c r="B2365" t="s">
        <v>23</v>
      </c>
      <c r="C2365" t="s">
        <v>14</v>
      </c>
      <c r="D2365" t="s">
        <v>16</v>
      </c>
      <c r="E2365">
        <v>8</v>
      </c>
      <c r="F2365" s="3">
        <v>5272</v>
      </c>
      <c r="G2365" s="2">
        <v>1188.1600000000001</v>
      </c>
      <c r="H2365">
        <f>Master_ventas[[#This Row],[Profit]]/Master_ventas[[#This Row],[Sales]]</f>
        <v>0.22537177541729894</v>
      </c>
      <c r="I2365">
        <f ca="1">Referencia_Hoy-Master_ventas[[#This Row],[Order Date]]</f>
        <v>1614</v>
      </c>
      <c r="J2365" t="str">
        <f>UPPER(Master_ventas[[#This Row],[Product Name]])</f>
        <v>LAPTOP</v>
      </c>
      <c r="K2365" t="str">
        <f>UPPER(Master_ventas[[#This Row],[Category]])</f>
        <v>ELECTRONICS</v>
      </c>
      <c r="L2365">
        <f>YEAR(Master_ventas[[#This Row],[Order Date]])</f>
        <v>2022</v>
      </c>
      <c r="M2365" t="str">
        <f>CONCATENATE(LEFT(Master_ventas[[#This Row],[ProdUpper]],3),RIGHT(Master_ventas[[#This Row],[Ext-Year]],2),"-",MID(Master_ventas[[#This Row],[Category]],1,1))</f>
        <v>LAP22-E</v>
      </c>
      <c r="N2365" t="str">
        <f>MID(Master_ventas[[#This Row],[ProdUpper]],1,3)</f>
        <v>LAP</v>
      </c>
      <c r="O2365" t="str">
        <f>UPPER(IF(Master_ventas[[#This Row],[Profit]]&gt;500,"High","Std"))</f>
        <v>HIGH</v>
      </c>
      <c r="P2365">
        <v>2364</v>
      </c>
    </row>
    <row r="2366" spans="1:16" x14ac:dyDescent="0.3">
      <c r="A2366" s="1">
        <v>45309</v>
      </c>
      <c r="B2366" t="s">
        <v>18</v>
      </c>
      <c r="C2366" t="s">
        <v>11</v>
      </c>
      <c r="D2366" t="s">
        <v>12</v>
      </c>
      <c r="E2366">
        <v>1</v>
      </c>
      <c r="F2366" s="3">
        <v>619</v>
      </c>
      <c r="G2366" s="2">
        <v>127.58</v>
      </c>
      <c r="H2366">
        <f>Master_ventas[[#This Row],[Profit]]/Master_ventas[[#This Row],[Sales]]</f>
        <v>0.20610662358642973</v>
      </c>
      <c r="I2366">
        <f ca="1">Referencia_Hoy-Master_ventas[[#This Row],[Order Date]]</f>
        <v>1014</v>
      </c>
      <c r="J2366" t="str">
        <f>UPPER(Master_ventas[[#This Row],[Product Name]])</f>
        <v>HEADPHONES</v>
      </c>
      <c r="K2366" t="str">
        <f>UPPER(Master_ventas[[#This Row],[Category]])</f>
        <v>ACCESSORIES</v>
      </c>
      <c r="L2366">
        <f>YEAR(Master_ventas[[#This Row],[Order Date]])</f>
        <v>2024</v>
      </c>
      <c r="M2366" t="str">
        <f>CONCATENATE(LEFT(Master_ventas[[#This Row],[ProdUpper]],3),RIGHT(Master_ventas[[#This Row],[Ext-Year]],2),"-",MID(Master_ventas[[#This Row],[Category]],1,1))</f>
        <v>HEA24-A</v>
      </c>
      <c r="N2366" t="str">
        <f>MID(Master_ventas[[#This Row],[ProdUpper]],1,3)</f>
        <v>HEA</v>
      </c>
      <c r="O2366" t="str">
        <f>UPPER(IF(Master_ventas[[#This Row],[Profit]]&gt;500,"High","Std"))</f>
        <v>STD</v>
      </c>
      <c r="P2366">
        <v>2365</v>
      </c>
    </row>
    <row r="2367" spans="1:16" x14ac:dyDescent="0.3">
      <c r="A2367" s="1">
        <v>45043</v>
      </c>
      <c r="B2367" t="s">
        <v>23</v>
      </c>
      <c r="C2367" t="s">
        <v>14</v>
      </c>
      <c r="D2367" t="s">
        <v>9</v>
      </c>
      <c r="E2367">
        <v>1</v>
      </c>
      <c r="F2367" s="3">
        <v>448</v>
      </c>
      <c r="G2367" s="2">
        <v>53.2</v>
      </c>
      <c r="H2367">
        <f>Master_ventas[[#This Row],[Profit]]/Master_ventas[[#This Row],[Sales]]</f>
        <v>0.11875000000000001</v>
      </c>
      <c r="I2367">
        <f ca="1">Referencia_Hoy-Master_ventas[[#This Row],[Order Date]]</f>
        <v>1280</v>
      </c>
      <c r="J2367" t="str">
        <f>UPPER(Master_ventas[[#This Row],[Product Name]])</f>
        <v>LAPTOP</v>
      </c>
      <c r="K2367" t="str">
        <f>UPPER(Master_ventas[[#This Row],[Category]])</f>
        <v>ELECTRONICS</v>
      </c>
      <c r="L2367">
        <f>YEAR(Master_ventas[[#This Row],[Order Date]])</f>
        <v>2023</v>
      </c>
      <c r="M2367" t="str">
        <f>CONCATENATE(LEFT(Master_ventas[[#This Row],[ProdUpper]],3),RIGHT(Master_ventas[[#This Row],[Ext-Year]],2),"-",MID(Master_ventas[[#This Row],[Category]],1,1))</f>
        <v>LAP23-E</v>
      </c>
      <c r="N2367" t="str">
        <f>MID(Master_ventas[[#This Row],[ProdUpper]],1,3)</f>
        <v>LAP</v>
      </c>
      <c r="O2367" t="str">
        <f>UPPER(IF(Master_ventas[[#This Row],[Profit]]&gt;500,"High","Std"))</f>
        <v>STD</v>
      </c>
      <c r="P2367">
        <v>2366</v>
      </c>
    </row>
    <row r="2368" spans="1:16" x14ac:dyDescent="0.3">
      <c r="A2368" s="1">
        <v>44722</v>
      </c>
      <c r="B2368" t="s">
        <v>22</v>
      </c>
      <c r="C2368" t="s">
        <v>11</v>
      </c>
      <c r="D2368" t="s">
        <v>9</v>
      </c>
      <c r="E2368">
        <v>9</v>
      </c>
      <c r="F2368" s="3">
        <v>5004</v>
      </c>
      <c r="G2368" s="2">
        <v>1313.13</v>
      </c>
      <c r="H2368">
        <f>Master_ventas[[#This Row],[Profit]]/Master_ventas[[#This Row],[Sales]]</f>
        <v>0.26241606714628302</v>
      </c>
      <c r="I2368">
        <f ca="1">Referencia_Hoy-Master_ventas[[#This Row],[Order Date]]</f>
        <v>1601</v>
      </c>
      <c r="J2368" t="str">
        <f>UPPER(Master_ventas[[#This Row],[Product Name]])</f>
        <v>KEYBOARD</v>
      </c>
      <c r="K2368" t="str">
        <f>UPPER(Master_ventas[[#This Row],[Category]])</f>
        <v>ACCESSORIES</v>
      </c>
      <c r="L2368">
        <f>YEAR(Master_ventas[[#This Row],[Order Date]])</f>
        <v>2022</v>
      </c>
      <c r="M2368" t="str">
        <f>CONCATENATE(LEFT(Master_ventas[[#This Row],[ProdUpper]],3),RIGHT(Master_ventas[[#This Row],[Ext-Year]],2),"-",MID(Master_ventas[[#This Row],[Category]],1,1))</f>
        <v>KEY22-A</v>
      </c>
      <c r="N2368" t="str">
        <f>MID(Master_ventas[[#This Row],[ProdUpper]],1,3)</f>
        <v>KEY</v>
      </c>
      <c r="O2368" t="str">
        <f>UPPER(IF(Master_ventas[[#This Row],[Profit]]&gt;500,"High","Std"))</f>
        <v>HIGH</v>
      </c>
      <c r="P2368">
        <v>2367</v>
      </c>
    </row>
    <row r="2369" spans="1:16" x14ac:dyDescent="0.3">
      <c r="A2369" s="1">
        <v>45265</v>
      </c>
      <c r="B2369" t="s">
        <v>22</v>
      </c>
      <c r="C2369" t="s">
        <v>11</v>
      </c>
      <c r="D2369" t="s">
        <v>9</v>
      </c>
      <c r="E2369">
        <v>4</v>
      </c>
      <c r="F2369" s="3">
        <v>4716</v>
      </c>
      <c r="G2369" s="2">
        <v>704.99</v>
      </c>
      <c r="H2369">
        <f>Master_ventas[[#This Row],[Profit]]/Master_ventas[[#This Row],[Sales]]</f>
        <v>0.14948897370653097</v>
      </c>
      <c r="I2369">
        <f ca="1">Referencia_Hoy-Master_ventas[[#This Row],[Order Date]]</f>
        <v>1058</v>
      </c>
      <c r="J2369" t="str">
        <f>UPPER(Master_ventas[[#This Row],[Product Name]])</f>
        <v>KEYBOARD</v>
      </c>
      <c r="K2369" t="str">
        <f>UPPER(Master_ventas[[#This Row],[Category]])</f>
        <v>ACCESSORIES</v>
      </c>
      <c r="L2369">
        <f>YEAR(Master_ventas[[#This Row],[Order Date]])</f>
        <v>2023</v>
      </c>
      <c r="M2369" t="str">
        <f>CONCATENATE(LEFT(Master_ventas[[#This Row],[ProdUpper]],3),RIGHT(Master_ventas[[#This Row],[Ext-Year]],2),"-",MID(Master_ventas[[#This Row],[Category]],1,1))</f>
        <v>KEY23-A</v>
      </c>
      <c r="N2369" t="str">
        <f>MID(Master_ventas[[#This Row],[ProdUpper]],1,3)</f>
        <v>KEY</v>
      </c>
      <c r="O2369" t="str">
        <f>UPPER(IF(Master_ventas[[#This Row],[Profit]]&gt;500,"High","Std"))</f>
        <v>HIGH</v>
      </c>
      <c r="P2369">
        <v>2368</v>
      </c>
    </row>
    <row r="2370" spans="1:16" x14ac:dyDescent="0.3">
      <c r="A2370" s="1">
        <v>44692</v>
      </c>
      <c r="B2370" t="s">
        <v>7</v>
      </c>
      <c r="C2370" t="s">
        <v>8</v>
      </c>
      <c r="D2370" t="s">
        <v>16</v>
      </c>
      <c r="E2370">
        <v>9</v>
      </c>
      <c r="F2370" s="3">
        <v>7506</v>
      </c>
      <c r="G2370" s="2">
        <v>827.17</v>
      </c>
      <c r="H2370">
        <f>Master_ventas[[#This Row],[Profit]]/Master_ventas[[#This Row],[Sales]]</f>
        <v>0.11020117239541699</v>
      </c>
      <c r="I2370">
        <f ca="1">Referencia_Hoy-Master_ventas[[#This Row],[Order Date]]</f>
        <v>1631</v>
      </c>
      <c r="J2370" t="str">
        <f>UPPER(Master_ventas[[#This Row],[Product Name]])</f>
        <v>PRINTER</v>
      </c>
      <c r="K2370" t="str">
        <f>UPPER(Master_ventas[[#This Row],[Category]])</f>
        <v>OFFICE</v>
      </c>
      <c r="L2370">
        <f>YEAR(Master_ventas[[#This Row],[Order Date]])</f>
        <v>2022</v>
      </c>
      <c r="M2370" t="str">
        <f>CONCATENATE(LEFT(Master_ventas[[#This Row],[ProdUpper]],3),RIGHT(Master_ventas[[#This Row],[Ext-Year]],2),"-",MID(Master_ventas[[#This Row],[Category]],1,1))</f>
        <v>PRI22-O</v>
      </c>
      <c r="N2370" t="str">
        <f>MID(Master_ventas[[#This Row],[ProdUpper]],1,3)</f>
        <v>PRI</v>
      </c>
      <c r="O2370" t="str">
        <f>UPPER(IF(Master_ventas[[#This Row],[Profit]]&gt;500,"High","Std"))</f>
        <v>HIGH</v>
      </c>
      <c r="P2370">
        <v>2369</v>
      </c>
    </row>
    <row r="2371" spans="1:16" x14ac:dyDescent="0.3">
      <c r="A2371" s="1">
        <v>45302</v>
      </c>
      <c r="B2371" t="s">
        <v>22</v>
      </c>
      <c r="C2371" t="s">
        <v>11</v>
      </c>
      <c r="D2371" t="s">
        <v>9</v>
      </c>
      <c r="E2371">
        <v>7</v>
      </c>
      <c r="F2371" s="3">
        <v>4095</v>
      </c>
      <c r="G2371" s="2">
        <v>883.56</v>
      </c>
      <c r="H2371">
        <f>Master_ventas[[#This Row],[Profit]]/Master_ventas[[#This Row],[Sales]]</f>
        <v>0.21576556776556774</v>
      </c>
      <c r="I2371">
        <f ca="1">Referencia_Hoy-Master_ventas[[#This Row],[Order Date]]</f>
        <v>1021</v>
      </c>
      <c r="J2371" t="str">
        <f>UPPER(Master_ventas[[#This Row],[Product Name]])</f>
        <v>KEYBOARD</v>
      </c>
      <c r="K2371" t="str">
        <f>UPPER(Master_ventas[[#This Row],[Category]])</f>
        <v>ACCESSORIES</v>
      </c>
      <c r="L2371">
        <f>YEAR(Master_ventas[[#This Row],[Order Date]])</f>
        <v>2024</v>
      </c>
      <c r="M2371" t="str">
        <f>CONCATENATE(LEFT(Master_ventas[[#This Row],[ProdUpper]],3),RIGHT(Master_ventas[[#This Row],[Ext-Year]],2),"-",MID(Master_ventas[[#This Row],[Category]],1,1))</f>
        <v>KEY24-A</v>
      </c>
      <c r="N2371" t="str">
        <f>MID(Master_ventas[[#This Row],[ProdUpper]],1,3)</f>
        <v>KEY</v>
      </c>
      <c r="O2371" t="str">
        <f>UPPER(IF(Master_ventas[[#This Row],[Profit]]&gt;500,"High","Std"))</f>
        <v>HIGH</v>
      </c>
      <c r="P2371">
        <v>2370</v>
      </c>
    </row>
    <row r="2372" spans="1:16" x14ac:dyDescent="0.3">
      <c r="A2372" s="1">
        <v>45504</v>
      </c>
      <c r="B2372" t="s">
        <v>19</v>
      </c>
      <c r="C2372" t="s">
        <v>14</v>
      </c>
      <c r="D2372" t="s">
        <v>9</v>
      </c>
      <c r="E2372">
        <v>7</v>
      </c>
      <c r="F2372" s="3">
        <v>4459</v>
      </c>
      <c r="G2372" s="2">
        <v>1037.27</v>
      </c>
      <c r="H2372">
        <f>Master_ventas[[#This Row],[Profit]]/Master_ventas[[#This Row],[Sales]]</f>
        <v>0.23262390670553937</v>
      </c>
      <c r="I2372">
        <f ca="1">Referencia_Hoy-Master_ventas[[#This Row],[Order Date]]</f>
        <v>819</v>
      </c>
      <c r="J2372" t="str">
        <f>UPPER(Master_ventas[[#This Row],[Product Name]])</f>
        <v>SMARTWATCH</v>
      </c>
      <c r="K2372" t="str">
        <f>UPPER(Master_ventas[[#This Row],[Category]])</f>
        <v>ELECTRONICS</v>
      </c>
      <c r="L2372">
        <f>YEAR(Master_ventas[[#This Row],[Order Date]])</f>
        <v>2024</v>
      </c>
      <c r="M2372" t="str">
        <f>CONCATENATE(LEFT(Master_ventas[[#This Row],[ProdUpper]],3),RIGHT(Master_ventas[[#This Row],[Ext-Year]],2),"-",MID(Master_ventas[[#This Row],[Category]],1,1))</f>
        <v>SMA24-E</v>
      </c>
      <c r="N2372" t="str">
        <f>MID(Master_ventas[[#This Row],[ProdUpper]],1,3)</f>
        <v>SMA</v>
      </c>
      <c r="O2372" t="str">
        <f>UPPER(IF(Master_ventas[[#This Row],[Profit]]&gt;500,"High","Std"))</f>
        <v>HIGH</v>
      </c>
      <c r="P2372">
        <v>2371</v>
      </c>
    </row>
    <row r="2373" spans="1:16" x14ac:dyDescent="0.3">
      <c r="A2373" s="1">
        <v>44865</v>
      </c>
      <c r="B2373" t="s">
        <v>13</v>
      </c>
      <c r="C2373" t="s">
        <v>14</v>
      </c>
      <c r="D2373" t="s">
        <v>15</v>
      </c>
      <c r="E2373">
        <v>5</v>
      </c>
      <c r="F2373" s="3">
        <v>620</v>
      </c>
      <c r="G2373" s="2">
        <v>62.49</v>
      </c>
      <c r="H2373">
        <f>Master_ventas[[#This Row],[Profit]]/Master_ventas[[#This Row],[Sales]]</f>
        <v>0.10079032258064516</v>
      </c>
      <c r="I2373">
        <f ca="1">Referencia_Hoy-Master_ventas[[#This Row],[Order Date]]</f>
        <v>1458</v>
      </c>
      <c r="J2373" t="str">
        <f>UPPER(Master_ventas[[#This Row],[Product Name]])</f>
        <v>TABLET</v>
      </c>
      <c r="K2373" t="str">
        <f>UPPER(Master_ventas[[#This Row],[Category]])</f>
        <v>ELECTRONICS</v>
      </c>
      <c r="L2373">
        <f>YEAR(Master_ventas[[#This Row],[Order Date]])</f>
        <v>2022</v>
      </c>
      <c r="M2373" t="str">
        <f>CONCATENATE(LEFT(Master_ventas[[#This Row],[ProdUpper]],3),RIGHT(Master_ventas[[#This Row],[Ext-Year]],2),"-",MID(Master_ventas[[#This Row],[Category]],1,1))</f>
        <v>TAB22-E</v>
      </c>
      <c r="N2373" t="str">
        <f>MID(Master_ventas[[#This Row],[ProdUpper]],1,3)</f>
        <v>TAB</v>
      </c>
      <c r="O2373" t="str">
        <f>UPPER(IF(Master_ventas[[#This Row],[Profit]]&gt;500,"High","Std"))</f>
        <v>STD</v>
      </c>
      <c r="P2373">
        <v>2372</v>
      </c>
    </row>
    <row r="2374" spans="1:16" x14ac:dyDescent="0.3">
      <c r="A2374" s="1">
        <v>44790</v>
      </c>
      <c r="B2374" t="s">
        <v>19</v>
      </c>
      <c r="C2374" t="s">
        <v>14</v>
      </c>
      <c r="D2374" t="s">
        <v>16</v>
      </c>
      <c r="E2374">
        <v>2</v>
      </c>
      <c r="F2374" s="3">
        <v>2362</v>
      </c>
      <c r="G2374" s="2">
        <v>185.89</v>
      </c>
      <c r="H2374">
        <f>Master_ventas[[#This Row],[Profit]]/Master_ventas[[#This Row],[Sales]]</f>
        <v>7.8700254022015234E-2</v>
      </c>
      <c r="I2374">
        <f ca="1">Referencia_Hoy-Master_ventas[[#This Row],[Order Date]]</f>
        <v>1533</v>
      </c>
      <c r="J2374" t="str">
        <f>UPPER(Master_ventas[[#This Row],[Product Name]])</f>
        <v>SMARTWATCH</v>
      </c>
      <c r="K2374" t="str">
        <f>UPPER(Master_ventas[[#This Row],[Category]])</f>
        <v>ELECTRONICS</v>
      </c>
      <c r="L2374">
        <f>YEAR(Master_ventas[[#This Row],[Order Date]])</f>
        <v>2022</v>
      </c>
      <c r="M2374" t="str">
        <f>CONCATENATE(LEFT(Master_ventas[[#This Row],[ProdUpper]],3),RIGHT(Master_ventas[[#This Row],[Ext-Year]],2),"-",MID(Master_ventas[[#This Row],[Category]],1,1))</f>
        <v>SMA22-E</v>
      </c>
      <c r="N2374" t="str">
        <f>MID(Master_ventas[[#This Row],[ProdUpper]],1,3)</f>
        <v>SMA</v>
      </c>
      <c r="O2374" t="str">
        <f>UPPER(IF(Master_ventas[[#This Row],[Profit]]&gt;500,"High","Std"))</f>
        <v>STD</v>
      </c>
      <c r="P2374">
        <v>2373</v>
      </c>
    </row>
    <row r="2375" spans="1:16" x14ac:dyDescent="0.3">
      <c r="A2375" s="1">
        <v>44648</v>
      </c>
      <c r="B2375" t="s">
        <v>7</v>
      </c>
      <c r="C2375" t="s">
        <v>8</v>
      </c>
      <c r="D2375" t="s">
        <v>9</v>
      </c>
      <c r="E2375">
        <v>2</v>
      </c>
      <c r="F2375" s="3">
        <v>606</v>
      </c>
      <c r="G2375" s="2">
        <v>154.99</v>
      </c>
      <c r="H2375">
        <f>Master_ventas[[#This Row],[Profit]]/Master_ventas[[#This Row],[Sales]]</f>
        <v>0.25575907590759078</v>
      </c>
      <c r="I2375">
        <f ca="1">Referencia_Hoy-Master_ventas[[#This Row],[Order Date]]</f>
        <v>1675</v>
      </c>
      <c r="J2375" t="str">
        <f>UPPER(Master_ventas[[#This Row],[Product Name]])</f>
        <v>PRINTER</v>
      </c>
      <c r="K2375" t="str">
        <f>UPPER(Master_ventas[[#This Row],[Category]])</f>
        <v>OFFICE</v>
      </c>
      <c r="L2375">
        <f>YEAR(Master_ventas[[#This Row],[Order Date]])</f>
        <v>2022</v>
      </c>
      <c r="M2375" t="str">
        <f>CONCATENATE(LEFT(Master_ventas[[#This Row],[ProdUpper]],3),RIGHT(Master_ventas[[#This Row],[Ext-Year]],2),"-",MID(Master_ventas[[#This Row],[Category]],1,1))</f>
        <v>PRI22-O</v>
      </c>
      <c r="N2375" t="str">
        <f>MID(Master_ventas[[#This Row],[ProdUpper]],1,3)</f>
        <v>PRI</v>
      </c>
      <c r="O2375" t="str">
        <f>UPPER(IF(Master_ventas[[#This Row],[Profit]]&gt;500,"High","Std"))</f>
        <v>STD</v>
      </c>
      <c r="P2375">
        <v>2374</v>
      </c>
    </row>
    <row r="2376" spans="1:16" x14ac:dyDescent="0.3">
      <c r="A2376" s="1">
        <v>45499</v>
      </c>
      <c r="B2376" t="s">
        <v>17</v>
      </c>
      <c r="C2376" t="s">
        <v>14</v>
      </c>
      <c r="D2376" t="s">
        <v>12</v>
      </c>
      <c r="E2376">
        <v>4</v>
      </c>
      <c r="F2376" s="3">
        <v>1084</v>
      </c>
      <c r="G2376" s="2">
        <v>134.41999999999999</v>
      </c>
      <c r="H2376">
        <f>Master_ventas[[#This Row],[Profit]]/Master_ventas[[#This Row],[Sales]]</f>
        <v>0.12400369003690036</v>
      </c>
      <c r="I2376">
        <f ca="1">Referencia_Hoy-Master_ventas[[#This Row],[Order Date]]</f>
        <v>824</v>
      </c>
      <c r="J2376" t="str">
        <f>UPPER(Master_ventas[[#This Row],[Product Name]])</f>
        <v>CAMERA</v>
      </c>
      <c r="K2376" t="str">
        <f>UPPER(Master_ventas[[#This Row],[Category]])</f>
        <v>ELECTRONICS</v>
      </c>
      <c r="L2376">
        <f>YEAR(Master_ventas[[#This Row],[Order Date]])</f>
        <v>2024</v>
      </c>
      <c r="M2376" t="str">
        <f>CONCATENATE(LEFT(Master_ventas[[#This Row],[ProdUpper]],3),RIGHT(Master_ventas[[#This Row],[Ext-Year]],2),"-",MID(Master_ventas[[#This Row],[Category]],1,1))</f>
        <v>CAM24-E</v>
      </c>
      <c r="N2376" t="str">
        <f>MID(Master_ventas[[#This Row],[ProdUpper]],1,3)</f>
        <v>CAM</v>
      </c>
      <c r="O2376" t="str">
        <f>UPPER(IF(Master_ventas[[#This Row],[Profit]]&gt;500,"High","Std"))</f>
        <v>STD</v>
      </c>
      <c r="P2376">
        <v>2375</v>
      </c>
    </row>
    <row r="2377" spans="1:16" x14ac:dyDescent="0.3">
      <c r="A2377" s="1">
        <v>44596</v>
      </c>
      <c r="B2377" t="s">
        <v>23</v>
      </c>
      <c r="C2377" t="s">
        <v>14</v>
      </c>
      <c r="D2377" t="s">
        <v>9</v>
      </c>
      <c r="E2377">
        <v>8</v>
      </c>
      <c r="F2377" s="3">
        <v>2880</v>
      </c>
      <c r="G2377" s="2">
        <v>315.87</v>
      </c>
      <c r="H2377">
        <f>Master_ventas[[#This Row],[Profit]]/Master_ventas[[#This Row],[Sales]]</f>
        <v>0.10967708333333334</v>
      </c>
      <c r="I2377">
        <f ca="1">Referencia_Hoy-Master_ventas[[#This Row],[Order Date]]</f>
        <v>1727</v>
      </c>
      <c r="J2377" t="str">
        <f>UPPER(Master_ventas[[#This Row],[Product Name]])</f>
        <v>LAPTOP</v>
      </c>
      <c r="K2377" t="str">
        <f>UPPER(Master_ventas[[#This Row],[Category]])</f>
        <v>ELECTRONICS</v>
      </c>
      <c r="L2377">
        <f>YEAR(Master_ventas[[#This Row],[Order Date]])</f>
        <v>2022</v>
      </c>
      <c r="M2377" t="str">
        <f>CONCATENATE(LEFT(Master_ventas[[#This Row],[ProdUpper]],3),RIGHT(Master_ventas[[#This Row],[Ext-Year]],2),"-",MID(Master_ventas[[#This Row],[Category]],1,1))</f>
        <v>LAP22-E</v>
      </c>
      <c r="N2377" t="str">
        <f>MID(Master_ventas[[#This Row],[ProdUpper]],1,3)</f>
        <v>LAP</v>
      </c>
      <c r="O2377" t="str">
        <f>UPPER(IF(Master_ventas[[#This Row],[Profit]]&gt;500,"High","Std"))</f>
        <v>STD</v>
      </c>
      <c r="P2377">
        <v>2376</v>
      </c>
    </row>
    <row r="2378" spans="1:16" x14ac:dyDescent="0.3">
      <c r="A2378" s="1">
        <v>45036</v>
      </c>
      <c r="B2378" t="s">
        <v>23</v>
      </c>
      <c r="C2378" t="s">
        <v>14</v>
      </c>
      <c r="D2378" t="s">
        <v>16</v>
      </c>
      <c r="E2378">
        <v>8</v>
      </c>
      <c r="F2378" s="3">
        <v>4544</v>
      </c>
      <c r="G2378" s="2">
        <v>727.05</v>
      </c>
      <c r="H2378">
        <f>Master_ventas[[#This Row],[Profit]]/Master_ventas[[#This Row],[Sales]]</f>
        <v>0.16000220070422536</v>
      </c>
      <c r="I2378">
        <f ca="1">Referencia_Hoy-Master_ventas[[#This Row],[Order Date]]</f>
        <v>1287</v>
      </c>
      <c r="J2378" t="str">
        <f>UPPER(Master_ventas[[#This Row],[Product Name]])</f>
        <v>LAPTOP</v>
      </c>
      <c r="K2378" t="str">
        <f>UPPER(Master_ventas[[#This Row],[Category]])</f>
        <v>ELECTRONICS</v>
      </c>
      <c r="L2378">
        <f>YEAR(Master_ventas[[#This Row],[Order Date]])</f>
        <v>2023</v>
      </c>
      <c r="M2378" t="str">
        <f>CONCATENATE(LEFT(Master_ventas[[#This Row],[ProdUpper]],3),RIGHT(Master_ventas[[#This Row],[Ext-Year]],2),"-",MID(Master_ventas[[#This Row],[Category]],1,1))</f>
        <v>LAP23-E</v>
      </c>
      <c r="N2378" t="str">
        <f>MID(Master_ventas[[#This Row],[ProdUpper]],1,3)</f>
        <v>LAP</v>
      </c>
      <c r="O2378" t="str">
        <f>UPPER(IF(Master_ventas[[#This Row],[Profit]]&gt;500,"High","Std"))</f>
        <v>HIGH</v>
      </c>
      <c r="P2378">
        <v>2377</v>
      </c>
    </row>
    <row r="2379" spans="1:16" x14ac:dyDescent="0.3">
      <c r="A2379" s="1">
        <v>45543</v>
      </c>
      <c r="B2379" t="s">
        <v>10</v>
      </c>
      <c r="C2379" t="s">
        <v>11</v>
      </c>
      <c r="D2379" t="s">
        <v>16</v>
      </c>
      <c r="E2379">
        <v>4</v>
      </c>
      <c r="F2379" s="3">
        <v>556</v>
      </c>
      <c r="G2379" s="2">
        <v>85.63</v>
      </c>
      <c r="H2379">
        <f>Master_ventas[[#This Row],[Profit]]/Master_ventas[[#This Row],[Sales]]</f>
        <v>0.15401079136690646</v>
      </c>
      <c r="I2379">
        <f ca="1">Referencia_Hoy-Master_ventas[[#This Row],[Order Date]]</f>
        <v>780</v>
      </c>
      <c r="J2379" t="str">
        <f>UPPER(Master_ventas[[#This Row],[Product Name]])</f>
        <v>MOUSE</v>
      </c>
      <c r="K2379" t="str">
        <f>UPPER(Master_ventas[[#This Row],[Category]])</f>
        <v>ACCESSORIES</v>
      </c>
      <c r="L2379">
        <f>YEAR(Master_ventas[[#This Row],[Order Date]])</f>
        <v>2024</v>
      </c>
      <c r="M2379" t="str">
        <f>CONCATENATE(LEFT(Master_ventas[[#This Row],[ProdUpper]],3),RIGHT(Master_ventas[[#This Row],[Ext-Year]],2),"-",MID(Master_ventas[[#This Row],[Category]],1,1))</f>
        <v>MOU24-A</v>
      </c>
      <c r="N2379" t="str">
        <f>MID(Master_ventas[[#This Row],[ProdUpper]],1,3)</f>
        <v>MOU</v>
      </c>
      <c r="O2379" t="str">
        <f>UPPER(IF(Master_ventas[[#This Row],[Profit]]&gt;500,"High","Std"))</f>
        <v>STD</v>
      </c>
      <c r="P2379">
        <v>2378</v>
      </c>
    </row>
    <row r="2380" spans="1:16" x14ac:dyDescent="0.3">
      <c r="A2380" s="1">
        <v>45260</v>
      </c>
      <c r="B2380" t="s">
        <v>23</v>
      </c>
      <c r="C2380" t="s">
        <v>14</v>
      </c>
      <c r="D2380" t="s">
        <v>9</v>
      </c>
      <c r="E2380">
        <v>5</v>
      </c>
      <c r="F2380" s="3">
        <v>505</v>
      </c>
      <c r="G2380" s="2">
        <v>71.97</v>
      </c>
      <c r="H2380">
        <f>Master_ventas[[#This Row],[Profit]]/Master_ventas[[#This Row],[Sales]]</f>
        <v>0.1425148514851485</v>
      </c>
      <c r="I2380">
        <f ca="1">Referencia_Hoy-Master_ventas[[#This Row],[Order Date]]</f>
        <v>1063</v>
      </c>
      <c r="J2380" t="str">
        <f>UPPER(Master_ventas[[#This Row],[Product Name]])</f>
        <v>LAPTOP</v>
      </c>
      <c r="K2380" t="str">
        <f>UPPER(Master_ventas[[#This Row],[Category]])</f>
        <v>ELECTRONICS</v>
      </c>
      <c r="L2380">
        <f>YEAR(Master_ventas[[#This Row],[Order Date]])</f>
        <v>2023</v>
      </c>
      <c r="M2380" t="str">
        <f>CONCATENATE(LEFT(Master_ventas[[#This Row],[ProdUpper]],3),RIGHT(Master_ventas[[#This Row],[Ext-Year]],2),"-",MID(Master_ventas[[#This Row],[Category]],1,1))</f>
        <v>LAP23-E</v>
      </c>
      <c r="N2380" t="str">
        <f>MID(Master_ventas[[#This Row],[ProdUpper]],1,3)</f>
        <v>LAP</v>
      </c>
      <c r="O2380" t="str">
        <f>UPPER(IF(Master_ventas[[#This Row],[Profit]]&gt;500,"High","Std"))</f>
        <v>STD</v>
      </c>
      <c r="P2380">
        <v>2379</v>
      </c>
    </row>
    <row r="2381" spans="1:16" x14ac:dyDescent="0.3">
      <c r="A2381" s="1">
        <v>44988</v>
      </c>
      <c r="B2381" t="s">
        <v>13</v>
      </c>
      <c r="C2381" t="s">
        <v>14</v>
      </c>
      <c r="D2381" t="s">
        <v>16</v>
      </c>
      <c r="E2381">
        <v>5</v>
      </c>
      <c r="F2381" s="3">
        <v>2595</v>
      </c>
      <c r="G2381" s="2">
        <v>774.2</v>
      </c>
      <c r="H2381">
        <f>Master_ventas[[#This Row],[Profit]]/Master_ventas[[#This Row],[Sales]]</f>
        <v>0.29834296724470138</v>
      </c>
      <c r="I2381">
        <f ca="1">Referencia_Hoy-Master_ventas[[#This Row],[Order Date]]</f>
        <v>1335</v>
      </c>
      <c r="J2381" t="str">
        <f>UPPER(Master_ventas[[#This Row],[Product Name]])</f>
        <v>TABLET</v>
      </c>
      <c r="K2381" t="str">
        <f>UPPER(Master_ventas[[#This Row],[Category]])</f>
        <v>ELECTRONICS</v>
      </c>
      <c r="L2381">
        <f>YEAR(Master_ventas[[#This Row],[Order Date]])</f>
        <v>2023</v>
      </c>
      <c r="M2381" t="str">
        <f>CONCATENATE(LEFT(Master_ventas[[#This Row],[ProdUpper]],3),RIGHT(Master_ventas[[#This Row],[Ext-Year]],2),"-",MID(Master_ventas[[#This Row],[Category]],1,1))</f>
        <v>TAB23-E</v>
      </c>
      <c r="N2381" t="str">
        <f>MID(Master_ventas[[#This Row],[ProdUpper]],1,3)</f>
        <v>TAB</v>
      </c>
      <c r="O2381" t="str">
        <f>UPPER(IF(Master_ventas[[#This Row],[Profit]]&gt;500,"High","Std"))</f>
        <v>HIGH</v>
      </c>
      <c r="P2381">
        <v>2380</v>
      </c>
    </row>
    <row r="2382" spans="1:16" x14ac:dyDescent="0.3">
      <c r="A2382" s="1">
        <v>44950</v>
      </c>
      <c r="B2382" t="s">
        <v>18</v>
      </c>
      <c r="C2382" t="s">
        <v>11</v>
      </c>
      <c r="D2382" t="s">
        <v>15</v>
      </c>
      <c r="E2382">
        <v>5</v>
      </c>
      <c r="F2382" s="3">
        <v>2820</v>
      </c>
      <c r="G2382" s="2">
        <v>737.68</v>
      </c>
      <c r="H2382">
        <f>Master_ventas[[#This Row],[Profit]]/Master_ventas[[#This Row],[Sales]]</f>
        <v>0.26158865248226948</v>
      </c>
      <c r="I2382">
        <f ca="1">Referencia_Hoy-Master_ventas[[#This Row],[Order Date]]</f>
        <v>1373</v>
      </c>
      <c r="J2382" t="str">
        <f>UPPER(Master_ventas[[#This Row],[Product Name]])</f>
        <v>HEADPHONES</v>
      </c>
      <c r="K2382" t="str">
        <f>UPPER(Master_ventas[[#This Row],[Category]])</f>
        <v>ACCESSORIES</v>
      </c>
      <c r="L2382">
        <f>YEAR(Master_ventas[[#This Row],[Order Date]])</f>
        <v>2023</v>
      </c>
      <c r="M2382" t="str">
        <f>CONCATENATE(LEFT(Master_ventas[[#This Row],[ProdUpper]],3),RIGHT(Master_ventas[[#This Row],[Ext-Year]],2),"-",MID(Master_ventas[[#This Row],[Category]],1,1))</f>
        <v>HEA23-A</v>
      </c>
      <c r="N2382" t="str">
        <f>MID(Master_ventas[[#This Row],[ProdUpper]],1,3)</f>
        <v>HEA</v>
      </c>
      <c r="O2382" t="str">
        <f>UPPER(IF(Master_ventas[[#This Row],[Profit]]&gt;500,"High","Std"))</f>
        <v>HIGH</v>
      </c>
      <c r="P2382">
        <v>2381</v>
      </c>
    </row>
    <row r="2383" spans="1:16" x14ac:dyDescent="0.3">
      <c r="A2383" s="1">
        <v>45228</v>
      </c>
      <c r="B2383" t="s">
        <v>22</v>
      </c>
      <c r="C2383" t="s">
        <v>11</v>
      </c>
      <c r="D2383" t="s">
        <v>12</v>
      </c>
      <c r="E2383">
        <v>2</v>
      </c>
      <c r="F2383" s="3">
        <v>1018</v>
      </c>
      <c r="G2383" s="2">
        <v>297.20999999999998</v>
      </c>
      <c r="H2383">
        <f>Master_ventas[[#This Row],[Profit]]/Master_ventas[[#This Row],[Sales]]</f>
        <v>0.29195481335952844</v>
      </c>
      <c r="I2383">
        <f ca="1">Referencia_Hoy-Master_ventas[[#This Row],[Order Date]]</f>
        <v>1095</v>
      </c>
      <c r="J2383" t="str">
        <f>UPPER(Master_ventas[[#This Row],[Product Name]])</f>
        <v>KEYBOARD</v>
      </c>
      <c r="K2383" t="str">
        <f>UPPER(Master_ventas[[#This Row],[Category]])</f>
        <v>ACCESSORIES</v>
      </c>
      <c r="L2383">
        <f>YEAR(Master_ventas[[#This Row],[Order Date]])</f>
        <v>2023</v>
      </c>
      <c r="M2383" t="str">
        <f>CONCATENATE(LEFT(Master_ventas[[#This Row],[ProdUpper]],3),RIGHT(Master_ventas[[#This Row],[Ext-Year]],2),"-",MID(Master_ventas[[#This Row],[Category]],1,1))</f>
        <v>KEY23-A</v>
      </c>
      <c r="N2383" t="str">
        <f>MID(Master_ventas[[#This Row],[ProdUpper]],1,3)</f>
        <v>KEY</v>
      </c>
      <c r="O2383" t="str">
        <f>UPPER(IF(Master_ventas[[#This Row],[Profit]]&gt;500,"High","Std"))</f>
        <v>STD</v>
      </c>
      <c r="P2383">
        <v>2382</v>
      </c>
    </row>
    <row r="2384" spans="1:16" x14ac:dyDescent="0.3">
      <c r="A2384" s="1">
        <v>44989</v>
      </c>
      <c r="B2384" t="s">
        <v>23</v>
      </c>
      <c r="C2384" t="s">
        <v>14</v>
      </c>
      <c r="D2384" t="s">
        <v>12</v>
      </c>
      <c r="E2384">
        <v>4</v>
      </c>
      <c r="F2384" s="3">
        <v>944</v>
      </c>
      <c r="G2384" s="2">
        <v>176.56</v>
      </c>
      <c r="H2384">
        <f>Master_ventas[[#This Row],[Profit]]/Master_ventas[[#This Row],[Sales]]</f>
        <v>0.18703389830508474</v>
      </c>
      <c r="I2384">
        <f ca="1">Referencia_Hoy-Master_ventas[[#This Row],[Order Date]]</f>
        <v>1334</v>
      </c>
      <c r="J2384" t="str">
        <f>UPPER(Master_ventas[[#This Row],[Product Name]])</f>
        <v>LAPTOP</v>
      </c>
      <c r="K2384" t="str">
        <f>UPPER(Master_ventas[[#This Row],[Category]])</f>
        <v>ELECTRONICS</v>
      </c>
      <c r="L2384">
        <f>YEAR(Master_ventas[[#This Row],[Order Date]])</f>
        <v>2023</v>
      </c>
      <c r="M2384" t="str">
        <f>CONCATENATE(LEFT(Master_ventas[[#This Row],[ProdUpper]],3),RIGHT(Master_ventas[[#This Row],[Ext-Year]],2),"-",MID(Master_ventas[[#This Row],[Category]],1,1))</f>
        <v>LAP23-E</v>
      </c>
      <c r="N2384" t="str">
        <f>MID(Master_ventas[[#This Row],[ProdUpper]],1,3)</f>
        <v>LAP</v>
      </c>
      <c r="O2384" t="str">
        <f>UPPER(IF(Master_ventas[[#This Row],[Profit]]&gt;500,"High","Std"))</f>
        <v>STD</v>
      </c>
      <c r="P2384">
        <v>2383</v>
      </c>
    </row>
    <row r="2385" spans="1:16" x14ac:dyDescent="0.3">
      <c r="A2385" s="1">
        <v>45168</v>
      </c>
      <c r="B2385" t="s">
        <v>13</v>
      </c>
      <c r="C2385" t="s">
        <v>14</v>
      </c>
      <c r="D2385" t="s">
        <v>12</v>
      </c>
      <c r="E2385">
        <v>1</v>
      </c>
      <c r="F2385" s="3">
        <v>610</v>
      </c>
      <c r="G2385" s="2">
        <v>44.99</v>
      </c>
      <c r="H2385">
        <f>Master_ventas[[#This Row],[Profit]]/Master_ventas[[#This Row],[Sales]]</f>
        <v>7.3754098360655745E-2</v>
      </c>
      <c r="I2385">
        <f ca="1">Referencia_Hoy-Master_ventas[[#This Row],[Order Date]]</f>
        <v>1155</v>
      </c>
      <c r="J2385" t="str">
        <f>UPPER(Master_ventas[[#This Row],[Product Name]])</f>
        <v>TABLET</v>
      </c>
      <c r="K2385" t="str">
        <f>UPPER(Master_ventas[[#This Row],[Category]])</f>
        <v>ELECTRONICS</v>
      </c>
      <c r="L2385">
        <f>YEAR(Master_ventas[[#This Row],[Order Date]])</f>
        <v>2023</v>
      </c>
      <c r="M2385" t="str">
        <f>CONCATENATE(LEFT(Master_ventas[[#This Row],[ProdUpper]],3),RIGHT(Master_ventas[[#This Row],[Ext-Year]],2),"-",MID(Master_ventas[[#This Row],[Category]],1,1))</f>
        <v>TAB23-E</v>
      </c>
      <c r="N2385" t="str">
        <f>MID(Master_ventas[[#This Row],[ProdUpper]],1,3)</f>
        <v>TAB</v>
      </c>
      <c r="O2385" t="str">
        <f>UPPER(IF(Master_ventas[[#This Row],[Profit]]&gt;500,"High","Std"))</f>
        <v>STD</v>
      </c>
      <c r="P2385">
        <v>2384</v>
      </c>
    </row>
    <row r="2386" spans="1:16" x14ac:dyDescent="0.3">
      <c r="A2386" s="1">
        <v>45437</v>
      </c>
      <c r="B2386" t="s">
        <v>17</v>
      </c>
      <c r="C2386" t="s">
        <v>14</v>
      </c>
      <c r="D2386" t="s">
        <v>15</v>
      </c>
      <c r="E2386">
        <v>4</v>
      </c>
      <c r="F2386" s="3">
        <v>912</v>
      </c>
      <c r="G2386" s="2">
        <v>81.650000000000006</v>
      </c>
      <c r="H2386">
        <f>Master_ventas[[#This Row],[Profit]]/Master_ventas[[#This Row],[Sales]]</f>
        <v>8.9528508771929832E-2</v>
      </c>
      <c r="I2386">
        <f ca="1">Referencia_Hoy-Master_ventas[[#This Row],[Order Date]]</f>
        <v>886</v>
      </c>
      <c r="J2386" t="str">
        <f>UPPER(Master_ventas[[#This Row],[Product Name]])</f>
        <v>CAMERA</v>
      </c>
      <c r="K2386" t="str">
        <f>UPPER(Master_ventas[[#This Row],[Category]])</f>
        <v>ELECTRONICS</v>
      </c>
      <c r="L2386">
        <f>YEAR(Master_ventas[[#This Row],[Order Date]])</f>
        <v>2024</v>
      </c>
      <c r="M2386" t="str">
        <f>CONCATENATE(LEFT(Master_ventas[[#This Row],[ProdUpper]],3),RIGHT(Master_ventas[[#This Row],[Ext-Year]],2),"-",MID(Master_ventas[[#This Row],[Category]],1,1))</f>
        <v>CAM24-E</v>
      </c>
      <c r="N2386" t="str">
        <f>MID(Master_ventas[[#This Row],[ProdUpper]],1,3)</f>
        <v>CAM</v>
      </c>
      <c r="O2386" t="str">
        <f>UPPER(IF(Master_ventas[[#This Row],[Profit]]&gt;500,"High","Std"))</f>
        <v>STD</v>
      </c>
      <c r="P2386">
        <v>2385</v>
      </c>
    </row>
    <row r="2387" spans="1:16" x14ac:dyDescent="0.3">
      <c r="A2387" s="1">
        <v>45018</v>
      </c>
      <c r="B2387" t="s">
        <v>20</v>
      </c>
      <c r="C2387" t="s">
        <v>11</v>
      </c>
      <c r="D2387" t="s">
        <v>16</v>
      </c>
      <c r="E2387">
        <v>9</v>
      </c>
      <c r="F2387" s="3">
        <v>10413</v>
      </c>
      <c r="G2387" s="2">
        <v>1738.63</v>
      </c>
      <c r="H2387">
        <f>Master_ventas[[#This Row],[Profit]]/Master_ventas[[#This Row],[Sales]]</f>
        <v>0.16696725247287045</v>
      </c>
      <c r="I2387">
        <f ca="1">Referencia_Hoy-Master_ventas[[#This Row],[Order Date]]</f>
        <v>1305</v>
      </c>
      <c r="J2387" t="str">
        <f>UPPER(Master_ventas[[#This Row],[Product Name]])</f>
        <v>MONITOR</v>
      </c>
      <c r="K2387" t="str">
        <f>UPPER(Master_ventas[[#This Row],[Category]])</f>
        <v>ACCESSORIES</v>
      </c>
      <c r="L2387">
        <f>YEAR(Master_ventas[[#This Row],[Order Date]])</f>
        <v>2023</v>
      </c>
      <c r="M2387" t="str">
        <f>CONCATENATE(LEFT(Master_ventas[[#This Row],[ProdUpper]],3),RIGHT(Master_ventas[[#This Row],[Ext-Year]],2),"-",MID(Master_ventas[[#This Row],[Category]],1,1))</f>
        <v>MON23-A</v>
      </c>
      <c r="N2387" t="str">
        <f>MID(Master_ventas[[#This Row],[ProdUpper]],1,3)</f>
        <v>MON</v>
      </c>
      <c r="O2387" t="str">
        <f>UPPER(IF(Master_ventas[[#This Row],[Profit]]&gt;500,"High","Std"))</f>
        <v>HIGH</v>
      </c>
      <c r="P2387">
        <v>2386</v>
      </c>
    </row>
    <row r="2388" spans="1:16" x14ac:dyDescent="0.3">
      <c r="A2388" s="1">
        <v>45134</v>
      </c>
      <c r="B2388" t="s">
        <v>7</v>
      </c>
      <c r="C2388" t="s">
        <v>8</v>
      </c>
      <c r="D2388" t="s">
        <v>16</v>
      </c>
      <c r="E2388">
        <v>8</v>
      </c>
      <c r="F2388" s="3">
        <v>2176</v>
      </c>
      <c r="G2388" s="2">
        <v>398.29</v>
      </c>
      <c r="H2388">
        <f>Master_ventas[[#This Row],[Profit]]/Master_ventas[[#This Row],[Sales]]</f>
        <v>0.18303768382352942</v>
      </c>
      <c r="I2388">
        <f ca="1">Referencia_Hoy-Master_ventas[[#This Row],[Order Date]]</f>
        <v>1189</v>
      </c>
      <c r="J2388" t="str">
        <f>UPPER(Master_ventas[[#This Row],[Product Name]])</f>
        <v>PRINTER</v>
      </c>
      <c r="K2388" t="str">
        <f>UPPER(Master_ventas[[#This Row],[Category]])</f>
        <v>OFFICE</v>
      </c>
      <c r="L2388">
        <f>YEAR(Master_ventas[[#This Row],[Order Date]])</f>
        <v>2023</v>
      </c>
      <c r="M2388" t="str">
        <f>CONCATENATE(LEFT(Master_ventas[[#This Row],[ProdUpper]],3),RIGHT(Master_ventas[[#This Row],[Ext-Year]],2),"-",MID(Master_ventas[[#This Row],[Category]],1,1))</f>
        <v>PRI23-O</v>
      </c>
      <c r="N2388" t="str">
        <f>MID(Master_ventas[[#This Row],[ProdUpper]],1,3)</f>
        <v>PRI</v>
      </c>
      <c r="O2388" t="str">
        <f>UPPER(IF(Master_ventas[[#This Row],[Profit]]&gt;500,"High","Std"))</f>
        <v>STD</v>
      </c>
      <c r="P2388">
        <v>2387</v>
      </c>
    </row>
    <row r="2389" spans="1:16" x14ac:dyDescent="0.3">
      <c r="A2389" s="1">
        <v>44565</v>
      </c>
      <c r="B2389" t="s">
        <v>7</v>
      </c>
      <c r="C2389" t="s">
        <v>8</v>
      </c>
      <c r="D2389" t="s">
        <v>12</v>
      </c>
      <c r="E2389">
        <v>6</v>
      </c>
      <c r="F2389" s="3">
        <v>6108</v>
      </c>
      <c r="G2389" s="2">
        <v>1488.4</v>
      </c>
      <c r="H2389">
        <f>Master_ventas[[#This Row],[Profit]]/Master_ventas[[#This Row],[Sales]]</f>
        <v>0.24368041912246236</v>
      </c>
      <c r="I2389">
        <f ca="1">Referencia_Hoy-Master_ventas[[#This Row],[Order Date]]</f>
        <v>1758</v>
      </c>
      <c r="J2389" t="str">
        <f>UPPER(Master_ventas[[#This Row],[Product Name]])</f>
        <v>PRINTER</v>
      </c>
      <c r="K2389" t="str">
        <f>UPPER(Master_ventas[[#This Row],[Category]])</f>
        <v>OFFICE</v>
      </c>
      <c r="L2389">
        <f>YEAR(Master_ventas[[#This Row],[Order Date]])</f>
        <v>2022</v>
      </c>
      <c r="M2389" t="str">
        <f>CONCATENATE(LEFT(Master_ventas[[#This Row],[ProdUpper]],3),RIGHT(Master_ventas[[#This Row],[Ext-Year]],2),"-",MID(Master_ventas[[#This Row],[Category]],1,1))</f>
        <v>PRI22-O</v>
      </c>
      <c r="N2389" t="str">
        <f>MID(Master_ventas[[#This Row],[ProdUpper]],1,3)</f>
        <v>PRI</v>
      </c>
      <c r="O2389" t="str">
        <f>UPPER(IF(Master_ventas[[#This Row],[Profit]]&gt;500,"High","Std"))</f>
        <v>HIGH</v>
      </c>
      <c r="P2389">
        <v>2388</v>
      </c>
    </row>
    <row r="2390" spans="1:16" x14ac:dyDescent="0.3">
      <c r="A2390" s="1">
        <v>45336</v>
      </c>
      <c r="B2390" t="s">
        <v>10</v>
      </c>
      <c r="C2390" t="s">
        <v>11</v>
      </c>
      <c r="D2390" t="s">
        <v>16</v>
      </c>
      <c r="E2390">
        <v>2</v>
      </c>
      <c r="F2390" s="3">
        <v>1148</v>
      </c>
      <c r="G2390" s="2">
        <v>173.89</v>
      </c>
      <c r="H2390">
        <f>Master_ventas[[#This Row],[Profit]]/Master_ventas[[#This Row],[Sales]]</f>
        <v>0.15147212543554006</v>
      </c>
      <c r="I2390">
        <f ca="1">Referencia_Hoy-Master_ventas[[#This Row],[Order Date]]</f>
        <v>987</v>
      </c>
      <c r="J2390" t="str">
        <f>UPPER(Master_ventas[[#This Row],[Product Name]])</f>
        <v>MOUSE</v>
      </c>
      <c r="K2390" t="str">
        <f>UPPER(Master_ventas[[#This Row],[Category]])</f>
        <v>ACCESSORIES</v>
      </c>
      <c r="L2390">
        <f>YEAR(Master_ventas[[#This Row],[Order Date]])</f>
        <v>2024</v>
      </c>
      <c r="M2390" t="str">
        <f>CONCATENATE(LEFT(Master_ventas[[#This Row],[ProdUpper]],3),RIGHT(Master_ventas[[#This Row],[Ext-Year]],2),"-",MID(Master_ventas[[#This Row],[Category]],1,1))</f>
        <v>MOU24-A</v>
      </c>
      <c r="N2390" t="str">
        <f>MID(Master_ventas[[#This Row],[ProdUpper]],1,3)</f>
        <v>MOU</v>
      </c>
      <c r="O2390" t="str">
        <f>UPPER(IF(Master_ventas[[#This Row],[Profit]]&gt;500,"High","Std"))</f>
        <v>STD</v>
      </c>
      <c r="P2390">
        <v>2389</v>
      </c>
    </row>
    <row r="2391" spans="1:16" x14ac:dyDescent="0.3">
      <c r="A2391" s="1">
        <v>45413</v>
      </c>
      <c r="B2391" t="s">
        <v>20</v>
      </c>
      <c r="C2391" t="s">
        <v>11</v>
      </c>
      <c r="D2391" t="s">
        <v>12</v>
      </c>
      <c r="E2391">
        <v>8</v>
      </c>
      <c r="F2391" s="3">
        <v>8824</v>
      </c>
      <c r="G2391" s="2">
        <v>597.1</v>
      </c>
      <c r="H2391">
        <f>Master_ventas[[#This Row],[Profit]]/Master_ventas[[#This Row],[Sales]]</f>
        <v>6.7667724388032646E-2</v>
      </c>
      <c r="I2391">
        <f ca="1">Referencia_Hoy-Master_ventas[[#This Row],[Order Date]]</f>
        <v>910</v>
      </c>
      <c r="J2391" t="str">
        <f>UPPER(Master_ventas[[#This Row],[Product Name]])</f>
        <v>MONITOR</v>
      </c>
      <c r="K2391" t="str">
        <f>UPPER(Master_ventas[[#This Row],[Category]])</f>
        <v>ACCESSORIES</v>
      </c>
      <c r="L2391">
        <f>YEAR(Master_ventas[[#This Row],[Order Date]])</f>
        <v>2024</v>
      </c>
      <c r="M2391" t="str">
        <f>CONCATENATE(LEFT(Master_ventas[[#This Row],[ProdUpper]],3),RIGHT(Master_ventas[[#This Row],[Ext-Year]],2),"-",MID(Master_ventas[[#This Row],[Category]],1,1))</f>
        <v>MON24-A</v>
      </c>
      <c r="N2391" t="str">
        <f>MID(Master_ventas[[#This Row],[ProdUpper]],1,3)</f>
        <v>MON</v>
      </c>
      <c r="O2391" t="str">
        <f>UPPER(IF(Master_ventas[[#This Row],[Profit]]&gt;500,"High","Std"))</f>
        <v>HIGH</v>
      </c>
      <c r="P2391">
        <v>2390</v>
      </c>
    </row>
    <row r="2392" spans="1:16" x14ac:dyDescent="0.3">
      <c r="A2392" s="1">
        <v>44729</v>
      </c>
      <c r="B2392" t="s">
        <v>18</v>
      </c>
      <c r="C2392" t="s">
        <v>11</v>
      </c>
      <c r="D2392" t="s">
        <v>9</v>
      </c>
      <c r="E2392">
        <v>5</v>
      </c>
      <c r="F2392" s="3">
        <v>2240</v>
      </c>
      <c r="G2392" s="2">
        <v>159.58000000000001</v>
      </c>
      <c r="H2392">
        <f>Master_ventas[[#This Row],[Profit]]/Master_ventas[[#This Row],[Sales]]</f>
        <v>7.1241071428571431E-2</v>
      </c>
      <c r="I2392">
        <f ca="1">Referencia_Hoy-Master_ventas[[#This Row],[Order Date]]</f>
        <v>1594</v>
      </c>
      <c r="J2392" t="str">
        <f>UPPER(Master_ventas[[#This Row],[Product Name]])</f>
        <v>HEADPHONES</v>
      </c>
      <c r="K2392" t="str">
        <f>UPPER(Master_ventas[[#This Row],[Category]])</f>
        <v>ACCESSORIES</v>
      </c>
      <c r="L2392">
        <f>YEAR(Master_ventas[[#This Row],[Order Date]])</f>
        <v>2022</v>
      </c>
      <c r="M2392" t="str">
        <f>CONCATENATE(LEFT(Master_ventas[[#This Row],[ProdUpper]],3),RIGHT(Master_ventas[[#This Row],[Ext-Year]],2),"-",MID(Master_ventas[[#This Row],[Category]],1,1))</f>
        <v>HEA22-A</v>
      </c>
      <c r="N2392" t="str">
        <f>MID(Master_ventas[[#This Row],[ProdUpper]],1,3)</f>
        <v>HEA</v>
      </c>
      <c r="O2392" t="str">
        <f>UPPER(IF(Master_ventas[[#This Row],[Profit]]&gt;500,"High","Std"))</f>
        <v>STD</v>
      </c>
      <c r="P2392">
        <v>2391</v>
      </c>
    </row>
    <row r="2393" spans="1:16" x14ac:dyDescent="0.3">
      <c r="A2393" s="1">
        <v>44609</v>
      </c>
      <c r="B2393" t="s">
        <v>17</v>
      </c>
      <c r="C2393" t="s">
        <v>14</v>
      </c>
      <c r="D2393" t="s">
        <v>9</v>
      </c>
      <c r="E2393">
        <v>2</v>
      </c>
      <c r="F2393" s="3">
        <v>1312</v>
      </c>
      <c r="G2393" s="2">
        <v>386.79</v>
      </c>
      <c r="H2393">
        <f>Master_ventas[[#This Row],[Profit]]/Master_ventas[[#This Row],[Sales]]</f>
        <v>0.29480945121951219</v>
      </c>
      <c r="I2393">
        <f ca="1">Referencia_Hoy-Master_ventas[[#This Row],[Order Date]]</f>
        <v>1714</v>
      </c>
      <c r="J2393" t="str">
        <f>UPPER(Master_ventas[[#This Row],[Product Name]])</f>
        <v>CAMERA</v>
      </c>
      <c r="K2393" t="str">
        <f>UPPER(Master_ventas[[#This Row],[Category]])</f>
        <v>ELECTRONICS</v>
      </c>
      <c r="L2393">
        <f>YEAR(Master_ventas[[#This Row],[Order Date]])</f>
        <v>2022</v>
      </c>
      <c r="M2393" t="str">
        <f>CONCATENATE(LEFT(Master_ventas[[#This Row],[ProdUpper]],3),RIGHT(Master_ventas[[#This Row],[Ext-Year]],2),"-",MID(Master_ventas[[#This Row],[Category]],1,1))</f>
        <v>CAM22-E</v>
      </c>
      <c r="N2393" t="str">
        <f>MID(Master_ventas[[#This Row],[ProdUpper]],1,3)</f>
        <v>CAM</v>
      </c>
      <c r="O2393" t="str">
        <f>UPPER(IF(Master_ventas[[#This Row],[Profit]]&gt;500,"High","Std"))</f>
        <v>STD</v>
      </c>
      <c r="P2393">
        <v>2392</v>
      </c>
    </row>
    <row r="2394" spans="1:16" x14ac:dyDescent="0.3">
      <c r="A2394" s="1">
        <v>44959</v>
      </c>
      <c r="B2394" t="s">
        <v>23</v>
      </c>
      <c r="C2394" t="s">
        <v>14</v>
      </c>
      <c r="D2394" t="s">
        <v>15</v>
      </c>
      <c r="E2394">
        <v>9</v>
      </c>
      <c r="F2394" s="3">
        <v>10620</v>
      </c>
      <c r="G2394" s="2">
        <v>2946.93</v>
      </c>
      <c r="H2394">
        <f>Master_ventas[[#This Row],[Profit]]/Master_ventas[[#This Row],[Sales]]</f>
        <v>0.27748870056497171</v>
      </c>
      <c r="I2394">
        <f ca="1">Referencia_Hoy-Master_ventas[[#This Row],[Order Date]]</f>
        <v>1364</v>
      </c>
      <c r="J2394" t="str">
        <f>UPPER(Master_ventas[[#This Row],[Product Name]])</f>
        <v>LAPTOP</v>
      </c>
      <c r="K2394" t="str">
        <f>UPPER(Master_ventas[[#This Row],[Category]])</f>
        <v>ELECTRONICS</v>
      </c>
      <c r="L2394">
        <f>YEAR(Master_ventas[[#This Row],[Order Date]])</f>
        <v>2023</v>
      </c>
      <c r="M2394" t="str">
        <f>CONCATENATE(LEFT(Master_ventas[[#This Row],[ProdUpper]],3),RIGHT(Master_ventas[[#This Row],[Ext-Year]],2),"-",MID(Master_ventas[[#This Row],[Category]],1,1))</f>
        <v>LAP23-E</v>
      </c>
      <c r="N2394" t="str">
        <f>MID(Master_ventas[[#This Row],[ProdUpper]],1,3)</f>
        <v>LAP</v>
      </c>
      <c r="O2394" t="str">
        <f>UPPER(IF(Master_ventas[[#This Row],[Profit]]&gt;500,"High","Std"))</f>
        <v>HIGH</v>
      </c>
      <c r="P2394">
        <v>2393</v>
      </c>
    </row>
    <row r="2395" spans="1:16" x14ac:dyDescent="0.3">
      <c r="A2395" s="1">
        <v>45565</v>
      </c>
      <c r="B2395" t="s">
        <v>13</v>
      </c>
      <c r="C2395" t="s">
        <v>14</v>
      </c>
      <c r="D2395" t="s">
        <v>12</v>
      </c>
      <c r="E2395">
        <v>2</v>
      </c>
      <c r="F2395" s="3">
        <v>2178</v>
      </c>
      <c r="G2395" s="2">
        <v>574.4</v>
      </c>
      <c r="H2395">
        <f>Master_ventas[[#This Row],[Profit]]/Master_ventas[[#This Row],[Sales]]</f>
        <v>0.26372819100091827</v>
      </c>
      <c r="I2395">
        <f ca="1">Referencia_Hoy-Master_ventas[[#This Row],[Order Date]]</f>
        <v>758</v>
      </c>
      <c r="J2395" t="str">
        <f>UPPER(Master_ventas[[#This Row],[Product Name]])</f>
        <v>TABLET</v>
      </c>
      <c r="K2395" t="str">
        <f>UPPER(Master_ventas[[#This Row],[Category]])</f>
        <v>ELECTRONICS</v>
      </c>
      <c r="L2395">
        <f>YEAR(Master_ventas[[#This Row],[Order Date]])</f>
        <v>2024</v>
      </c>
      <c r="M2395" t="str">
        <f>CONCATENATE(LEFT(Master_ventas[[#This Row],[ProdUpper]],3),RIGHT(Master_ventas[[#This Row],[Ext-Year]],2),"-",MID(Master_ventas[[#This Row],[Category]],1,1))</f>
        <v>TAB24-E</v>
      </c>
      <c r="N2395" t="str">
        <f>MID(Master_ventas[[#This Row],[ProdUpper]],1,3)</f>
        <v>TAB</v>
      </c>
      <c r="O2395" t="str">
        <f>UPPER(IF(Master_ventas[[#This Row],[Profit]]&gt;500,"High","Std"))</f>
        <v>HIGH</v>
      </c>
      <c r="P2395">
        <v>2394</v>
      </c>
    </row>
    <row r="2396" spans="1:16" x14ac:dyDescent="0.3">
      <c r="A2396" s="1">
        <v>45424</v>
      </c>
      <c r="B2396" t="s">
        <v>20</v>
      </c>
      <c r="C2396" t="s">
        <v>11</v>
      </c>
      <c r="D2396" t="s">
        <v>12</v>
      </c>
      <c r="E2396">
        <v>3</v>
      </c>
      <c r="F2396" s="3">
        <v>1671</v>
      </c>
      <c r="G2396" s="2">
        <v>94.52</v>
      </c>
      <c r="H2396">
        <f>Master_ventas[[#This Row],[Profit]]/Master_ventas[[#This Row],[Sales]]</f>
        <v>5.6564931178934769E-2</v>
      </c>
      <c r="I2396">
        <f ca="1">Referencia_Hoy-Master_ventas[[#This Row],[Order Date]]</f>
        <v>899</v>
      </c>
      <c r="J2396" t="str">
        <f>UPPER(Master_ventas[[#This Row],[Product Name]])</f>
        <v>MONITOR</v>
      </c>
      <c r="K2396" t="str">
        <f>UPPER(Master_ventas[[#This Row],[Category]])</f>
        <v>ACCESSORIES</v>
      </c>
      <c r="L2396">
        <f>YEAR(Master_ventas[[#This Row],[Order Date]])</f>
        <v>2024</v>
      </c>
      <c r="M2396" t="str">
        <f>CONCATENATE(LEFT(Master_ventas[[#This Row],[ProdUpper]],3),RIGHT(Master_ventas[[#This Row],[Ext-Year]],2),"-",MID(Master_ventas[[#This Row],[Category]],1,1))</f>
        <v>MON24-A</v>
      </c>
      <c r="N2396" t="str">
        <f>MID(Master_ventas[[#This Row],[ProdUpper]],1,3)</f>
        <v>MON</v>
      </c>
      <c r="O2396" t="str">
        <f>UPPER(IF(Master_ventas[[#This Row],[Profit]]&gt;500,"High","Std"))</f>
        <v>STD</v>
      </c>
      <c r="P2396">
        <v>2395</v>
      </c>
    </row>
    <row r="2397" spans="1:16" x14ac:dyDescent="0.3">
      <c r="A2397" s="1">
        <v>45501</v>
      </c>
      <c r="B2397" t="s">
        <v>20</v>
      </c>
      <c r="C2397" t="s">
        <v>11</v>
      </c>
      <c r="D2397" t="s">
        <v>12</v>
      </c>
      <c r="E2397">
        <v>3</v>
      </c>
      <c r="F2397" s="3">
        <v>2025</v>
      </c>
      <c r="G2397" s="2">
        <v>355.59</v>
      </c>
      <c r="H2397">
        <f>Master_ventas[[#This Row],[Profit]]/Master_ventas[[#This Row],[Sales]]</f>
        <v>0.17559999999999998</v>
      </c>
      <c r="I2397">
        <f ca="1">Referencia_Hoy-Master_ventas[[#This Row],[Order Date]]</f>
        <v>822</v>
      </c>
      <c r="J2397" t="str">
        <f>UPPER(Master_ventas[[#This Row],[Product Name]])</f>
        <v>MONITOR</v>
      </c>
      <c r="K2397" t="str">
        <f>UPPER(Master_ventas[[#This Row],[Category]])</f>
        <v>ACCESSORIES</v>
      </c>
      <c r="L2397">
        <f>YEAR(Master_ventas[[#This Row],[Order Date]])</f>
        <v>2024</v>
      </c>
      <c r="M2397" t="str">
        <f>CONCATENATE(LEFT(Master_ventas[[#This Row],[ProdUpper]],3),RIGHT(Master_ventas[[#This Row],[Ext-Year]],2),"-",MID(Master_ventas[[#This Row],[Category]],1,1))</f>
        <v>MON24-A</v>
      </c>
      <c r="N2397" t="str">
        <f>MID(Master_ventas[[#This Row],[ProdUpper]],1,3)</f>
        <v>MON</v>
      </c>
      <c r="O2397" t="str">
        <f>UPPER(IF(Master_ventas[[#This Row],[Profit]]&gt;500,"High","Std"))</f>
        <v>STD</v>
      </c>
      <c r="P2397">
        <v>2396</v>
      </c>
    </row>
    <row r="2398" spans="1:16" x14ac:dyDescent="0.3">
      <c r="A2398" s="1">
        <v>45597</v>
      </c>
      <c r="B2398" t="s">
        <v>10</v>
      </c>
      <c r="C2398" t="s">
        <v>11</v>
      </c>
      <c r="D2398" t="s">
        <v>12</v>
      </c>
      <c r="E2398">
        <v>6</v>
      </c>
      <c r="F2398" s="3">
        <v>2886</v>
      </c>
      <c r="G2398" s="2">
        <v>355.32</v>
      </c>
      <c r="H2398">
        <f>Master_ventas[[#This Row],[Profit]]/Master_ventas[[#This Row],[Sales]]</f>
        <v>0.12311850311850311</v>
      </c>
      <c r="I2398">
        <f ca="1">Referencia_Hoy-Master_ventas[[#This Row],[Order Date]]</f>
        <v>726</v>
      </c>
      <c r="J2398" t="str">
        <f>UPPER(Master_ventas[[#This Row],[Product Name]])</f>
        <v>MOUSE</v>
      </c>
      <c r="K2398" t="str">
        <f>UPPER(Master_ventas[[#This Row],[Category]])</f>
        <v>ACCESSORIES</v>
      </c>
      <c r="L2398">
        <f>YEAR(Master_ventas[[#This Row],[Order Date]])</f>
        <v>2024</v>
      </c>
      <c r="M2398" t="str">
        <f>CONCATENATE(LEFT(Master_ventas[[#This Row],[ProdUpper]],3),RIGHT(Master_ventas[[#This Row],[Ext-Year]],2),"-",MID(Master_ventas[[#This Row],[Category]],1,1))</f>
        <v>MOU24-A</v>
      </c>
      <c r="N2398" t="str">
        <f>MID(Master_ventas[[#This Row],[ProdUpper]],1,3)</f>
        <v>MOU</v>
      </c>
      <c r="O2398" t="str">
        <f>UPPER(IF(Master_ventas[[#This Row],[Profit]]&gt;500,"High","Std"))</f>
        <v>STD</v>
      </c>
      <c r="P2398">
        <v>2397</v>
      </c>
    </row>
    <row r="2399" spans="1:16" x14ac:dyDescent="0.3">
      <c r="A2399" s="1">
        <v>45500</v>
      </c>
      <c r="B2399" t="s">
        <v>7</v>
      </c>
      <c r="C2399" t="s">
        <v>8</v>
      </c>
      <c r="D2399" t="s">
        <v>12</v>
      </c>
      <c r="E2399">
        <v>2</v>
      </c>
      <c r="F2399" s="3">
        <v>1868</v>
      </c>
      <c r="G2399" s="2">
        <v>307.32</v>
      </c>
      <c r="H2399">
        <f>Master_ventas[[#This Row],[Profit]]/Master_ventas[[#This Row],[Sales]]</f>
        <v>0.16451820128479658</v>
      </c>
      <c r="I2399">
        <f ca="1">Referencia_Hoy-Master_ventas[[#This Row],[Order Date]]</f>
        <v>823</v>
      </c>
      <c r="J2399" t="str">
        <f>UPPER(Master_ventas[[#This Row],[Product Name]])</f>
        <v>PRINTER</v>
      </c>
      <c r="K2399" t="str">
        <f>UPPER(Master_ventas[[#This Row],[Category]])</f>
        <v>OFFICE</v>
      </c>
      <c r="L2399">
        <f>YEAR(Master_ventas[[#This Row],[Order Date]])</f>
        <v>2024</v>
      </c>
      <c r="M2399" t="str">
        <f>CONCATENATE(LEFT(Master_ventas[[#This Row],[ProdUpper]],3),RIGHT(Master_ventas[[#This Row],[Ext-Year]],2),"-",MID(Master_ventas[[#This Row],[Category]],1,1))</f>
        <v>PRI24-O</v>
      </c>
      <c r="N2399" t="str">
        <f>MID(Master_ventas[[#This Row],[ProdUpper]],1,3)</f>
        <v>PRI</v>
      </c>
      <c r="O2399" t="str">
        <f>UPPER(IF(Master_ventas[[#This Row],[Profit]]&gt;500,"High","Std"))</f>
        <v>STD</v>
      </c>
      <c r="P2399">
        <v>2398</v>
      </c>
    </row>
    <row r="2400" spans="1:16" x14ac:dyDescent="0.3">
      <c r="A2400" s="1">
        <v>44934</v>
      </c>
      <c r="B2400" t="s">
        <v>18</v>
      </c>
      <c r="C2400" t="s">
        <v>11</v>
      </c>
      <c r="D2400" t="s">
        <v>12</v>
      </c>
      <c r="E2400">
        <v>4</v>
      </c>
      <c r="F2400" s="3">
        <v>3280</v>
      </c>
      <c r="G2400" s="2">
        <v>826.94</v>
      </c>
      <c r="H2400">
        <f>Master_ventas[[#This Row],[Profit]]/Master_ventas[[#This Row],[Sales]]</f>
        <v>0.25211585365853662</v>
      </c>
      <c r="I2400">
        <f ca="1">Referencia_Hoy-Master_ventas[[#This Row],[Order Date]]</f>
        <v>1389</v>
      </c>
      <c r="J2400" t="str">
        <f>UPPER(Master_ventas[[#This Row],[Product Name]])</f>
        <v>HEADPHONES</v>
      </c>
      <c r="K2400" t="str">
        <f>UPPER(Master_ventas[[#This Row],[Category]])</f>
        <v>ACCESSORIES</v>
      </c>
      <c r="L2400">
        <f>YEAR(Master_ventas[[#This Row],[Order Date]])</f>
        <v>2023</v>
      </c>
      <c r="M2400" t="str">
        <f>CONCATENATE(LEFT(Master_ventas[[#This Row],[ProdUpper]],3),RIGHT(Master_ventas[[#This Row],[Ext-Year]],2),"-",MID(Master_ventas[[#This Row],[Category]],1,1))</f>
        <v>HEA23-A</v>
      </c>
      <c r="N2400" t="str">
        <f>MID(Master_ventas[[#This Row],[ProdUpper]],1,3)</f>
        <v>HEA</v>
      </c>
      <c r="O2400" t="str">
        <f>UPPER(IF(Master_ventas[[#This Row],[Profit]]&gt;500,"High","Std"))</f>
        <v>HIGH</v>
      </c>
      <c r="P2400">
        <v>2399</v>
      </c>
    </row>
    <row r="2401" spans="1:16" x14ac:dyDescent="0.3">
      <c r="A2401" s="1">
        <v>44699</v>
      </c>
      <c r="B2401" t="s">
        <v>13</v>
      </c>
      <c r="C2401" t="s">
        <v>14</v>
      </c>
      <c r="D2401" t="s">
        <v>16</v>
      </c>
      <c r="E2401">
        <v>2</v>
      </c>
      <c r="F2401" s="3">
        <v>1768</v>
      </c>
      <c r="G2401" s="2">
        <v>375.86</v>
      </c>
      <c r="H2401">
        <f>Master_ventas[[#This Row],[Profit]]/Master_ventas[[#This Row],[Sales]]</f>
        <v>0.21259049773755656</v>
      </c>
      <c r="I2401">
        <f ca="1">Referencia_Hoy-Master_ventas[[#This Row],[Order Date]]</f>
        <v>1624</v>
      </c>
      <c r="J2401" t="str">
        <f>UPPER(Master_ventas[[#This Row],[Product Name]])</f>
        <v>TABLET</v>
      </c>
      <c r="K2401" t="str">
        <f>UPPER(Master_ventas[[#This Row],[Category]])</f>
        <v>ELECTRONICS</v>
      </c>
      <c r="L2401">
        <f>YEAR(Master_ventas[[#This Row],[Order Date]])</f>
        <v>2022</v>
      </c>
      <c r="M2401" t="str">
        <f>CONCATENATE(LEFT(Master_ventas[[#This Row],[ProdUpper]],3),RIGHT(Master_ventas[[#This Row],[Ext-Year]],2),"-",MID(Master_ventas[[#This Row],[Category]],1,1))</f>
        <v>TAB22-E</v>
      </c>
      <c r="N2401" t="str">
        <f>MID(Master_ventas[[#This Row],[ProdUpper]],1,3)</f>
        <v>TAB</v>
      </c>
      <c r="O2401" t="str">
        <f>UPPER(IF(Master_ventas[[#This Row],[Profit]]&gt;500,"High","Std"))</f>
        <v>STD</v>
      </c>
      <c r="P2401">
        <v>2400</v>
      </c>
    </row>
    <row r="2402" spans="1:16" x14ac:dyDescent="0.3">
      <c r="A2402" s="1">
        <v>44914</v>
      </c>
      <c r="B2402" t="s">
        <v>17</v>
      </c>
      <c r="C2402" t="s">
        <v>14</v>
      </c>
      <c r="D2402" t="s">
        <v>16</v>
      </c>
      <c r="E2402">
        <v>7</v>
      </c>
      <c r="F2402" s="3">
        <v>6937</v>
      </c>
      <c r="G2402" s="2">
        <v>1753.02</v>
      </c>
      <c r="H2402">
        <f>Master_ventas[[#This Row],[Profit]]/Master_ventas[[#This Row],[Sales]]</f>
        <v>0.25270578059679977</v>
      </c>
      <c r="I2402">
        <f ca="1">Referencia_Hoy-Master_ventas[[#This Row],[Order Date]]</f>
        <v>1409</v>
      </c>
      <c r="J2402" t="str">
        <f>UPPER(Master_ventas[[#This Row],[Product Name]])</f>
        <v>CAMERA</v>
      </c>
      <c r="K2402" t="str">
        <f>UPPER(Master_ventas[[#This Row],[Category]])</f>
        <v>ELECTRONICS</v>
      </c>
      <c r="L2402">
        <f>YEAR(Master_ventas[[#This Row],[Order Date]])</f>
        <v>2022</v>
      </c>
      <c r="M2402" t="str">
        <f>CONCATENATE(LEFT(Master_ventas[[#This Row],[ProdUpper]],3),RIGHT(Master_ventas[[#This Row],[Ext-Year]],2),"-",MID(Master_ventas[[#This Row],[Category]],1,1))</f>
        <v>CAM22-E</v>
      </c>
      <c r="N2402" t="str">
        <f>MID(Master_ventas[[#This Row],[ProdUpper]],1,3)</f>
        <v>CAM</v>
      </c>
      <c r="O2402" t="str">
        <f>UPPER(IF(Master_ventas[[#This Row],[Profit]]&gt;500,"High","Std"))</f>
        <v>HIGH</v>
      </c>
      <c r="P2402">
        <v>2401</v>
      </c>
    </row>
    <row r="2403" spans="1:16" x14ac:dyDescent="0.3">
      <c r="A2403" s="1">
        <v>45556</v>
      </c>
      <c r="B2403" t="s">
        <v>19</v>
      </c>
      <c r="C2403" t="s">
        <v>14</v>
      </c>
      <c r="D2403" t="s">
        <v>9</v>
      </c>
      <c r="E2403">
        <v>6</v>
      </c>
      <c r="F2403" s="3">
        <v>3012</v>
      </c>
      <c r="G2403" s="2">
        <v>307.47000000000003</v>
      </c>
      <c r="H2403">
        <f>Master_ventas[[#This Row],[Profit]]/Master_ventas[[#This Row],[Sales]]</f>
        <v>0.10208167330677292</v>
      </c>
      <c r="I2403">
        <f ca="1">Referencia_Hoy-Master_ventas[[#This Row],[Order Date]]</f>
        <v>767</v>
      </c>
      <c r="J2403" t="str">
        <f>UPPER(Master_ventas[[#This Row],[Product Name]])</f>
        <v>SMARTWATCH</v>
      </c>
      <c r="K2403" t="str">
        <f>UPPER(Master_ventas[[#This Row],[Category]])</f>
        <v>ELECTRONICS</v>
      </c>
      <c r="L2403">
        <f>YEAR(Master_ventas[[#This Row],[Order Date]])</f>
        <v>2024</v>
      </c>
      <c r="M2403" t="str">
        <f>CONCATENATE(LEFT(Master_ventas[[#This Row],[ProdUpper]],3),RIGHT(Master_ventas[[#This Row],[Ext-Year]],2),"-",MID(Master_ventas[[#This Row],[Category]],1,1))</f>
        <v>SMA24-E</v>
      </c>
      <c r="N2403" t="str">
        <f>MID(Master_ventas[[#This Row],[ProdUpper]],1,3)</f>
        <v>SMA</v>
      </c>
      <c r="O2403" t="str">
        <f>UPPER(IF(Master_ventas[[#This Row],[Profit]]&gt;500,"High","Std"))</f>
        <v>STD</v>
      </c>
      <c r="P2403">
        <v>2402</v>
      </c>
    </row>
    <row r="2404" spans="1:16" x14ac:dyDescent="0.3">
      <c r="A2404" s="1">
        <v>45554</v>
      </c>
      <c r="B2404" t="s">
        <v>18</v>
      </c>
      <c r="C2404" t="s">
        <v>11</v>
      </c>
      <c r="D2404" t="s">
        <v>15</v>
      </c>
      <c r="E2404">
        <v>3</v>
      </c>
      <c r="F2404" s="3">
        <v>777</v>
      </c>
      <c r="G2404" s="2">
        <v>147.93</v>
      </c>
      <c r="H2404">
        <f>Master_ventas[[#This Row],[Profit]]/Master_ventas[[#This Row],[Sales]]</f>
        <v>0.1903861003861004</v>
      </c>
      <c r="I2404">
        <f ca="1">Referencia_Hoy-Master_ventas[[#This Row],[Order Date]]</f>
        <v>769</v>
      </c>
      <c r="J2404" t="str">
        <f>UPPER(Master_ventas[[#This Row],[Product Name]])</f>
        <v>HEADPHONES</v>
      </c>
      <c r="K2404" t="str">
        <f>UPPER(Master_ventas[[#This Row],[Category]])</f>
        <v>ACCESSORIES</v>
      </c>
      <c r="L2404">
        <f>YEAR(Master_ventas[[#This Row],[Order Date]])</f>
        <v>2024</v>
      </c>
      <c r="M2404" t="str">
        <f>CONCATENATE(LEFT(Master_ventas[[#This Row],[ProdUpper]],3),RIGHT(Master_ventas[[#This Row],[Ext-Year]],2),"-",MID(Master_ventas[[#This Row],[Category]],1,1))</f>
        <v>HEA24-A</v>
      </c>
      <c r="N2404" t="str">
        <f>MID(Master_ventas[[#This Row],[ProdUpper]],1,3)</f>
        <v>HEA</v>
      </c>
      <c r="O2404" t="str">
        <f>UPPER(IF(Master_ventas[[#This Row],[Profit]]&gt;500,"High","Std"))</f>
        <v>STD</v>
      </c>
      <c r="P2404">
        <v>2403</v>
      </c>
    </row>
    <row r="2405" spans="1:16" x14ac:dyDescent="0.3">
      <c r="A2405" s="1">
        <v>45338</v>
      </c>
      <c r="B2405" t="s">
        <v>21</v>
      </c>
      <c r="C2405" t="s">
        <v>14</v>
      </c>
      <c r="D2405" t="s">
        <v>12</v>
      </c>
      <c r="E2405">
        <v>6</v>
      </c>
      <c r="F2405" s="3">
        <v>4056</v>
      </c>
      <c r="G2405" s="2">
        <v>452.14</v>
      </c>
      <c r="H2405">
        <f>Master_ventas[[#This Row],[Profit]]/Master_ventas[[#This Row],[Sales]]</f>
        <v>0.11147435897435896</v>
      </c>
      <c r="I2405">
        <f ca="1">Referencia_Hoy-Master_ventas[[#This Row],[Order Date]]</f>
        <v>985</v>
      </c>
      <c r="J2405" t="str">
        <f>UPPER(Master_ventas[[#This Row],[Product Name]])</f>
        <v>SMARTPHONE</v>
      </c>
      <c r="K2405" t="str">
        <f>UPPER(Master_ventas[[#This Row],[Category]])</f>
        <v>ELECTRONICS</v>
      </c>
      <c r="L2405">
        <f>YEAR(Master_ventas[[#This Row],[Order Date]])</f>
        <v>2024</v>
      </c>
      <c r="M2405" t="str">
        <f>CONCATENATE(LEFT(Master_ventas[[#This Row],[ProdUpper]],3),RIGHT(Master_ventas[[#This Row],[Ext-Year]],2),"-",MID(Master_ventas[[#This Row],[Category]],1,1))</f>
        <v>SMA24-E</v>
      </c>
      <c r="N2405" t="str">
        <f>MID(Master_ventas[[#This Row],[ProdUpper]],1,3)</f>
        <v>SMA</v>
      </c>
      <c r="O2405" t="str">
        <f>UPPER(IF(Master_ventas[[#This Row],[Profit]]&gt;500,"High","Std"))</f>
        <v>STD</v>
      </c>
      <c r="P2405">
        <v>2404</v>
      </c>
    </row>
    <row r="2406" spans="1:16" x14ac:dyDescent="0.3">
      <c r="A2406" s="1">
        <v>45625</v>
      </c>
      <c r="B2406" t="s">
        <v>7</v>
      </c>
      <c r="C2406" t="s">
        <v>8</v>
      </c>
      <c r="D2406" t="s">
        <v>15</v>
      </c>
      <c r="E2406">
        <v>4</v>
      </c>
      <c r="F2406" s="3">
        <v>3212</v>
      </c>
      <c r="G2406" s="2">
        <v>514.91999999999996</v>
      </c>
      <c r="H2406">
        <f>Master_ventas[[#This Row],[Profit]]/Master_ventas[[#This Row],[Sales]]</f>
        <v>0.1603113325031133</v>
      </c>
      <c r="I2406">
        <f ca="1">Referencia_Hoy-Master_ventas[[#This Row],[Order Date]]</f>
        <v>698</v>
      </c>
      <c r="J2406" t="str">
        <f>UPPER(Master_ventas[[#This Row],[Product Name]])</f>
        <v>PRINTER</v>
      </c>
      <c r="K2406" t="str">
        <f>UPPER(Master_ventas[[#This Row],[Category]])</f>
        <v>OFFICE</v>
      </c>
      <c r="L2406">
        <f>YEAR(Master_ventas[[#This Row],[Order Date]])</f>
        <v>2024</v>
      </c>
      <c r="M2406" t="str">
        <f>CONCATENATE(LEFT(Master_ventas[[#This Row],[ProdUpper]],3),RIGHT(Master_ventas[[#This Row],[Ext-Year]],2),"-",MID(Master_ventas[[#This Row],[Category]],1,1))</f>
        <v>PRI24-O</v>
      </c>
      <c r="N2406" t="str">
        <f>MID(Master_ventas[[#This Row],[ProdUpper]],1,3)</f>
        <v>PRI</v>
      </c>
      <c r="O2406" t="str">
        <f>UPPER(IF(Master_ventas[[#This Row],[Profit]]&gt;500,"High","Std"))</f>
        <v>HIGH</v>
      </c>
      <c r="P2406">
        <v>2405</v>
      </c>
    </row>
    <row r="2407" spans="1:16" x14ac:dyDescent="0.3">
      <c r="A2407" s="1">
        <v>45507</v>
      </c>
      <c r="B2407" t="s">
        <v>19</v>
      </c>
      <c r="C2407" t="s">
        <v>14</v>
      </c>
      <c r="D2407" t="s">
        <v>16</v>
      </c>
      <c r="E2407">
        <v>1</v>
      </c>
      <c r="F2407" s="3">
        <v>952</v>
      </c>
      <c r="G2407" s="2">
        <v>179.4</v>
      </c>
      <c r="H2407">
        <f>Master_ventas[[#This Row],[Profit]]/Master_ventas[[#This Row],[Sales]]</f>
        <v>0.1884453781512605</v>
      </c>
      <c r="I2407">
        <f ca="1">Referencia_Hoy-Master_ventas[[#This Row],[Order Date]]</f>
        <v>816</v>
      </c>
      <c r="J2407" t="str">
        <f>UPPER(Master_ventas[[#This Row],[Product Name]])</f>
        <v>SMARTWATCH</v>
      </c>
      <c r="K2407" t="str">
        <f>UPPER(Master_ventas[[#This Row],[Category]])</f>
        <v>ELECTRONICS</v>
      </c>
      <c r="L2407">
        <f>YEAR(Master_ventas[[#This Row],[Order Date]])</f>
        <v>2024</v>
      </c>
      <c r="M2407" t="str">
        <f>CONCATENATE(LEFT(Master_ventas[[#This Row],[ProdUpper]],3),RIGHT(Master_ventas[[#This Row],[Ext-Year]],2),"-",MID(Master_ventas[[#This Row],[Category]],1,1))</f>
        <v>SMA24-E</v>
      </c>
      <c r="N2407" t="str">
        <f>MID(Master_ventas[[#This Row],[ProdUpper]],1,3)</f>
        <v>SMA</v>
      </c>
      <c r="O2407" t="str">
        <f>UPPER(IF(Master_ventas[[#This Row],[Profit]]&gt;500,"High","Std"))</f>
        <v>STD</v>
      </c>
      <c r="P2407">
        <v>2406</v>
      </c>
    </row>
    <row r="2408" spans="1:16" x14ac:dyDescent="0.3">
      <c r="A2408" s="1">
        <v>44710</v>
      </c>
      <c r="B2408" t="s">
        <v>21</v>
      </c>
      <c r="C2408" t="s">
        <v>14</v>
      </c>
      <c r="D2408" t="s">
        <v>9</v>
      </c>
      <c r="E2408">
        <v>3</v>
      </c>
      <c r="F2408" s="3">
        <v>1674</v>
      </c>
      <c r="G2408" s="2">
        <v>106.24</v>
      </c>
      <c r="H2408">
        <f>Master_ventas[[#This Row],[Profit]]/Master_ventas[[#This Row],[Sales]]</f>
        <v>6.3464755077658294E-2</v>
      </c>
      <c r="I2408">
        <f ca="1">Referencia_Hoy-Master_ventas[[#This Row],[Order Date]]</f>
        <v>1613</v>
      </c>
      <c r="J2408" t="str">
        <f>UPPER(Master_ventas[[#This Row],[Product Name]])</f>
        <v>SMARTPHONE</v>
      </c>
      <c r="K2408" t="str">
        <f>UPPER(Master_ventas[[#This Row],[Category]])</f>
        <v>ELECTRONICS</v>
      </c>
      <c r="L2408">
        <f>YEAR(Master_ventas[[#This Row],[Order Date]])</f>
        <v>2022</v>
      </c>
      <c r="M2408" t="str">
        <f>CONCATENATE(LEFT(Master_ventas[[#This Row],[ProdUpper]],3),RIGHT(Master_ventas[[#This Row],[Ext-Year]],2),"-",MID(Master_ventas[[#This Row],[Category]],1,1))</f>
        <v>SMA22-E</v>
      </c>
      <c r="N2408" t="str">
        <f>MID(Master_ventas[[#This Row],[ProdUpper]],1,3)</f>
        <v>SMA</v>
      </c>
      <c r="O2408" t="str">
        <f>UPPER(IF(Master_ventas[[#This Row],[Profit]]&gt;500,"High","Std"))</f>
        <v>STD</v>
      </c>
      <c r="P2408">
        <v>2407</v>
      </c>
    </row>
    <row r="2409" spans="1:16" x14ac:dyDescent="0.3">
      <c r="A2409" s="1">
        <v>45335</v>
      </c>
      <c r="B2409" t="s">
        <v>19</v>
      </c>
      <c r="C2409" t="s">
        <v>14</v>
      </c>
      <c r="D2409" t="s">
        <v>12</v>
      </c>
      <c r="E2409">
        <v>5</v>
      </c>
      <c r="F2409" s="3">
        <v>4315</v>
      </c>
      <c r="G2409" s="2">
        <v>1019.91</v>
      </c>
      <c r="H2409">
        <f>Master_ventas[[#This Row],[Profit]]/Master_ventas[[#This Row],[Sales]]</f>
        <v>0.2363638470451912</v>
      </c>
      <c r="I2409">
        <f ca="1">Referencia_Hoy-Master_ventas[[#This Row],[Order Date]]</f>
        <v>988</v>
      </c>
      <c r="J2409" t="str">
        <f>UPPER(Master_ventas[[#This Row],[Product Name]])</f>
        <v>SMARTWATCH</v>
      </c>
      <c r="K2409" t="str">
        <f>UPPER(Master_ventas[[#This Row],[Category]])</f>
        <v>ELECTRONICS</v>
      </c>
      <c r="L2409">
        <f>YEAR(Master_ventas[[#This Row],[Order Date]])</f>
        <v>2024</v>
      </c>
      <c r="M2409" t="str">
        <f>CONCATENATE(LEFT(Master_ventas[[#This Row],[ProdUpper]],3),RIGHT(Master_ventas[[#This Row],[Ext-Year]],2),"-",MID(Master_ventas[[#This Row],[Category]],1,1))</f>
        <v>SMA24-E</v>
      </c>
      <c r="N2409" t="str">
        <f>MID(Master_ventas[[#This Row],[ProdUpper]],1,3)</f>
        <v>SMA</v>
      </c>
      <c r="O2409" t="str">
        <f>UPPER(IF(Master_ventas[[#This Row],[Profit]]&gt;500,"High","Std"))</f>
        <v>HIGH</v>
      </c>
      <c r="P2409">
        <v>2408</v>
      </c>
    </row>
    <row r="2410" spans="1:16" x14ac:dyDescent="0.3">
      <c r="A2410" s="1">
        <v>45275</v>
      </c>
      <c r="B2410" t="s">
        <v>10</v>
      </c>
      <c r="C2410" t="s">
        <v>11</v>
      </c>
      <c r="D2410" t="s">
        <v>9</v>
      </c>
      <c r="E2410">
        <v>7</v>
      </c>
      <c r="F2410" s="3">
        <v>1722</v>
      </c>
      <c r="G2410" s="2">
        <v>162.38999999999999</v>
      </c>
      <c r="H2410">
        <f>Master_ventas[[#This Row],[Profit]]/Master_ventas[[#This Row],[Sales]]</f>
        <v>9.4303135888501741E-2</v>
      </c>
      <c r="I2410">
        <f ca="1">Referencia_Hoy-Master_ventas[[#This Row],[Order Date]]</f>
        <v>1048</v>
      </c>
      <c r="J2410" t="str">
        <f>UPPER(Master_ventas[[#This Row],[Product Name]])</f>
        <v>MOUSE</v>
      </c>
      <c r="K2410" t="str">
        <f>UPPER(Master_ventas[[#This Row],[Category]])</f>
        <v>ACCESSORIES</v>
      </c>
      <c r="L2410">
        <f>YEAR(Master_ventas[[#This Row],[Order Date]])</f>
        <v>2023</v>
      </c>
      <c r="M2410" t="str">
        <f>CONCATENATE(LEFT(Master_ventas[[#This Row],[ProdUpper]],3),RIGHT(Master_ventas[[#This Row],[Ext-Year]],2),"-",MID(Master_ventas[[#This Row],[Category]],1,1))</f>
        <v>MOU23-A</v>
      </c>
      <c r="N2410" t="str">
        <f>MID(Master_ventas[[#This Row],[ProdUpper]],1,3)</f>
        <v>MOU</v>
      </c>
      <c r="O2410" t="str">
        <f>UPPER(IF(Master_ventas[[#This Row],[Profit]]&gt;500,"High","Std"))</f>
        <v>STD</v>
      </c>
      <c r="P2410">
        <v>2409</v>
      </c>
    </row>
    <row r="2411" spans="1:16" x14ac:dyDescent="0.3">
      <c r="A2411" s="1">
        <v>44818</v>
      </c>
      <c r="B2411" t="s">
        <v>22</v>
      </c>
      <c r="C2411" t="s">
        <v>11</v>
      </c>
      <c r="D2411" t="s">
        <v>15</v>
      </c>
      <c r="E2411">
        <v>5</v>
      </c>
      <c r="F2411" s="3">
        <v>2895</v>
      </c>
      <c r="G2411" s="2">
        <v>334.35</v>
      </c>
      <c r="H2411">
        <f>Master_ventas[[#This Row],[Profit]]/Master_ventas[[#This Row],[Sales]]</f>
        <v>0.11549222797927462</v>
      </c>
      <c r="I2411">
        <f ca="1">Referencia_Hoy-Master_ventas[[#This Row],[Order Date]]</f>
        <v>1505</v>
      </c>
      <c r="J2411" t="str">
        <f>UPPER(Master_ventas[[#This Row],[Product Name]])</f>
        <v>KEYBOARD</v>
      </c>
      <c r="K2411" t="str">
        <f>UPPER(Master_ventas[[#This Row],[Category]])</f>
        <v>ACCESSORIES</v>
      </c>
      <c r="L2411">
        <f>YEAR(Master_ventas[[#This Row],[Order Date]])</f>
        <v>2022</v>
      </c>
      <c r="M2411" t="str">
        <f>CONCATENATE(LEFT(Master_ventas[[#This Row],[ProdUpper]],3),RIGHT(Master_ventas[[#This Row],[Ext-Year]],2),"-",MID(Master_ventas[[#This Row],[Category]],1,1))</f>
        <v>KEY22-A</v>
      </c>
      <c r="N2411" t="str">
        <f>MID(Master_ventas[[#This Row],[ProdUpper]],1,3)</f>
        <v>KEY</v>
      </c>
      <c r="O2411" t="str">
        <f>UPPER(IF(Master_ventas[[#This Row],[Profit]]&gt;500,"High","Std"))</f>
        <v>STD</v>
      </c>
      <c r="P2411">
        <v>2410</v>
      </c>
    </row>
    <row r="2412" spans="1:16" x14ac:dyDescent="0.3">
      <c r="A2412" s="1">
        <v>45135</v>
      </c>
      <c r="B2412" t="s">
        <v>13</v>
      </c>
      <c r="C2412" t="s">
        <v>14</v>
      </c>
      <c r="D2412" t="s">
        <v>9</v>
      </c>
      <c r="E2412">
        <v>2</v>
      </c>
      <c r="F2412" s="3">
        <v>1280</v>
      </c>
      <c r="G2412" s="2">
        <v>335.22</v>
      </c>
      <c r="H2412">
        <f>Master_ventas[[#This Row],[Profit]]/Master_ventas[[#This Row],[Sales]]</f>
        <v>0.26189062500000004</v>
      </c>
      <c r="I2412">
        <f ca="1">Referencia_Hoy-Master_ventas[[#This Row],[Order Date]]</f>
        <v>1188</v>
      </c>
      <c r="J2412" t="str">
        <f>UPPER(Master_ventas[[#This Row],[Product Name]])</f>
        <v>TABLET</v>
      </c>
      <c r="K2412" t="str">
        <f>UPPER(Master_ventas[[#This Row],[Category]])</f>
        <v>ELECTRONICS</v>
      </c>
      <c r="L2412">
        <f>YEAR(Master_ventas[[#This Row],[Order Date]])</f>
        <v>2023</v>
      </c>
      <c r="M2412" t="str">
        <f>CONCATENATE(LEFT(Master_ventas[[#This Row],[ProdUpper]],3),RIGHT(Master_ventas[[#This Row],[Ext-Year]],2),"-",MID(Master_ventas[[#This Row],[Category]],1,1))</f>
        <v>TAB23-E</v>
      </c>
      <c r="N2412" t="str">
        <f>MID(Master_ventas[[#This Row],[ProdUpper]],1,3)</f>
        <v>TAB</v>
      </c>
      <c r="O2412" t="str">
        <f>UPPER(IF(Master_ventas[[#This Row],[Profit]]&gt;500,"High","Std"))</f>
        <v>STD</v>
      </c>
      <c r="P2412">
        <v>2411</v>
      </c>
    </row>
    <row r="2413" spans="1:16" x14ac:dyDescent="0.3">
      <c r="A2413" s="1">
        <v>44661</v>
      </c>
      <c r="B2413" t="s">
        <v>18</v>
      </c>
      <c r="C2413" t="s">
        <v>11</v>
      </c>
      <c r="D2413" t="s">
        <v>12</v>
      </c>
      <c r="E2413">
        <v>5</v>
      </c>
      <c r="F2413" s="3">
        <v>4295</v>
      </c>
      <c r="G2413" s="2">
        <v>414.42</v>
      </c>
      <c r="H2413">
        <f>Master_ventas[[#This Row],[Profit]]/Master_ventas[[#This Row],[Sales]]</f>
        <v>9.6488940628637956E-2</v>
      </c>
      <c r="I2413">
        <f ca="1">Referencia_Hoy-Master_ventas[[#This Row],[Order Date]]</f>
        <v>1662</v>
      </c>
      <c r="J2413" t="str">
        <f>UPPER(Master_ventas[[#This Row],[Product Name]])</f>
        <v>HEADPHONES</v>
      </c>
      <c r="K2413" t="str">
        <f>UPPER(Master_ventas[[#This Row],[Category]])</f>
        <v>ACCESSORIES</v>
      </c>
      <c r="L2413">
        <f>YEAR(Master_ventas[[#This Row],[Order Date]])</f>
        <v>2022</v>
      </c>
      <c r="M2413" t="str">
        <f>CONCATENATE(LEFT(Master_ventas[[#This Row],[ProdUpper]],3),RIGHT(Master_ventas[[#This Row],[Ext-Year]],2),"-",MID(Master_ventas[[#This Row],[Category]],1,1))</f>
        <v>HEA22-A</v>
      </c>
      <c r="N2413" t="str">
        <f>MID(Master_ventas[[#This Row],[ProdUpper]],1,3)</f>
        <v>HEA</v>
      </c>
      <c r="O2413" t="str">
        <f>UPPER(IF(Master_ventas[[#This Row],[Profit]]&gt;500,"High","Std"))</f>
        <v>STD</v>
      </c>
      <c r="P2413">
        <v>2412</v>
      </c>
    </row>
    <row r="2414" spans="1:16" x14ac:dyDescent="0.3">
      <c r="A2414" s="1">
        <v>44780</v>
      </c>
      <c r="B2414" t="s">
        <v>7</v>
      </c>
      <c r="C2414" t="s">
        <v>8</v>
      </c>
      <c r="D2414" t="s">
        <v>15</v>
      </c>
      <c r="E2414">
        <v>6</v>
      </c>
      <c r="F2414" s="3">
        <v>4434</v>
      </c>
      <c r="G2414" s="2">
        <v>306.63</v>
      </c>
      <c r="H2414">
        <f>Master_ventas[[#This Row],[Profit]]/Master_ventas[[#This Row],[Sales]]</f>
        <v>6.9154262516914755E-2</v>
      </c>
      <c r="I2414">
        <f ca="1">Referencia_Hoy-Master_ventas[[#This Row],[Order Date]]</f>
        <v>1543</v>
      </c>
      <c r="J2414" t="str">
        <f>UPPER(Master_ventas[[#This Row],[Product Name]])</f>
        <v>PRINTER</v>
      </c>
      <c r="K2414" t="str">
        <f>UPPER(Master_ventas[[#This Row],[Category]])</f>
        <v>OFFICE</v>
      </c>
      <c r="L2414">
        <f>YEAR(Master_ventas[[#This Row],[Order Date]])</f>
        <v>2022</v>
      </c>
      <c r="M2414" t="str">
        <f>CONCATENATE(LEFT(Master_ventas[[#This Row],[ProdUpper]],3),RIGHT(Master_ventas[[#This Row],[Ext-Year]],2),"-",MID(Master_ventas[[#This Row],[Category]],1,1))</f>
        <v>PRI22-O</v>
      </c>
      <c r="N2414" t="str">
        <f>MID(Master_ventas[[#This Row],[ProdUpper]],1,3)</f>
        <v>PRI</v>
      </c>
      <c r="O2414" t="str">
        <f>UPPER(IF(Master_ventas[[#This Row],[Profit]]&gt;500,"High","Std"))</f>
        <v>STD</v>
      </c>
      <c r="P2414">
        <v>2413</v>
      </c>
    </row>
    <row r="2415" spans="1:16" x14ac:dyDescent="0.3">
      <c r="A2415" s="1">
        <v>44751</v>
      </c>
      <c r="B2415" t="s">
        <v>22</v>
      </c>
      <c r="C2415" t="s">
        <v>11</v>
      </c>
      <c r="D2415" t="s">
        <v>9</v>
      </c>
      <c r="E2415">
        <v>6</v>
      </c>
      <c r="F2415" s="3">
        <v>3816</v>
      </c>
      <c r="G2415" s="2">
        <v>623.78</v>
      </c>
      <c r="H2415">
        <f>Master_ventas[[#This Row],[Profit]]/Master_ventas[[#This Row],[Sales]]</f>
        <v>0.16346436058700209</v>
      </c>
      <c r="I2415">
        <f ca="1">Referencia_Hoy-Master_ventas[[#This Row],[Order Date]]</f>
        <v>1572</v>
      </c>
      <c r="J2415" t="str">
        <f>UPPER(Master_ventas[[#This Row],[Product Name]])</f>
        <v>KEYBOARD</v>
      </c>
      <c r="K2415" t="str">
        <f>UPPER(Master_ventas[[#This Row],[Category]])</f>
        <v>ACCESSORIES</v>
      </c>
      <c r="L2415">
        <f>YEAR(Master_ventas[[#This Row],[Order Date]])</f>
        <v>2022</v>
      </c>
      <c r="M2415" t="str">
        <f>CONCATENATE(LEFT(Master_ventas[[#This Row],[ProdUpper]],3),RIGHT(Master_ventas[[#This Row],[Ext-Year]],2),"-",MID(Master_ventas[[#This Row],[Category]],1,1))</f>
        <v>KEY22-A</v>
      </c>
      <c r="N2415" t="str">
        <f>MID(Master_ventas[[#This Row],[ProdUpper]],1,3)</f>
        <v>KEY</v>
      </c>
      <c r="O2415" t="str">
        <f>UPPER(IF(Master_ventas[[#This Row],[Profit]]&gt;500,"High","Std"))</f>
        <v>HIGH</v>
      </c>
      <c r="P2415">
        <v>2414</v>
      </c>
    </row>
    <row r="2416" spans="1:16" x14ac:dyDescent="0.3">
      <c r="A2416" s="1">
        <v>45391</v>
      </c>
      <c r="B2416" t="s">
        <v>18</v>
      </c>
      <c r="C2416" t="s">
        <v>11</v>
      </c>
      <c r="D2416" t="s">
        <v>12</v>
      </c>
      <c r="E2416">
        <v>7</v>
      </c>
      <c r="F2416" s="3">
        <v>6335</v>
      </c>
      <c r="G2416" s="2">
        <v>1137.08</v>
      </c>
      <c r="H2416">
        <f>Master_ventas[[#This Row],[Profit]]/Master_ventas[[#This Row],[Sales]]</f>
        <v>0.17949171270718231</v>
      </c>
      <c r="I2416">
        <f ca="1">Referencia_Hoy-Master_ventas[[#This Row],[Order Date]]</f>
        <v>932</v>
      </c>
      <c r="J2416" t="str">
        <f>UPPER(Master_ventas[[#This Row],[Product Name]])</f>
        <v>HEADPHONES</v>
      </c>
      <c r="K2416" t="str">
        <f>UPPER(Master_ventas[[#This Row],[Category]])</f>
        <v>ACCESSORIES</v>
      </c>
      <c r="L2416">
        <f>YEAR(Master_ventas[[#This Row],[Order Date]])</f>
        <v>2024</v>
      </c>
      <c r="M2416" t="str">
        <f>CONCATENATE(LEFT(Master_ventas[[#This Row],[ProdUpper]],3),RIGHT(Master_ventas[[#This Row],[Ext-Year]],2),"-",MID(Master_ventas[[#This Row],[Category]],1,1))</f>
        <v>HEA24-A</v>
      </c>
      <c r="N2416" t="str">
        <f>MID(Master_ventas[[#This Row],[ProdUpper]],1,3)</f>
        <v>HEA</v>
      </c>
      <c r="O2416" t="str">
        <f>UPPER(IF(Master_ventas[[#This Row],[Profit]]&gt;500,"High","Std"))</f>
        <v>HIGH</v>
      </c>
      <c r="P2416">
        <v>2415</v>
      </c>
    </row>
    <row r="2417" spans="1:16" x14ac:dyDescent="0.3">
      <c r="A2417" s="1">
        <v>45607</v>
      </c>
      <c r="B2417" t="s">
        <v>10</v>
      </c>
      <c r="C2417" t="s">
        <v>11</v>
      </c>
      <c r="D2417" t="s">
        <v>16</v>
      </c>
      <c r="E2417">
        <v>3</v>
      </c>
      <c r="F2417" s="3">
        <v>315</v>
      </c>
      <c r="G2417" s="2">
        <v>78.41</v>
      </c>
      <c r="H2417">
        <f>Master_ventas[[#This Row],[Profit]]/Master_ventas[[#This Row],[Sales]]</f>
        <v>0.2489206349206349</v>
      </c>
      <c r="I2417">
        <f ca="1">Referencia_Hoy-Master_ventas[[#This Row],[Order Date]]</f>
        <v>716</v>
      </c>
      <c r="J2417" t="str">
        <f>UPPER(Master_ventas[[#This Row],[Product Name]])</f>
        <v>MOUSE</v>
      </c>
      <c r="K2417" t="str">
        <f>UPPER(Master_ventas[[#This Row],[Category]])</f>
        <v>ACCESSORIES</v>
      </c>
      <c r="L2417">
        <f>YEAR(Master_ventas[[#This Row],[Order Date]])</f>
        <v>2024</v>
      </c>
      <c r="M2417" t="str">
        <f>CONCATENATE(LEFT(Master_ventas[[#This Row],[ProdUpper]],3),RIGHT(Master_ventas[[#This Row],[Ext-Year]],2),"-",MID(Master_ventas[[#This Row],[Category]],1,1))</f>
        <v>MOU24-A</v>
      </c>
      <c r="N2417" t="str">
        <f>MID(Master_ventas[[#This Row],[ProdUpper]],1,3)</f>
        <v>MOU</v>
      </c>
      <c r="O2417" t="str">
        <f>UPPER(IF(Master_ventas[[#This Row],[Profit]]&gt;500,"High","Std"))</f>
        <v>STD</v>
      </c>
      <c r="P2417">
        <v>2416</v>
      </c>
    </row>
    <row r="2418" spans="1:16" x14ac:dyDescent="0.3">
      <c r="A2418" s="1">
        <v>45623</v>
      </c>
      <c r="B2418" t="s">
        <v>17</v>
      </c>
      <c r="C2418" t="s">
        <v>14</v>
      </c>
      <c r="D2418" t="s">
        <v>12</v>
      </c>
      <c r="E2418">
        <v>2</v>
      </c>
      <c r="F2418" s="3">
        <v>626</v>
      </c>
      <c r="G2418" s="2">
        <v>168.82</v>
      </c>
      <c r="H2418">
        <f>Master_ventas[[#This Row],[Profit]]/Master_ventas[[#This Row],[Sales]]</f>
        <v>0.26968051118210862</v>
      </c>
      <c r="I2418">
        <f ca="1">Referencia_Hoy-Master_ventas[[#This Row],[Order Date]]</f>
        <v>700</v>
      </c>
      <c r="J2418" t="str">
        <f>UPPER(Master_ventas[[#This Row],[Product Name]])</f>
        <v>CAMERA</v>
      </c>
      <c r="K2418" t="str">
        <f>UPPER(Master_ventas[[#This Row],[Category]])</f>
        <v>ELECTRONICS</v>
      </c>
      <c r="L2418">
        <f>YEAR(Master_ventas[[#This Row],[Order Date]])</f>
        <v>2024</v>
      </c>
      <c r="M2418" t="str">
        <f>CONCATENATE(LEFT(Master_ventas[[#This Row],[ProdUpper]],3),RIGHT(Master_ventas[[#This Row],[Ext-Year]],2),"-",MID(Master_ventas[[#This Row],[Category]],1,1))</f>
        <v>CAM24-E</v>
      </c>
      <c r="N2418" t="str">
        <f>MID(Master_ventas[[#This Row],[ProdUpper]],1,3)</f>
        <v>CAM</v>
      </c>
      <c r="O2418" t="str">
        <f>UPPER(IF(Master_ventas[[#This Row],[Profit]]&gt;500,"High","Std"))</f>
        <v>STD</v>
      </c>
      <c r="P2418">
        <v>2417</v>
      </c>
    </row>
    <row r="2419" spans="1:16" x14ac:dyDescent="0.3">
      <c r="A2419" s="1">
        <v>45435</v>
      </c>
      <c r="B2419" t="s">
        <v>19</v>
      </c>
      <c r="C2419" t="s">
        <v>14</v>
      </c>
      <c r="D2419" t="s">
        <v>15</v>
      </c>
      <c r="E2419">
        <v>1</v>
      </c>
      <c r="F2419" s="3">
        <v>1140</v>
      </c>
      <c r="G2419" s="2">
        <v>85.75</v>
      </c>
      <c r="H2419">
        <f>Master_ventas[[#This Row],[Profit]]/Master_ventas[[#This Row],[Sales]]</f>
        <v>7.5219298245614033E-2</v>
      </c>
      <c r="I2419">
        <f ca="1">Referencia_Hoy-Master_ventas[[#This Row],[Order Date]]</f>
        <v>888</v>
      </c>
      <c r="J2419" t="str">
        <f>UPPER(Master_ventas[[#This Row],[Product Name]])</f>
        <v>SMARTWATCH</v>
      </c>
      <c r="K2419" t="str">
        <f>UPPER(Master_ventas[[#This Row],[Category]])</f>
        <v>ELECTRONICS</v>
      </c>
      <c r="L2419">
        <f>YEAR(Master_ventas[[#This Row],[Order Date]])</f>
        <v>2024</v>
      </c>
      <c r="M2419" t="str">
        <f>CONCATENATE(LEFT(Master_ventas[[#This Row],[ProdUpper]],3),RIGHT(Master_ventas[[#This Row],[Ext-Year]],2),"-",MID(Master_ventas[[#This Row],[Category]],1,1))</f>
        <v>SMA24-E</v>
      </c>
      <c r="N2419" t="str">
        <f>MID(Master_ventas[[#This Row],[ProdUpper]],1,3)</f>
        <v>SMA</v>
      </c>
      <c r="O2419" t="str">
        <f>UPPER(IF(Master_ventas[[#This Row],[Profit]]&gt;500,"High","Std"))</f>
        <v>STD</v>
      </c>
      <c r="P2419">
        <v>2418</v>
      </c>
    </row>
    <row r="2420" spans="1:16" x14ac:dyDescent="0.3">
      <c r="A2420" s="1">
        <v>44881</v>
      </c>
      <c r="B2420" t="s">
        <v>21</v>
      </c>
      <c r="C2420" t="s">
        <v>14</v>
      </c>
      <c r="D2420" t="s">
        <v>9</v>
      </c>
      <c r="E2420">
        <v>5</v>
      </c>
      <c r="F2420" s="3">
        <v>590</v>
      </c>
      <c r="G2420" s="2">
        <v>52.55</v>
      </c>
      <c r="H2420">
        <f>Master_ventas[[#This Row],[Profit]]/Master_ventas[[#This Row],[Sales]]</f>
        <v>8.9067796610169489E-2</v>
      </c>
      <c r="I2420">
        <f ca="1">Referencia_Hoy-Master_ventas[[#This Row],[Order Date]]</f>
        <v>1442</v>
      </c>
      <c r="J2420" t="str">
        <f>UPPER(Master_ventas[[#This Row],[Product Name]])</f>
        <v>SMARTPHONE</v>
      </c>
      <c r="K2420" t="str">
        <f>UPPER(Master_ventas[[#This Row],[Category]])</f>
        <v>ELECTRONICS</v>
      </c>
      <c r="L2420">
        <f>YEAR(Master_ventas[[#This Row],[Order Date]])</f>
        <v>2022</v>
      </c>
      <c r="M2420" t="str">
        <f>CONCATENATE(LEFT(Master_ventas[[#This Row],[ProdUpper]],3),RIGHT(Master_ventas[[#This Row],[Ext-Year]],2),"-",MID(Master_ventas[[#This Row],[Category]],1,1))</f>
        <v>SMA22-E</v>
      </c>
      <c r="N2420" t="str">
        <f>MID(Master_ventas[[#This Row],[ProdUpper]],1,3)</f>
        <v>SMA</v>
      </c>
      <c r="O2420" t="str">
        <f>UPPER(IF(Master_ventas[[#This Row],[Profit]]&gt;500,"High","Std"))</f>
        <v>STD</v>
      </c>
      <c r="P2420">
        <v>2419</v>
      </c>
    </row>
    <row r="2421" spans="1:16" x14ac:dyDescent="0.3">
      <c r="A2421" s="1">
        <v>44672</v>
      </c>
      <c r="B2421" t="s">
        <v>13</v>
      </c>
      <c r="C2421" t="s">
        <v>14</v>
      </c>
      <c r="D2421" t="s">
        <v>12</v>
      </c>
      <c r="E2421">
        <v>1</v>
      </c>
      <c r="F2421" s="3">
        <v>631</v>
      </c>
      <c r="G2421" s="2">
        <v>99.31</v>
      </c>
      <c r="H2421">
        <f>Master_ventas[[#This Row],[Profit]]/Master_ventas[[#This Row],[Sales]]</f>
        <v>0.15738510301109351</v>
      </c>
      <c r="I2421">
        <f ca="1">Referencia_Hoy-Master_ventas[[#This Row],[Order Date]]</f>
        <v>1651</v>
      </c>
      <c r="J2421" t="str">
        <f>UPPER(Master_ventas[[#This Row],[Product Name]])</f>
        <v>TABLET</v>
      </c>
      <c r="K2421" t="str">
        <f>UPPER(Master_ventas[[#This Row],[Category]])</f>
        <v>ELECTRONICS</v>
      </c>
      <c r="L2421">
        <f>YEAR(Master_ventas[[#This Row],[Order Date]])</f>
        <v>2022</v>
      </c>
      <c r="M2421" t="str">
        <f>CONCATENATE(LEFT(Master_ventas[[#This Row],[ProdUpper]],3),RIGHT(Master_ventas[[#This Row],[Ext-Year]],2),"-",MID(Master_ventas[[#This Row],[Category]],1,1))</f>
        <v>TAB22-E</v>
      </c>
      <c r="N2421" t="str">
        <f>MID(Master_ventas[[#This Row],[ProdUpper]],1,3)</f>
        <v>TAB</v>
      </c>
      <c r="O2421" t="str">
        <f>UPPER(IF(Master_ventas[[#This Row],[Profit]]&gt;500,"High","Std"))</f>
        <v>STD</v>
      </c>
      <c r="P2421">
        <v>2420</v>
      </c>
    </row>
    <row r="2422" spans="1:16" x14ac:dyDescent="0.3">
      <c r="A2422" s="1">
        <v>45539</v>
      </c>
      <c r="B2422" t="s">
        <v>20</v>
      </c>
      <c r="C2422" t="s">
        <v>11</v>
      </c>
      <c r="D2422" t="s">
        <v>15</v>
      </c>
      <c r="E2422">
        <v>8</v>
      </c>
      <c r="F2422" s="3">
        <v>1944</v>
      </c>
      <c r="G2422" s="2">
        <v>134.94</v>
      </c>
      <c r="H2422">
        <f>Master_ventas[[#This Row],[Profit]]/Master_ventas[[#This Row],[Sales]]</f>
        <v>6.9413580246913575E-2</v>
      </c>
      <c r="I2422">
        <f ca="1">Referencia_Hoy-Master_ventas[[#This Row],[Order Date]]</f>
        <v>784</v>
      </c>
      <c r="J2422" t="str">
        <f>UPPER(Master_ventas[[#This Row],[Product Name]])</f>
        <v>MONITOR</v>
      </c>
      <c r="K2422" t="str">
        <f>UPPER(Master_ventas[[#This Row],[Category]])</f>
        <v>ACCESSORIES</v>
      </c>
      <c r="L2422">
        <f>YEAR(Master_ventas[[#This Row],[Order Date]])</f>
        <v>2024</v>
      </c>
      <c r="M2422" t="str">
        <f>CONCATENATE(LEFT(Master_ventas[[#This Row],[ProdUpper]],3),RIGHT(Master_ventas[[#This Row],[Ext-Year]],2),"-",MID(Master_ventas[[#This Row],[Category]],1,1))</f>
        <v>MON24-A</v>
      </c>
      <c r="N2422" t="str">
        <f>MID(Master_ventas[[#This Row],[ProdUpper]],1,3)</f>
        <v>MON</v>
      </c>
      <c r="O2422" t="str">
        <f>UPPER(IF(Master_ventas[[#This Row],[Profit]]&gt;500,"High","Std"))</f>
        <v>STD</v>
      </c>
      <c r="P2422">
        <v>2421</v>
      </c>
    </row>
    <row r="2423" spans="1:16" x14ac:dyDescent="0.3">
      <c r="A2423" s="1">
        <v>45375</v>
      </c>
      <c r="B2423" t="s">
        <v>21</v>
      </c>
      <c r="C2423" t="s">
        <v>14</v>
      </c>
      <c r="D2423" t="s">
        <v>9</v>
      </c>
      <c r="E2423">
        <v>6</v>
      </c>
      <c r="F2423" s="3">
        <v>5100</v>
      </c>
      <c r="G2423" s="2">
        <v>1461.79</v>
      </c>
      <c r="H2423">
        <f>Master_ventas[[#This Row],[Profit]]/Master_ventas[[#This Row],[Sales]]</f>
        <v>0.28662549019607841</v>
      </c>
      <c r="I2423">
        <f ca="1">Referencia_Hoy-Master_ventas[[#This Row],[Order Date]]</f>
        <v>948</v>
      </c>
      <c r="J2423" t="str">
        <f>UPPER(Master_ventas[[#This Row],[Product Name]])</f>
        <v>SMARTPHONE</v>
      </c>
      <c r="K2423" t="str">
        <f>UPPER(Master_ventas[[#This Row],[Category]])</f>
        <v>ELECTRONICS</v>
      </c>
      <c r="L2423">
        <f>YEAR(Master_ventas[[#This Row],[Order Date]])</f>
        <v>2024</v>
      </c>
      <c r="M2423" t="str">
        <f>CONCATENATE(LEFT(Master_ventas[[#This Row],[ProdUpper]],3),RIGHT(Master_ventas[[#This Row],[Ext-Year]],2),"-",MID(Master_ventas[[#This Row],[Category]],1,1))</f>
        <v>SMA24-E</v>
      </c>
      <c r="N2423" t="str">
        <f>MID(Master_ventas[[#This Row],[ProdUpper]],1,3)</f>
        <v>SMA</v>
      </c>
      <c r="O2423" t="str">
        <f>UPPER(IF(Master_ventas[[#This Row],[Profit]]&gt;500,"High","Std"))</f>
        <v>HIGH</v>
      </c>
      <c r="P2423">
        <v>2422</v>
      </c>
    </row>
    <row r="2424" spans="1:16" x14ac:dyDescent="0.3">
      <c r="A2424" s="1">
        <v>45559</v>
      </c>
      <c r="B2424" t="s">
        <v>22</v>
      </c>
      <c r="C2424" t="s">
        <v>11</v>
      </c>
      <c r="D2424" t="s">
        <v>15</v>
      </c>
      <c r="E2424">
        <v>6</v>
      </c>
      <c r="F2424" s="3">
        <v>1092</v>
      </c>
      <c r="G2424" s="2">
        <v>176.52</v>
      </c>
      <c r="H2424">
        <f>Master_ventas[[#This Row],[Profit]]/Master_ventas[[#This Row],[Sales]]</f>
        <v>0.16164835164835165</v>
      </c>
      <c r="I2424">
        <f ca="1">Referencia_Hoy-Master_ventas[[#This Row],[Order Date]]</f>
        <v>764</v>
      </c>
      <c r="J2424" t="str">
        <f>UPPER(Master_ventas[[#This Row],[Product Name]])</f>
        <v>KEYBOARD</v>
      </c>
      <c r="K2424" t="str">
        <f>UPPER(Master_ventas[[#This Row],[Category]])</f>
        <v>ACCESSORIES</v>
      </c>
      <c r="L2424">
        <f>YEAR(Master_ventas[[#This Row],[Order Date]])</f>
        <v>2024</v>
      </c>
      <c r="M2424" t="str">
        <f>CONCATENATE(LEFT(Master_ventas[[#This Row],[ProdUpper]],3),RIGHT(Master_ventas[[#This Row],[Ext-Year]],2),"-",MID(Master_ventas[[#This Row],[Category]],1,1))</f>
        <v>KEY24-A</v>
      </c>
      <c r="N2424" t="str">
        <f>MID(Master_ventas[[#This Row],[ProdUpper]],1,3)</f>
        <v>KEY</v>
      </c>
      <c r="O2424" t="str">
        <f>UPPER(IF(Master_ventas[[#This Row],[Profit]]&gt;500,"High","Std"))</f>
        <v>STD</v>
      </c>
      <c r="P2424">
        <v>2423</v>
      </c>
    </row>
    <row r="2425" spans="1:16" x14ac:dyDescent="0.3">
      <c r="A2425" s="1">
        <v>45150</v>
      </c>
      <c r="B2425" t="s">
        <v>20</v>
      </c>
      <c r="C2425" t="s">
        <v>11</v>
      </c>
      <c r="D2425" t="s">
        <v>16</v>
      </c>
      <c r="E2425">
        <v>7</v>
      </c>
      <c r="F2425" s="3">
        <v>4662</v>
      </c>
      <c r="G2425" s="2">
        <v>1007.43</v>
      </c>
      <c r="H2425">
        <f>Master_ventas[[#This Row],[Profit]]/Master_ventas[[#This Row],[Sales]]</f>
        <v>0.21609395109395108</v>
      </c>
      <c r="I2425">
        <f ca="1">Referencia_Hoy-Master_ventas[[#This Row],[Order Date]]</f>
        <v>1173</v>
      </c>
      <c r="J2425" t="str">
        <f>UPPER(Master_ventas[[#This Row],[Product Name]])</f>
        <v>MONITOR</v>
      </c>
      <c r="K2425" t="str">
        <f>UPPER(Master_ventas[[#This Row],[Category]])</f>
        <v>ACCESSORIES</v>
      </c>
      <c r="L2425">
        <f>YEAR(Master_ventas[[#This Row],[Order Date]])</f>
        <v>2023</v>
      </c>
      <c r="M2425" t="str">
        <f>CONCATENATE(LEFT(Master_ventas[[#This Row],[ProdUpper]],3),RIGHT(Master_ventas[[#This Row],[Ext-Year]],2),"-",MID(Master_ventas[[#This Row],[Category]],1,1))</f>
        <v>MON23-A</v>
      </c>
      <c r="N2425" t="str">
        <f>MID(Master_ventas[[#This Row],[ProdUpper]],1,3)</f>
        <v>MON</v>
      </c>
      <c r="O2425" t="str">
        <f>UPPER(IF(Master_ventas[[#This Row],[Profit]]&gt;500,"High","Std"))</f>
        <v>HIGH</v>
      </c>
      <c r="P2425">
        <v>2424</v>
      </c>
    </row>
    <row r="2426" spans="1:16" x14ac:dyDescent="0.3">
      <c r="A2426" s="1">
        <v>44944</v>
      </c>
      <c r="B2426" t="s">
        <v>18</v>
      </c>
      <c r="C2426" t="s">
        <v>11</v>
      </c>
      <c r="D2426" t="s">
        <v>16</v>
      </c>
      <c r="E2426">
        <v>7</v>
      </c>
      <c r="F2426" s="3">
        <v>4312</v>
      </c>
      <c r="G2426" s="2">
        <v>1088.3399999999999</v>
      </c>
      <c r="H2426">
        <f>Master_ventas[[#This Row],[Profit]]/Master_ventas[[#This Row],[Sales]]</f>
        <v>0.25239795918367347</v>
      </c>
      <c r="I2426">
        <f ca="1">Referencia_Hoy-Master_ventas[[#This Row],[Order Date]]</f>
        <v>1379</v>
      </c>
      <c r="J2426" t="str">
        <f>UPPER(Master_ventas[[#This Row],[Product Name]])</f>
        <v>HEADPHONES</v>
      </c>
      <c r="K2426" t="str">
        <f>UPPER(Master_ventas[[#This Row],[Category]])</f>
        <v>ACCESSORIES</v>
      </c>
      <c r="L2426">
        <f>YEAR(Master_ventas[[#This Row],[Order Date]])</f>
        <v>2023</v>
      </c>
      <c r="M2426" t="str">
        <f>CONCATENATE(LEFT(Master_ventas[[#This Row],[ProdUpper]],3),RIGHT(Master_ventas[[#This Row],[Ext-Year]],2),"-",MID(Master_ventas[[#This Row],[Category]],1,1))</f>
        <v>HEA23-A</v>
      </c>
      <c r="N2426" t="str">
        <f>MID(Master_ventas[[#This Row],[ProdUpper]],1,3)</f>
        <v>HEA</v>
      </c>
      <c r="O2426" t="str">
        <f>UPPER(IF(Master_ventas[[#This Row],[Profit]]&gt;500,"High","Std"))</f>
        <v>HIGH</v>
      </c>
      <c r="P2426">
        <v>2425</v>
      </c>
    </row>
    <row r="2427" spans="1:16" x14ac:dyDescent="0.3">
      <c r="A2427" s="1">
        <v>44854</v>
      </c>
      <c r="B2427" t="s">
        <v>10</v>
      </c>
      <c r="C2427" t="s">
        <v>11</v>
      </c>
      <c r="D2427" t="s">
        <v>9</v>
      </c>
      <c r="E2427">
        <v>6</v>
      </c>
      <c r="F2427" s="3">
        <v>4056</v>
      </c>
      <c r="G2427" s="2">
        <v>815.1</v>
      </c>
      <c r="H2427">
        <f>Master_ventas[[#This Row],[Profit]]/Master_ventas[[#This Row],[Sales]]</f>
        <v>0.20096153846153847</v>
      </c>
      <c r="I2427">
        <f ca="1">Referencia_Hoy-Master_ventas[[#This Row],[Order Date]]</f>
        <v>1469</v>
      </c>
      <c r="J2427" t="str">
        <f>UPPER(Master_ventas[[#This Row],[Product Name]])</f>
        <v>MOUSE</v>
      </c>
      <c r="K2427" t="str">
        <f>UPPER(Master_ventas[[#This Row],[Category]])</f>
        <v>ACCESSORIES</v>
      </c>
      <c r="L2427">
        <f>YEAR(Master_ventas[[#This Row],[Order Date]])</f>
        <v>2022</v>
      </c>
      <c r="M2427" t="str">
        <f>CONCATENATE(LEFT(Master_ventas[[#This Row],[ProdUpper]],3),RIGHT(Master_ventas[[#This Row],[Ext-Year]],2),"-",MID(Master_ventas[[#This Row],[Category]],1,1))</f>
        <v>MOU22-A</v>
      </c>
      <c r="N2427" t="str">
        <f>MID(Master_ventas[[#This Row],[ProdUpper]],1,3)</f>
        <v>MOU</v>
      </c>
      <c r="O2427" t="str">
        <f>UPPER(IF(Master_ventas[[#This Row],[Profit]]&gt;500,"High","Std"))</f>
        <v>HIGH</v>
      </c>
      <c r="P2427">
        <v>2426</v>
      </c>
    </row>
    <row r="2428" spans="1:16" x14ac:dyDescent="0.3">
      <c r="A2428" s="1">
        <v>45253</v>
      </c>
      <c r="B2428" t="s">
        <v>18</v>
      </c>
      <c r="C2428" t="s">
        <v>11</v>
      </c>
      <c r="D2428" t="s">
        <v>9</v>
      </c>
      <c r="E2428">
        <v>3</v>
      </c>
      <c r="F2428" s="3">
        <v>534</v>
      </c>
      <c r="G2428" s="2">
        <v>120.53</v>
      </c>
      <c r="H2428">
        <f>Master_ventas[[#This Row],[Profit]]/Master_ventas[[#This Row],[Sales]]</f>
        <v>0.2257116104868914</v>
      </c>
      <c r="I2428">
        <f ca="1">Referencia_Hoy-Master_ventas[[#This Row],[Order Date]]</f>
        <v>1070</v>
      </c>
      <c r="J2428" t="str">
        <f>UPPER(Master_ventas[[#This Row],[Product Name]])</f>
        <v>HEADPHONES</v>
      </c>
      <c r="K2428" t="str">
        <f>UPPER(Master_ventas[[#This Row],[Category]])</f>
        <v>ACCESSORIES</v>
      </c>
      <c r="L2428">
        <f>YEAR(Master_ventas[[#This Row],[Order Date]])</f>
        <v>2023</v>
      </c>
      <c r="M2428" t="str">
        <f>CONCATENATE(LEFT(Master_ventas[[#This Row],[ProdUpper]],3),RIGHT(Master_ventas[[#This Row],[Ext-Year]],2),"-",MID(Master_ventas[[#This Row],[Category]],1,1))</f>
        <v>HEA23-A</v>
      </c>
      <c r="N2428" t="str">
        <f>MID(Master_ventas[[#This Row],[ProdUpper]],1,3)</f>
        <v>HEA</v>
      </c>
      <c r="O2428" t="str">
        <f>UPPER(IF(Master_ventas[[#This Row],[Profit]]&gt;500,"High","Std"))</f>
        <v>STD</v>
      </c>
      <c r="P2428">
        <v>2427</v>
      </c>
    </row>
    <row r="2429" spans="1:16" x14ac:dyDescent="0.3">
      <c r="A2429" s="1">
        <v>45077</v>
      </c>
      <c r="B2429" t="s">
        <v>7</v>
      </c>
      <c r="C2429" t="s">
        <v>8</v>
      </c>
      <c r="D2429" t="s">
        <v>15</v>
      </c>
      <c r="E2429">
        <v>5</v>
      </c>
      <c r="F2429" s="3">
        <v>3475</v>
      </c>
      <c r="G2429" s="2">
        <v>991.47</v>
      </c>
      <c r="H2429">
        <f>Master_ventas[[#This Row],[Profit]]/Master_ventas[[#This Row],[Sales]]</f>
        <v>0.2853151079136691</v>
      </c>
      <c r="I2429">
        <f ca="1">Referencia_Hoy-Master_ventas[[#This Row],[Order Date]]</f>
        <v>1246</v>
      </c>
      <c r="J2429" t="str">
        <f>UPPER(Master_ventas[[#This Row],[Product Name]])</f>
        <v>PRINTER</v>
      </c>
      <c r="K2429" t="str">
        <f>UPPER(Master_ventas[[#This Row],[Category]])</f>
        <v>OFFICE</v>
      </c>
      <c r="L2429">
        <f>YEAR(Master_ventas[[#This Row],[Order Date]])</f>
        <v>2023</v>
      </c>
      <c r="M2429" t="str">
        <f>CONCATENATE(LEFT(Master_ventas[[#This Row],[ProdUpper]],3),RIGHT(Master_ventas[[#This Row],[Ext-Year]],2),"-",MID(Master_ventas[[#This Row],[Category]],1,1))</f>
        <v>PRI23-O</v>
      </c>
      <c r="N2429" t="str">
        <f>MID(Master_ventas[[#This Row],[ProdUpper]],1,3)</f>
        <v>PRI</v>
      </c>
      <c r="O2429" t="str">
        <f>UPPER(IF(Master_ventas[[#This Row],[Profit]]&gt;500,"High","Std"))</f>
        <v>HIGH</v>
      </c>
      <c r="P2429">
        <v>2428</v>
      </c>
    </row>
    <row r="2430" spans="1:16" x14ac:dyDescent="0.3">
      <c r="A2430" s="1">
        <v>45118</v>
      </c>
      <c r="B2430" t="s">
        <v>13</v>
      </c>
      <c r="C2430" t="s">
        <v>14</v>
      </c>
      <c r="D2430" t="s">
        <v>15</v>
      </c>
      <c r="E2430">
        <v>5</v>
      </c>
      <c r="F2430" s="3">
        <v>4880</v>
      </c>
      <c r="G2430" s="2">
        <v>829.03</v>
      </c>
      <c r="H2430">
        <f>Master_ventas[[#This Row],[Profit]]/Master_ventas[[#This Row],[Sales]]</f>
        <v>0.16988319672131147</v>
      </c>
      <c r="I2430">
        <f ca="1">Referencia_Hoy-Master_ventas[[#This Row],[Order Date]]</f>
        <v>1205</v>
      </c>
      <c r="J2430" t="str">
        <f>UPPER(Master_ventas[[#This Row],[Product Name]])</f>
        <v>TABLET</v>
      </c>
      <c r="K2430" t="str">
        <f>UPPER(Master_ventas[[#This Row],[Category]])</f>
        <v>ELECTRONICS</v>
      </c>
      <c r="L2430">
        <f>YEAR(Master_ventas[[#This Row],[Order Date]])</f>
        <v>2023</v>
      </c>
      <c r="M2430" t="str">
        <f>CONCATENATE(LEFT(Master_ventas[[#This Row],[ProdUpper]],3),RIGHT(Master_ventas[[#This Row],[Ext-Year]],2),"-",MID(Master_ventas[[#This Row],[Category]],1,1))</f>
        <v>TAB23-E</v>
      </c>
      <c r="N2430" t="str">
        <f>MID(Master_ventas[[#This Row],[ProdUpper]],1,3)</f>
        <v>TAB</v>
      </c>
      <c r="O2430" t="str">
        <f>UPPER(IF(Master_ventas[[#This Row],[Profit]]&gt;500,"High","Std"))</f>
        <v>HIGH</v>
      </c>
      <c r="P2430">
        <v>2429</v>
      </c>
    </row>
    <row r="2431" spans="1:16" x14ac:dyDescent="0.3">
      <c r="A2431" s="1">
        <v>45590</v>
      </c>
      <c r="B2431" t="s">
        <v>13</v>
      </c>
      <c r="C2431" t="s">
        <v>14</v>
      </c>
      <c r="D2431" t="s">
        <v>16</v>
      </c>
      <c r="E2431">
        <v>8</v>
      </c>
      <c r="F2431" s="3">
        <v>8336</v>
      </c>
      <c r="G2431" s="2">
        <v>782.8</v>
      </c>
      <c r="H2431">
        <f>Master_ventas[[#This Row],[Profit]]/Master_ventas[[#This Row],[Sales]]</f>
        <v>9.390595009596929E-2</v>
      </c>
      <c r="I2431">
        <f ca="1">Referencia_Hoy-Master_ventas[[#This Row],[Order Date]]</f>
        <v>733</v>
      </c>
      <c r="J2431" t="str">
        <f>UPPER(Master_ventas[[#This Row],[Product Name]])</f>
        <v>TABLET</v>
      </c>
      <c r="K2431" t="str">
        <f>UPPER(Master_ventas[[#This Row],[Category]])</f>
        <v>ELECTRONICS</v>
      </c>
      <c r="L2431">
        <f>YEAR(Master_ventas[[#This Row],[Order Date]])</f>
        <v>2024</v>
      </c>
      <c r="M2431" t="str">
        <f>CONCATENATE(LEFT(Master_ventas[[#This Row],[ProdUpper]],3),RIGHT(Master_ventas[[#This Row],[Ext-Year]],2),"-",MID(Master_ventas[[#This Row],[Category]],1,1))</f>
        <v>TAB24-E</v>
      </c>
      <c r="N2431" t="str">
        <f>MID(Master_ventas[[#This Row],[ProdUpper]],1,3)</f>
        <v>TAB</v>
      </c>
      <c r="O2431" t="str">
        <f>UPPER(IF(Master_ventas[[#This Row],[Profit]]&gt;500,"High","Std"))</f>
        <v>HIGH</v>
      </c>
      <c r="P2431">
        <v>2430</v>
      </c>
    </row>
    <row r="2432" spans="1:16" x14ac:dyDescent="0.3">
      <c r="A2432" s="1">
        <v>45054</v>
      </c>
      <c r="B2432" t="s">
        <v>10</v>
      </c>
      <c r="C2432" t="s">
        <v>11</v>
      </c>
      <c r="D2432" t="s">
        <v>9</v>
      </c>
      <c r="E2432">
        <v>8</v>
      </c>
      <c r="F2432" s="3">
        <v>9232</v>
      </c>
      <c r="G2432" s="2">
        <v>490.66</v>
      </c>
      <c r="H2432">
        <f>Master_ventas[[#This Row],[Profit]]/Master_ventas[[#This Row],[Sales]]</f>
        <v>5.3147746967071058E-2</v>
      </c>
      <c r="I2432">
        <f ca="1">Referencia_Hoy-Master_ventas[[#This Row],[Order Date]]</f>
        <v>1269</v>
      </c>
      <c r="J2432" t="str">
        <f>UPPER(Master_ventas[[#This Row],[Product Name]])</f>
        <v>MOUSE</v>
      </c>
      <c r="K2432" t="str">
        <f>UPPER(Master_ventas[[#This Row],[Category]])</f>
        <v>ACCESSORIES</v>
      </c>
      <c r="L2432">
        <f>YEAR(Master_ventas[[#This Row],[Order Date]])</f>
        <v>2023</v>
      </c>
      <c r="M2432" t="str">
        <f>CONCATENATE(LEFT(Master_ventas[[#This Row],[ProdUpper]],3),RIGHT(Master_ventas[[#This Row],[Ext-Year]],2),"-",MID(Master_ventas[[#This Row],[Category]],1,1))</f>
        <v>MOU23-A</v>
      </c>
      <c r="N2432" t="str">
        <f>MID(Master_ventas[[#This Row],[ProdUpper]],1,3)</f>
        <v>MOU</v>
      </c>
      <c r="O2432" t="str">
        <f>UPPER(IF(Master_ventas[[#This Row],[Profit]]&gt;500,"High","Std"))</f>
        <v>STD</v>
      </c>
      <c r="P2432">
        <v>2431</v>
      </c>
    </row>
    <row r="2433" spans="1:16" x14ac:dyDescent="0.3">
      <c r="A2433" s="1">
        <v>44568</v>
      </c>
      <c r="B2433" t="s">
        <v>21</v>
      </c>
      <c r="C2433" t="s">
        <v>14</v>
      </c>
      <c r="D2433" t="s">
        <v>15</v>
      </c>
      <c r="E2433">
        <v>3</v>
      </c>
      <c r="F2433" s="3">
        <v>2031</v>
      </c>
      <c r="G2433" s="2">
        <v>466.25</v>
      </c>
      <c r="H2433">
        <f>Master_ventas[[#This Row],[Profit]]/Master_ventas[[#This Row],[Sales]]</f>
        <v>0.22956671590349581</v>
      </c>
      <c r="I2433">
        <f ca="1">Referencia_Hoy-Master_ventas[[#This Row],[Order Date]]</f>
        <v>1755</v>
      </c>
      <c r="J2433" t="str">
        <f>UPPER(Master_ventas[[#This Row],[Product Name]])</f>
        <v>SMARTPHONE</v>
      </c>
      <c r="K2433" t="str">
        <f>UPPER(Master_ventas[[#This Row],[Category]])</f>
        <v>ELECTRONICS</v>
      </c>
      <c r="L2433">
        <f>YEAR(Master_ventas[[#This Row],[Order Date]])</f>
        <v>2022</v>
      </c>
      <c r="M2433" t="str">
        <f>CONCATENATE(LEFT(Master_ventas[[#This Row],[ProdUpper]],3),RIGHT(Master_ventas[[#This Row],[Ext-Year]],2),"-",MID(Master_ventas[[#This Row],[Category]],1,1))</f>
        <v>SMA22-E</v>
      </c>
      <c r="N2433" t="str">
        <f>MID(Master_ventas[[#This Row],[ProdUpper]],1,3)</f>
        <v>SMA</v>
      </c>
      <c r="O2433" t="str">
        <f>UPPER(IF(Master_ventas[[#This Row],[Profit]]&gt;500,"High","Std"))</f>
        <v>STD</v>
      </c>
      <c r="P2433">
        <v>2432</v>
      </c>
    </row>
    <row r="2434" spans="1:16" x14ac:dyDescent="0.3">
      <c r="A2434" s="1">
        <v>44571</v>
      </c>
      <c r="B2434" t="s">
        <v>19</v>
      </c>
      <c r="C2434" t="s">
        <v>14</v>
      </c>
      <c r="D2434" t="s">
        <v>9</v>
      </c>
      <c r="E2434">
        <v>3</v>
      </c>
      <c r="F2434" s="3">
        <v>2412</v>
      </c>
      <c r="G2434" s="2">
        <v>640.35</v>
      </c>
      <c r="H2434">
        <f>Master_ventas[[#This Row],[Profit]]/Master_ventas[[#This Row],[Sales]]</f>
        <v>0.26548507462686566</v>
      </c>
      <c r="I2434">
        <f ca="1">Referencia_Hoy-Master_ventas[[#This Row],[Order Date]]</f>
        <v>1752</v>
      </c>
      <c r="J2434" t="str">
        <f>UPPER(Master_ventas[[#This Row],[Product Name]])</f>
        <v>SMARTWATCH</v>
      </c>
      <c r="K2434" t="str">
        <f>UPPER(Master_ventas[[#This Row],[Category]])</f>
        <v>ELECTRONICS</v>
      </c>
      <c r="L2434">
        <f>YEAR(Master_ventas[[#This Row],[Order Date]])</f>
        <v>2022</v>
      </c>
      <c r="M2434" t="str">
        <f>CONCATENATE(LEFT(Master_ventas[[#This Row],[ProdUpper]],3),RIGHT(Master_ventas[[#This Row],[Ext-Year]],2),"-",MID(Master_ventas[[#This Row],[Category]],1,1))</f>
        <v>SMA22-E</v>
      </c>
      <c r="N2434" t="str">
        <f>MID(Master_ventas[[#This Row],[ProdUpper]],1,3)</f>
        <v>SMA</v>
      </c>
      <c r="O2434" t="str">
        <f>UPPER(IF(Master_ventas[[#This Row],[Profit]]&gt;500,"High","Std"))</f>
        <v>HIGH</v>
      </c>
      <c r="P2434">
        <v>2433</v>
      </c>
    </row>
    <row r="2435" spans="1:16" x14ac:dyDescent="0.3">
      <c r="A2435" s="1">
        <v>45263</v>
      </c>
      <c r="B2435" t="s">
        <v>21</v>
      </c>
      <c r="C2435" t="s">
        <v>14</v>
      </c>
      <c r="D2435" t="s">
        <v>12</v>
      </c>
      <c r="E2435">
        <v>1</v>
      </c>
      <c r="F2435" s="3">
        <v>1039</v>
      </c>
      <c r="G2435" s="2">
        <v>137.24</v>
      </c>
      <c r="H2435">
        <f>Master_ventas[[#This Row],[Profit]]/Master_ventas[[#This Row],[Sales]]</f>
        <v>0.13208854667949954</v>
      </c>
      <c r="I2435">
        <f ca="1">Referencia_Hoy-Master_ventas[[#This Row],[Order Date]]</f>
        <v>1060</v>
      </c>
      <c r="J2435" t="str">
        <f>UPPER(Master_ventas[[#This Row],[Product Name]])</f>
        <v>SMARTPHONE</v>
      </c>
      <c r="K2435" t="str">
        <f>UPPER(Master_ventas[[#This Row],[Category]])</f>
        <v>ELECTRONICS</v>
      </c>
      <c r="L2435">
        <f>YEAR(Master_ventas[[#This Row],[Order Date]])</f>
        <v>2023</v>
      </c>
      <c r="M2435" t="str">
        <f>CONCATENATE(LEFT(Master_ventas[[#This Row],[ProdUpper]],3),RIGHT(Master_ventas[[#This Row],[Ext-Year]],2),"-",MID(Master_ventas[[#This Row],[Category]],1,1))</f>
        <v>SMA23-E</v>
      </c>
      <c r="N2435" t="str">
        <f>MID(Master_ventas[[#This Row],[ProdUpper]],1,3)</f>
        <v>SMA</v>
      </c>
      <c r="O2435" t="str">
        <f>UPPER(IF(Master_ventas[[#This Row],[Profit]]&gt;500,"High","Std"))</f>
        <v>STD</v>
      </c>
      <c r="P2435">
        <v>2434</v>
      </c>
    </row>
    <row r="2436" spans="1:16" x14ac:dyDescent="0.3">
      <c r="A2436" s="1">
        <v>44929</v>
      </c>
      <c r="B2436" t="s">
        <v>17</v>
      </c>
      <c r="C2436" t="s">
        <v>14</v>
      </c>
      <c r="D2436" t="s">
        <v>16</v>
      </c>
      <c r="E2436">
        <v>6</v>
      </c>
      <c r="F2436" s="3">
        <v>696</v>
      </c>
      <c r="G2436" s="2">
        <v>100.78</v>
      </c>
      <c r="H2436">
        <f>Master_ventas[[#This Row],[Profit]]/Master_ventas[[#This Row],[Sales]]</f>
        <v>0.14479885057471265</v>
      </c>
      <c r="I2436">
        <f ca="1">Referencia_Hoy-Master_ventas[[#This Row],[Order Date]]</f>
        <v>1394</v>
      </c>
      <c r="J2436" t="str">
        <f>UPPER(Master_ventas[[#This Row],[Product Name]])</f>
        <v>CAMERA</v>
      </c>
      <c r="K2436" t="str">
        <f>UPPER(Master_ventas[[#This Row],[Category]])</f>
        <v>ELECTRONICS</v>
      </c>
      <c r="L2436">
        <f>YEAR(Master_ventas[[#This Row],[Order Date]])</f>
        <v>2023</v>
      </c>
      <c r="M2436" t="str">
        <f>CONCATENATE(LEFT(Master_ventas[[#This Row],[ProdUpper]],3),RIGHT(Master_ventas[[#This Row],[Ext-Year]],2),"-",MID(Master_ventas[[#This Row],[Category]],1,1))</f>
        <v>CAM23-E</v>
      </c>
      <c r="N2436" t="str">
        <f>MID(Master_ventas[[#This Row],[ProdUpper]],1,3)</f>
        <v>CAM</v>
      </c>
      <c r="O2436" t="str">
        <f>UPPER(IF(Master_ventas[[#This Row],[Profit]]&gt;500,"High","Std"))</f>
        <v>STD</v>
      </c>
      <c r="P2436">
        <v>2435</v>
      </c>
    </row>
    <row r="2437" spans="1:16" x14ac:dyDescent="0.3">
      <c r="A2437" s="1">
        <v>45469</v>
      </c>
      <c r="B2437" t="s">
        <v>23</v>
      </c>
      <c r="C2437" t="s">
        <v>14</v>
      </c>
      <c r="D2437" t="s">
        <v>9</v>
      </c>
      <c r="E2437">
        <v>8</v>
      </c>
      <c r="F2437" s="3">
        <v>6160</v>
      </c>
      <c r="G2437" s="2">
        <v>1617.32</v>
      </c>
      <c r="H2437">
        <f>Master_ventas[[#This Row],[Profit]]/Master_ventas[[#This Row],[Sales]]</f>
        <v>0.26255194805194804</v>
      </c>
      <c r="I2437">
        <f ca="1">Referencia_Hoy-Master_ventas[[#This Row],[Order Date]]</f>
        <v>854</v>
      </c>
      <c r="J2437" t="str">
        <f>UPPER(Master_ventas[[#This Row],[Product Name]])</f>
        <v>LAPTOP</v>
      </c>
      <c r="K2437" t="str">
        <f>UPPER(Master_ventas[[#This Row],[Category]])</f>
        <v>ELECTRONICS</v>
      </c>
      <c r="L2437">
        <f>YEAR(Master_ventas[[#This Row],[Order Date]])</f>
        <v>2024</v>
      </c>
      <c r="M2437" t="str">
        <f>CONCATENATE(LEFT(Master_ventas[[#This Row],[ProdUpper]],3),RIGHT(Master_ventas[[#This Row],[Ext-Year]],2),"-",MID(Master_ventas[[#This Row],[Category]],1,1))</f>
        <v>LAP24-E</v>
      </c>
      <c r="N2437" t="str">
        <f>MID(Master_ventas[[#This Row],[ProdUpper]],1,3)</f>
        <v>LAP</v>
      </c>
      <c r="O2437" t="str">
        <f>UPPER(IF(Master_ventas[[#This Row],[Profit]]&gt;500,"High","Std"))</f>
        <v>HIGH</v>
      </c>
      <c r="P2437">
        <v>2436</v>
      </c>
    </row>
    <row r="2438" spans="1:16" x14ac:dyDescent="0.3">
      <c r="A2438" s="1">
        <v>44910</v>
      </c>
      <c r="B2438" t="s">
        <v>17</v>
      </c>
      <c r="C2438" t="s">
        <v>14</v>
      </c>
      <c r="D2438" t="s">
        <v>12</v>
      </c>
      <c r="E2438">
        <v>3</v>
      </c>
      <c r="F2438" s="3">
        <v>447</v>
      </c>
      <c r="G2438" s="2">
        <v>58.4</v>
      </c>
      <c r="H2438">
        <f>Master_ventas[[#This Row],[Profit]]/Master_ventas[[#This Row],[Sales]]</f>
        <v>0.13064876957494406</v>
      </c>
      <c r="I2438">
        <f ca="1">Referencia_Hoy-Master_ventas[[#This Row],[Order Date]]</f>
        <v>1413</v>
      </c>
      <c r="J2438" t="str">
        <f>UPPER(Master_ventas[[#This Row],[Product Name]])</f>
        <v>CAMERA</v>
      </c>
      <c r="K2438" t="str">
        <f>UPPER(Master_ventas[[#This Row],[Category]])</f>
        <v>ELECTRONICS</v>
      </c>
      <c r="L2438">
        <f>YEAR(Master_ventas[[#This Row],[Order Date]])</f>
        <v>2022</v>
      </c>
      <c r="M2438" t="str">
        <f>CONCATENATE(LEFT(Master_ventas[[#This Row],[ProdUpper]],3),RIGHT(Master_ventas[[#This Row],[Ext-Year]],2),"-",MID(Master_ventas[[#This Row],[Category]],1,1))</f>
        <v>CAM22-E</v>
      </c>
      <c r="N2438" t="str">
        <f>MID(Master_ventas[[#This Row],[ProdUpper]],1,3)</f>
        <v>CAM</v>
      </c>
      <c r="O2438" t="str">
        <f>UPPER(IF(Master_ventas[[#This Row],[Profit]]&gt;500,"High","Std"))</f>
        <v>STD</v>
      </c>
      <c r="P2438">
        <v>2437</v>
      </c>
    </row>
    <row r="2439" spans="1:16" x14ac:dyDescent="0.3">
      <c r="A2439" s="1">
        <v>45045</v>
      </c>
      <c r="B2439" t="s">
        <v>22</v>
      </c>
      <c r="C2439" t="s">
        <v>11</v>
      </c>
      <c r="D2439" t="s">
        <v>16</v>
      </c>
      <c r="E2439">
        <v>6</v>
      </c>
      <c r="F2439" s="3">
        <v>6102</v>
      </c>
      <c r="G2439" s="2">
        <v>364.82</v>
      </c>
      <c r="H2439">
        <f>Master_ventas[[#This Row],[Profit]]/Master_ventas[[#This Row],[Sales]]</f>
        <v>5.978695509668961E-2</v>
      </c>
      <c r="I2439">
        <f ca="1">Referencia_Hoy-Master_ventas[[#This Row],[Order Date]]</f>
        <v>1278</v>
      </c>
      <c r="J2439" t="str">
        <f>UPPER(Master_ventas[[#This Row],[Product Name]])</f>
        <v>KEYBOARD</v>
      </c>
      <c r="K2439" t="str">
        <f>UPPER(Master_ventas[[#This Row],[Category]])</f>
        <v>ACCESSORIES</v>
      </c>
      <c r="L2439">
        <f>YEAR(Master_ventas[[#This Row],[Order Date]])</f>
        <v>2023</v>
      </c>
      <c r="M2439" t="str">
        <f>CONCATENATE(LEFT(Master_ventas[[#This Row],[ProdUpper]],3),RIGHT(Master_ventas[[#This Row],[Ext-Year]],2),"-",MID(Master_ventas[[#This Row],[Category]],1,1))</f>
        <v>KEY23-A</v>
      </c>
      <c r="N2439" t="str">
        <f>MID(Master_ventas[[#This Row],[ProdUpper]],1,3)</f>
        <v>KEY</v>
      </c>
      <c r="O2439" t="str">
        <f>UPPER(IF(Master_ventas[[#This Row],[Profit]]&gt;500,"High","Std"))</f>
        <v>STD</v>
      </c>
      <c r="P2439">
        <v>2438</v>
      </c>
    </row>
    <row r="2440" spans="1:16" x14ac:dyDescent="0.3">
      <c r="A2440" s="1">
        <v>45385</v>
      </c>
      <c r="B2440" t="s">
        <v>17</v>
      </c>
      <c r="C2440" t="s">
        <v>14</v>
      </c>
      <c r="D2440" t="s">
        <v>15</v>
      </c>
      <c r="E2440">
        <v>9</v>
      </c>
      <c r="F2440" s="3">
        <v>5085</v>
      </c>
      <c r="G2440" s="2">
        <v>1372.83</v>
      </c>
      <c r="H2440">
        <f>Master_ventas[[#This Row],[Profit]]/Master_ventas[[#This Row],[Sales]]</f>
        <v>0.26997640117994098</v>
      </c>
      <c r="I2440">
        <f ca="1">Referencia_Hoy-Master_ventas[[#This Row],[Order Date]]</f>
        <v>938</v>
      </c>
      <c r="J2440" t="str">
        <f>UPPER(Master_ventas[[#This Row],[Product Name]])</f>
        <v>CAMERA</v>
      </c>
      <c r="K2440" t="str">
        <f>UPPER(Master_ventas[[#This Row],[Category]])</f>
        <v>ELECTRONICS</v>
      </c>
      <c r="L2440">
        <f>YEAR(Master_ventas[[#This Row],[Order Date]])</f>
        <v>2024</v>
      </c>
      <c r="M2440" t="str">
        <f>CONCATENATE(LEFT(Master_ventas[[#This Row],[ProdUpper]],3),RIGHT(Master_ventas[[#This Row],[Ext-Year]],2),"-",MID(Master_ventas[[#This Row],[Category]],1,1))</f>
        <v>CAM24-E</v>
      </c>
      <c r="N2440" t="str">
        <f>MID(Master_ventas[[#This Row],[ProdUpper]],1,3)</f>
        <v>CAM</v>
      </c>
      <c r="O2440" t="str">
        <f>UPPER(IF(Master_ventas[[#This Row],[Profit]]&gt;500,"High","Std"))</f>
        <v>HIGH</v>
      </c>
      <c r="P2440">
        <v>2439</v>
      </c>
    </row>
    <row r="2441" spans="1:16" x14ac:dyDescent="0.3">
      <c r="A2441" s="1">
        <v>45520</v>
      </c>
      <c r="B2441" t="s">
        <v>23</v>
      </c>
      <c r="C2441" t="s">
        <v>14</v>
      </c>
      <c r="D2441" t="s">
        <v>9</v>
      </c>
      <c r="E2441">
        <v>7</v>
      </c>
      <c r="F2441" s="3">
        <v>3038</v>
      </c>
      <c r="G2441" s="2">
        <v>158.82</v>
      </c>
      <c r="H2441">
        <f>Master_ventas[[#This Row],[Profit]]/Master_ventas[[#This Row],[Sales]]</f>
        <v>5.2277814351547068E-2</v>
      </c>
      <c r="I2441">
        <f ca="1">Referencia_Hoy-Master_ventas[[#This Row],[Order Date]]</f>
        <v>803</v>
      </c>
      <c r="J2441" t="str">
        <f>UPPER(Master_ventas[[#This Row],[Product Name]])</f>
        <v>LAPTOP</v>
      </c>
      <c r="K2441" t="str">
        <f>UPPER(Master_ventas[[#This Row],[Category]])</f>
        <v>ELECTRONICS</v>
      </c>
      <c r="L2441">
        <f>YEAR(Master_ventas[[#This Row],[Order Date]])</f>
        <v>2024</v>
      </c>
      <c r="M2441" t="str">
        <f>CONCATENATE(LEFT(Master_ventas[[#This Row],[ProdUpper]],3),RIGHT(Master_ventas[[#This Row],[Ext-Year]],2),"-",MID(Master_ventas[[#This Row],[Category]],1,1))</f>
        <v>LAP24-E</v>
      </c>
      <c r="N2441" t="str">
        <f>MID(Master_ventas[[#This Row],[ProdUpper]],1,3)</f>
        <v>LAP</v>
      </c>
      <c r="O2441" t="str">
        <f>UPPER(IF(Master_ventas[[#This Row],[Profit]]&gt;500,"High","Std"))</f>
        <v>STD</v>
      </c>
      <c r="P2441">
        <v>2440</v>
      </c>
    </row>
    <row r="2442" spans="1:16" x14ac:dyDescent="0.3">
      <c r="A2442" s="1">
        <v>45362</v>
      </c>
      <c r="B2442" t="s">
        <v>18</v>
      </c>
      <c r="C2442" t="s">
        <v>11</v>
      </c>
      <c r="D2442" t="s">
        <v>16</v>
      </c>
      <c r="E2442">
        <v>1</v>
      </c>
      <c r="F2442" s="3">
        <v>882</v>
      </c>
      <c r="G2442" s="2">
        <v>215.24</v>
      </c>
      <c r="H2442">
        <f>Master_ventas[[#This Row],[Profit]]/Master_ventas[[#This Row],[Sales]]</f>
        <v>0.24403628117913834</v>
      </c>
      <c r="I2442">
        <f ca="1">Referencia_Hoy-Master_ventas[[#This Row],[Order Date]]</f>
        <v>961</v>
      </c>
      <c r="J2442" t="str">
        <f>UPPER(Master_ventas[[#This Row],[Product Name]])</f>
        <v>HEADPHONES</v>
      </c>
      <c r="K2442" t="str">
        <f>UPPER(Master_ventas[[#This Row],[Category]])</f>
        <v>ACCESSORIES</v>
      </c>
      <c r="L2442">
        <f>YEAR(Master_ventas[[#This Row],[Order Date]])</f>
        <v>2024</v>
      </c>
      <c r="M2442" t="str">
        <f>CONCATENATE(LEFT(Master_ventas[[#This Row],[ProdUpper]],3),RIGHT(Master_ventas[[#This Row],[Ext-Year]],2),"-",MID(Master_ventas[[#This Row],[Category]],1,1))</f>
        <v>HEA24-A</v>
      </c>
      <c r="N2442" t="str">
        <f>MID(Master_ventas[[#This Row],[ProdUpper]],1,3)</f>
        <v>HEA</v>
      </c>
      <c r="O2442" t="str">
        <f>UPPER(IF(Master_ventas[[#This Row],[Profit]]&gt;500,"High","Std"))</f>
        <v>STD</v>
      </c>
      <c r="P2442">
        <v>2441</v>
      </c>
    </row>
    <row r="2443" spans="1:16" x14ac:dyDescent="0.3">
      <c r="A2443" s="1">
        <v>45000</v>
      </c>
      <c r="B2443" t="s">
        <v>20</v>
      </c>
      <c r="C2443" t="s">
        <v>11</v>
      </c>
      <c r="D2443" t="s">
        <v>16</v>
      </c>
      <c r="E2443">
        <v>6</v>
      </c>
      <c r="F2443" s="3">
        <v>2490</v>
      </c>
      <c r="G2443" s="2">
        <v>720.06</v>
      </c>
      <c r="H2443">
        <f>Master_ventas[[#This Row],[Profit]]/Master_ventas[[#This Row],[Sales]]</f>
        <v>0.28918072289156627</v>
      </c>
      <c r="I2443">
        <f ca="1">Referencia_Hoy-Master_ventas[[#This Row],[Order Date]]</f>
        <v>1323</v>
      </c>
      <c r="J2443" t="str">
        <f>UPPER(Master_ventas[[#This Row],[Product Name]])</f>
        <v>MONITOR</v>
      </c>
      <c r="K2443" t="str">
        <f>UPPER(Master_ventas[[#This Row],[Category]])</f>
        <v>ACCESSORIES</v>
      </c>
      <c r="L2443">
        <f>YEAR(Master_ventas[[#This Row],[Order Date]])</f>
        <v>2023</v>
      </c>
      <c r="M2443" t="str">
        <f>CONCATENATE(LEFT(Master_ventas[[#This Row],[ProdUpper]],3),RIGHT(Master_ventas[[#This Row],[Ext-Year]],2),"-",MID(Master_ventas[[#This Row],[Category]],1,1))</f>
        <v>MON23-A</v>
      </c>
      <c r="N2443" t="str">
        <f>MID(Master_ventas[[#This Row],[ProdUpper]],1,3)</f>
        <v>MON</v>
      </c>
      <c r="O2443" t="str">
        <f>UPPER(IF(Master_ventas[[#This Row],[Profit]]&gt;500,"High","Std"))</f>
        <v>HIGH</v>
      </c>
      <c r="P2443">
        <v>2442</v>
      </c>
    </row>
    <row r="2444" spans="1:16" x14ac:dyDescent="0.3">
      <c r="A2444" s="1">
        <v>45509</v>
      </c>
      <c r="B2444" t="s">
        <v>17</v>
      </c>
      <c r="C2444" t="s">
        <v>14</v>
      </c>
      <c r="D2444" t="s">
        <v>9</v>
      </c>
      <c r="E2444">
        <v>1</v>
      </c>
      <c r="F2444" s="3">
        <v>635</v>
      </c>
      <c r="G2444" s="2">
        <v>101.09</v>
      </c>
      <c r="H2444">
        <f>Master_ventas[[#This Row],[Profit]]/Master_ventas[[#This Row],[Sales]]</f>
        <v>0.1591968503937008</v>
      </c>
      <c r="I2444">
        <f ca="1">Referencia_Hoy-Master_ventas[[#This Row],[Order Date]]</f>
        <v>814</v>
      </c>
      <c r="J2444" t="str">
        <f>UPPER(Master_ventas[[#This Row],[Product Name]])</f>
        <v>CAMERA</v>
      </c>
      <c r="K2444" t="str">
        <f>UPPER(Master_ventas[[#This Row],[Category]])</f>
        <v>ELECTRONICS</v>
      </c>
      <c r="L2444">
        <f>YEAR(Master_ventas[[#This Row],[Order Date]])</f>
        <v>2024</v>
      </c>
      <c r="M2444" t="str">
        <f>CONCATENATE(LEFT(Master_ventas[[#This Row],[ProdUpper]],3),RIGHT(Master_ventas[[#This Row],[Ext-Year]],2),"-",MID(Master_ventas[[#This Row],[Category]],1,1))</f>
        <v>CAM24-E</v>
      </c>
      <c r="N2444" t="str">
        <f>MID(Master_ventas[[#This Row],[ProdUpper]],1,3)</f>
        <v>CAM</v>
      </c>
      <c r="O2444" t="str">
        <f>UPPER(IF(Master_ventas[[#This Row],[Profit]]&gt;500,"High","Std"))</f>
        <v>STD</v>
      </c>
      <c r="P2444">
        <v>2443</v>
      </c>
    </row>
    <row r="2445" spans="1:16" x14ac:dyDescent="0.3">
      <c r="A2445" s="1">
        <v>45478</v>
      </c>
      <c r="B2445" t="s">
        <v>23</v>
      </c>
      <c r="C2445" t="s">
        <v>14</v>
      </c>
      <c r="D2445" t="s">
        <v>12</v>
      </c>
      <c r="E2445">
        <v>1</v>
      </c>
      <c r="F2445" s="3">
        <v>1083</v>
      </c>
      <c r="G2445" s="2">
        <v>152.5</v>
      </c>
      <c r="H2445">
        <f>Master_ventas[[#This Row],[Profit]]/Master_ventas[[#This Row],[Sales]]</f>
        <v>0.14081255771006462</v>
      </c>
      <c r="I2445">
        <f ca="1">Referencia_Hoy-Master_ventas[[#This Row],[Order Date]]</f>
        <v>845</v>
      </c>
      <c r="J2445" t="str">
        <f>UPPER(Master_ventas[[#This Row],[Product Name]])</f>
        <v>LAPTOP</v>
      </c>
      <c r="K2445" t="str">
        <f>UPPER(Master_ventas[[#This Row],[Category]])</f>
        <v>ELECTRONICS</v>
      </c>
      <c r="L2445">
        <f>YEAR(Master_ventas[[#This Row],[Order Date]])</f>
        <v>2024</v>
      </c>
      <c r="M2445" t="str">
        <f>CONCATENATE(LEFT(Master_ventas[[#This Row],[ProdUpper]],3),RIGHT(Master_ventas[[#This Row],[Ext-Year]],2),"-",MID(Master_ventas[[#This Row],[Category]],1,1))</f>
        <v>LAP24-E</v>
      </c>
      <c r="N2445" t="str">
        <f>MID(Master_ventas[[#This Row],[ProdUpper]],1,3)</f>
        <v>LAP</v>
      </c>
      <c r="O2445" t="str">
        <f>UPPER(IF(Master_ventas[[#This Row],[Profit]]&gt;500,"High","Std"))</f>
        <v>STD</v>
      </c>
      <c r="P2445">
        <v>2444</v>
      </c>
    </row>
    <row r="2446" spans="1:16" x14ac:dyDescent="0.3">
      <c r="A2446" s="1">
        <v>45148</v>
      </c>
      <c r="B2446" t="s">
        <v>22</v>
      </c>
      <c r="C2446" t="s">
        <v>11</v>
      </c>
      <c r="D2446" t="s">
        <v>16</v>
      </c>
      <c r="E2446">
        <v>6</v>
      </c>
      <c r="F2446" s="3">
        <v>720</v>
      </c>
      <c r="G2446" s="2">
        <v>144.26</v>
      </c>
      <c r="H2446">
        <f>Master_ventas[[#This Row],[Profit]]/Master_ventas[[#This Row],[Sales]]</f>
        <v>0.2003611111111111</v>
      </c>
      <c r="I2446">
        <f ca="1">Referencia_Hoy-Master_ventas[[#This Row],[Order Date]]</f>
        <v>1175</v>
      </c>
      <c r="J2446" t="str">
        <f>UPPER(Master_ventas[[#This Row],[Product Name]])</f>
        <v>KEYBOARD</v>
      </c>
      <c r="K2446" t="str">
        <f>UPPER(Master_ventas[[#This Row],[Category]])</f>
        <v>ACCESSORIES</v>
      </c>
      <c r="L2446">
        <f>YEAR(Master_ventas[[#This Row],[Order Date]])</f>
        <v>2023</v>
      </c>
      <c r="M2446" t="str">
        <f>CONCATENATE(LEFT(Master_ventas[[#This Row],[ProdUpper]],3),RIGHT(Master_ventas[[#This Row],[Ext-Year]],2),"-",MID(Master_ventas[[#This Row],[Category]],1,1))</f>
        <v>KEY23-A</v>
      </c>
      <c r="N2446" t="str">
        <f>MID(Master_ventas[[#This Row],[ProdUpper]],1,3)</f>
        <v>KEY</v>
      </c>
      <c r="O2446" t="str">
        <f>UPPER(IF(Master_ventas[[#This Row],[Profit]]&gt;500,"High","Std"))</f>
        <v>STD</v>
      </c>
      <c r="P2446">
        <v>2445</v>
      </c>
    </row>
    <row r="2447" spans="1:16" x14ac:dyDescent="0.3">
      <c r="A2447" s="1">
        <v>44821</v>
      </c>
      <c r="B2447" t="s">
        <v>7</v>
      </c>
      <c r="C2447" t="s">
        <v>8</v>
      </c>
      <c r="D2447" t="s">
        <v>16</v>
      </c>
      <c r="E2447">
        <v>3</v>
      </c>
      <c r="F2447" s="3">
        <v>3111</v>
      </c>
      <c r="G2447" s="2">
        <v>382.52</v>
      </c>
      <c r="H2447">
        <f>Master_ventas[[#This Row],[Profit]]/Master_ventas[[#This Row],[Sales]]</f>
        <v>0.12295724847315975</v>
      </c>
      <c r="I2447">
        <f ca="1">Referencia_Hoy-Master_ventas[[#This Row],[Order Date]]</f>
        <v>1502</v>
      </c>
      <c r="J2447" t="str">
        <f>UPPER(Master_ventas[[#This Row],[Product Name]])</f>
        <v>PRINTER</v>
      </c>
      <c r="K2447" t="str">
        <f>UPPER(Master_ventas[[#This Row],[Category]])</f>
        <v>OFFICE</v>
      </c>
      <c r="L2447">
        <f>YEAR(Master_ventas[[#This Row],[Order Date]])</f>
        <v>2022</v>
      </c>
      <c r="M2447" t="str">
        <f>CONCATENATE(LEFT(Master_ventas[[#This Row],[ProdUpper]],3),RIGHT(Master_ventas[[#This Row],[Ext-Year]],2),"-",MID(Master_ventas[[#This Row],[Category]],1,1))</f>
        <v>PRI22-O</v>
      </c>
      <c r="N2447" t="str">
        <f>MID(Master_ventas[[#This Row],[ProdUpper]],1,3)</f>
        <v>PRI</v>
      </c>
      <c r="O2447" t="str">
        <f>UPPER(IF(Master_ventas[[#This Row],[Profit]]&gt;500,"High","Std"))</f>
        <v>STD</v>
      </c>
      <c r="P2447">
        <v>2446</v>
      </c>
    </row>
    <row r="2448" spans="1:16" x14ac:dyDescent="0.3">
      <c r="A2448" s="1">
        <v>44660</v>
      </c>
      <c r="B2448" t="s">
        <v>19</v>
      </c>
      <c r="C2448" t="s">
        <v>14</v>
      </c>
      <c r="D2448" t="s">
        <v>9</v>
      </c>
      <c r="E2448">
        <v>6</v>
      </c>
      <c r="F2448" s="3">
        <v>1242</v>
      </c>
      <c r="G2448" s="2">
        <v>87.37</v>
      </c>
      <c r="H2448">
        <f>Master_ventas[[#This Row],[Profit]]/Master_ventas[[#This Row],[Sales]]</f>
        <v>7.0346215780998395E-2</v>
      </c>
      <c r="I2448">
        <f ca="1">Referencia_Hoy-Master_ventas[[#This Row],[Order Date]]</f>
        <v>1663</v>
      </c>
      <c r="J2448" t="str">
        <f>UPPER(Master_ventas[[#This Row],[Product Name]])</f>
        <v>SMARTWATCH</v>
      </c>
      <c r="K2448" t="str">
        <f>UPPER(Master_ventas[[#This Row],[Category]])</f>
        <v>ELECTRONICS</v>
      </c>
      <c r="L2448">
        <f>YEAR(Master_ventas[[#This Row],[Order Date]])</f>
        <v>2022</v>
      </c>
      <c r="M2448" t="str">
        <f>CONCATENATE(LEFT(Master_ventas[[#This Row],[ProdUpper]],3),RIGHT(Master_ventas[[#This Row],[Ext-Year]],2),"-",MID(Master_ventas[[#This Row],[Category]],1,1))</f>
        <v>SMA22-E</v>
      </c>
      <c r="N2448" t="str">
        <f>MID(Master_ventas[[#This Row],[ProdUpper]],1,3)</f>
        <v>SMA</v>
      </c>
      <c r="O2448" t="str">
        <f>UPPER(IF(Master_ventas[[#This Row],[Profit]]&gt;500,"High","Std"))</f>
        <v>STD</v>
      </c>
      <c r="P2448">
        <v>2447</v>
      </c>
    </row>
    <row r="2449" spans="1:16" x14ac:dyDescent="0.3">
      <c r="A2449" s="1">
        <v>45140</v>
      </c>
      <c r="B2449" t="s">
        <v>19</v>
      </c>
      <c r="C2449" t="s">
        <v>14</v>
      </c>
      <c r="D2449" t="s">
        <v>16</v>
      </c>
      <c r="E2449">
        <v>5</v>
      </c>
      <c r="F2449" s="3">
        <v>5845</v>
      </c>
      <c r="G2449" s="2">
        <v>978.75</v>
      </c>
      <c r="H2449">
        <f>Master_ventas[[#This Row],[Profit]]/Master_ventas[[#This Row],[Sales]]</f>
        <v>0.16745081266039349</v>
      </c>
      <c r="I2449">
        <f ca="1">Referencia_Hoy-Master_ventas[[#This Row],[Order Date]]</f>
        <v>1183</v>
      </c>
      <c r="J2449" t="str">
        <f>UPPER(Master_ventas[[#This Row],[Product Name]])</f>
        <v>SMARTWATCH</v>
      </c>
      <c r="K2449" t="str">
        <f>UPPER(Master_ventas[[#This Row],[Category]])</f>
        <v>ELECTRONICS</v>
      </c>
      <c r="L2449">
        <f>YEAR(Master_ventas[[#This Row],[Order Date]])</f>
        <v>2023</v>
      </c>
      <c r="M2449" t="str">
        <f>CONCATENATE(LEFT(Master_ventas[[#This Row],[ProdUpper]],3),RIGHT(Master_ventas[[#This Row],[Ext-Year]],2),"-",MID(Master_ventas[[#This Row],[Category]],1,1))</f>
        <v>SMA23-E</v>
      </c>
      <c r="N2449" t="str">
        <f>MID(Master_ventas[[#This Row],[ProdUpper]],1,3)</f>
        <v>SMA</v>
      </c>
      <c r="O2449" t="str">
        <f>UPPER(IF(Master_ventas[[#This Row],[Profit]]&gt;500,"High","Std"))</f>
        <v>HIGH</v>
      </c>
      <c r="P2449">
        <v>2448</v>
      </c>
    </row>
    <row r="2450" spans="1:16" x14ac:dyDescent="0.3">
      <c r="A2450" s="1">
        <v>45014</v>
      </c>
      <c r="B2450" t="s">
        <v>19</v>
      </c>
      <c r="C2450" t="s">
        <v>14</v>
      </c>
      <c r="D2450" t="s">
        <v>16</v>
      </c>
      <c r="E2450">
        <v>1</v>
      </c>
      <c r="F2450" s="3">
        <v>835</v>
      </c>
      <c r="G2450" s="2">
        <v>131.69999999999999</v>
      </c>
      <c r="H2450">
        <f>Master_ventas[[#This Row],[Profit]]/Master_ventas[[#This Row],[Sales]]</f>
        <v>0.15772455089820359</v>
      </c>
      <c r="I2450">
        <f ca="1">Referencia_Hoy-Master_ventas[[#This Row],[Order Date]]</f>
        <v>1309</v>
      </c>
      <c r="J2450" t="str">
        <f>UPPER(Master_ventas[[#This Row],[Product Name]])</f>
        <v>SMARTWATCH</v>
      </c>
      <c r="K2450" t="str">
        <f>UPPER(Master_ventas[[#This Row],[Category]])</f>
        <v>ELECTRONICS</v>
      </c>
      <c r="L2450">
        <f>YEAR(Master_ventas[[#This Row],[Order Date]])</f>
        <v>2023</v>
      </c>
      <c r="M2450" t="str">
        <f>CONCATENATE(LEFT(Master_ventas[[#This Row],[ProdUpper]],3),RIGHT(Master_ventas[[#This Row],[Ext-Year]],2),"-",MID(Master_ventas[[#This Row],[Category]],1,1))</f>
        <v>SMA23-E</v>
      </c>
      <c r="N2450" t="str">
        <f>MID(Master_ventas[[#This Row],[ProdUpper]],1,3)</f>
        <v>SMA</v>
      </c>
      <c r="O2450" t="str">
        <f>UPPER(IF(Master_ventas[[#This Row],[Profit]]&gt;500,"High","Std"))</f>
        <v>STD</v>
      </c>
      <c r="P2450">
        <v>2449</v>
      </c>
    </row>
    <row r="2451" spans="1:16" x14ac:dyDescent="0.3">
      <c r="A2451" s="1">
        <v>44697</v>
      </c>
      <c r="B2451" t="s">
        <v>20</v>
      </c>
      <c r="C2451" t="s">
        <v>11</v>
      </c>
      <c r="D2451" t="s">
        <v>15</v>
      </c>
      <c r="E2451">
        <v>2</v>
      </c>
      <c r="F2451" s="3">
        <v>2314</v>
      </c>
      <c r="G2451" s="2">
        <v>305.42</v>
      </c>
      <c r="H2451">
        <f>Master_ventas[[#This Row],[Profit]]/Master_ventas[[#This Row],[Sales]]</f>
        <v>0.13198789974070874</v>
      </c>
      <c r="I2451">
        <f ca="1">Referencia_Hoy-Master_ventas[[#This Row],[Order Date]]</f>
        <v>1626</v>
      </c>
      <c r="J2451" t="str">
        <f>UPPER(Master_ventas[[#This Row],[Product Name]])</f>
        <v>MONITOR</v>
      </c>
      <c r="K2451" t="str">
        <f>UPPER(Master_ventas[[#This Row],[Category]])</f>
        <v>ACCESSORIES</v>
      </c>
      <c r="L2451">
        <f>YEAR(Master_ventas[[#This Row],[Order Date]])</f>
        <v>2022</v>
      </c>
      <c r="M2451" t="str">
        <f>CONCATENATE(LEFT(Master_ventas[[#This Row],[ProdUpper]],3),RIGHT(Master_ventas[[#This Row],[Ext-Year]],2),"-",MID(Master_ventas[[#This Row],[Category]],1,1))</f>
        <v>MON22-A</v>
      </c>
      <c r="N2451" t="str">
        <f>MID(Master_ventas[[#This Row],[ProdUpper]],1,3)</f>
        <v>MON</v>
      </c>
      <c r="O2451" t="str">
        <f>UPPER(IF(Master_ventas[[#This Row],[Profit]]&gt;500,"High","Std"))</f>
        <v>STD</v>
      </c>
      <c r="P2451">
        <v>2450</v>
      </c>
    </row>
    <row r="2452" spans="1:16" x14ac:dyDescent="0.3">
      <c r="A2452" s="1">
        <v>44961</v>
      </c>
      <c r="B2452" t="s">
        <v>19</v>
      </c>
      <c r="C2452" t="s">
        <v>14</v>
      </c>
      <c r="D2452" t="s">
        <v>12</v>
      </c>
      <c r="E2452">
        <v>7</v>
      </c>
      <c r="F2452" s="3">
        <v>6041</v>
      </c>
      <c r="G2452" s="2">
        <v>776.09</v>
      </c>
      <c r="H2452">
        <f>Master_ventas[[#This Row],[Profit]]/Master_ventas[[#This Row],[Sales]]</f>
        <v>0.12847045191193512</v>
      </c>
      <c r="I2452">
        <f ca="1">Referencia_Hoy-Master_ventas[[#This Row],[Order Date]]</f>
        <v>1362</v>
      </c>
      <c r="J2452" t="str">
        <f>UPPER(Master_ventas[[#This Row],[Product Name]])</f>
        <v>SMARTWATCH</v>
      </c>
      <c r="K2452" t="str">
        <f>UPPER(Master_ventas[[#This Row],[Category]])</f>
        <v>ELECTRONICS</v>
      </c>
      <c r="L2452">
        <f>YEAR(Master_ventas[[#This Row],[Order Date]])</f>
        <v>2023</v>
      </c>
      <c r="M2452" t="str">
        <f>CONCATENATE(LEFT(Master_ventas[[#This Row],[ProdUpper]],3),RIGHT(Master_ventas[[#This Row],[Ext-Year]],2),"-",MID(Master_ventas[[#This Row],[Category]],1,1))</f>
        <v>SMA23-E</v>
      </c>
      <c r="N2452" t="str">
        <f>MID(Master_ventas[[#This Row],[ProdUpper]],1,3)</f>
        <v>SMA</v>
      </c>
      <c r="O2452" t="str">
        <f>UPPER(IF(Master_ventas[[#This Row],[Profit]]&gt;500,"High","Std"))</f>
        <v>HIGH</v>
      </c>
      <c r="P2452">
        <v>2451</v>
      </c>
    </row>
    <row r="2453" spans="1:16" x14ac:dyDescent="0.3">
      <c r="A2453" s="1">
        <v>44643</v>
      </c>
      <c r="B2453" t="s">
        <v>10</v>
      </c>
      <c r="C2453" t="s">
        <v>11</v>
      </c>
      <c r="D2453" t="s">
        <v>9</v>
      </c>
      <c r="E2453">
        <v>3</v>
      </c>
      <c r="F2453" s="3">
        <v>369</v>
      </c>
      <c r="G2453" s="2">
        <v>19.22</v>
      </c>
      <c r="H2453">
        <f>Master_ventas[[#This Row],[Profit]]/Master_ventas[[#This Row],[Sales]]</f>
        <v>5.2086720867208669E-2</v>
      </c>
      <c r="I2453">
        <f ca="1">Referencia_Hoy-Master_ventas[[#This Row],[Order Date]]</f>
        <v>1680</v>
      </c>
      <c r="J2453" t="str">
        <f>UPPER(Master_ventas[[#This Row],[Product Name]])</f>
        <v>MOUSE</v>
      </c>
      <c r="K2453" t="str">
        <f>UPPER(Master_ventas[[#This Row],[Category]])</f>
        <v>ACCESSORIES</v>
      </c>
      <c r="L2453">
        <f>YEAR(Master_ventas[[#This Row],[Order Date]])</f>
        <v>2022</v>
      </c>
      <c r="M2453" t="str">
        <f>CONCATENATE(LEFT(Master_ventas[[#This Row],[ProdUpper]],3),RIGHT(Master_ventas[[#This Row],[Ext-Year]],2),"-",MID(Master_ventas[[#This Row],[Category]],1,1))</f>
        <v>MOU22-A</v>
      </c>
      <c r="N2453" t="str">
        <f>MID(Master_ventas[[#This Row],[ProdUpper]],1,3)</f>
        <v>MOU</v>
      </c>
      <c r="O2453" t="str">
        <f>UPPER(IF(Master_ventas[[#This Row],[Profit]]&gt;500,"High","Std"))</f>
        <v>STD</v>
      </c>
      <c r="P2453">
        <v>2452</v>
      </c>
    </row>
    <row r="2454" spans="1:16" x14ac:dyDescent="0.3">
      <c r="A2454" s="1">
        <v>44785</v>
      </c>
      <c r="B2454" t="s">
        <v>13</v>
      </c>
      <c r="C2454" t="s">
        <v>14</v>
      </c>
      <c r="D2454" t="s">
        <v>16</v>
      </c>
      <c r="E2454">
        <v>5</v>
      </c>
      <c r="F2454" s="3">
        <v>1635</v>
      </c>
      <c r="G2454" s="2">
        <v>321.83999999999997</v>
      </c>
      <c r="H2454">
        <f>Master_ventas[[#This Row],[Profit]]/Master_ventas[[#This Row],[Sales]]</f>
        <v>0.1968440366972477</v>
      </c>
      <c r="I2454">
        <f ca="1">Referencia_Hoy-Master_ventas[[#This Row],[Order Date]]</f>
        <v>1538</v>
      </c>
      <c r="J2454" t="str">
        <f>UPPER(Master_ventas[[#This Row],[Product Name]])</f>
        <v>TABLET</v>
      </c>
      <c r="K2454" t="str">
        <f>UPPER(Master_ventas[[#This Row],[Category]])</f>
        <v>ELECTRONICS</v>
      </c>
      <c r="L2454">
        <f>YEAR(Master_ventas[[#This Row],[Order Date]])</f>
        <v>2022</v>
      </c>
      <c r="M2454" t="str">
        <f>CONCATENATE(LEFT(Master_ventas[[#This Row],[ProdUpper]],3),RIGHT(Master_ventas[[#This Row],[Ext-Year]],2),"-",MID(Master_ventas[[#This Row],[Category]],1,1))</f>
        <v>TAB22-E</v>
      </c>
      <c r="N2454" t="str">
        <f>MID(Master_ventas[[#This Row],[ProdUpper]],1,3)</f>
        <v>TAB</v>
      </c>
      <c r="O2454" t="str">
        <f>UPPER(IF(Master_ventas[[#This Row],[Profit]]&gt;500,"High","Std"))</f>
        <v>STD</v>
      </c>
      <c r="P2454">
        <v>2453</v>
      </c>
    </row>
    <row r="2455" spans="1:16" x14ac:dyDescent="0.3">
      <c r="A2455" s="1">
        <v>44658</v>
      </c>
      <c r="B2455" t="s">
        <v>22</v>
      </c>
      <c r="C2455" t="s">
        <v>11</v>
      </c>
      <c r="D2455" t="s">
        <v>16</v>
      </c>
      <c r="E2455">
        <v>3</v>
      </c>
      <c r="F2455" s="3">
        <v>2067</v>
      </c>
      <c r="G2455" s="2">
        <v>465.39</v>
      </c>
      <c r="H2455">
        <f>Master_ventas[[#This Row],[Profit]]/Master_ventas[[#This Row],[Sales]]</f>
        <v>0.22515239477503629</v>
      </c>
      <c r="I2455">
        <f ca="1">Referencia_Hoy-Master_ventas[[#This Row],[Order Date]]</f>
        <v>1665</v>
      </c>
      <c r="J2455" t="str">
        <f>UPPER(Master_ventas[[#This Row],[Product Name]])</f>
        <v>KEYBOARD</v>
      </c>
      <c r="K2455" t="str">
        <f>UPPER(Master_ventas[[#This Row],[Category]])</f>
        <v>ACCESSORIES</v>
      </c>
      <c r="L2455">
        <f>YEAR(Master_ventas[[#This Row],[Order Date]])</f>
        <v>2022</v>
      </c>
      <c r="M2455" t="str">
        <f>CONCATENATE(LEFT(Master_ventas[[#This Row],[ProdUpper]],3),RIGHT(Master_ventas[[#This Row],[Ext-Year]],2),"-",MID(Master_ventas[[#This Row],[Category]],1,1))</f>
        <v>KEY22-A</v>
      </c>
      <c r="N2455" t="str">
        <f>MID(Master_ventas[[#This Row],[ProdUpper]],1,3)</f>
        <v>KEY</v>
      </c>
      <c r="O2455" t="str">
        <f>UPPER(IF(Master_ventas[[#This Row],[Profit]]&gt;500,"High","Std"))</f>
        <v>STD</v>
      </c>
      <c r="P2455">
        <v>2454</v>
      </c>
    </row>
    <row r="2456" spans="1:16" x14ac:dyDescent="0.3">
      <c r="A2456" s="1">
        <v>44624</v>
      </c>
      <c r="B2456" t="s">
        <v>21</v>
      </c>
      <c r="C2456" t="s">
        <v>14</v>
      </c>
      <c r="D2456" t="s">
        <v>16</v>
      </c>
      <c r="E2456">
        <v>6</v>
      </c>
      <c r="F2456" s="3">
        <v>7128</v>
      </c>
      <c r="G2456" s="2">
        <v>544.54</v>
      </c>
      <c r="H2456">
        <f>Master_ventas[[#This Row],[Profit]]/Master_ventas[[#This Row],[Sales]]</f>
        <v>7.6394500561167228E-2</v>
      </c>
      <c r="I2456">
        <f ca="1">Referencia_Hoy-Master_ventas[[#This Row],[Order Date]]</f>
        <v>1699</v>
      </c>
      <c r="J2456" t="str">
        <f>UPPER(Master_ventas[[#This Row],[Product Name]])</f>
        <v>SMARTPHONE</v>
      </c>
      <c r="K2456" t="str">
        <f>UPPER(Master_ventas[[#This Row],[Category]])</f>
        <v>ELECTRONICS</v>
      </c>
      <c r="L2456">
        <f>YEAR(Master_ventas[[#This Row],[Order Date]])</f>
        <v>2022</v>
      </c>
      <c r="M2456" t="str">
        <f>CONCATENATE(LEFT(Master_ventas[[#This Row],[ProdUpper]],3),RIGHT(Master_ventas[[#This Row],[Ext-Year]],2),"-",MID(Master_ventas[[#This Row],[Category]],1,1))</f>
        <v>SMA22-E</v>
      </c>
      <c r="N2456" t="str">
        <f>MID(Master_ventas[[#This Row],[ProdUpper]],1,3)</f>
        <v>SMA</v>
      </c>
      <c r="O2456" t="str">
        <f>UPPER(IF(Master_ventas[[#This Row],[Profit]]&gt;500,"High","Std"))</f>
        <v>HIGH</v>
      </c>
      <c r="P2456">
        <v>2455</v>
      </c>
    </row>
    <row r="2457" spans="1:16" x14ac:dyDescent="0.3">
      <c r="A2457" s="1">
        <v>45406</v>
      </c>
      <c r="B2457" t="s">
        <v>7</v>
      </c>
      <c r="C2457" t="s">
        <v>8</v>
      </c>
      <c r="D2457" t="s">
        <v>9</v>
      </c>
      <c r="E2457">
        <v>2</v>
      </c>
      <c r="F2457" s="3">
        <v>944</v>
      </c>
      <c r="G2457" s="2">
        <v>94.4</v>
      </c>
      <c r="H2457">
        <f>Master_ventas[[#This Row],[Profit]]/Master_ventas[[#This Row],[Sales]]</f>
        <v>0.1</v>
      </c>
      <c r="I2457">
        <f ca="1">Referencia_Hoy-Master_ventas[[#This Row],[Order Date]]</f>
        <v>917</v>
      </c>
      <c r="J2457" t="str">
        <f>UPPER(Master_ventas[[#This Row],[Product Name]])</f>
        <v>PRINTER</v>
      </c>
      <c r="K2457" t="str">
        <f>UPPER(Master_ventas[[#This Row],[Category]])</f>
        <v>OFFICE</v>
      </c>
      <c r="L2457">
        <f>YEAR(Master_ventas[[#This Row],[Order Date]])</f>
        <v>2024</v>
      </c>
      <c r="M2457" t="str">
        <f>CONCATENATE(LEFT(Master_ventas[[#This Row],[ProdUpper]],3),RIGHT(Master_ventas[[#This Row],[Ext-Year]],2),"-",MID(Master_ventas[[#This Row],[Category]],1,1))</f>
        <v>PRI24-O</v>
      </c>
      <c r="N2457" t="str">
        <f>MID(Master_ventas[[#This Row],[ProdUpper]],1,3)</f>
        <v>PRI</v>
      </c>
      <c r="O2457" t="str">
        <f>UPPER(IF(Master_ventas[[#This Row],[Profit]]&gt;500,"High","Std"))</f>
        <v>STD</v>
      </c>
      <c r="P2457">
        <v>2456</v>
      </c>
    </row>
    <row r="2458" spans="1:16" x14ac:dyDescent="0.3">
      <c r="A2458" s="1">
        <v>44722</v>
      </c>
      <c r="B2458" t="s">
        <v>13</v>
      </c>
      <c r="C2458" t="s">
        <v>14</v>
      </c>
      <c r="D2458" t="s">
        <v>12</v>
      </c>
      <c r="E2458">
        <v>5</v>
      </c>
      <c r="F2458" s="3">
        <v>5160</v>
      </c>
      <c r="G2458" s="2">
        <v>698.15</v>
      </c>
      <c r="H2458">
        <f>Master_ventas[[#This Row],[Profit]]/Master_ventas[[#This Row],[Sales]]</f>
        <v>0.13530038759689922</v>
      </c>
      <c r="I2458">
        <f ca="1">Referencia_Hoy-Master_ventas[[#This Row],[Order Date]]</f>
        <v>1601</v>
      </c>
      <c r="J2458" t="str">
        <f>UPPER(Master_ventas[[#This Row],[Product Name]])</f>
        <v>TABLET</v>
      </c>
      <c r="K2458" t="str">
        <f>UPPER(Master_ventas[[#This Row],[Category]])</f>
        <v>ELECTRONICS</v>
      </c>
      <c r="L2458">
        <f>YEAR(Master_ventas[[#This Row],[Order Date]])</f>
        <v>2022</v>
      </c>
      <c r="M2458" t="str">
        <f>CONCATENATE(LEFT(Master_ventas[[#This Row],[ProdUpper]],3),RIGHT(Master_ventas[[#This Row],[Ext-Year]],2),"-",MID(Master_ventas[[#This Row],[Category]],1,1))</f>
        <v>TAB22-E</v>
      </c>
      <c r="N2458" t="str">
        <f>MID(Master_ventas[[#This Row],[ProdUpper]],1,3)</f>
        <v>TAB</v>
      </c>
      <c r="O2458" t="str">
        <f>UPPER(IF(Master_ventas[[#This Row],[Profit]]&gt;500,"High","Std"))</f>
        <v>HIGH</v>
      </c>
      <c r="P2458">
        <v>2457</v>
      </c>
    </row>
    <row r="2459" spans="1:16" x14ac:dyDescent="0.3">
      <c r="A2459" s="1">
        <v>44730</v>
      </c>
      <c r="B2459" t="s">
        <v>21</v>
      </c>
      <c r="C2459" t="s">
        <v>14</v>
      </c>
      <c r="D2459" t="s">
        <v>16</v>
      </c>
      <c r="E2459">
        <v>8</v>
      </c>
      <c r="F2459" s="3">
        <v>8032</v>
      </c>
      <c r="G2459" s="2">
        <v>1987.82</v>
      </c>
      <c r="H2459">
        <f>Master_ventas[[#This Row],[Profit]]/Master_ventas[[#This Row],[Sales]]</f>
        <v>0.24748754980079679</v>
      </c>
      <c r="I2459">
        <f ca="1">Referencia_Hoy-Master_ventas[[#This Row],[Order Date]]</f>
        <v>1593</v>
      </c>
      <c r="J2459" t="str">
        <f>UPPER(Master_ventas[[#This Row],[Product Name]])</f>
        <v>SMARTPHONE</v>
      </c>
      <c r="K2459" t="str">
        <f>UPPER(Master_ventas[[#This Row],[Category]])</f>
        <v>ELECTRONICS</v>
      </c>
      <c r="L2459">
        <f>YEAR(Master_ventas[[#This Row],[Order Date]])</f>
        <v>2022</v>
      </c>
      <c r="M2459" t="str">
        <f>CONCATENATE(LEFT(Master_ventas[[#This Row],[ProdUpper]],3),RIGHT(Master_ventas[[#This Row],[Ext-Year]],2),"-",MID(Master_ventas[[#This Row],[Category]],1,1))</f>
        <v>SMA22-E</v>
      </c>
      <c r="N2459" t="str">
        <f>MID(Master_ventas[[#This Row],[ProdUpper]],1,3)</f>
        <v>SMA</v>
      </c>
      <c r="O2459" t="str">
        <f>UPPER(IF(Master_ventas[[#This Row],[Profit]]&gt;500,"High","Std"))</f>
        <v>HIGH</v>
      </c>
      <c r="P2459">
        <v>2458</v>
      </c>
    </row>
    <row r="2460" spans="1:16" x14ac:dyDescent="0.3">
      <c r="A2460" s="1">
        <v>45642</v>
      </c>
      <c r="B2460" t="s">
        <v>17</v>
      </c>
      <c r="C2460" t="s">
        <v>14</v>
      </c>
      <c r="D2460" t="s">
        <v>15</v>
      </c>
      <c r="E2460">
        <v>2</v>
      </c>
      <c r="F2460" s="3">
        <v>376</v>
      </c>
      <c r="G2460" s="2">
        <v>99.16</v>
      </c>
      <c r="H2460">
        <f>Master_ventas[[#This Row],[Profit]]/Master_ventas[[#This Row],[Sales]]</f>
        <v>0.26372340425531915</v>
      </c>
      <c r="I2460">
        <f ca="1">Referencia_Hoy-Master_ventas[[#This Row],[Order Date]]</f>
        <v>681</v>
      </c>
      <c r="J2460" t="str">
        <f>UPPER(Master_ventas[[#This Row],[Product Name]])</f>
        <v>CAMERA</v>
      </c>
      <c r="K2460" t="str">
        <f>UPPER(Master_ventas[[#This Row],[Category]])</f>
        <v>ELECTRONICS</v>
      </c>
      <c r="L2460">
        <f>YEAR(Master_ventas[[#This Row],[Order Date]])</f>
        <v>2024</v>
      </c>
      <c r="M2460" t="str">
        <f>CONCATENATE(LEFT(Master_ventas[[#This Row],[ProdUpper]],3),RIGHT(Master_ventas[[#This Row],[Ext-Year]],2),"-",MID(Master_ventas[[#This Row],[Category]],1,1))</f>
        <v>CAM24-E</v>
      </c>
      <c r="N2460" t="str">
        <f>MID(Master_ventas[[#This Row],[ProdUpper]],1,3)</f>
        <v>CAM</v>
      </c>
      <c r="O2460" t="str">
        <f>UPPER(IF(Master_ventas[[#This Row],[Profit]]&gt;500,"High","Std"))</f>
        <v>STD</v>
      </c>
      <c r="P2460">
        <v>2459</v>
      </c>
    </row>
    <row r="2461" spans="1:16" x14ac:dyDescent="0.3">
      <c r="A2461" s="1">
        <v>45465</v>
      </c>
      <c r="B2461" t="s">
        <v>21</v>
      </c>
      <c r="C2461" t="s">
        <v>14</v>
      </c>
      <c r="D2461" t="s">
        <v>15</v>
      </c>
      <c r="E2461">
        <v>7</v>
      </c>
      <c r="F2461" s="3">
        <v>4144</v>
      </c>
      <c r="G2461" s="2">
        <v>426.39</v>
      </c>
      <c r="H2461">
        <f>Master_ventas[[#This Row],[Profit]]/Master_ventas[[#This Row],[Sales]]</f>
        <v>0.10289333976833977</v>
      </c>
      <c r="I2461">
        <f ca="1">Referencia_Hoy-Master_ventas[[#This Row],[Order Date]]</f>
        <v>858</v>
      </c>
      <c r="J2461" t="str">
        <f>UPPER(Master_ventas[[#This Row],[Product Name]])</f>
        <v>SMARTPHONE</v>
      </c>
      <c r="K2461" t="str">
        <f>UPPER(Master_ventas[[#This Row],[Category]])</f>
        <v>ELECTRONICS</v>
      </c>
      <c r="L2461">
        <f>YEAR(Master_ventas[[#This Row],[Order Date]])</f>
        <v>2024</v>
      </c>
      <c r="M2461" t="str">
        <f>CONCATENATE(LEFT(Master_ventas[[#This Row],[ProdUpper]],3),RIGHT(Master_ventas[[#This Row],[Ext-Year]],2),"-",MID(Master_ventas[[#This Row],[Category]],1,1))</f>
        <v>SMA24-E</v>
      </c>
      <c r="N2461" t="str">
        <f>MID(Master_ventas[[#This Row],[ProdUpper]],1,3)</f>
        <v>SMA</v>
      </c>
      <c r="O2461" t="str">
        <f>UPPER(IF(Master_ventas[[#This Row],[Profit]]&gt;500,"High","Std"))</f>
        <v>STD</v>
      </c>
      <c r="P2461">
        <v>2460</v>
      </c>
    </row>
    <row r="2462" spans="1:16" x14ac:dyDescent="0.3">
      <c r="A2462" s="1">
        <v>45600</v>
      </c>
      <c r="B2462" t="s">
        <v>17</v>
      </c>
      <c r="C2462" t="s">
        <v>14</v>
      </c>
      <c r="D2462" t="s">
        <v>15</v>
      </c>
      <c r="E2462">
        <v>4</v>
      </c>
      <c r="F2462" s="3">
        <v>2228</v>
      </c>
      <c r="G2462" s="2">
        <v>293.25</v>
      </c>
      <c r="H2462">
        <f>Master_ventas[[#This Row],[Profit]]/Master_ventas[[#This Row],[Sales]]</f>
        <v>0.13162028725314184</v>
      </c>
      <c r="I2462">
        <f ca="1">Referencia_Hoy-Master_ventas[[#This Row],[Order Date]]</f>
        <v>723</v>
      </c>
      <c r="J2462" t="str">
        <f>UPPER(Master_ventas[[#This Row],[Product Name]])</f>
        <v>CAMERA</v>
      </c>
      <c r="K2462" t="str">
        <f>UPPER(Master_ventas[[#This Row],[Category]])</f>
        <v>ELECTRONICS</v>
      </c>
      <c r="L2462">
        <f>YEAR(Master_ventas[[#This Row],[Order Date]])</f>
        <v>2024</v>
      </c>
      <c r="M2462" t="str">
        <f>CONCATENATE(LEFT(Master_ventas[[#This Row],[ProdUpper]],3),RIGHT(Master_ventas[[#This Row],[Ext-Year]],2),"-",MID(Master_ventas[[#This Row],[Category]],1,1))</f>
        <v>CAM24-E</v>
      </c>
      <c r="N2462" t="str">
        <f>MID(Master_ventas[[#This Row],[ProdUpper]],1,3)</f>
        <v>CAM</v>
      </c>
      <c r="O2462" t="str">
        <f>UPPER(IF(Master_ventas[[#This Row],[Profit]]&gt;500,"High","Std"))</f>
        <v>STD</v>
      </c>
      <c r="P2462">
        <v>2461</v>
      </c>
    </row>
    <row r="2463" spans="1:16" x14ac:dyDescent="0.3">
      <c r="A2463" s="1">
        <v>44880</v>
      </c>
      <c r="B2463" t="s">
        <v>13</v>
      </c>
      <c r="C2463" t="s">
        <v>14</v>
      </c>
      <c r="D2463" t="s">
        <v>16</v>
      </c>
      <c r="E2463">
        <v>1</v>
      </c>
      <c r="F2463" s="3">
        <v>1178</v>
      </c>
      <c r="G2463" s="2">
        <v>182.76</v>
      </c>
      <c r="H2463">
        <f>Master_ventas[[#This Row],[Profit]]/Master_ventas[[#This Row],[Sales]]</f>
        <v>0.15514431239388793</v>
      </c>
      <c r="I2463">
        <f ca="1">Referencia_Hoy-Master_ventas[[#This Row],[Order Date]]</f>
        <v>1443</v>
      </c>
      <c r="J2463" t="str">
        <f>UPPER(Master_ventas[[#This Row],[Product Name]])</f>
        <v>TABLET</v>
      </c>
      <c r="K2463" t="str">
        <f>UPPER(Master_ventas[[#This Row],[Category]])</f>
        <v>ELECTRONICS</v>
      </c>
      <c r="L2463">
        <f>YEAR(Master_ventas[[#This Row],[Order Date]])</f>
        <v>2022</v>
      </c>
      <c r="M2463" t="str">
        <f>CONCATENATE(LEFT(Master_ventas[[#This Row],[ProdUpper]],3),RIGHT(Master_ventas[[#This Row],[Ext-Year]],2),"-",MID(Master_ventas[[#This Row],[Category]],1,1))</f>
        <v>TAB22-E</v>
      </c>
      <c r="N2463" t="str">
        <f>MID(Master_ventas[[#This Row],[ProdUpper]],1,3)</f>
        <v>TAB</v>
      </c>
      <c r="O2463" t="str">
        <f>UPPER(IF(Master_ventas[[#This Row],[Profit]]&gt;500,"High","Std"))</f>
        <v>STD</v>
      </c>
      <c r="P2463">
        <v>2462</v>
      </c>
    </row>
    <row r="2464" spans="1:16" x14ac:dyDescent="0.3">
      <c r="A2464" s="1">
        <v>45409</v>
      </c>
      <c r="B2464" t="s">
        <v>10</v>
      </c>
      <c r="C2464" t="s">
        <v>11</v>
      </c>
      <c r="D2464" t="s">
        <v>9</v>
      </c>
      <c r="E2464">
        <v>5</v>
      </c>
      <c r="F2464" s="3">
        <v>2505</v>
      </c>
      <c r="G2464" s="2">
        <v>303.61</v>
      </c>
      <c r="H2464">
        <f>Master_ventas[[#This Row],[Profit]]/Master_ventas[[#This Row],[Sales]]</f>
        <v>0.12120159680638723</v>
      </c>
      <c r="I2464">
        <f ca="1">Referencia_Hoy-Master_ventas[[#This Row],[Order Date]]</f>
        <v>914</v>
      </c>
      <c r="J2464" t="str">
        <f>UPPER(Master_ventas[[#This Row],[Product Name]])</f>
        <v>MOUSE</v>
      </c>
      <c r="K2464" t="str">
        <f>UPPER(Master_ventas[[#This Row],[Category]])</f>
        <v>ACCESSORIES</v>
      </c>
      <c r="L2464">
        <f>YEAR(Master_ventas[[#This Row],[Order Date]])</f>
        <v>2024</v>
      </c>
      <c r="M2464" t="str">
        <f>CONCATENATE(LEFT(Master_ventas[[#This Row],[ProdUpper]],3),RIGHT(Master_ventas[[#This Row],[Ext-Year]],2),"-",MID(Master_ventas[[#This Row],[Category]],1,1))</f>
        <v>MOU24-A</v>
      </c>
      <c r="N2464" t="str">
        <f>MID(Master_ventas[[#This Row],[ProdUpper]],1,3)</f>
        <v>MOU</v>
      </c>
      <c r="O2464" t="str">
        <f>UPPER(IF(Master_ventas[[#This Row],[Profit]]&gt;500,"High","Std"))</f>
        <v>STD</v>
      </c>
      <c r="P2464">
        <v>2463</v>
      </c>
    </row>
    <row r="2465" spans="1:16" x14ac:dyDescent="0.3">
      <c r="A2465" s="1">
        <v>45350</v>
      </c>
      <c r="B2465" t="s">
        <v>19</v>
      </c>
      <c r="C2465" t="s">
        <v>14</v>
      </c>
      <c r="D2465" t="s">
        <v>16</v>
      </c>
      <c r="E2465">
        <v>4</v>
      </c>
      <c r="F2465" s="3">
        <v>1872</v>
      </c>
      <c r="G2465" s="2">
        <v>418.05</v>
      </c>
      <c r="H2465">
        <f>Master_ventas[[#This Row],[Profit]]/Master_ventas[[#This Row],[Sales]]</f>
        <v>0.2233173076923077</v>
      </c>
      <c r="I2465">
        <f ca="1">Referencia_Hoy-Master_ventas[[#This Row],[Order Date]]</f>
        <v>973</v>
      </c>
      <c r="J2465" t="str">
        <f>UPPER(Master_ventas[[#This Row],[Product Name]])</f>
        <v>SMARTWATCH</v>
      </c>
      <c r="K2465" t="str">
        <f>UPPER(Master_ventas[[#This Row],[Category]])</f>
        <v>ELECTRONICS</v>
      </c>
      <c r="L2465">
        <f>YEAR(Master_ventas[[#This Row],[Order Date]])</f>
        <v>2024</v>
      </c>
      <c r="M2465" t="str">
        <f>CONCATENATE(LEFT(Master_ventas[[#This Row],[ProdUpper]],3),RIGHT(Master_ventas[[#This Row],[Ext-Year]],2),"-",MID(Master_ventas[[#This Row],[Category]],1,1))</f>
        <v>SMA24-E</v>
      </c>
      <c r="N2465" t="str">
        <f>MID(Master_ventas[[#This Row],[ProdUpper]],1,3)</f>
        <v>SMA</v>
      </c>
      <c r="O2465" t="str">
        <f>UPPER(IF(Master_ventas[[#This Row],[Profit]]&gt;500,"High","Std"))</f>
        <v>STD</v>
      </c>
      <c r="P2465">
        <v>2464</v>
      </c>
    </row>
    <row r="2466" spans="1:16" x14ac:dyDescent="0.3">
      <c r="A2466" s="1">
        <v>45289</v>
      </c>
      <c r="B2466" t="s">
        <v>7</v>
      </c>
      <c r="C2466" t="s">
        <v>8</v>
      </c>
      <c r="D2466" t="s">
        <v>16</v>
      </c>
      <c r="E2466">
        <v>2</v>
      </c>
      <c r="F2466" s="3">
        <v>340</v>
      </c>
      <c r="G2466" s="2">
        <v>59.56</v>
      </c>
      <c r="H2466">
        <f>Master_ventas[[#This Row],[Profit]]/Master_ventas[[#This Row],[Sales]]</f>
        <v>0.17517647058823529</v>
      </c>
      <c r="I2466">
        <f ca="1">Referencia_Hoy-Master_ventas[[#This Row],[Order Date]]</f>
        <v>1034</v>
      </c>
      <c r="J2466" t="str">
        <f>UPPER(Master_ventas[[#This Row],[Product Name]])</f>
        <v>PRINTER</v>
      </c>
      <c r="K2466" t="str">
        <f>UPPER(Master_ventas[[#This Row],[Category]])</f>
        <v>OFFICE</v>
      </c>
      <c r="L2466">
        <f>YEAR(Master_ventas[[#This Row],[Order Date]])</f>
        <v>2023</v>
      </c>
      <c r="M2466" t="str">
        <f>CONCATENATE(LEFT(Master_ventas[[#This Row],[ProdUpper]],3),RIGHT(Master_ventas[[#This Row],[Ext-Year]],2),"-",MID(Master_ventas[[#This Row],[Category]],1,1))</f>
        <v>PRI23-O</v>
      </c>
      <c r="N2466" t="str">
        <f>MID(Master_ventas[[#This Row],[ProdUpper]],1,3)</f>
        <v>PRI</v>
      </c>
      <c r="O2466" t="str">
        <f>UPPER(IF(Master_ventas[[#This Row],[Profit]]&gt;500,"High","Std"))</f>
        <v>STD</v>
      </c>
      <c r="P2466">
        <v>2465</v>
      </c>
    </row>
    <row r="2467" spans="1:16" x14ac:dyDescent="0.3">
      <c r="A2467" s="1">
        <v>44993</v>
      </c>
      <c r="B2467" t="s">
        <v>23</v>
      </c>
      <c r="C2467" t="s">
        <v>14</v>
      </c>
      <c r="D2467" t="s">
        <v>16</v>
      </c>
      <c r="E2467">
        <v>1</v>
      </c>
      <c r="F2467" s="3">
        <v>589</v>
      </c>
      <c r="G2467" s="2">
        <v>158.85</v>
      </c>
      <c r="H2467">
        <f>Master_ventas[[#This Row],[Profit]]/Master_ventas[[#This Row],[Sales]]</f>
        <v>0.2696943972835314</v>
      </c>
      <c r="I2467">
        <f ca="1">Referencia_Hoy-Master_ventas[[#This Row],[Order Date]]</f>
        <v>1330</v>
      </c>
      <c r="J2467" t="str">
        <f>UPPER(Master_ventas[[#This Row],[Product Name]])</f>
        <v>LAPTOP</v>
      </c>
      <c r="K2467" t="str">
        <f>UPPER(Master_ventas[[#This Row],[Category]])</f>
        <v>ELECTRONICS</v>
      </c>
      <c r="L2467">
        <f>YEAR(Master_ventas[[#This Row],[Order Date]])</f>
        <v>2023</v>
      </c>
      <c r="M2467" t="str">
        <f>CONCATENATE(LEFT(Master_ventas[[#This Row],[ProdUpper]],3),RIGHT(Master_ventas[[#This Row],[Ext-Year]],2),"-",MID(Master_ventas[[#This Row],[Category]],1,1))</f>
        <v>LAP23-E</v>
      </c>
      <c r="N2467" t="str">
        <f>MID(Master_ventas[[#This Row],[ProdUpper]],1,3)</f>
        <v>LAP</v>
      </c>
      <c r="O2467" t="str">
        <f>UPPER(IF(Master_ventas[[#This Row],[Profit]]&gt;500,"High","Std"))</f>
        <v>STD</v>
      </c>
      <c r="P2467">
        <v>2466</v>
      </c>
    </row>
    <row r="2468" spans="1:16" x14ac:dyDescent="0.3">
      <c r="A2468" s="1">
        <v>45272</v>
      </c>
      <c r="B2468" t="s">
        <v>23</v>
      </c>
      <c r="C2468" t="s">
        <v>14</v>
      </c>
      <c r="D2468" t="s">
        <v>16</v>
      </c>
      <c r="E2468">
        <v>3</v>
      </c>
      <c r="F2468" s="3">
        <v>2598</v>
      </c>
      <c r="G2468" s="2">
        <v>560.82000000000005</v>
      </c>
      <c r="H2468">
        <f>Master_ventas[[#This Row],[Profit]]/Master_ventas[[#This Row],[Sales]]</f>
        <v>0.21586605080831411</v>
      </c>
      <c r="I2468">
        <f ca="1">Referencia_Hoy-Master_ventas[[#This Row],[Order Date]]</f>
        <v>1051</v>
      </c>
      <c r="J2468" t="str">
        <f>UPPER(Master_ventas[[#This Row],[Product Name]])</f>
        <v>LAPTOP</v>
      </c>
      <c r="K2468" t="str">
        <f>UPPER(Master_ventas[[#This Row],[Category]])</f>
        <v>ELECTRONICS</v>
      </c>
      <c r="L2468">
        <f>YEAR(Master_ventas[[#This Row],[Order Date]])</f>
        <v>2023</v>
      </c>
      <c r="M2468" t="str">
        <f>CONCATENATE(LEFT(Master_ventas[[#This Row],[ProdUpper]],3),RIGHT(Master_ventas[[#This Row],[Ext-Year]],2),"-",MID(Master_ventas[[#This Row],[Category]],1,1))</f>
        <v>LAP23-E</v>
      </c>
      <c r="N2468" t="str">
        <f>MID(Master_ventas[[#This Row],[ProdUpper]],1,3)</f>
        <v>LAP</v>
      </c>
      <c r="O2468" t="str">
        <f>UPPER(IF(Master_ventas[[#This Row],[Profit]]&gt;500,"High","Std"))</f>
        <v>HIGH</v>
      </c>
      <c r="P2468">
        <v>2467</v>
      </c>
    </row>
    <row r="2469" spans="1:16" x14ac:dyDescent="0.3">
      <c r="A2469" s="1">
        <v>44609</v>
      </c>
      <c r="B2469" t="s">
        <v>13</v>
      </c>
      <c r="C2469" t="s">
        <v>14</v>
      </c>
      <c r="D2469" t="s">
        <v>9</v>
      </c>
      <c r="E2469">
        <v>1</v>
      </c>
      <c r="F2469" s="3">
        <v>502</v>
      </c>
      <c r="G2469" s="2">
        <v>92.31</v>
      </c>
      <c r="H2469">
        <f>Master_ventas[[#This Row],[Profit]]/Master_ventas[[#This Row],[Sales]]</f>
        <v>0.18388446215139442</v>
      </c>
      <c r="I2469">
        <f ca="1">Referencia_Hoy-Master_ventas[[#This Row],[Order Date]]</f>
        <v>1714</v>
      </c>
      <c r="J2469" t="str">
        <f>UPPER(Master_ventas[[#This Row],[Product Name]])</f>
        <v>TABLET</v>
      </c>
      <c r="K2469" t="str">
        <f>UPPER(Master_ventas[[#This Row],[Category]])</f>
        <v>ELECTRONICS</v>
      </c>
      <c r="L2469">
        <f>YEAR(Master_ventas[[#This Row],[Order Date]])</f>
        <v>2022</v>
      </c>
      <c r="M2469" t="str">
        <f>CONCATENATE(LEFT(Master_ventas[[#This Row],[ProdUpper]],3),RIGHT(Master_ventas[[#This Row],[Ext-Year]],2),"-",MID(Master_ventas[[#This Row],[Category]],1,1))</f>
        <v>TAB22-E</v>
      </c>
      <c r="N2469" t="str">
        <f>MID(Master_ventas[[#This Row],[ProdUpper]],1,3)</f>
        <v>TAB</v>
      </c>
      <c r="O2469" t="str">
        <f>UPPER(IF(Master_ventas[[#This Row],[Profit]]&gt;500,"High","Std"))</f>
        <v>STD</v>
      </c>
      <c r="P2469">
        <v>2468</v>
      </c>
    </row>
    <row r="2470" spans="1:16" x14ac:dyDescent="0.3">
      <c r="A2470" s="1">
        <v>45315</v>
      </c>
      <c r="B2470" t="s">
        <v>23</v>
      </c>
      <c r="C2470" t="s">
        <v>14</v>
      </c>
      <c r="D2470" t="s">
        <v>15</v>
      </c>
      <c r="E2470">
        <v>3</v>
      </c>
      <c r="F2470" s="3">
        <v>3576</v>
      </c>
      <c r="G2470" s="2">
        <v>546.44000000000005</v>
      </c>
      <c r="H2470">
        <f>Master_ventas[[#This Row],[Profit]]/Master_ventas[[#This Row],[Sales]]</f>
        <v>0.15280760626398213</v>
      </c>
      <c r="I2470">
        <f ca="1">Referencia_Hoy-Master_ventas[[#This Row],[Order Date]]</f>
        <v>1008</v>
      </c>
      <c r="J2470" t="str">
        <f>UPPER(Master_ventas[[#This Row],[Product Name]])</f>
        <v>LAPTOP</v>
      </c>
      <c r="K2470" t="str">
        <f>UPPER(Master_ventas[[#This Row],[Category]])</f>
        <v>ELECTRONICS</v>
      </c>
      <c r="L2470">
        <f>YEAR(Master_ventas[[#This Row],[Order Date]])</f>
        <v>2024</v>
      </c>
      <c r="M2470" t="str">
        <f>CONCATENATE(LEFT(Master_ventas[[#This Row],[ProdUpper]],3),RIGHT(Master_ventas[[#This Row],[Ext-Year]],2),"-",MID(Master_ventas[[#This Row],[Category]],1,1))</f>
        <v>LAP24-E</v>
      </c>
      <c r="N2470" t="str">
        <f>MID(Master_ventas[[#This Row],[ProdUpper]],1,3)</f>
        <v>LAP</v>
      </c>
      <c r="O2470" t="str">
        <f>UPPER(IF(Master_ventas[[#This Row],[Profit]]&gt;500,"High","Std"))</f>
        <v>HIGH</v>
      </c>
      <c r="P2470">
        <v>2469</v>
      </c>
    </row>
    <row r="2471" spans="1:16" x14ac:dyDescent="0.3">
      <c r="A2471" s="1">
        <v>44964</v>
      </c>
      <c r="B2471" t="s">
        <v>22</v>
      </c>
      <c r="C2471" t="s">
        <v>11</v>
      </c>
      <c r="D2471" t="s">
        <v>12</v>
      </c>
      <c r="E2471">
        <v>3</v>
      </c>
      <c r="F2471" s="3">
        <v>2412</v>
      </c>
      <c r="G2471" s="2">
        <v>468.27</v>
      </c>
      <c r="H2471">
        <f>Master_ventas[[#This Row],[Profit]]/Master_ventas[[#This Row],[Sales]]</f>
        <v>0.19414179104477611</v>
      </c>
      <c r="I2471">
        <f ca="1">Referencia_Hoy-Master_ventas[[#This Row],[Order Date]]</f>
        <v>1359</v>
      </c>
      <c r="J2471" t="str">
        <f>UPPER(Master_ventas[[#This Row],[Product Name]])</f>
        <v>KEYBOARD</v>
      </c>
      <c r="K2471" t="str">
        <f>UPPER(Master_ventas[[#This Row],[Category]])</f>
        <v>ACCESSORIES</v>
      </c>
      <c r="L2471">
        <f>YEAR(Master_ventas[[#This Row],[Order Date]])</f>
        <v>2023</v>
      </c>
      <c r="M2471" t="str">
        <f>CONCATENATE(LEFT(Master_ventas[[#This Row],[ProdUpper]],3),RIGHT(Master_ventas[[#This Row],[Ext-Year]],2),"-",MID(Master_ventas[[#This Row],[Category]],1,1))</f>
        <v>KEY23-A</v>
      </c>
      <c r="N2471" t="str">
        <f>MID(Master_ventas[[#This Row],[ProdUpper]],1,3)</f>
        <v>KEY</v>
      </c>
      <c r="O2471" t="str">
        <f>UPPER(IF(Master_ventas[[#This Row],[Profit]]&gt;500,"High","Std"))</f>
        <v>STD</v>
      </c>
      <c r="P2471">
        <v>2470</v>
      </c>
    </row>
    <row r="2472" spans="1:16" x14ac:dyDescent="0.3">
      <c r="A2472" s="1">
        <v>45504</v>
      </c>
      <c r="B2472" t="s">
        <v>7</v>
      </c>
      <c r="C2472" t="s">
        <v>8</v>
      </c>
      <c r="D2472" t="s">
        <v>16</v>
      </c>
      <c r="E2472">
        <v>5</v>
      </c>
      <c r="F2472" s="3">
        <v>1145</v>
      </c>
      <c r="G2472" s="2">
        <v>244.72</v>
      </c>
      <c r="H2472">
        <f>Master_ventas[[#This Row],[Profit]]/Master_ventas[[#This Row],[Sales]]</f>
        <v>0.21372925764192138</v>
      </c>
      <c r="I2472">
        <f ca="1">Referencia_Hoy-Master_ventas[[#This Row],[Order Date]]</f>
        <v>819</v>
      </c>
      <c r="J2472" t="str">
        <f>UPPER(Master_ventas[[#This Row],[Product Name]])</f>
        <v>PRINTER</v>
      </c>
      <c r="K2472" t="str">
        <f>UPPER(Master_ventas[[#This Row],[Category]])</f>
        <v>OFFICE</v>
      </c>
      <c r="L2472">
        <f>YEAR(Master_ventas[[#This Row],[Order Date]])</f>
        <v>2024</v>
      </c>
      <c r="M2472" t="str">
        <f>CONCATENATE(LEFT(Master_ventas[[#This Row],[ProdUpper]],3),RIGHT(Master_ventas[[#This Row],[Ext-Year]],2),"-",MID(Master_ventas[[#This Row],[Category]],1,1))</f>
        <v>PRI24-O</v>
      </c>
      <c r="N2472" t="str">
        <f>MID(Master_ventas[[#This Row],[ProdUpper]],1,3)</f>
        <v>PRI</v>
      </c>
      <c r="O2472" t="str">
        <f>UPPER(IF(Master_ventas[[#This Row],[Profit]]&gt;500,"High","Std"))</f>
        <v>STD</v>
      </c>
      <c r="P2472">
        <v>2471</v>
      </c>
    </row>
    <row r="2473" spans="1:16" x14ac:dyDescent="0.3">
      <c r="A2473" s="1">
        <v>44595</v>
      </c>
      <c r="B2473" t="s">
        <v>22</v>
      </c>
      <c r="C2473" t="s">
        <v>11</v>
      </c>
      <c r="D2473" t="s">
        <v>16</v>
      </c>
      <c r="E2473">
        <v>2</v>
      </c>
      <c r="F2473" s="3">
        <v>2116</v>
      </c>
      <c r="G2473" s="2">
        <v>159.30000000000001</v>
      </c>
      <c r="H2473">
        <f>Master_ventas[[#This Row],[Profit]]/Master_ventas[[#This Row],[Sales]]</f>
        <v>7.5283553875236303E-2</v>
      </c>
      <c r="I2473">
        <f ca="1">Referencia_Hoy-Master_ventas[[#This Row],[Order Date]]</f>
        <v>1728</v>
      </c>
      <c r="J2473" t="str">
        <f>UPPER(Master_ventas[[#This Row],[Product Name]])</f>
        <v>KEYBOARD</v>
      </c>
      <c r="K2473" t="str">
        <f>UPPER(Master_ventas[[#This Row],[Category]])</f>
        <v>ACCESSORIES</v>
      </c>
      <c r="L2473">
        <f>YEAR(Master_ventas[[#This Row],[Order Date]])</f>
        <v>2022</v>
      </c>
      <c r="M2473" t="str">
        <f>CONCATENATE(LEFT(Master_ventas[[#This Row],[ProdUpper]],3),RIGHT(Master_ventas[[#This Row],[Ext-Year]],2),"-",MID(Master_ventas[[#This Row],[Category]],1,1))</f>
        <v>KEY22-A</v>
      </c>
      <c r="N2473" t="str">
        <f>MID(Master_ventas[[#This Row],[ProdUpper]],1,3)</f>
        <v>KEY</v>
      </c>
      <c r="O2473" t="str">
        <f>UPPER(IF(Master_ventas[[#This Row],[Profit]]&gt;500,"High","Std"))</f>
        <v>STD</v>
      </c>
      <c r="P2473">
        <v>2472</v>
      </c>
    </row>
    <row r="2474" spans="1:16" x14ac:dyDescent="0.3">
      <c r="A2474" s="1">
        <v>45642</v>
      </c>
      <c r="B2474" t="s">
        <v>23</v>
      </c>
      <c r="C2474" t="s">
        <v>14</v>
      </c>
      <c r="D2474" t="s">
        <v>9</v>
      </c>
      <c r="E2474">
        <v>1</v>
      </c>
      <c r="F2474" s="3">
        <v>707</v>
      </c>
      <c r="G2474" s="2">
        <v>100.16</v>
      </c>
      <c r="H2474">
        <f>Master_ventas[[#This Row],[Profit]]/Master_ventas[[#This Row],[Sales]]</f>
        <v>0.14166902404526166</v>
      </c>
      <c r="I2474">
        <f ca="1">Referencia_Hoy-Master_ventas[[#This Row],[Order Date]]</f>
        <v>681</v>
      </c>
      <c r="J2474" t="str">
        <f>UPPER(Master_ventas[[#This Row],[Product Name]])</f>
        <v>LAPTOP</v>
      </c>
      <c r="K2474" t="str">
        <f>UPPER(Master_ventas[[#This Row],[Category]])</f>
        <v>ELECTRONICS</v>
      </c>
      <c r="L2474">
        <f>YEAR(Master_ventas[[#This Row],[Order Date]])</f>
        <v>2024</v>
      </c>
      <c r="M2474" t="str">
        <f>CONCATENATE(LEFT(Master_ventas[[#This Row],[ProdUpper]],3),RIGHT(Master_ventas[[#This Row],[Ext-Year]],2),"-",MID(Master_ventas[[#This Row],[Category]],1,1))</f>
        <v>LAP24-E</v>
      </c>
      <c r="N2474" t="str">
        <f>MID(Master_ventas[[#This Row],[ProdUpper]],1,3)</f>
        <v>LAP</v>
      </c>
      <c r="O2474" t="str">
        <f>UPPER(IF(Master_ventas[[#This Row],[Profit]]&gt;500,"High","Std"))</f>
        <v>STD</v>
      </c>
      <c r="P2474">
        <v>2473</v>
      </c>
    </row>
    <row r="2475" spans="1:16" x14ac:dyDescent="0.3">
      <c r="A2475" s="1">
        <v>44876</v>
      </c>
      <c r="B2475" t="s">
        <v>10</v>
      </c>
      <c r="C2475" t="s">
        <v>11</v>
      </c>
      <c r="D2475" t="s">
        <v>15</v>
      </c>
      <c r="E2475">
        <v>9</v>
      </c>
      <c r="F2475" s="3">
        <v>657</v>
      </c>
      <c r="G2475" s="2">
        <v>109.39</v>
      </c>
      <c r="H2475">
        <f>Master_ventas[[#This Row],[Profit]]/Master_ventas[[#This Row],[Sales]]</f>
        <v>0.16649923896499239</v>
      </c>
      <c r="I2475">
        <f ca="1">Referencia_Hoy-Master_ventas[[#This Row],[Order Date]]</f>
        <v>1447</v>
      </c>
      <c r="J2475" t="str">
        <f>UPPER(Master_ventas[[#This Row],[Product Name]])</f>
        <v>MOUSE</v>
      </c>
      <c r="K2475" t="str">
        <f>UPPER(Master_ventas[[#This Row],[Category]])</f>
        <v>ACCESSORIES</v>
      </c>
      <c r="L2475">
        <f>YEAR(Master_ventas[[#This Row],[Order Date]])</f>
        <v>2022</v>
      </c>
      <c r="M2475" t="str">
        <f>CONCATENATE(LEFT(Master_ventas[[#This Row],[ProdUpper]],3),RIGHT(Master_ventas[[#This Row],[Ext-Year]],2),"-",MID(Master_ventas[[#This Row],[Category]],1,1))</f>
        <v>MOU22-A</v>
      </c>
      <c r="N2475" t="str">
        <f>MID(Master_ventas[[#This Row],[ProdUpper]],1,3)</f>
        <v>MOU</v>
      </c>
      <c r="O2475" t="str">
        <f>UPPER(IF(Master_ventas[[#This Row],[Profit]]&gt;500,"High","Std"))</f>
        <v>STD</v>
      </c>
      <c r="P2475">
        <v>2474</v>
      </c>
    </row>
    <row r="2476" spans="1:16" x14ac:dyDescent="0.3">
      <c r="A2476" s="1">
        <v>45579</v>
      </c>
      <c r="B2476" t="s">
        <v>23</v>
      </c>
      <c r="C2476" t="s">
        <v>14</v>
      </c>
      <c r="D2476" t="s">
        <v>15</v>
      </c>
      <c r="E2476">
        <v>5</v>
      </c>
      <c r="F2476" s="3">
        <v>5345</v>
      </c>
      <c r="G2476" s="2">
        <v>1060.46</v>
      </c>
      <c r="H2476">
        <f>Master_ventas[[#This Row],[Profit]]/Master_ventas[[#This Row],[Sales]]</f>
        <v>0.19840224508886811</v>
      </c>
      <c r="I2476">
        <f ca="1">Referencia_Hoy-Master_ventas[[#This Row],[Order Date]]</f>
        <v>744</v>
      </c>
      <c r="J2476" t="str">
        <f>UPPER(Master_ventas[[#This Row],[Product Name]])</f>
        <v>LAPTOP</v>
      </c>
      <c r="K2476" t="str">
        <f>UPPER(Master_ventas[[#This Row],[Category]])</f>
        <v>ELECTRONICS</v>
      </c>
      <c r="L2476">
        <f>YEAR(Master_ventas[[#This Row],[Order Date]])</f>
        <v>2024</v>
      </c>
      <c r="M2476" t="str">
        <f>CONCATENATE(LEFT(Master_ventas[[#This Row],[ProdUpper]],3),RIGHT(Master_ventas[[#This Row],[Ext-Year]],2),"-",MID(Master_ventas[[#This Row],[Category]],1,1))</f>
        <v>LAP24-E</v>
      </c>
      <c r="N2476" t="str">
        <f>MID(Master_ventas[[#This Row],[ProdUpper]],1,3)</f>
        <v>LAP</v>
      </c>
      <c r="O2476" t="str">
        <f>UPPER(IF(Master_ventas[[#This Row],[Profit]]&gt;500,"High","Std"))</f>
        <v>HIGH</v>
      </c>
      <c r="P2476">
        <v>2475</v>
      </c>
    </row>
    <row r="2477" spans="1:16" x14ac:dyDescent="0.3">
      <c r="A2477" s="1">
        <v>45318</v>
      </c>
      <c r="B2477" t="s">
        <v>13</v>
      </c>
      <c r="C2477" t="s">
        <v>14</v>
      </c>
      <c r="D2477" t="s">
        <v>15</v>
      </c>
      <c r="E2477">
        <v>8</v>
      </c>
      <c r="F2477" s="3">
        <v>4032</v>
      </c>
      <c r="G2477" s="2">
        <v>251.05</v>
      </c>
      <c r="H2477">
        <f>Master_ventas[[#This Row],[Profit]]/Master_ventas[[#This Row],[Sales]]</f>
        <v>6.2264384920634921E-2</v>
      </c>
      <c r="I2477">
        <f ca="1">Referencia_Hoy-Master_ventas[[#This Row],[Order Date]]</f>
        <v>1005</v>
      </c>
      <c r="J2477" t="str">
        <f>UPPER(Master_ventas[[#This Row],[Product Name]])</f>
        <v>TABLET</v>
      </c>
      <c r="K2477" t="str">
        <f>UPPER(Master_ventas[[#This Row],[Category]])</f>
        <v>ELECTRONICS</v>
      </c>
      <c r="L2477">
        <f>YEAR(Master_ventas[[#This Row],[Order Date]])</f>
        <v>2024</v>
      </c>
      <c r="M2477" t="str">
        <f>CONCATENATE(LEFT(Master_ventas[[#This Row],[ProdUpper]],3),RIGHT(Master_ventas[[#This Row],[Ext-Year]],2),"-",MID(Master_ventas[[#This Row],[Category]],1,1))</f>
        <v>TAB24-E</v>
      </c>
      <c r="N2477" t="str">
        <f>MID(Master_ventas[[#This Row],[ProdUpper]],1,3)</f>
        <v>TAB</v>
      </c>
      <c r="O2477" t="str">
        <f>UPPER(IF(Master_ventas[[#This Row],[Profit]]&gt;500,"High","Std"))</f>
        <v>STD</v>
      </c>
      <c r="P2477">
        <v>2476</v>
      </c>
    </row>
    <row r="2478" spans="1:16" x14ac:dyDescent="0.3">
      <c r="A2478" s="1">
        <v>44803</v>
      </c>
      <c r="B2478" t="s">
        <v>17</v>
      </c>
      <c r="C2478" t="s">
        <v>14</v>
      </c>
      <c r="D2478" t="s">
        <v>15</v>
      </c>
      <c r="E2478">
        <v>4</v>
      </c>
      <c r="F2478" s="3">
        <v>3840</v>
      </c>
      <c r="G2478" s="2">
        <v>552.57000000000005</v>
      </c>
      <c r="H2478">
        <f>Master_ventas[[#This Row],[Profit]]/Master_ventas[[#This Row],[Sales]]</f>
        <v>0.1438984375</v>
      </c>
      <c r="I2478">
        <f ca="1">Referencia_Hoy-Master_ventas[[#This Row],[Order Date]]</f>
        <v>1520</v>
      </c>
      <c r="J2478" t="str">
        <f>UPPER(Master_ventas[[#This Row],[Product Name]])</f>
        <v>CAMERA</v>
      </c>
      <c r="K2478" t="str">
        <f>UPPER(Master_ventas[[#This Row],[Category]])</f>
        <v>ELECTRONICS</v>
      </c>
      <c r="L2478">
        <f>YEAR(Master_ventas[[#This Row],[Order Date]])</f>
        <v>2022</v>
      </c>
      <c r="M2478" t="str">
        <f>CONCATENATE(LEFT(Master_ventas[[#This Row],[ProdUpper]],3),RIGHT(Master_ventas[[#This Row],[Ext-Year]],2),"-",MID(Master_ventas[[#This Row],[Category]],1,1))</f>
        <v>CAM22-E</v>
      </c>
      <c r="N2478" t="str">
        <f>MID(Master_ventas[[#This Row],[ProdUpper]],1,3)</f>
        <v>CAM</v>
      </c>
      <c r="O2478" t="str">
        <f>UPPER(IF(Master_ventas[[#This Row],[Profit]]&gt;500,"High","Std"))</f>
        <v>HIGH</v>
      </c>
      <c r="P2478">
        <v>2477</v>
      </c>
    </row>
    <row r="2479" spans="1:16" x14ac:dyDescent="0.3">
      <c r="A2479" s="1">
        <v>44949</v>
      </c>
      <c r="B2479" t="s">
        <v>20</v>
      </c>
      <c r="C2479" t="s">
        <v>11</v>
      </c>
      <c r="D2479" t="s">
        <v>12</v>
      </c>
      <c r="E2479">
        <v>5</v>
      </c>
      <c r="F2479" s="3">
        <v>575</v>
      </c>
      <c r="G2479" s="2">
        <v>47.35</v>
      </c>
      <c r="H2479">
        <f>Master_ventas[[#This Row],[Profit]]/Master_ventas[[#This Row],[Sales]]</f>
        <v>8.2347826086956524E-2</v>
      </c>
      <c r="I2479">
        <f ca="1">Referencia_Hoy-Master_ventas[[#This Row],[Order Date]]</f>
        <v>1374</v>
      </c>
      <c r="J2479" t="str">
        <f>UPPER(Master_ventas[[#This Row],[Product Name]])</f>
        <v>MONITOR</v>
      </c>
      <c r="K2479" t="str">
        <f>UPPER(Master_ventas[[#This Row],[Category]])</f>
        <v>ACCESSORIES</v>
      </c>
      <c r="L2479">
        <f>YEAR(Master_ventas[[#This Row],[Order Date]])</f>
        <v>2023</v>
      </c>
      <c r="M2479" t="str">
        <f>CONCATENATE(LEFT(Master_ventas[[#This Row],[ProdUpper]],3),RIGHT(Master_ventas[[#This Row],[Ext-Year]],2),"-",MID(Master_ventas[[#This Row],[Category]],1,1))</f>
        <v>MON23-A</v>
      </c>
      <c r="N2479" t="str">
        <f>MID(Master_ventas[[#This Row],[ProdUpper]],1,3)</f>
        <v>MON</v>
      </c>
      <c r="O2479" t="str">
        <f>UPPER(IF(Master_ventas[[#This Row],[Profit]]&gt;500,"High","Std"))</f>
        <v>STD</v>
      </c>
      <c r="P2479">
        <v>2478</v>
      </c>
    </row>
    <row r="2480" spans="1:16" x14ac:dyDescent="0.3">
      <c r="A2480" s="1">
        <v>44928</v>
      </c>
      <c r="B2480" t="s">
        <v>23</v>
      </c>
      <c r="C2480" t="s">
        <v>14</v>
      </c>
      <c r="D2480" t="s">
        <v>16</v>
      </c>
      <c r="E2480">
        <v>9</v>
      </c>
      <c r="F2480" s="3">
        <v>9315</v>
      </c>
      <c r="G2480" s="2">
        <v>1808.68</v>
      </c>
      <c r="H2480">
        <f>Master_ventas[[#This Row],[Profit]]/Master_ventas[[#This Row],[Sales]]</f>
        <v>0.19416854535695116</v>
      </c>
      <c r="I2480">
        <f ca="1">Referencia_Hoy-Master_ventas[[#This Row],[Order Date]]</f>
        <v>1395</v>
      </c>
      <c r="J2480" t="str">
        <f>UPPER(Master_ventas[[#This Row],[Product Name]])</f>
        <v>LAPTOP</v>
      </c>
      <c r="K2480" t="str">
        <f>UPPER(Master_ventas[[#This Row],[Category]])</f>
        <v>ELECTRONICS</v>
      </c>
      <c r="L2480">
        <f>YEAR(Master_ventas[[#This Row],[Order Date]])</f>
        <v>2023</v>
      </c>
      <c r="M2480" t="str">
        <f>CONCATENATE(LEFT(Master_ventas[[#This Row],[ProdUpper]],3),RIGHT(Master_ventas[[#This Row],[Ext-Year]],2),"-",MID(Master_ventas[[#This Row],[Category]],1,1))</f>
        <v>LAP23-E</v>
      </c>
      <c r="N2480" t="str">
        <f>MID(Master_ventas[[#This Row],[ProdUpper]],1,3)</f>
        <v>LAP</v>
      </c>
      <c r="O2480" t="str">
        <f>UPPER(IF(Master_ventas[[#This Row],[Profit]]&gt;500,"High","Std"))</f>
        <v>HIGH</v>
      </c>
      <c r="P2480">
        <v>2479</v>
      </c>
    </row>
    <row r="2481" spans="1:16" x14ac:dyDescent="0.3">
      <c r="A2481" s="1">
        <v>45621</v>
      </c>
      <c r="B2481" t="s">
        <v>10</v>
      </c>
      <c r="C2481" t="s">
        <v>11</v>
      </c>
      <c r="D2481" t="s">
        <v>12</v>
      </c>
      <c r="E2481">
        <v>7</v>
      </c>
      <c r="F2481" s="3">
        <v>3423</v>
      </c>
      <c r="G2481" s="2">
        <v>435.06</v>
      </c>
      <c r="H2481">
        <f>Master_ventas[[#This Row],[Profit]]/Master_ventas[[#This Row],[Sales]]</f>
        <v>0.12709903593339175</v>
      </c>
      <c r="I2481">
        <f ca="1">Referencia_Hoy-Master_ventas[[#This Row],[Order Date]]</f>
        <v>702</v>
      </c>
      <c r="J2481" t="str">
        <f>UPPER(Master_ventas[[#This Row],[Product Name]])</f>
        <v>MOUSE</v>
      </c>
      <c r="K2481" t="str">
        <f>UPPER(Master_ventas[[#This Row],[Category]])</f>
        <v>ACCESSORIES</v>
      </c>
      <c r="L2481">
        <f>YEAR(Master_ventas[[#This Row],[Order Date]])</f>
        <v>2024</v>
      </c>
      <c r="M2481" t="str">
        <f>CONCATENATE(LEFT(Master_ventas[[#This Row],[ProdUpper]],3),RIGHT(Master_ventas[[#This Row],[Ext-Year]],2),"-",MID(Master_ventas[[#This Row],[Category]],1,1))</f>
        <v>MOU24-A</v>
      </c>
      <c r="N2481" t="str">
        <f>MID(Master_ventas[[#This Row],[ProdUpper]],1,3)</f>
        <v>MOU</v>
      </c>
      <c r="O2481" t="str">
        <f>UPPER(IF(Master_ventas[[#This Row],[Profit]]&gt;500,"High","Std"))</f>
        <v>STD</v>
      </c>
      <c r="P2481">
        <v>2480</v>
      </c>
    </row>
    <row r="2482" spans="1:16" x14ac:dyDescent="0.3">
      <c r="A2482" s="1">
        <v>45237</v>
      </c>
      <c r="B2482" t="s">
        <v>20</v>
      </c>
      <c r="C2482" t="s">
        <v>11</v>
      </c>
      <c r="D2482" t="s">
        <v>15</v>
      </c>
      <c r="E2482">
        <v>6</v>
      </c>
      <c r="F2482" s="3">
        <v>3942</v>
      </c>
      <c r="G2482" s="2">
        <v>748.74</v>
      </c>
      <c r="H2482">
        <f>Master_ventas[[#This Row],[Profit]]/Master_ventas[[#This Row],[Sales]]</f>
        <v>0.18993911719939116</v>
      </c>
      <c r="I2482">
        <f ca="1">Referencia_Hoy-Master_ventas[[#This Row],[Order Date]]</f>
        <v>1086</v>
      </c>
      <c r="J2482" t="str">
        <f>UPPER(Master_ventas[[#This Row],[Product Name]])</f>
        <v>MONITOR</v>
      </c>
      <c r="K2482" t="str">
        <f>UPPER(Master_ventas[[#This Row],[Category]])</f>
        <v>ACCESSORIES</v>
      </c>
      <c r="L2482">
        <f>YEAR(Master_ventas[[#This Row],[Order Date]])</f>
        <v>2023</v>
      </c>
      <c r="M2482" t="str">
        <f>CONCATENATE(LEFT(Master_ventas[[#This Row],[ProdUpper]],3),RIGHT(Master_ventas[[#This Row],[Ext-Year]],2),"-",MID(Master_ventas[[#This Row],[Category]],1,1))</f>
        <v>MON23-A</v>
      </c>
      <c r="N2482" t="str">
        <f>MID(Master_ventas[[#This Row],[ProdUpper]],1,3)</f>
        <v>MON</v>
      </c>
      <c r="O2482" t="str">
        <f>UPPER(IF(Master_ventas[[#This Row],[Profit]]&gt;500,"High","Std"))</f>
        <v>HIGH</v>
      </c>
      <c r="P2482">
        <v>2481</v>
      </c>
    </row>
    <row r="2483" spans="1:16" x14ac:dyDescent="0.3">
      <c r="A2483" s="1">
        <v>45488</v>
      </c>
      <c r="B2483" t="s">
        <v>23</v>
      </c>
      <c r="C2483" t="s">
        <v>14</v>
      </c>
      <c r="D2483" t="s">
        <v>15</v>
      </c>
      <c r="E2483">
        <v>2</v>
      </c>
      <c r="F2483" s="3">
        <v>574</v>
      </c>
      <c r="G2483" s="2">
        <v>70.16</v>
      </c>
      <c r="H2483">
        <f>Master_ventas[[#This Row],[Profit]]/Master_ventas[[#This Row],[Sales]]</f>
        <v>0.12222996515679442</v>
      </c>
      <c r="I2483">
        <f ca="1">Referencia_Hoy-Master_ventas[[#This Row],[Order Date]]</f>
        <v>835</v>
      </c>
      <c r="J2483" t="str">
        <f>UPPER(Master_ventas[[#This Row],[Product Name]])</f>
        <v>LAPTOP</v>
      </c>
      <c r="K2483" t="str">
        <f>UPPER(Master_ventas[[#This Row],[Category]])</f>
        <v>ELECTRONICS</v>
      </c>
      <c r="L2483">
        <f>YEAR(Master_ventas[[#This Row],[Order Date]])</f>
        <v>2024</v>
      </c>
      <c r="M2483" t="str">
        <f>CONCATENATE(LEFT(Master_ventas[[#This Row],[ProdUpper]],3),RIGHT(Master_ventas[[#This Row],[Ext-Year]],2),"-",MID(Master_ventas[[#This Row],[Category]],1,1))</f>
        <v>LAP24-E</v>
      </c>
      <c r="N2483" t="str">
        <f>MID(Master_ventas[[#This Row],[ProdUpper]],1,3)</f>
        <v>LAP</v>
      </c>
      <c r="O2483" t="str">
        <f>UPPER(IF(Master_ventas[[#This Row],[Profit]]&gt;500,"High","Std"))</f>
        <v>STD</v>
      </c>
      <c r="P2483">
        <v>2482</v>
      </c>
    </row>
    <row r="2484" spans="1:16" x14ac:dyDescent="0.3">
      <c r="A2484" s="1">
        <v>45447</v>
      </c>
      <c r="B2484" t="s">
        <v>18</v>
      </c>
      <c r="C2484" t="s">
        <v>11</v>
      </c>
      <c r="D2484" t="s">
        <v>9</v>
      </c>
      <c r="E2484">
        <v>6</v>
      </c>
      <c r="F2484" s="3">
        <v>3024</v>
      </c>
      <c r="G2484" s="2">
        <v>336.28</v>
      </c>
      <c r="H2484">
        <f>Master_ventas[[#This Row],[Profit]]/Master_ventas[[#This Row],[Sales]]</f>
        <v>0.11120370370370369</v>
      </c>
      <c r="I2484">
        <f ca="1">Referencia_Hoy-Master_ventas[[#This Row],[Order Date]]</f>
        <v>876</v>
      </c>
      <c r="J2484" t="str">
        <f>UPPER(Master_ventas[[#This Row],[Product Name]])</f>
        <v>HEADPHONES</v>
      </c>
      <c r="K2484" t="str">
        <f>UPPER(Master_ventas[[#This Row],[Category]])</f>
        <v>ACCESSORIES</v>
      </c>
      <c r="L2484">
        <f>YEAR(Master_ventas[[#This Row],[Order Date]])</f>
        <v>2024</v>
      </c>
      <c r="M2484" t="str">
        <f>CONCATENATE(LEFT(Master_ventas[[#This Row],[ProdUpper]],3),RIGHT(Master_ventas[[#This Row],[Ext-Year]],2),"-",MID(Master_ventas[[#This Row],[Category]],1,1))</f>
        <v>HEA24-A</v>
      </c>
      <c r="N2484" t="str">
        <f>MID(Master_ventas[[#This Row],[ProdUpper]],1,3)</f>
        <v>HEA</v>
      </c>
      <c r="O2484" t="str">
        <f>UPPER(IF(Master_ventas[[#This Row],[Profit]]&gt;500,"High","Std"))</f>
        <v>STD</v>
      </c>
      <c r="P2484">
        <v>2483</v>
      </c>
    </row>
    <row r="2485" spans="1:16" x14ac:dyDescent="0.3">
      <c r="A2485" s="1">
        <v>44622</v>
      </c>
      <c r="B2485" t="s">
        <v>18</v>
      </c>
      <c r="C2485" t="s">
        <v>11</v>
      </c>
      <c r="D2485" t="s">
        <v>9</v>
      </c>
      <c r="E2485">
        <v>7</v>
      </c>
      <c r="F2485" s="3">
        <v>952</v>
      </c>
      <c r="G2485" s="2">
        <v>215.51</v>
      </c>
      <c r="H2485">
        <f>Master_ventas[[#This Row],[Profit]]/Master_ventas[[#This Row],[Sales]]</f>
        <v>0.22637605042016806</v>
      </c>
      <c r="I2485">
        <f ca="1">Referencia_Hoy-Master_ventas[[#This Row],[Order Date]]</f>
        <v>1701</v>
      </c>
      <c r="J2485" t="str">
        <f>UPPER(Master_ventas[[#This Row],[Product Name]])</f>
        <v>HEADPHONES</v>
      </c>
      <c r="K2485" t="str">
        <f>UPPER(Master_ventas[[#This Row],[Category]])</f>
        <v>ACCESSORIES</v>
      </c>
      <c r="L2485">
        <f>YEAR(Master_ventas[[#This Row],[Order Date]])</f>
        <v>2022</v>
      </c>
      <c r="M2485" t="str">
        <f>CONCATENATE(LEFT(Master_ventas[[#This Row],[ProdUpper]],3),RIGHT(Master_ventas[[#This Row],[Ext-Year]],2),"-",MID(Master_ventas[[#This Row],[Category]],1,1))</f>
        <v>HEA22-A</v>
      </c>
      <c r="N2485" t="str">
        <f>MID(Master_ventas[[#This Row],[ProdUpper]],1,3)</f>
        <v>HEA</v>
      </c>
      <c r="O2485" t="str">
        <f>UPPER(IF(Master_ventas[[#This Row],[Profit]]&gt;500,"High","Std"))</f>
        <v>STD</v>
      </c>
      <c r="P2485">
        <v>2484</v>
      </c>
    </row>
    <row r="2486" spans="1:16" x14ac:dyDescent="0.3">
      <c r="A2486" s="1">
        <v>45255</v>
      </c>
      <c r="B2486" t="s">
        <v>21</v>
      </c>
      <c r="C2486" t="s">
        <v>14</v>
      </c>
      <c r="D2486" t="s">
        <v>16</v>
      </c>
      <c r="E2486">
        <v>9</v>
      </c>
      <c r="F2486" s="3">
        <v>9090</v>
      </c>
      <c r="G2486" s="2">
        <v>937.69</v>
      </c>
      <c r="H2486">
        <f>Master_ventas[[#This Row],[Profit]]/Master_ventas[[#This Row],[Sales]]</f>
        <v>0.10315621562156216</v>
      </c>
      <c r="I2486">
        <f ca="1">Referencia_Hoy-Master_ventas[[#This Row],[Order Date]]</f>
        <v>1068</v>
      </c>
      <c r="J2486" t="str">
        <f>UPPER(Master_ventas[[#This Row],[Product Name]])</f>
        <v>SMARTPHONE</v>
      </c>
      <c r="K2486" t="str">
        <f>UPPER(Master_ventas[[#This Row],[Category]])</f>
        <v>ELECTRONICS</v>
      </c>
      <c r="L2486">
        <f>YEAR(Master_ventas[[#This Row],[Order Date]])</f>
        <v>2023</v>
      </c>
      <c r="M2486" t="str">
        <f>CONCATENATE(LEFT(Master_ventas[[#This Row],[ProdUpper]],3),RIGHT(Master_ventas[[#This Row],[Ext-Year]],2),"-",MID(Master_ventas[[#This Row],[Category]],1,1))</f>
        <v>SMA23-E</v>
      </c>
      <c r="N2486" t="str">
        <f>MID(Master_ventas[[#This Row],[ProdUpper]],1,3)</f>
        <v>SMA</v>
      </c>
      <c r="O2486" t="str">
        <f>UPPER(IF(Master_ventas[[#This Row],[Profit]]&gt;500,"High","Std"))</f>
        <v>HIGH</v>
      </c>
      <c r="P2486">
        <v>2485</v>
      </c>
    </row>
    <row r="2487" spans="1:16" x14ac:dyDescent="0.3">
      <c r="A2487" s="1">
        <v>44691</v>
      </c>
      <c r="B2487" t="s">
        <v>13</v>
      </c>
      <c r="C2487" t="s">
        <v>14</v>
      </c>
      <c r="D2487" t="s">
        <v>16</v>
      </c>
      <c r="E2487">
        <v>2</v>
      </c>
      <c r="F2487" s="3">
        <v>1166</v>
      </c>
      <c r="G2487" s="2">
        <v>170.11</v>
      </c>
      <c r="H2487">
        <f>Master_ventas[[#This Row],[Profit]]/Master_ventas[[#This Row],[Sales]]</f>
        <v>0.14589193825042882</v>
      </c>
      <c r="I2487">
        <f ca="1">Referencia_Hoy-Master_ventas[[#This Row],[Order Date]]</f>
        <v>1632</v>
      </c>
      <c r="J2487" t="str">
        <f>UPPER(Master_ventas[[#This Row],[Product Name]])</f>
        <v>TABLET</v>
      </c>
      <c r="K2487" t="str">
        <f>UPPER(Master_ventas[[#This Row],[Category]])</f>
        <v>ELECTRONICS</v>
      </c>
      <c r="L2487">
        <f>YEAR(Master_ventas[[#This Row],[Order Date]])</f>
        <v>2022</v>
      </c>
      <c r="M2487" t="str">
        <f>CONCATENATE(LEFT(Master_ventas[[#This Row],[ProdUpper]],3),RIGHT(Master_ventas[[#This Row],[Ext-Year]],2),"-",MID(Master_ventas[[#This Row],[Category]],1,1))</f>
        <v>TAB22-E</v>
      </c>
      <c r="N2487" t="str">
        <f>MID(Master_ventas[[#This Row],[ProdUpper]],1,3)</f>
        <v>TAB</v>
      </c>
      <c r="O2487" t="str">
        <f>UPPER(IF(Master_ventas[[#This Row],[Profit]]&gt;500,"High","Std"))</f>
        <v>STD</v>
      </c>
      <c r="P2487">
        <v>2486</v>
      </c>
    </row>
    <row r="2488" spans="1:16" x14ac:dyDescent="0.3">
      <c r="A2488" s="1">
        <v>45300</v>
      </c>
      <c r="B2488" t="s">
        <v>22</v>
      </c>
      <c r="C2488" t="s">
        <v>11</v>
      </c>
      <c r="D2488" t="s">
        <v>15</v>
      </c>
      <c r="E2488">
        <v>3</v>
      </c>
      <c r="F2488" s="3">
        <v>2925</v>
      </c>
      <c r="G2488" s="2">
        <v>433.95</v>
      </c>
      <c r="H2488">
        <f>Master_ventas[[#This Row],[Profit]]/Master_ventas[[#This Row],[Sales]]</f>
        <v>0.14835897435897435</v>
      </c>
      <c r="I2488">
        <f ca="1">Referencia_Hoy-Master_ventas[[#This Row],[Order Date]]</f>
        <v>1023</v>
      </c>
      <c r="J2488" t="str">
        <f>UPPER(Master_ventas[[#This Row],[Product Name]])</f>
        <v>KEYBOARD</v>
      </c>
      <c r="K2488" t="str">
        <f>UPPER(Master_ventas[[#This Row],[Category]])</f>
        <v>ACCESSORIES</v>
      </c>
      <c r="L2488">
        <f>YEAR(Master_ventas[[#This Row],[Order Date]])</f>
        <v>2024</v>
      </c>
      <c r="M2488" t="str">
        <f>CONCATENATE(LEFT(Master_ventas[[#This Row],[ProdUpper]],3),RIGHT(Master_ventas[[#This Row],[Ext-Year]],2),"-",MID(Master_ventas[[#This Row],[Category]],1,1))</f>
        <v>KEY24-A</v>
      </c>
      <c r="N2488" t="str">
        <f>MID(Master_ventas[[#This Row],[ProdUpper]],1,3)</f>
        <v>KEY</v>
      </c>
      <c r="O2488" t="str">
        <f>UPPER(IF(Master_ventas[[#This Row],[Profit]]&gt;500,"High","Std"))</f>
        <v>STD</v>
      </c>
      <c r="P2488">
        <v>2487</v>
      </c>
    </row>
    <row r="2489" spans="1:16" x14ac:dyDescent="0.3">
      <c r="A2489" s="1">
        <v>45285</v>
      </c>
      <c r="B2489" t="s">
        <v>17</v>
      </c>
      <c r="C2489" t="s">
        <v>14</v>
      </c>
      <c r="D2489" t="s">
        <v>15</v>
      </c>
      <c r="E2489">
        <v>5</v>
      </c>
      <c r="F2489" s="3">
        <v>3455</v>
      </c>
      <c r="G2489" s="2">
        <v>867.55</v>
      </c>
      <c r="H2489">
        <f>Master_ventas[[#This Row],[Profit]]/Master_ventas[[#This Row],[Sales]]</f>
        <v>0.25109985528219969</v>
      </c>
      <c r="I2489">
        <f ca="1">Referencia_Hoy-Master_ventas[[#This Row],[Order Date]]</f>
        <v>1038</v>
      </c>
      <c r="J2489" t="str">
        <f>UPPER(Master_ventas[[#This Row],[Product Name]])</f>
        <v>CAMERA</v>
      </c>
      <c r="K2489" t="str">
        <f>UPPER(Master_ventas[[#This Row],[Category]])</f>
        <v>ELECTRONICS</v>
      </c>
      <c r="L2489">
        <f>YEAR(Master_ventas[[#This Row],[Order Date]])</f>
        <v>2023</v>
      </c>
      <c r="M2489" t="str">
        <f>CONCATENATE(LEFT(Master_ventas[[#This Row],[ProdUpper]],3),RIGHT(Master_ventas[[#This Row],[Ext-Year]],2),"-",MID(Master_ventas[[#This Row],[Category]],1,1))</f>
        <v>CAM23-E</v>
      </c>
      <c r="N2489" t="str">
        <f>MID(Master_ventas[[#This Row],[ProdUpper]],1,3)</f>
        <v>CAM</v>
      </c>
      <c r="O2489" t="str">
        <f>UPPER(IF(Master_ventas[[#This Row],[Profit]]&gt;500,"High","Std"))</f>
        <v>HIGH</v>
      </c>
      <c r="P2489">
        <v>2488</v>
      </c>
    </row>
    <row r="2490" spans="1:16" x14ac:dyDescent="0.3">
      <c r="A2490" s="1">
        <v>44901</v>
      </c>
      <c r="B2490" t="s">
        <v>21</v>
      </c>
      <c r="C2490" t="s">
        <v>14</v>
      </c>
      <c r="D2490" t="s">
        <v>9</v>
      </c>
      <c r="E2490">
        <v>2</v>
      </c>
      <c r="F2490" s="3">
        <v>1614</v>
      </c>
      <c r="G2490" s="2">
        <v>331.3</v>
      </c>
      <c r="H2490">
        <f>Master_ventas[[#This Row],[Profit]]/Master_ventas[[#This Row],[Sales]]</f>
        <v>0.20526641883519209</v>
      </c>
      <c r="I2490">
        <f ca="1">Referencia_Hoy-Master_ventas[[#This Row],[Order Date]]</f>
        <v>1422</v>
      </c>
      <c r="J2490" t="str">
        <f>UPPER(Master_ventas[[#This Row],[Product Name]])</f>
        <v>SMARTPHONE</v>
      </c>
      <c r="K2490" t="str">
        <f>UPPER(Master_ventas[[#This Row],[Category]])</f>
        <v>ELECTRONICS</v>
      </c>
      <c r="L2490">
        <f>YEAR(Master_ventas[[#This Row],[Order Date]])</f>
        <v>2022</v>
      </c>
      <c r="M2490" t="str">
        <f>CONCATENATE(LEFT(Master_ventas[[#This Row],[ProdUpper]],3),RIGHT(Master_ventas[[#This Row],[Ext-Year]],2),"-",MID(Master_ventas[[#This Row],[Category]],1,1))</f>
        <v>SMA22-E</v>
      </c>
      <c r="N2490" t="str">
        <f>MID(Master_ventas[[#This Row],[ProdUpper]],1,3)</f>
        <v>SMA</v>
      </c>
      <c r="O2490" t="str">
        <f>UPPER(IF(Master_ventas[[#This Row],[Profit]]&gt;500,"High","Std"))</f>
        <v>STD</v>
      </c>
      <c r="P2490">
        <v>2489</v>
      </c>
    </row>
    <row r="2491" spans="1:16" x14ac:dyDescent="0.3">
      <c r="A2491" s="1">
        <v>45511</v>
      </c>
      <c r="B2491" t="s">
        <v>10</v>
      </c>
      <c r="C2491" t="s">
        <v>11</v>
      </c>
      <c r="D2491" t="s">
        <v>16</v>
      </c>
      <c r="E2491">
        <v>7</v>
      </c>
      <c r="F2491" s="3">
        <v>1771</v>
      </c>
      <c r="G2491" s="2">
        <v>171.26</v>
      </c>
      <c r="H2491">
        <f>Master_ventas[[#This Row],[Profit]]/Master_ventas[[#This Row],[Sales]]</f>
        <v>9.6702428006775823E-2</v>
      </c>
      <c r="I2491">
        <f ca="1">Referencia_Hoy-Master_ventas[[#This Row],[Order Date]]</f>
        <v>812</v>
      </c>
      <c r="J2491" t="str">
        <f>UPPER(Master_ventas[[#This Row],[Product Name]])</f>
        <v>MOUSE</v>
      </c>
      <c r="K2491" t="str">
        <f>UPPER(Master_ventas[[#This Row],[Category]])</f>
        <v>ACCESSORIES</v>
      </c>
      <c r="L2491">
        <f>YEAR(Master_ventas[[#This Row],[Order Date]])</f>
        <v>2024</v>
      </c>
      <c r="M2491" t="str">
        <f>CONCATENATE(LEFT(Master_ventas[[#This Row],[ProdUpper]],3),RIGHT(Master_ventas[[#This Row],[Ext-Year]],2),"-",MID(Master_ventas[[#This Row],[Category]],1,1))</f>
        <v>MOU24-A</v>
      </c>
      <c r="N2491" t="str">
        <f>MID(Master_ventas[[#This Row],[ProdUpper]],1,3)</f>
        <v>MOU</v>
      </c>
      <c r="O2491" t="str">
        <f>UPPER(IF(Master_ventas[[#This Row],[Profit]]&gt;500,"High","Std"))</f>
        <v>STD</v>
      </c>
      <c r="P2491">
        <v>2490</v>
      </c>
    </row>
    <row r="2492" spans="1:16" x14ac:dyDescent="0.3">
      <c r="A2492" s="1">
        <v>44932</v>
      </c>
      <c r="B2492" t="s">
        <v>7</v>
      </c>
      <c r="C2492" t="s">
        <v>8</v>
      </c>
      <c r="D2492" t="s">
        <v>15</v>
      </c>
      <c r="E2492">
        <v>6</v>
      </c>
      <c r="F2492" s="3">
        <v>5658</v>
      </c>
      <c r="G2492" s="2">
        <v>1504.97</v>
      </c>
      <c r="H2492">
        <f>Master_ventas[[#This Row],[Profit]]/Master_ventas[[#This Row],[Sales]]</f>
        <v>0.26598974902792505</v>
      </c>
      <c r="I2492">
        <f ca="1">Referencia_Hoy-Master_ventas[[#This Row],[Order Date]]</f>
        <v>1391</v>
      </c>
      <c r="J2492" t="str">
        <f>UPPER(Master_ventas[[#This Row],[Product Name]])</f>
        <v>PRINTER</v>
      </c>
      <c r="K2492" t="str">
        <f>UPPER(Master_ventas[[#This Row],[Category]])</f>
        <v>OFFICE</v>
      </c>
      <c r="L2492">
        <f>YEAR(Master_ventas[[#This Row],[Order Date]])</f>
        <v>2023</v>
      </c>
      <c r="M2492" t="str">
        <f>CONCATENATE(LEFT(Master_ventas[[#This Row],[ProdUpper]],3),RIGHT(Master_ventas[[#This Row],[Ext-Year]],2),"-",MID(Master_ventas[[#This Row],[Category]],1,1))</f>
        <v>PRI23-O</v>
      </c>
      <c r="N2492" t="str">
        <f>MID(Master_ventas[[#This Row],[ProdUpper]],1,3)</f>
        <v>PRI</v>
      </c>
      <c r="O2492" t="str">
        <f>UPPER(IF(Master_ventas[[#This Row],[Profit]]&gt;500,"High","Std"))</f>
        <v>HIGH</v>
      </c>
      <c r="P2492">
        <v>2491</v>
      </c>
    </row>
    <row r="2493" spans="1:16" x14ac:dyDescent="0.3">
      <c r="A2493" s="1">
        <v>45560</v>
      </c>
      <c r="B2493" t="s">
        <v>10</v>
      </c>
      <c r="C2493" t="s">
        <v>11</v>
      </c>
      <c r="D2493" t="s">
        <v>12</v>
      </c>
      <c r="E2493">
        <v>9</v>
      </c>
      <c r="F2493" s="3">
        <v>8460</v>
      </c>
      <c r="G2493" s="2">
        <v>1515.06</v>
      </c>
      <c r="H2493">
        <f>Master_ventas[[#This Row],[Profit]]/Master_ventas[[#This Row],[Sales]]</f>
        <v>0.17908510638297873</v>
      </c>
      <c r="I2493">
        <f ca="1">Referencia_Hoy-Master_ventas[[#This Row],[Order Date]]</f>
        <v>763</v>
      </c>
      <c r="J2493" t="str">
        <f>UPPER(Master_ventas[[#This Row],[Product Name]])</f>
        <v>MOUSE</v>
      </c>
      <c r="K2493" t="str">
        <f>UPPER(Master_ventas[[#This Row],[Category]])</f>
        <v>ACCESSORIES</v>
      </c>
      <c r="L2493">
        <f>YEAR(Master_ventas[[#This Row],[Order Date]])</f>
        <v>2024</v>
      </c>
      <c r="M2493" t="str">
        <f>CONCATENATE(LEFT(Master_ventas[[#This Row],[ProdUpper]],3),RIGHT(Master_ventas[[#This Row],[Ext-Year]],2),"-",MID(Master_ventas[[#This Row],[Category]],1,1))</f>
        <v>MOU24-A</v>
      </c>
      <c r="N2493" t="str">
        <f>MID(Master_ventas[[#This Row],[ProdUpper]],1,3)</f>
        <v>MOU</v>
      </c>
      <c r="O2493" t="str">
        <f>UPPER(IF(Master_ventas[[#This Row],[Profit]]&gt;500,"High","Std"))</f>
        <v>HIGH</v>
      </c>
      <c r="P2493">
        <v>2492</v>
      </c>
    </row>
    <row r="2494" spans="1:16" x14ac:dyDescent="0.3">
      <c r="A2494" s="1">
        <v>45256</v>
      </c>
      <c r="B2494" t="s">
        <v>7</v>
      </c>
      <c r="C2494" t="s">
        <v>8</v>
      </c>
      <c r="D2494" t="s">
        <v>16</v>
      </c>
      <c r="E2494">
        <v>5</v>
      </c>
      <c r="F2494" s="3">
        <v>1925</v>
      </c>
      <c r="G2494" s="2">
        <v>570.92999999999995</v>
      </c>
      <c r="H2494">
        <f>Master_ventas[[#This Row],[Profit]]/Master_ventas[[#This Row],[Sales]]</f>
        <v>0.29658701298701295</v>
      </c>
      <c r="I2494">
        <f ca="1">Referencia_Hoy-Master_ventas[[#This Row],[Order Date]]</f>
        <v>1067</v>
      </c>
      <c r="J2494" t="str">
        <f>UPPER(Master_ventas[[#This Row],[Product Name]])</f>
        <v>PRINTER</v>
      </c>
      <c r="K2494" t="str">
        <f>UPPER(Master_ventas[[#This Row],[Category]])</f>
        <v>OFFICE</v>
      </c>
      <c r="L2494">
        <f>YEAR(Master_ventas[[#This Row],[Order Date]])</f>
        <v>2023</v>
      </c>
      <c r="M2494" t="str">
        <f>CONCATENATE(LEFT(Master_ventas[[#This Row],[ProdUpper]],3),RIGHT(Master_ventas[[#This Row],[Ext-Year]],2),"-",MID(Master_ventas[[#This Row],[Category]],1,1))</f>
        <v>PRI23-O</v>
      </c>
      <c r="N2494" t="str">
        <f>MID(Master_ventas[[#This Row],[ProdUpper]],1,3)</f>
        <v>PRI</v>
      </c>
      <c r="O2494" t="str">
        <f>UPPER(IF(Master_ventas[[#This Row],[Profit]]&gt;500,"High","Std"))</f>
        <v>HIGH</v>
      </c>
      <c r="P2494">
        <v>2493</v>
      </c>
    </row>
    <row r="2495" spans="1:16" x14ac:dyDescent="0.3">
      <c r="A2495" s="1">
        <v>45324</v>
      </c>
      <c r="B2495" t="s">
        <v>23</v>
      </c>
      <c r="C2495" t="s">
        <v>14</v>
      </c>
      <c r="D2495" t="s">
        <v>9</v>
      </c>
      <c r="E2495">
        <v>6</v>
      </c>
      <c r="F2495" s="3">
        <v>2196</v>
      </c>
      <c r="G2495" s="2">
        <v>572.16999999999996</v>
      </c>
      <c r="H2495">
        <f>Master_ventas[[#This Row],[Profit]]/Master_ventas[[#This Row],[Sales]]</f>
        <v>0.2605510018214936</v>
      </c>
      <c r="I2495">
        <f ca="1">Referencia_Hoy-Master_ventas[[#This Row],[Order Date]]</f>
        <v>999</v>
      </c>
      <c r="J2495" t="str">
        <f>UPPER(Master_ventas[[#This Row],[Product Name]])</f>
        <v>LAPTOP</v>
      </c>
      <c r="K2495" t="str">
        <f>UPPER(Master_ventas[[#This Row],[Category]])</f>
        <v>ELECTRONICS</v>
      </c>
      <c r="L2495">
        <f>YEAR(Master_ventas[[#This Row],[Order Date]])</f>
        <v>2024</v>
      </c>
      <c r="M2495" t="str">
        <f>CONCATENATE(LEFT(Master_ventas[[#This Row],[ProdUpper]],3),RIGHT(Master_ventas[[#This Row],[Ext-Year]],2),"-",MID(Master_ventas[[#This Row],[Category]],1,1))</f>
        <v>LAP24-E</v>
      </c>
      <c r="N2495" t="str">
        <f>MID(Master_ventas[[#This Row],[ProdUpper]],1,3)</f>
        <v>LAP</v>
      </c>
      <c r="O2495" t="str">
        <f>UPPER(IF(Master_ventas[[#This Row],[Profit]]&gt;500,"High","Std"))</f>
        <v>HIGH</v>
      </c>
      <c r="P2495">
        <v>2494</v>
      </c>
    </row>
    <row r="2496" spans="1:16" x14ac:dyDescent="0.3">
      <c r="A2496" s="1">
        <v>45478</v>
      </c>
      <c r="B2496" t="s">
        <v>22</v>
      </c>
      <c r="C2496" t="s">
        <v>11</v>
      </c>
      <c r="D2496" t="s">
        <v>12</v>
      </c>
      <c r="E2496">
        <v>2</v>
      </c>
      <c r="F2496" s="3">
        <v>1696</v>
      </c>
      <c r="G2496" s="2">
        <v>500.56</v>
      </c>
      <c r="H2496">
        <f>Master_ventas[[#This Row],[Profit]]/Master_ventas[[#This Row],[Sales]]</f>
        <v>0.29514150943396228</v>
      </c>
      <c r="I2496">
        <f ca="1">Referencia_Hoy-Master_ventas[[#This Row],[Order Date]]</f>
        <v>845</v>
      </c>
      <c r="J2496" t="str">
        <f>UPPER(Master_ventas[[#This Row],[Product Name]])</f>
        <v>KEYBOARD</v>
      </c>
      <c r="K2496" t="str">
        <f>UPPER(Master_ventas[[#This Row],[Category]])</f>
        <v>ACCESSORIES</v>
      </c>
      <c r="L2496">
        <f>YEAR(Master_ventas[[#This Row],[Order Date]])</f>
        <v>2024</v>
      </c>
      <c r="M2496" t="str">
        <f>CONCATENATE(LEFT(Master_ventas[[#This Row],[ProdUpper]],3),RIGHT(Master_ventas[[#This Row],[Ext-Year]],2),"-",MID(Master_ventas[[#This Row],[Category]],1,1))</f>
        <v>KEY24-A</v>
      </c>
      <c r="N2496" t="str">
        <f>MID(Master_ventas[[#This Row],[ProdUpper]],1,3)</f>
        <v>KEY</v>
      </c>
      <c r="O2496" t="str">
        <f>UPPER(IF(Master_ventas[[#This Row],[Profit]]&gt;500,"High","Std"))</f>
        <v>HIGH</v>
      </c>
      <c r="P2496">
        <v>2495</v>
      </c>
    </row>
    <row r="2497" spans="1:16" x14ac:dyDescent="0.3">
      <c r="A2497" s="1">
        <v>45246</v>
      </c>
      <c r="B2497" t="s">
        <v>7</v>
      </c>
      <c r="C2497" t="s">
        <v>8</v>
      </c>
      <c r="D2497" t="s">
        <v>15</v>
      </c>
      <c r="E2497">
        <v>9</v>
      </c>
      <c r="F2497" s="3">
        <v>6813</v>
      </c>
      <c r="G2497" s="2">
        <v>1966.66</v>
      </c>
      <c r="H2497">
        <f>Master_ventas[[#This Row],[Profit]]/Master_ventas[[#This Row],[Sales]]</f>
        <v>0.28866285043299578</v>
      </c>
      <c r="I2497">
        <f ca="1">Referencia_Hoy-Master_ventas[[#This Row],[Order Date]]</f>
        <v>1077</v>
      </c>
      <c r="J2497" t="str">
        <f>UPPER(Master_ventas[[#This Row],[Product Name]])</f>
        <v>PRINTER</v>
      </c>
      <c r="K2497" t="str">
        <f>UPPER(Master_ventas[[#This Row],[Category]])</f>
        <v>OFFICE</v>
      </c>
      <c r="L2497">
        <f>YEAR(Master_ventas[[#This Row],[Order Date]])</f>
        <v>2023</v>
      </c>
      <c r="M2497" t="str">
        <f>CONCATENATE(LEFT(Master_ventas[[#This Row],[ProdUpper]],3),RIGHT(Master_ventas[[#This Row],[Ext-Year]],2),"-",MID(Master_ventas[[#This Row],[Category]],1,1))</f>
        <v>PRI23-O</v>
      </c>
      <c r="N2497" t="str">
        <f>MID(Master_ventas[[#This Row],[ProdUpper]],1,3)</f>
        <v>PRI</v>
      </c>
      <c r="O2497" t="str">
        <f>UPPER(IF(Master_ventas[[#This Row],[Profit]]&gt;500,"High","Std"))</f>
        <v>HIGH</v>
      </c>
      <c r="P2497">
        <v>2496</v>
      </c>
    </row>
    <row r="2498" spans="1:16" x14ac:dyDescent="0.3">
      <c r="A2498" s="1">
        <v>45584</v>
      </c>
      <c r="B2498" t="s">
        <v>22</v>
      </c>
      <c r="C2498" t="s">
        <v>11</v>
      </c>
      <c r="D2498" t="s">
        <v>9</v>
      </c>
      <c r="E2498">
        <v>5</v>
      </c>
      <c r="F2498" s="3">
        <v>3670</v>
      </c>
      <c r="G2498" s="2">
        <v>790.67</v>
      </c>
      <c r="H2498">
        <f>Master_ventas[[#This Row],[Profit]]/Master_ventas[[#This Row],[Sales]]</f>
        <v>0.21544141689373295</v>
      </c>
      <c r="I2498">
        <f ca="1">Referencia_Hoy-Master_ventas[[#This Row],[Order Date]]</f>
        <v>739</v>
      </c>
      <c r="J2498" t="str">
        <f>UPPER(Master_ventas[[#This Row],[Product Name]])</f>
        <v>KEYBOARD</v>
      </c>
      <c r="K2498" t="str">
        <f>UPPER(Master_ventas[[#This Row],[Category]])</f>
        <v>ACCESSORIES</v>
      </c>
      <c r="L2498">
        <f>YEAR(Master_ventas[[#This Row],[Order Date]])</f>
        <v>2024</v>
      </c>
      <c r="M2498" t="str">
        <f>CONCATENATE(LEFT(Master_ventas[[#This Row],[ProdUpper]],3),RIGHT(Master_ventas[[#This Row],[Ext-Year]],2),"-",MID(Master_ventas[[#This Row],[Category]],1,1))</f>
        <v>KEY24-A</v>
      </c>
      <c r="N2498" t="str">
        <f>MID(Master_ventas[[#This Row],[ProdUpper]],1,3)</f>
        <v>KEY</v>
      </c>
      <c r="O2498" t="str">
        <f>UPPER(IF(Master_ventas[[#This Row],[Profit]]&gt;500,"High","Std"))</f>
        <v>HIGH</v>
      </c>
      <c r="P2498">
        <v>2497</v>
      </c>
    </row>
    <row r="2499" spans="1:16" x14ac:dyDescent="0.3">
      <c r="A2499" s="1">
        <v>45575</v>
      </c>
      <c r="B2499" t="s">
        <v>22</v>
      </c>
      <c r="C2499" t="s">
        <v>11</v>
      </c>
      <c r="D2499" t="s">
        <v>15</v>
      </c>
      <c r="E2499">
        <v>4</v>
      </c>
      <c r="F2499" s="3">
        <v>2936</v>
      </c>
      <c r="G2499" s="2">
        <v>204.55</v>
      </c>
      <c r="H2499">
        <f>Master_ventas[[#This Row],[Profit]]/Master_ventas[[#This Row],[Sales]]</f>
        <v>6.9669618528610353E-2</v>
      </c>
      <c r="I2499">
        <f ca="1">Referencia_Hoy-Master_ventas[[#This Row],[Order Date]]</f>
        <v>748</v>
      </c>
      <c r="J2499" t="str">
        <f>UPPER(Master_ventas[[#This Row],[Product Name]])</f>
        <v>KEYBOARD</v>
      </c>
      <c r="K2499" t="str">
        <f>UPPER(Master_ventas[[#This Row],[Category]])</f>
        <v>ACCESSORIES</v>
      </c>
      <c r="L2499">
        <f>YEAR(Master_ventas[[#This Row],[Order Date]])</f>
        <v>2024</v>
      </c>
      <c r="M2499" t="str">
        <f>CONCATENATE(LEFT(Master_ventas[[#This Row],[ProdUpper]],3),RIGHT(Master_ventas[[#This Row],[Ext-Year]],2),"-",MID(Master_ventas[[#This Row],[Category]],1,1))</f>
        <v>KEY24-A</v>
      </c>
      <c r="N2499" t="str">
        <f>MID(Master_ventas[[#This Row],[ProdUpper]],1,3)</f>
        <v>KEY</v>
      </c>
      <c r="O2499" t="str">
        <f>UPPER(IF(Master_ventas[[#This Row],[Profit]]&gt;500,"High","Std"))</f>
        <v>STD</v>
      </c>
      <c r="P2499">
        <v>2498</v>
      </c>
    </row>
    <row r="2500" spans="1:16" x14ac:dyDescent="0.3">
      <c r="A2500" s="1">
        <v>45320</v>
      </c>
      <c r="B2500" t="s">
        <v>20</v>
      </c>
      <c r="C2500" t="s">
        <v>11</v>
      </c>
      <c r="D2500" t="s">
        <v>16</v>
      </c>
      <c r="E2500">
        <v>5</v>
      </c>
      <c r="F2500" s="3">
        <v>5165</v>
      </c>
      <c r="G2500" s="2">
        <v>283.60000000000002</v>
      </c>
      <c r="H2500">
        <f>Master_ventas[[#This Row],[Profit]]/Master_ventas[[#This Row],[Sales]]</f>
        <v>5.4908034849951604E-2</v>
      </c>
      <c r="I2500">
        <f ca="1">Referencia_Hoy-Master_ventas[[#This Row],[Order Date]]</f>
        <v>1003</v>
      </c>
      <c r="J2500" t="str">
        <f>UPPER(Master_ventas[[#This Row],[Product Name]])</f>
        <v>MONITOR</v>
      </c>
      <c r="K2500" t="str">
        <f>UPPER(Master_ventas[[#This Row],[Category]])</f>
        <v>ACCESSORIES</v>
      </c>
      <c r="L2500">
        <f>YEAR(Master_ventas[[#This Row],[Order Date]])</f>
        <v>2024</v>
      </c>
      <c r="M2500" t="str">
        <f>CONCATENATE(LEFT(Master_ventas[[#This Row],[ProdUpper]],3),RIGHT(Master_ventas[[#This Row],[Ext-Year]],2),"-",MID(Master_ventas[[#This Row],[Category]],1,1))</f>
        <v>MON24-A</v>
      </c>
      <c r="N2500" t="str">
        <f>MID(Master_ventas[[#This Row],[ProdUpper]],1,3)</f>
        <v>MON</v>
      </c>
      <c r="O2500" t="str">
        <f>UPPER(IF(Master_ventas[[#This Row],[Profit]]&gt;500,"High","Std"))</f>
        <v>STD</v>
      </c>
      <c r="P2500">
        <v>2499</v>
      </c>
    </row>
    <row r="2501" spans="1:16" x14ac:dyDescent="0.3">
      <c r="A2501" s="1">
        <v>45541</v>
      </c>
      <c r="B2501" t="s">
        <v>17</v>
      </c>
      <c r="C2501" t="s">
        <v>14</v>
      </c>
      <c r="D2501" t="s">
        <v>12</v>
      </c>
      <c r="E2501">
        <v>5</v>
      </c>
      <c r="F2501" s="3">
        <v>5940</v>
      </c>
      <c r="G2501" s="2">
        <v>467.31</v>
      </c>
      <c r="H2501">
        <f>Master_ventas[[#This Row],[Profit]]/Master_ventas[[#This Row],[Sales]]</f>
        <v>7.867171717171717E-2</v>
      </c>
      <c r="I2501">
        <f ca="1">Referencia_Hoy-Master_ventas[[#This Row],[Order Date]]</f>
        <v>782</v>
      </c>
      <c r="J2501" t="str">
        <f>UPPER(Master_ventas[[#This Row],[Product Name]])</f>
        <v>CAMERA</v>
      </c>
      <c r="K2501" t="str">
        <f>UPPER(Master_ventas[[#This Row],[Category]])</f>
        <v>ELECTRONICS</v>
      </c>
      <c r="L2501">
        <f>YEAR(Master_ventas[[#This Row],[Order Date]])</f>
        <v>2024</v>
      </c>
      <c r="M2501" t="str">
        <f>CONCATENATE(LEFT(Master_ventas[[#This Row],[ProdUpper]],3),RIGHT(Master_ventas[[#This Row],[Ext-Year]],2),"-",MID(Master_ventas[[#This Row],[Category]],1,1))</f>
        <v>CAM24-E</v>
      </c>
      <c r="N2501" t="str">
        <f>MID(Master_ventas[[#This Row],[ProdUpper]],1,3)</f>
        <v>CAM</v>
      </c>
      <c r="O2501" t="str">
        <f>UPPER(IF(Master_ventas[[#This Row],[Profit]]&gt;500,"High","Std"))</f>
        <v>STD</v>
      </c>
      <c r="P2501">
        <v>2500</v>
      </c>
    </row>
    <row r="2502" spans="1:16" x14ac:dyDescent="0.3">
      <c r="A2502" s="1">
        <v>45084</v>
      </c>
      <c r="B2502" t="s">
        <v>19</v>
      </c>
      <c r="C2502" t="s">
        <v>14</v>
      </c>
      <c r="D2502" t="s">
        <v>12</v>
      </c>
      <c r="E2502">
        <v>6</v>
      </c>
      <c r="F2502" s="3">
        <v>2664</v>
      </c>
      <c r="G2502" s="2">
        <v>520.29999999999995</v>
      </c>
      <c r="H2502">
        <f>Master_ventas[[#This Row],[Profit]]/Master_ventas[[#This Row],[Sales]]</f>
        <v>0.19530780780780779</v>
      </c>
      <c r="I2502">
        <f ca="1">Referencia_Hoy-Master_ventas[[#This Row],[Order Date]]</f>
        <v>1239</v>
      </c>
      <c r="J2502" t="str">
        <f>UPPER(Master_ventas[[#This Row],[Product Name]])</f>
        <v>SMARTWATCH</v>
      </c>
      <c r="K2502" t="str">
        <f>UPPER(Master_ventas[[#This Row],[Category]])</f>
        <v>ELECTRONICS</v>
      </c>
      <c r="L2502">
        <f>YEAR(Master_ventas[[#This Row],[Order Date]])</f>
        <v>2023</v>
      </c>
      <c r="M2502" t="str">
        <f>CONCATENATE(LEFT(Master_ventas[[#This Row],[ProdUpper]],3),RIGHT(Master_ventas[[#This Row],[Ext-Year]],2),"-",MID(Master_ventas[[#This Row],[Category]],1,1))</f>
        <v>SMA23-E</v>
      </c>
      <c r="N2502" t="str">
        <f>MID(Master_ventas[[#This Row],[ProdUpper]],1,3)</f>
        <v>SMA</v>
      </c>
      <c r="O2502" t="str">
        <f>UPPER(IF(Master_ventas[[#This Row],[Profit]]&gt;500,"High","Std"))</f>
        <v>HIGH</v>
      </c>
      <c r="P2502">
        <v>2501</v>
      </c>
    </row>
    <row r="2503" spans="1:16" x14ac:dyDescent="0.3">
      <c r="A2503" s="1">
        <v>45394</v>
      </c>
      <c r="B2503" t="s">
        <v>18</v>
      </c>
      <c r="C2503" t="s">
        <v>11</v>
      </c>
      <c r="D2503" t="s">
        <v>12</v>
      </c>
      <c r="E2503">
        <v>2</v>
      </c>
      <c r="F2503" s="3">
        <v>1198</v>
      </c>
      <c r="G2503" s="2">
        <v>134.38999999999999</v>
      </c>
      <c r="H2503">
        <f>Master_ventas[[#This Row],[Profit]]/Master_ventas[[#This Row],[Sales]]</f>
        <v>0.11217863105175291</v>
      </c>
      <c r="I2503">
        <f ca="1">Referencia_Hoy-Master_ventas[[#This Row],[Order Date]]</f>
        <v>929</v>
      </c>
      <c r="J2503" t="str">
        <f>UPPER(Master_ventas[[#This Row],[Product Name]])</f>
        <v>HEADPHONES</v>
      </c>
      <c r="K2503" t="str">
        <f>UPPER(Master_ventas[[#This Row],[Category]])</f>
        <v>ACCESSORIES</v>
      </c>
      <c r="L2503">
        <f>YEAR(Master_ventas[[#This Row],[Order Date]])</f>
        <v>2024</v>
      </c>
      <c r="M2503" t="str">
        <f>CONCATENATE(LEFT(Master_ventas[[#This Row],[ProdUpper]],3),RIGHT(Master_ventas[[#This Row],[Ext-Year]],2),"-",MID(Master_ventas[[#This Row],[Category]],1,1))</f>
        <v>HEA24-A</v>
      </c>
      <c r="N2503" t="str">
        <f>MID(Master_ventas[[#This Row],[ProdUpper]],1,3)</f>
        <v>HEA</v>
      </c>
      <c r="O2503" t="str">
        <f>UPPER(IF(Master_ventas[[#This Row],[Profit]]&gt;500,"High","Std"))</f>
        <v>STD</v>
      </c>
      <c r="P2503">
        <v>2502</v>
      </c>
    </row>
    <row r="2504" spans="1:16" x14ac:dyDescent="0.3">
      <c r="A2504" s="1">
        <v>45526</v>
      </c>
      <c r="B2504" t="s">
        <v>18</v>
      </c>
      <c r="C2504" t="s">
        <v>11</v>
      </c>
      <c r="D2504" t="s">
        <v>9</v>
      </c>
      <c r="E2504">
        <v>4</v>
      </c>
      <c r="F2504" s="3">
        <v>1340</v>
      </c>
      <c r="G2504" s="2">
        <v>309.8</v>
      </c>
      <c r="H2504">
        <f>Master_ventas[[#This Row],[Profit]]/Master_ventas[[#This Row],[Sales]]</f>
        <v>0.23119402985074627</v>
      </c>
      <c r="I2504">
        <f ca="1">Referencia_Hoy-Master_ventas[[#This Row],[Order Date]]</f>
        <v>797</v>
      </c>
      <c r="J2504" t="str">
        <f>UPPER(Master_ventas[[#This Row],[Product Name]])</f>
        <v>HEADPHONES</v>
      </c>
      <c r="K2504" t="str">
        <f>UPPER(Master_ventas[[#This Row],[Category]])</f>
        <v>ACCESSORIES</v>
      </c>
      <c r="L2504">
        <f>YEAR(Master_ventas[[#This Row],[Order Date]])</f>
        <v>2024</v>
      </c>
      <c r="M2504" t="str">
        <f>CONCATENATE(LEFT(Master_ventas[[#This Row],[ProdUpper]],3),RIGHT(Master_ventas[[#This Row],[Ext-Year]],2),"-",MID(Master_ventas[[#This Row],[Category]],1,1))</f>
        <v>HEA24-A</v>
      </c>
      <c r="N2504" t="str">
        <f>MID(Master_ventas[[#This Row],[ProdUpper]],1,3)</f>
        <v>HEA</v>
      </c>
      <c r="O2504" t="str">
        <f>UPPER(IF(Master_ventas[[#This Row],[Profit]]&gt;500,"High","Std"))</f>
        <v>STD</v>
      </c>
      <c r="P2504">
        <v>2503</v>
      </c>
    </row>
    <row r="2505" spans="1:16" x14ac:dyDescent="0.3">
      <c r="A2505" s="1">
        <v>44849</v>
      </c>
      <c r="B2505" t="s">
        <v>20</v>
      </c>
      <c r="C2505" t="s">
        <v>11</v>
      </c>
      <c r="D2505" t="s">
        <v>12</v>
      </c>
      <c r="E2505">
        <v>9</v>
      </c>
      <c r="F2505" s="3">
        <v>9657</v>
      </c>
      <c r="G2505" s="2">
        <v>1233.47</v>
      </c>
      <c r="H2505">
        <f>Master_ventas[[#This Row],[Profit]]/Master_ventas[[#This Row],[Sales]]</f>
        <v>0.12772807290048668</v>
      </c>
      <c r="I2505">
        <f ca="1">Referencia_Hoy-Master_ventas[[#This Row],[Order Date]]</f>
        <v>1474</v>
      </c>
      <c r="J2505" t="str">
        <f>UPPER(Master_ventas[[#This Row],[Product Name]])</f>
        <v>MONITOR</v>
      </c>
      <c r="K2505" t="str">
        <f>UPPER(Master_ventas[[#This Row],[Category]])</f>
        <v>ACCESSORIES</v>
      </c>
      <c r="L2505">
        <f>YEAR(Master_ventas[[#This Row],[Order Date]])</f>
        <v>2022</v>
      </c>
      <c r="M2505" t="str">
        <f>CONCATENATE(LEFT(Master_ventas[[#This Row],[ProdUpper]],3),RIGHT(Master_ventas[[#This Row],[Ext-Year]],2),"-",MID(Master_ventas[[#This Row],[Category]],1,1))</f>
        <v>MON22-A</v>
      </c>
      <c r="N2505" t="str">
        <f>MID(Master_ventas[[#This Row],[ProdUpper]],1,3)</f>
        <v>MON</v>
      </c>
      <c r="O2505" t="str">
        <f>UPPER(IF(Master_ventas[[#This Row],[Profit]]&gt;500,"High","Std"))</f>
        <v>HIGH</v>
      </c>
      <c r="P2505">
        <v>2504</v>
      </c>
    </row>
    <row r="2506" spans="1:16" x14ac:dyDescent="0.3">
      <c r="A2506" s="1">
        <v>44740</v>
      </c>
      <c r="B2506" t="s">
        <v>17</v>
      </c>
      <c r="C2506" t="s">
        <v>14</v>
      </c>
      <c r="D2506" t="s">
        <v>9</v>
      </c>
      <c r="E2506">
        <v>8</v>
      </c>
      <c r="F2506" s="3">
        <v>2592</v>
      </c>
      <c r="G2506" s="2">
        <v>191.66</v>
      </c>
      <c r="H2506">
        <f>Master_ventas[[#This Row],[Profit]]/Master_ventas[[#This Row],[Sales]]</f>
        <v>7.3942901234567898E-2</v>
      </c>
      <c r="I2506">
        <f ca="1">Referencia_Hoy-Master_ventas[[#This Row],[Order Date]]</f>
        <v>1583</v>
      </c>
      <c r="J2506" t="str">
        <f>UPPER(Master_ventas[[#This Row],[Product Name]])</f>
        <v>CAMERA</v>
      </c>
      <c r="K2506" t="str">
        <f>UPPER(Master_ventas[[#This Row],[Category]])</f>
        <v>ELECTRONICS</v>
      </c>
      <c r="L2506">
        <f>YEAR(Master_ventas[[#This Row],[Order Date]])</f>
        <v>2022</v>
      </c>
      <c r="M2506" t="str">
        <f>CONCATENATE(LEFT(Master_ventas[[#This Row],[ProdUpper]],3),RIGHT(Master_ventas[[#This Row],[Ext-Year]],2),"-",MID(Master_ventas[[#This Row],[Category]],1,1))</f>
        <v>CAM22-E</v>
      </c>
      <c r="N2506" t="str">
        <f>MID(Master_ventas[[#This Row],[ProdUpper]],1,3)</f>
        <v>CAM</v>
      </c>
      <c r="O2506" t="str">
        <f>UPPER(IF(Master_ventas[[#This Row],[Profit]]&gt;500,"High","Std"))</f>
        <v>STD</v>
      </c>
      <c r="P2506">
        <v>2505</v>
      </c>
    </row>
    <row r="2507" spans="1:16" x14ac:dyDescent="0.3">
      <c r="A2507" s="1">
        <v>45087</v>
      </c>
      <c r="B2507" t="s">
        <v>17</v>
      </c>
      <c r="C2507" t="s">
        <v>14</v>
      </c>
      <c r="D2507" t="s">
        <v>16</v>
      </c>
      <c r="E2507">
        <v>4</v>
      </c>
      <c r="F2507" s="3">
        <v>1168</v>
      </c>
      <c r="G2507" s="2">
        <v>135.36000000000001</v>
      </c>
      <c r="H2507">
        <f>Master_ventas[[#This Row],[Profit]]/Master_ventas[[#This Row],[Sales]]</f>
        <v>0.11589041095890412</v>
      </c>
      <c r="I2507">
        <f ca="1">Referencia_Hoy-Master_ventas[[#This Row],[Order Date]]</f>
        <v>1236</v>
      </c>
      <c r="J2507" t="str">
        <f>UPPER(Master_ventas[[#This Row],[Product Name]])</f>
        <v>CAMERA</v>
      </c>
      <c r="K2507" t="str">
        <f>UPPER(Master_ventas[[#This Row],[Category]])</f>
        <v>ELECTRONICS</v>
      </c>
      <c r="L2507">
        <f>YEAR(Master_ventas[[#This Row],[Order Date]])</f>
        <v>2023</v>
      </c>
      <c r="M2507" t="str">
        <f>CONCATENATE(LEFT(Master_ventas[[#This Row],[ProdUpper]],3),RIGHT(Master_ventas[[#This Row],[Ext-Year]],2),"-",MID(Master_ventas[[#This Row],[Category]],1,1))</f>
        <v>CAM23-E</v>
      </c>
      <c r="N2507" t="str">
        <f>MID(Master_ventas[[#This Row],[ProdUpper]],1,3)</f>
        <v>CAM</v>
      </c>
      <c r="O2507" t="str">
        <f>UPPER(IF(Master_ventas[[#This Row],[Profit]]&gt;500,"High","Std"))</f>
        <v>STD</v>
      </c>
      <c r="P2507">
        <v>2506</v>
      </c>
    </row>
    <row r="2508" spans="1:16" x14ac:dyDescent="0.3">
      <c r="A2508" s="1">
        <v>45008</v>
      </c>
      <c r="B2508" t="s">
        <v>18</v>
      </c>
      <c r="C2508" t="s">
        <v>11</v>
      </c>
      <c r="D2508" t="s">
        <v>15</v>
      </c>
      <c r="E2508">
        <v>8</v>
      </c>
      <c r="F2508" s="3">
        <v>5920</v>
      </c>
      <c r="G2508" s="2">
        <v>1241.27</v>
      </c>
      <c r="H2508">
        <f>Master_ventas[[#This Row],[Profit]]/Master_ventas[[#This Row],[Sales]]</f>
        <v>0.2096739864864865</v>
      </c>
      <c r="I2508">
        <f ca="1">Referencia_Hoy-Master_ventas[[#This Row],[Order Date]]</f>
        <v>1315</v>
      </c>
      <c r="J2508" t="str">
        <f>UPPER(Master_ventas[[#This Row],[Product Name]])</f>
        <v>HEADPHONES</v>
      </c>
      <c r="K2508" t="str">
        <f>UPPER(Master_ventas[[#This Row],[Category]])</f>
        <v>ACCESSORIES</v>
      </c>
      <c r="L2508">
        <f>YEAR(Master_ventas[[#This Row],[Order Date]])</f>
        <v>2023</v>
      </c>
      <c r="M2508" t="str">
        <f>CONCATENATE(LEFT(Master_ventas[[#This Row],[ProdUpper]],3),RIGHT(Master_ventas[[#This Row],[Ext-Year]],2),"-",MID(Master_ventas[[#This Row],[Category]],1,1))</f>
        <v>HEA23-A</v>
      </c>
      <c r="N2508" t="str">
        <f>MID(Master_ventas[[#This Row],[ProdUpper]],1,3)</f>
        <v>HEA</v>
      </c>
      <c r="O2508" t="str">
        <f>UPPER(IF(Master_ventas[[#This Row],[Profit]]&gt;500,"High","Std"))</f>
        <v>HIGH</v>
      </c>
      <c r="P2508">
        <v>2507</v>
      </c>
    </row>
    <row r="2509" spans="1:16" x14ac:dyDescent="0.3">
      <c r="A2509" s="1">
        <v>44609</v>
      </c>
      <c r="B2509" t="s">
        <v>21</v>
      </c>
      <c r="C2509" t="s">
        <v>14</v>
      </c>
      <c r="D2509" t="s">
        <v>16</v>
      </c>
      <c r="E2509">
        <v>2</v>
      </c>
      <c r="F2509" s="3">
        <v>2260</v>
      </c>
      <c r="G2509" s="2">
        <v>268.47000000000003</v>
      </c>
      <c r="H2509">
        <f>Master_ventas[[#This Row],[Profit]]/Master_ventas[[#This Row],[Sales]]</f>
        <v>0.11879203539823011</v>
      </c>
      <c r="I2509">
        <f ca="1">Referencia_Hoy-Master_ventas[[#This Row],[Order Date]]</f>
        <v>1714</v>
      </c>
      <c r="J2509" t="str">
        <f>UPPER(Master_ventas[[#This Row],[Product Name]])</f>
        <v>SMARTPHONE</v>
      </c>
      <c r="K2509" t="str">
        <f>UPPER(Master_ventas[[#This Row],[Category]])</f>
        <v>ELECTRONICS</v>
      </c>
      <c r="L2509">
        <f>YEAR(Master_ventas[[#This Row],[Order Date]])</f>
        <v>2022</v>
      </c>
      <c r="M2509" t="str">
        <f>CONCATENATE(LEFT(Master_ventas[[#This Row],[ProdUpper]],3),RIGHT(Master_ventas[[#This Row],[Ext-Year]],2),"-",MID(Master_ventas[[#This Row],[Category]],1,1))</f>
        <v>SMA22-E</v>
      </c>
      <c r="N2509" t="str">
        <f>MID(Master_ventas[[#This Row],[ProdUpper]],1,3)</f>
        <v>SMA</v>
      </c>
      <c r="O2509" t="str">
        <f>UPPER(IF(Master_ventas[[#This Row],[Profit]]&gt;500,"High","Std"))</f>
        <v>STD</v>
      </c>
      <c r="P2509">
        <v>2508</v>
      </c>
    </row>
    <row r="2510" spans="1:16" x14ac:dyDescent="0.3">
      <c r="A2510" s="1">
        <v>45188</v>
      </c>
      <c r="B2510" t="s">
        <v>7</v>
      </c>
      <c r="C2510" t="s">
        <v>8</v>
      </c>
      <c r="D2510" t="s">
        <v>16</v>
      </c>
      <c r="E2510">
        <v>8</v>
      </c>
      <c r="F2510" s="3">
        <v>7016</v>
      </c>
      <c r="G2510" s="2">
        <v>1490.07</v>
      </c>
      <c r="H2510">
        <f>Master_ventas[[#This Row],[Profit]]/Master_ventas[[#This Row],[Sales]]</f>
        <v>0.21238169897377421</v>
      </c>
      <c r="I2510">
        <f ca="1">Referencia_Hoy-Master_ventas[[#This Row],[Order Date]]</f>
        <v>1135</v>
      </c>
      <c r="J2510" t="str">
        <f>UPPER(Master_ventas[[#This Row],[Product Name]])</f>
        <v>PRINTER</v>
      </c>
      <c r="K2510" t="str">
        <f>UPPER(Master_ventas[[#This Row],[Category]])</f>
        <v>OFFICE</v>
      </c>
      <c r="L2510">
        <f>YEAR(Master_ventas[[#This Row],[Order Date]])</f>
        <v>2023</v>
      </c>
      <c r="M2510" t="str">
        <f>CONCATENATE(LEFT(Master_ventas[[#This Row],[ProdUpper]],3),RIGHT(Master_ventas[[#This Row],[Ext-Year]],2),"-",MID(Master_ventas[[#This Row],[Category]],1,1))</f>
        <v>PRI23-O</v>
      </c>
      <c r="N2510" t="str">
        <f>MID(Master_ventas[[#This Row],[ProdUpper]],1,3)</f>
        <v>PRI</v>
      </c>
      <c r="O2510" t="str">
        <f>UPPER(IF(Master_ventas[[#This Row],[Profit]]&gt;500,"High","Std"))</f>
        <v>HIGH</v>
      </c>
      <c r="P2510">
        <v>2509</v>
      </c>
    </row>
    <row r="2511" spans="1:16" x14ac:dyDescent="0.3">
      <c r="A2511" s="1">
        <v>45380</v>
      </c>
      <c r="B2511" t="s">
        <v>18</v>
      </c>
      <c r="C2511" t="s">
        <v>11</v>
      </c>
      <c r="D2511" t="s">
        <v>9</v>
      </c>
      <c r="E2511">
        <v>6</v>
      </c>
      <c r="F2511" s="3">
        <v>546</v>
      </c>
      <c r="G2511" s="2">
        <v>79.94</v>
      </c>
      <c r="H2511">
        <f>Master_ventas[[#This Row],[Profit]]/Master_ventas[[#This Row],[Sales]]</f>
        <v>0.1464102564102564</v>
      </c>
      <c r="I2511">
        <f ca="1">Referencia_Hoy-Master_ventas[[#This Row],[Order Date]]</f>
        <v>943</v>
      </c>
      <c r="J2511" t="str">
        <f>UPPER(Master_ventas[[#This Row],[Product Name]])</f>
        <v>HEADPHONES</v>
      </c>
      <c r="K2511" t="str">
        <f>UPPER(Master_ventas[[#This Row],[Category]])</f>
        <v>ACCESSORIES</v>
      </c>
      <c r="L2511">
        <f>YEAR(Master_ventas[[#This Row],[Order Date]])</f>
        <v>2024</v>
      </c>
      <c r="M2511" t="str">
        <f>CONCATENATE(LEFT(Master_ventas[[#This Row],[ProdUpper]],3),RIGHT(Master_ventas[[#This Row],[Ext-Year]],2),"-",MID(Master_ventas[[#This Row],[Category]],1,1))</f>
        <v>HEA24-A</v>
      </c>
      <c r="N2511" t="str">
        <f>MID(Master_ventas[[#This Row],[ProdUpper]],1,3)</f>
        <v>HEA</v>
      </c>
      <c r="O2511" t="str">
        <f>UPPER(IF(Master_ventas[[#This Row],[Profit]]&gt;500,"High","Std"))</f>
        <v>STD</v>
      </c>
      <c r="P2511">
        <v>2510</v>
      </c>
    </row>
    <row r="2512" spans="1:16" x14ac:dyDescent="0.3">
      <c r="A2512" s="1">
        <v>45628</v>
      </c>
      <c r="B2512" t="s">
        <v>23</v>
      </c>
      <c r="C2512" t="s">
        <v>14</v>
      </c>
      <c r="D2512" t="s">
        <v>12</v>
      </c>
      <c r="E2512">
        <v>1</v>
      </c>
      <c r="F2512" s="3">
        <v>839</v>
      </c>
      <c r="G2512" s="2">
        <v>228.72</v>
      </c>
      <c r="H2512">
        <f>Master_ventas[[#This Row],[Profit]]/Master_ventas[[#This Row],[Sales]]</f>
        <v>0.27261025029797376</v>
      </c>
      <c r="I2512">
        <f ca="1">Referencia_Hoy-Master_ventas[[#This Row],[Order Date]]</f>
        <v>695</v>
      </c>
      <c r="J2512" t="str">
        <f>UPPER(Master_ventas[[#This Row],[Product Name]])</f>
        <v>LAPTOP</v>
      </c>
      <c r="K2512" t="str">
        <f>UPPER(Master_ventas[[#This Row],[Category]])</f>
        <v>ELECTRONICS</v>
      </c>
      <c r="L2512">
        <f>YEAR(Master_ventas[[#This Row],[Order Date]])</f>
        <v>2024</v>
      </c>
      <c r="M2512" t="str">
        <f>CONCATENATE(LEFT(Master_ventas[[#This Row],[ProdUpper]],3),RIGHT(Master_ventas[[#This Row],[Ext-Year]],2),"-",MID(Master_ventas[[#This Row],[Category]],1,1))</f>
        <v>LAP24-E</v>
      </c>
      <c r="N2512" t="str">
        <f>MID(Master_ventas[[#This Row],[ProdUpper]],1,3)</f>
        <v>LAP</v>
      </c>
      <c r="O2512" t="str">
        <f>UPPER(IF(Master_ventas[[#This Row],[Profit]]&gt;500,"High","Std"))</f>
        <v>STD</v>
      </c>
      <c r="P2512">
        <v>2511</v>
      </c>
    </row>
    <row r="2513" spans="1:16" x14ac:dyDescent="0.3">
      <c r="A2513" s="1">
        <v>45497</v>
      </c>
      <c r="B2513" t="s">
        <v>13</v>
      </c>
      <c r="C2513" t="s">
        <v>14</v>
      </c>
      <c r="D2513" t="s">
        <v>15</v>
      </c>
      <c r="E2513">
        <v>8</v>
      </c>
      <c r="F2513" s="3">
        <v>5176</v>
      </c>
      <c r="G2513" s="2">
        <v>619.45000000000005</v>
      </c>
      <c r="H2513">
        <f>Master_ventas[[#This Row],[Profit]]/Master_ventas[[#This Row],[Sales]]</f>
        <v>0.11967735703245751</v>
      </c>
      <c r="I2513">
        <f ca="1">Referencia_Hoy-Master_ventas[[#This Row],[Order Date]]</f>
        <v>826</v>
      </c>
      <c r="J2513" t="str">
        <f>UPPER(Master_ventas[[#This Row],[Product Name]])</f>
        <v>TABLET</v>
      </c>
      <c r="K2513" t="str">
        <f>UPPER(Master_ventas[[#This Row],[Category]])</f>
        <v>ELECTRONICS</v>
      </c>
      <c r="L2513">
        <f>YEAR(Master_ventas[[#This Row],[Order Date]])</f>
        <v>2024</v>
      </c>
      <c r="M2513" t="str">
        <f>CONCATENATE(LEFT(Master_ventas[[#This Row],[ProdUpper]],3),RIGHT(Master_ventas[[#This Row],[Ext-Year]],2),"-",MID(Master_ventas[[#This Row],[Category]],1,1))</f>
        <v>TAB24-E</v>
      </c>
      <c r="N2513" t="str">
        <f>MID(Master_ventas[[#This Row],[ProdUpper]],1,3)</f>
        <v>TAB</v>
      </c>
      <c r="O2513" t="str">
        <f>UPPER(IF(Master_ventas[[#This Row],[Profit]]&gt;500,"High","Std"))</f>
        <v>HIGH</v>
      </c>
      <c r="P2513">
        <v>2512</v>
      </c>
    </row>
    <row r="2514" spans="1:16" x14ac:dyDescent="0.3">
      <c r="A2514" s="1">
        <v>45018</v>
      </c>
      <c r="B2514" t="s">
        <v>23</v>
      </c>
      <c r="C2514" t="s">
        <v>14</v>
      </c>
      <c r="D2514" t="s">
        <v>16</v>
      </c>
      <c r="E2514">
        <v>4</v>
      </c>
      <c r="F2514" s="3">
        <v>280</v>
      </c>
      <c r="G2514" s="2">
        <v>24.9</v>
      </c>
      <c r="H2514">
        <f>Master_ventas[[#This Row],[Profit]]/Master_ventas[[#This Row],[Sales]]</f>
        <v>8.8928571428571426E-2</v>
      </c>
      <c r="I2514">
        <f ca="1">Referencia_Hoy-Master_ventas[[#This Row],[Order Date]]</f>
        <v>1305</v>
      </c>
      <c r="J2514" t="str">
        <f>UPPER(Master_ventas[[#This Row],[Product Name]])</f>
        <v>LAPTOP</v>
      </c>
      <c r="K2514" t="str">
        <f>UPPER(Master_ventas[[#This Row],[Category]])</f>
        <v>ELECTRONICS</v>
      </c>
      <c r="L2514">
        <f>YEAR(Master_ventas[[#This Row],[Order Date]])</f>
        <v>2023</v>
      </c>
      <c r="M2514" t="str">
        <f>CONCATENATE(LEFT(Master_ventas[[#This Row],[ProdUpper]],3),RIGHT(Master_ventas[[#This Row],[Ext-Year]],2),"-",MID(Master_ventas[[#This Row],[Category]],1,1))</f>
        <v>LAP23-E</v>
      </c>
      <c r="N2514" t="str">
        <f>MID(Master_ventas[[#This Row],[ProdUpper]],1,3)</f>
        <v>LAP</v>
      </c>
      <c r="O2514" t="str">
        <f>UPPER(IF(Master_ventas[[#This Row],[Profit]]&gt;500,"High","Std"))</f>
        <v>STD</v>
      </c>
      <c r="P2514">
        <v>2513</v>
      </c>
    </row>
    <row r="2515" spans="1:16" x14ac:dyDescent="0.3">
      <c r="A2515" s="1">
        <v>45654</v>
      </c>
      <c r="B2515" t="s">
        <v>20</v>
      </c>
      <c r="C2515" t="s">
        <v>11</v>
      </c>
      <c r="D2515" t="s">
        <v>9</v>
      </c>
      <c r="E2515">
        <v>9</v>
      </c>
      <c r="F2515" s="3">
        <v>2097</v>
      </c>
      <c r="G2515" s="2">
        <v>210.59</v>
      </c>
      <c r="H2515">
        <f>Master_ventas[[#This Row],[Profit]]/Master_ventas[[#This Row],[Sales]]</f>
        <v>0.10042441583214115</v>
      </c>
      <c r="I2515">
        <f ca="1">Referencia_Hoy-Master_ventas[[#This Row],[Order Date]]</f>
        <v>669</v>
      </c>
      <c r="J2515" t="str">
        <f>UPPER(Master_ventas[[#This Row],[Product Name]])</f>
        <v>MONITOR</v>
      </c>
      <c r="K2515" t="str">
        <f>UPPER(Master_ventas[[#This Row],[Category]])</f>
        <v>ACCESSORIES</v>
      </c>
      <c r="L2515">
        <f>YEAR(Master_ventas[[#This Row],[Order Date]])</f>
        <v>2024</v>
      </c>
      <c r="M2515" t="str">
        <f>CONCATENATE(LEFT(Master_ventas[[#This Row],[ProdUpper]],3),RIGHT(Master_ventas[[#This Row],[Ext-Year]],2),"-",MID(Master_ventas[[#This Row],[Category]],1,1))</f>
        <v>MON24-A</v>
      </c>
      <c r="N2515" t="str">
        <f>MID(Master_ventas[[#This Row],[ProdUpper]],1,3)</f>
        <v>MON</v>
      </c>
      <c r="O2515" t="str">
        <f>UPPER(IF(Master_ventas[[#This Row],[Profit]]&gt;500,"High","Std"))</f>
        <v>STD</v>
      </c>
      <c r="P2515">
        <v>2514</v>
      </c>
    </row>
    <row r="2516" spans="1:16" x14ac:dyDescent="0.3">
      <c r="A2516" s="1">
        <v>45436</v>
      </c>
      <c r="B2516" t="s">
        <v>10</v>
      </c>
      <c r="C2516" t="s">
        <v>11</v>
      </c>
      <c r="D2516" t="s">
        <v>16</v>
      </c>
      <c r="E2516">
        <v>6</v>
      </c>
      <c r="F2516" s="3">
        <v>4632</v>
      </c>
      <c r="G2516" s="2">
        <v>799.16</v>
      </c>
      <c r="H2516">
        <f>Master_ventas[[#This Row],[Profit]]/Master_ventas[[#This Row],[Sales]]</f>
        <v>0.17253022452504316</v>
      </c>
      <c r="I2516">
        <f ca="1">Referencia_Hoy-Master_ventas[[#This Row],[Order Date]]</f>
        <v>887</v>
      </c>
      <c r="J2516" t="str">
        <f>UPPER(Master_ventas[[#This Row],[Product Name]])</f>
        <v>MOUSE</v>
      </c>
      <c r="K2516" t="str">
        <f>UPPER(Master_ventas[[#This Row],[Category]])</f>
        <v>ACCESSORIES</v>
      </c>
      <c r="L2516">
        <f>YEAR(Master_ventas[[#This Row],[Order Date]])</f>
        <v>2024</v>
      </c>
      <c r="M2516" t="str">
        <f>CONCATENATE(LEFT(Master_ventas[[#This Row],[ProdUpper]],3),RIGHT(Master_ventas[[#This Row],[Ext-Year]],2),"-",MID(Master_ventas[[#This Row],[Category]],1,1))</f>
        <v>MOU24-A</v>
      </c>
      <c r="N2516" t="str">
        <f>MID(Master_ventas[[#This Row],[ProdUpper]],1,3)</f>
        <v>MOU</v>
      </c>
      <c r="O2516" t="str">
        <f>UPPER(IF(Master_ventas[[#This Row],[Profit]]&gt;500,"High","Std"))</f>
        <v>HIGH</v>
      </c>
      <c r="P2516">
        <v>2515</v>
      </c>
    </row>
    <row r="2517" spans="1:16" x14ac:dyDescent="0.3">
      <c r="A2517" s="1">
        <v>44966</v>
      </c>
      <c r="B2517" t="s">
        <v>22</v>
      </c>
      <c r="C2517" t="s">
        <v>11</v>
      </c>
      <c r="D2517" t="s">
        <v>9</v>
      </c>
      <c r="E2517">
        <v>4</v>
      </c>
      <c r="F2517" s="3">
        <v>1088</v>
      </c>
      <c r="G2517" s="2">
        <v>283.61</v>
      </c>
      <c r="H2517">
        <f>Master_ventas[[#This Row],[Profit]]/Master_ventas[[#This Row],[Sales]]</f>
        <v>0.26067095588235295</v>
      </c>
      <c r="I2517">
        <f ca="1">Referencia_Hoy-Master_ventas[[#This Row],[Order Date]]</f>
        <v>1357</v>
      </c>
      <c r="J2517" t="str">
        <f>UPPER(Master_ventas[[#This Row],[Product Name]])</f>
        <v>KEYBOARD</v>
      </c>
      <c r="K2517" t="str">
        <f>UPPER(Master_ventas[[#This Row],[Category]])</f>
        <v>ACCESSORIES</v>
      </c>
      <c r="L2517">
        <f>YEAR(Master_ventas[[#This Row],[Order Date]])</f>
        <v>2023</v>
      </c>
      <c r="M2517" t="str">
        <f>CONCATENATE(LEFT(Master_ventas[[#This Row],[ProdUpper]],3),RIGHT(Master_ventas[[#This Row],[Ext-Year]],2),"-",MID(Master_ventas[[#This Row],[Category]],1,1))</f>
        <v>KEY23-A</v>
      </c>
      <c r="N2517" t="str">
        <f>MID(Master_ventas[[#This Row],[ProdUpper]],1,3)</f>
        <v>KEY</v>
      </c>
      <c r="O2517" t="str">
        <f>UPPER(IF(Master_ventas[[#This Row],[Profit]]&gt;500,"High","Std"))</f>
        <v>STD</v>
      </c>
      <c r="P2517">
        <v>2516</v>
      </c>
    </row>
    <row r="2518" spans="1:16" x14ac:dyDescent="0.3">
      <c r="A2518" s="1">
        <v>45186</v>
      </c>
      <c r="B2518" t="s">
        <v>17</v>
      </c>
      <c r="C2518" t="s">
        <v>14</v>
      </c>
      <c r="D2518" t="s">
        <v>9</v>
      </c>
      <c r="E2518">
        <v>2</v>
      </c>
      <c r="F2518" s="3">
        <v>1314</v>
      </c>
      <c r="G2518" s="2">
        <v>391.55</v>
      </c>
      <c r="H2518">
        <f>Master_ventas[[#This Row],[Profit]]/Master_ventas[[#This Row],[Sales]]</f>
        <v>0.2979832572298326</v>
      </c>
      <c r="I2518">
        <f ca="1">Referencia_Hoy-Master_ventas[[#This Row],[Order Date]]</f>
        <v>1137</v>
      </c>
      <c r="J2518" t="str">
        <f>UPPER(Master_ventas[[#This Row],[Product Name]])</f>
        <v>CAMERA</v>
      </c>
      <c r="K2518" t="str">
        <f>UPPER(Master_ventas[[#This Row],[Category]])</f>
        <v>ELECTRONICS</v>
      </c>
      <c r="L2518">
        <f>YEAR(Master_ventas[[#This Row],[Order Date]])</f>
        <v>2023</v>
      </c>
      <c r="M2518" t="str">
        <f>CONCATENATE(LEFT(Master_ventas[[#This Row],[ProdUpper]],3),RIGHT(Master_ventas[[#This Row],[Ext-Year]],2),"-",MID(Master_ventas[[#This Row],[Category]],1,1))</f>
        <v>CAM23-E</v>
      </c>
      <c r="N2518" t="str">
        <f>MID(Master_ventas[[#This Row],[ProdUpper]],1,3)</f>
        <v>CAM</v>
      </c>
      <c r="O2518" t="str">
        <f>UPPER(IF(Master_ventas[[#This Row],[Profit]]&gt;500,"High","Std"))</f>
        <v>STD</v>
      </c>
      <c r="P2518">
        <v>2517</v>
      </c>
    </row>
    <row r="2519" spans="1:16" x14ac:dyDescent="0.3">
      <c r="A2519" s="1">
        <v>45053</v>
      </c>
      <c r="B2519" t="s">
        <v>10</v>
      </c>
      <c r="C2519" t="s">
        <v>11</v>
      </c>
      <c r="D2519" t="s">
        <v>9</v>
      </c>
      <c r="E2519">
        <v>8</v>
      </c>
      <c r="F2519" s="3">
        <v>7960</v>
      </c>
      <c r="G2519" s="2">
        <v>804.11</v>
      </c>
      <c r="H2519">
        <f>Master_ventas[[#This Row],[Profit]]/Master_ventas[[#This Row],[Sales]]</f>
        <v>0.10101884422110553</v>
      </c>
      <c r="I2519">
        <f ca="1">Referencia_Hoy-Master_ventas[[#This Row],[Order Date]]</f>
        <v>1270</v>
      </c>
      <c r="J2519" t="str">
        <f>UPPER(Master_ventas[[#This Row],[Product Name]])</f>
        <v>MOUSE</v>
      </c>
      <c r="K2519" t="str">
        <f>UPPER(Master_ventas[[#This Row],[Category]])</f>
        <v>ACCESSORIES</v>
      </c>
      <c r="L2519">
        <f>YEAR(Master_ventas[[#This Row],[Order Date]])</f>
        <v>2023</v>
      </c>
      <c r="M2519" t="str">
        <f>CONCATENATE(LEFT(Master_ventas[[#This Row],[ProdUpper]],3),RIGHT(Master_ventas[[#This Row],[Ext-Year]],2),"-",MID(Master_ventas[[#This Row],[Category]],1,1))</f>
        <v>MOU23-A</v>
      </c>
      <c r="N2519" t="str">
        <f>MID(Master_ventas[[#This Row],[ProdUpper]],1,3)</f>
        <v>MOU</v>
      </c>
      <c r="O2519" t="str">
        <f>UPPER(IF(Master_ventas[[#This Row],[Profit]]&gt;500,"High","Std"))</f>
        <v>HIGH</v>
      </c>
      <c r="P2519">
        <v>2518</v>
      </c>
    </row>
    <row r="2520" spans="1:16" x14ac:dyDescent="0.3">
      <c r="A2520" s="1">
        <v>45252</v>
      </c>
      <c r="B2520" t="s">
        <v>7</v>
      </c>
      <c r="C2520" t="s">
        <v>8</v>
      </c>
      <c r="D2520" t="s">
        <v>9</v>
      </c>
      <c r="E2520">
        <v>8</v>
      </c>
      <c r="F2520" s="3">
        <v>2856</v>
      </c>
      <c r="G2520" s="2">
        <v>350.32</v>
      </c>
      <c r="H2520">
        <f>Master_ventas[[#This Row],[Profit]]/Master_ventas[[#This Row],[Sales]]</f>
        <v>0.12266106442577031</v>
      </c>
      <c r="I2520">
        <f ca="1">Referencia_Hoy-Master_ventas[[#This Row],[Order Date]]</f>
        <v>1071</v>
      </c>
      <c r="J2520" t="str">
        <f>UPPER(Master_ventas[[#This Row],[Product Name]])</f>
        <v>PRINTER</v>
      </c>
      <c r="K2520" t="str">
        <f>UPPER(Master_ventas[[#This Row],[Category]])</f>
        <v>OFFICE</v>
      </c>
      <c r="L2520">
        <f>YEAR(Master_ventas[[#This Row],[Order Date]])</f>
        <v>2023</v>
      </c>
      <c r="M2520" t="str">
        <f>CONCATENATE(LEFT(Master_ventas[[#This Row],[ProdUpper]],3),RIGHT(Master_ventas[[#This Row],[Ext-Year]],2),"-",MID(Master_ventas[[#This Row],[Category]],1,1))</f>
        <v>PRI23-O</v>
      </c>
      <c r="N2520" t="str">
        <f>MID(Master_ventas[[#This Row],[ProdUpper]],1,3)</f>
        <v>PRI</v>
      </c>
      <c r="O2520" t="str">
        <f>UPPER(IF(Master_ventas[[#This Row],[Profit]]&gt;500,"High","Std"))</f>
        <v>STD</v>
      </c>
      <c r="P2520">
        <v>2519</v>
      </c>
    </row>
    <row r="2521" spans="1:16" x14ac:dyDescent="0.3">
      <c r="A2521" s="1">
        <v>44728</v>
      </c>
      <c r="B2521" t="s">
        <v>19</v>
      </c>
      <c r="C2521" t="s">
        <v>14</v>
      </c>
      <c r="D2521" t="s">
        <v>16</v>
      </c>
      <c r="E2521">
        <v>4</v>
      </c>
      <c r="F2521" s="3">
        <v>1680</v>
      </c>
      <c r="G2521" s="2">
        <v>385.92</v>
      </c>
      <c r="H2521">
        <f>Master_ventas[[#This Row],[Profit]]/Master_ventas[[#This Row],[Sales]]</f>
        <v>0.22971428571428573</v>
      </c>
      <c r="I2521">
        <f ca="1">Referencia_Hoy-Master_ventas[[#This Row],[Order Date]]</f>
        <v>1595</v>
      </c>
      <c r="J2521" t="str">
        <f>UPPER(Master_ventas[[#This Row],[Product Name]])</f>
        <v>SMARTWATCH</v>
      </c>
      <c r="K2521" t="str">
        <f>UPPER(Master_ventas[[#This Row],[Category]])</f>
        <v>ELECTRONICS</v>
      </c>
      <c r="L2521">
        <f>YEAR(Master_ventas[[#This Row],[Order Date]])</f>
        <v>2022</v>
      </c>
      <c r="M2521" t="str">
        <f>CONCATENATE(LEFT(Master_ventas[[#This Row],[ProdUpper]],3),RIGHT(Master_ventas[[#This Row],[Ext-Year]],2),"-",MID(Master_ventas[[#This Row],[Category]],1,1))</f>
        <v>SMA22-E</v>
      </c>
      <c r="N2521" t="str">
        <f>MID(Master_ventas[[#This Row],[ProdUpper]],1,3)</f>
        <v>SMA</v>
      </c>
      <c r="O2521" t="str">
        <f>UPPER(IF(Master_ventas[[#This Row],[Profit]]&gt;500,"High","Std"))</f>
        <v>STD</v>
      </c>
      <c r="P2521">
        <v>2520</v>
      </c>
    </row>
    <row r="2522" spans="1:16" x14ac:dyDescent="0.3">
      <c r="A2522" s="1">
        <v>45616</v>
      </c>
      <c r="B2522" t="s">
        <v>20</v>
      </c>
      <c r="C2522" t="s">
        <v>11</v>
      </c>
      <c r="D2522" t="s">
        <v>9</v>
      </c>
      <c r="E2522">
        <v>4</v>
      </c>
      <c r="F2522" s="3">
        <v>4464</v>
      </c>
      <c r="G2522" s="2">
        <v>1069.6300000000001</v>
      </c>
      <c r="H2522">
        <f>Master_ventas[[#This Row],[Profit]]/Master_ventas[[#This Row],[Sales]]</f>
        <v>0.23961245519713265</v>
      </c>
      <c r="I2522">
        <f ca="1">Referencia_Hoy-Master_ventas[[#This Row],[Order Date]]</f>
        <v>707</v>
      </c>
      <c r="J2522" t="str">
        <f>UPPER(Master_ventas[[#This Row],[Product Name]])</f>
        <v>MONITOR</v>
      </c>
      <c r="K2522" t="str">
        <f>UPPER(Master_ventas[[#This Row],[Category]])</f>
        <v>ACCESSORIES</v>
      </c>
      <c r="L2522">
        <f>YEAR(Master_ventas[[#This Row],[Order Date]])</f>
        <v>2024</v>
      </c>
      <c r="M2522" t="str">
        <f>CONCATENATE(LEFT(Master_ventas[[#This Row],[ProdUpper]],3),RIGHT(Master_ventas[[#This Row],[Ext-Year]],2),"-",MID(Master_ventas[[#This Row],[Category]],1,1))</f>
        <v>MON24-A</v>
      </c>
      <c r="N2522" t="str">
        <f>MID(Master_ventas[[#This Row],[ProdUpper]],1,3)</f>
        <v>MON</v>
      </c>
      <c r="O2522" t="str">
        <f>UPPER(IF(Master_ventas[[#This Row],[Profit]]&gt;500,"High","Std"))</f>
        <v>HIGH</v>
      </c>
      <c r="P2522">
        <v>2521</v>
      </c>
    </row>
    <row r="2523" spans="1:16" x14ac:dyDescent="0.3">
      <c r="A2523" s="1">
        <v>45085</v>
      </c>
      <c r="B2523" t="s">
        <v>21</v>
      </c>
      <c r="C2523" t="s">
        <v>14</v>
      </c>
      <c r="D2523" t="s">
        <v>12</v>
      </c>
      <c r="E2523">
        <v>6</v>
      </c>
      <c r="F2523" s="3">
        <v>2940</v>
      </c>
      <c r="G2523" s="2">
        <v>184.97</v>
      </c>
      <c r="H2523">
        <f>Master_ventas[[#This Row],[Profit]]/Master_ventas[[#This Row],[Sales]]</f>
        <v>6.2914965986394553E-2</v>
      </c>
      <c r="I2523">
        <f ca="1">Referencia_Hoy-Master_ventas[[#This Row],[Order Date]]</f>
        <v>1238</v>
      </c>
      <c r="J2523" t="str">
        <f>UPPER(Master_ventas[[#This Row],[Product Name]])</f>
        <v>SMARTPHONE</v>
      </c>
      <c r="K2523" t="str">
        <f>UPPER(Master_ventas[[#This Row],[Category]])</f>
        <v>ELECTRONICS</v>
      </c>
      <c r="L2523">
        <f>YEAR(Master_ventas[[#This Row],[Order Date]])</f>
        <v>2023</v>
      </c>
      <c r="M2523" t="str">
        <f>CONCATENATE(LEFT(Master_ventas[[#This Row],[ProdUpper]],3),RIGHT(Master_ventas[[#This Row],[Ext-Year]],2),"-",MID(Master_ventas[[#This Row],[Category]],1,1))</f>
        <v>SMA23-E</v>
      </c>
      <c r="N2523" t="str">
        <f>MID(Master_ventas[[#This Row],[ProdUpper]],1,3)</f>
        <v>SMA</v>
      </c>
      <c r="O2523" t="str">
        <f>UPPER(IF(Master_ventas[[#This Row],[Profit]]&gt;500,"High","Std"))</f>
        <v>STD</v>
      </c>
      <c r="P2523">
        <v>2522</v>
      </c>
    </row>
    <row r="2524" spans="1:16" x14ac:dyDescent="0.3">
      <c r="A2524" s="1">
        <v>44724</v>
      </c>
      <c r="B2524" t="s">
        <v>20</v>
      </c>
      <c r="C2524" t="s">
        <v>11</v>
      </c>
      <c r="D2524" t="s">
        <v>16</v>
      </c>
      <c r="E2524">
        <v>8</v>
      </c>
      <c r="F2524" s="3">
        <v>1272</v>
      </c>
      <c r="G2524" s="2">
        <v>344.45</v>
      </c>
      <c r="H2524">
        <f>Master_ventas[[#This Row],[Profit]]/Master_ventas[[#This Row],[Sales]]</f>
        <v>0.27079402515723272</v>
      </c>
      <c r="I2524">
        <f ca="1">Referencia_Hoy-Master_ventas[[#This Row],[Order Date]]</f>
        <v>1599</v>
      </c>
      <c r="J2524" t="str">
        <f>UPPER(Master_ventas[[#This Row],[Product Name]])</f>
        <v>MONITOR</v>
      </c>
      <c r="K2524" t="str">
        <f>UPPER(Master_ventas[[#This Row],[Category]])</f>
        <v>ACCESSORIES</v>
      </c>
      <c r="L2524">
        <f>YEAR(Master_ventas[[#This Row],[Order Date]])</f>
        <v>2022</v>
      </c>
      <c r="M2524" t="str">
        <f>CONCATENATE(LEFT(Master_ventas[[#This Row],[ProdUpper]],3),RIGHT(Master_ventas[[#This Row],[Ext-Year]],2),"-",MID(Master_ventas[[#This Row],[Category]],1,1))</f>
        <v>MON22-A</v>
      </c>
      <c r="N2524" t="str">
        <f>MID(Master_ventas[[#This Row],[ProdUpper]],1,3)</f>
        <v>MON</v>
      </c>
      <c r="O2524" t="str">
        <f>UPPER(IF(Master_ventas[[#This Row],[Profit]]&gt;500,"High","Std"))</f>
        <v>STD</v>
      </c>
      <c r="P2524">
        <v>2523</v>
      </c>
    </row>
    <row r="2525" spans="1:16" x14ac:dyDescent="0.3">
      <c r="A2525" s="1">
        <v>45617</v>
      </c>
      <c r="B2525" t="s">
        <v>7</v>
      </c>
      <c r="C2525" t="s">
        <v>8</v>
      </c>
      <c r="D2525" t="s">
        <v>12</v>
      </c>
      <c r="E2525">
        <v>6</v>
      </c>
      <c r="F2525" s="3">
        <v>1728</v>
      </c>
      <c r="G2525" s="2">
        <v>247.86</v>
      </c>
      <c r="H2525">
        <f>Master_ventas[[#This Row],[Profit]]/Master_ventas[[#This Row],[Sales]]</f>
        <v>0.1434375</v>
      </c>
      <c r="I2525">
        <f ca="1">Referencia_Hoy-Master_ventas[[#This Row],[Order Date]]</f>
        <v>706</v>
      </c>
      <c r="J2525" t="str">
        <f>UPPER(Master_ventas[[#This Row],[Product Name]])</f>
        <v>PRINTER</v>
      </c>
      <c r="K2525" t="str">
        <f>UPPER(Master_ventas[[#This Row],[Category]])</f>
        <v>OFFICE</v>
      </c>
      <c r="L2525">
        <f>YEAR(Master_ventas[[#This Row],[Order Date]])</f>
        <v>2024</v>
      </c>
      <c r="M2525" t="str">
        <f>CONCATENATE(LEFT(Master_ventas[[#This Row],[ProdUpper]],3),RIGHT(Master_ventas[[#This Row],[Ext-Year]],2),"-",MID(Master_ventas[[#This Row],[Category]],1,1))</f>
        <v>PRI24-O</v>
      </c>
      <c r="N2525" t="str">
        <f>MID(Master_ventas[[#This Row],[ProdUpper]],1,3)</f>
        <v>PRI</v>
      </c>
      <c r="O2525" t="str">
        <f>UPPER(IF(Master_ventas[[#This Row],[Profit]]&gt;500,"High","Std"))</f>
        <v>STD</v>
      </c>
      <c r="P2525">
        <v>2524</v>
      </c>
    </row>
    <row r="2526" spans="1:16" x14ac:dyDescent="0.3">
      <c r="A2526" s="1">
        <v>44810</v>
      </c>
      <c r="B2526" t="s">
        <v>20</v>
      </c>
      <c r="C2526" t="s">
        <v>11</v>
      </c>
      <c r="D2526" t="s">
        <v>9</v>
      </c>
      <c r="E2526">
        <v>3</v>
      </c>
      <c r="F2526" s="3">
        <v>3153</v>
      </c>
      <c r="G2526" s="2">
        <v>563.55999999999995</v>
      </c>
      <c r="H2526">
        <f>Master_ventas[[#This Row],[Profit]]/Master_ventas[[#This Row],[Sales]]</f>
        <v>0.17873771011734854</v>
      </c>
      <c r="I2526">
        <f ca="1">Referencia_Hoy-Master_ventas[[#This Row],[Order Date]]</f>
        <v>1513</v>
      </c>
      <c r="J2526" t="str">
        <f>UPPER(Master_ventas[[#This Row],[Product Name]])</f>
        <v>MONITOR</v>
      </c>
      <c r="K2526" t="str">
        <f>UPPER(Master_ventas[[#This Row],[Category]])</f>
        <v>ACCESSORIES</v>
      </c>
      <c r="L2526">
        <f>YEAR(Master_ventas[[#This Row],[Order Date]])</f>
        <v>2022</v>
      </c>
      <c r="M2526" t="str">
        <f>CONCATENATE(LEFT(Master_ventas[[#This Row],[ProdUpper]],3),RIGHT(Master_ventas[[#This Row],[Ext-Year]],2),"-",MID(Master_ventas[[#This Row],[Category]],1,1))</f>
        <v>MON22-A</v>
      </c>
      <c r="N2526" t="str">
        <f>MID(Master_ventas[[#This Row],[ProdUpper]],1,3)</f>
        <v>MON</v>
      </c>
      <c r="O2526" t="str">
        <f>UPPER(IF(Master_ventas[[#This Row],[Profit]]&gt;500,"High","Std"))</f>
        <v>HIGH</v>
      </c>
      <c r="P2526">
        <v>2525</v>
      </c>
    </row>
    <row r="2527" spans="1:16" x14ac:dyDescent="0.3">
      <c r="A2527" s="1">
        <v>45374</v>
      </c>
      <c r="B2527" t="s">
        <v>21</v>
      </c>
      <c r="C2527" t="s">
        <v>14</v>
      </c>
      <c r="D2527" t="s">
        <v>16</v>
      </c>
      <c r="E2527">
        <v>4</v>
      </c>
      <c r="F2527" s="3">
        <v>2536</v>
      </c>
      <c r="G2527" s="2">
        <v>285.72000000000003</v>
      </c>
      <c r="H2527">
        <f>Master_ventas[[#This Row],[Profit]]/Master_ventas[[#This Row],[Sales]]</f>
        <v>0.11266561514195585</v>
      </c>
      <c r="I2527">
        <f ca="1">Referencia_Hoy-Master_ventas[[#This Row],[Order Date]]</f>
        <v>949</v>
      </c>
      <c r="J2527" t="str">
        <f>UPPER(Master_ventas[[#This Row],[Product Name]])</f>
        <v>SMARTPHONE</v>
      </c>
      <c r="K2527" t="str">
        <f>UPPER(Master_ventas[[#This Row],[Category]])</f>
        <v>ELECTRONICS</v>
      </c>
      <c r="L2527">
        <f>YEAR(Master_ventas[[#This Row],[Order Date]])</f>
        <v>2024</v>
      </c>
      <c r="M2527" t="str">
        <f>CONCATENATE(LEFT(Master_ventas[[#This Row],[ProdUpper]],3),RIGHT(Master_ventas[[#This Row],[Ext-Year]],2),"-",MID(Master_ventas[[#This Row],[Category]],1,1))</f>
        <v>SMA24-E</v>
      </c>
      <c r="N2527" t="str">
        <f>MID(Master_ventas[[#This Row],[ProdUpper]],1,3)</f>
        <v>SMA</v>
      </c>
      <c r="O2527" t="str">
        <f>UPPER(IF(Master_ventas[[#This Row],[Profit]]&gt;500,"High","Std"))</f>
        <v>STD</v>
      </c>
      <c r="P2527">
        <v>2526</v>
      </c>
    </row>
    <row r="2528" spans="1:16" x14ac:dyDescent="0.3">
      <c r="A2528" s="1">
        <v>44636</v>
      </c>
      <c r="B2528" t="s">
        <v>13</v>
      </c>
      <c r="C2528" t="s">
        <v>14</v>
      </c>
      <c r="D2528" t="s">
        <v>15</v>
      </c>
      <c r="E2528">
        <v>3</v>
      </c>
      <c r="F2528" s="3">
        <v>2508</v>
      </c>
      <c r="G2528" s="2">
        <v>431.53</v>
      </c>
      <c r="H2528">
        <f>Master_ventas[[#This Row],[Profit]]/Master_ventas[[#This Row],[Sales]]</f>
        <v>0.17206140350877192</v>
      </c>
      <c r="I2528">
        <f ca="1">Referencia_Hoy-Master_ventas[[#This Row],[Order Date]]</f>
        <v>1687</v>
      </c>
      <c r="J2528" t="str">
        <f>UPPER(Master_ventas[[#This Row],[Product Name]])</f>
        <v>TABLET</v>
      </c>
      <c r="K2528" t="str">
        <f>UPPER(Master_ventas[[#This Row],[Category]])</f>
        <v>ELECTRONICS</v>
      </c>
      <c r="L2528">
        <f>YEAR(Master_ventas[[#This Row],[Order Date]])</f>
        <v>2022</v>
      </c>
      <c r="M2528" t="str">
        <f>CONCATENATE(LEFT(Master_ventas[[#This Row],[ProdUpper]],3),RIGHT(Master_ventas[[#This Row],[Ext-Year]],2),"-",MID(Master_ventas[[#This Row],[Category]],1,1))</f>
        <v>TAB22-E</v>
      </c>
      <c r="N2528" t="str">
        <f>MID(Master_ventas[[#This Row],[ProdUpper]],1,3)</f>
        <v>TAB</v>
      </c>
      <c r="O2528" t="str">
        <f>UPPER(IF(Master_ventas[[#This Row],[Profit]]&gt;500,"High","Std"))</f>
        <v>STD</v>
      </c>
      <c r="P2528">
        <v>2527</v>
      </c>
    </row>
    <row r="2529" spans="1:16" x14ac:dyDescent="0.3">
      <c r="A2529" s="1">
        <v>45583</v>
      </c>
      <c r="B2529" t="s">
        <v>13</v>
      </c>
      <c r="C2529" t="s">
        <v>14</v>
      </c>
      <c r="D2529" t="s">
        <v>12</v>
      </c>
      <c r="E2529">
        <v>1</v>
      </c>
      <c r="F2529" s="3">
        <v>123</v>
      </c>
      <c r="G2529" s="2">
        <v>12.36</v>
      </c>
      <c r="H2529">
        <f>Master_ventas[[#This Row],[Profit]]/Master_ventas[[#This Row],[Sales]]</f>
        <v>0.10048780487804877</v>
      </c>
      <c r="I2529">
        <f ca="1">Referencia_Hoy-Master_ventas[[#This Row],[Order Date]]</f>
        <v>740</v>
      </c>
      <c r="J2529" t="str">
        <f>UPPER(Master_ventas[[#This Row],[Product Name]])</f>
        <v>TABLET</v>
      </c>
      <c r="K2529" t="str">
        <f>UPPER(Master_ventas[[#This Row],[Category]])</f>
        <v>ELECTRONICS</v>
      </c>
      <c r="L2529">
        <f>YEAR(Master_ventas[[#This Row],[Order Date]])</f>
        <v>2024</v>
      </c>
      <c r="M2529" t="str">
        <f>CONCATENATE(LEFT(Master_ventas[[#This Row],[ProdUpper]],3),RIGHT(Master_ventas[[#This Row],[Ext-Year]],2),"-",MID(Master_ventas[[#This Row],[Category]],1,1))</f>
        <v>TAB24-E</v>
      </c>
      <c r="N2529" t="str">
        <f>MID(Master_ventas[[#This Row],[ProdUpper]],1,3)</f>
        <v>TAB</v>
      </c>
      <c r="O2529" t="str">
        <f>UPPER(IF(Master_ventas[[#This Row],[Profit]]&gt;500,"High","Std"))</f>
        <v>STD</v>
      </c>
      <c r="P2529">
        <v>2528</v>
      </c>
    </row>
    <row r="2530" spans="1:16" x14ac:dyDescent="0.3">
      <c r="A2530" s="1">
        <v>45137</v>
      </c>
      <c r="B2530" t="s">
        <v>21</v>
      </c>
      <c r="C2530" t="s">
        <v>14</v>
      </c>
      <c r="D2530" t="s">
        <v>15</v>
      </c>
      <c r="E2530">
        <v>3</v>
      </c>
      <c r="F2530" s="3">
        <v>2379</v>
      </c>
      <c r="G2530" s="2">
        <v>148.68</v>
      </c>
      <c r="H2530">
        <f>Master_ventas[[#This Row],[Profit]]/Master_ventas[[#This Row],[Sales]]</f>
        <v>6.2496847414880208E-2</v>
      </c>
      <c r="I2530">
        <f ca="1">Referencia_Hoy-Master_ventas[[#This Row],[Order Date]]</f>
        <v>1186</v>
      </c>
      <c r="J2530" t="str">
        <f>UPPER(Master_ventas[[#This Row],[Product Name]])</f>
        <v>SMARTPHONE</v>
      </c>
      <c r="K2530" t="str">
        <f>UPPER(Master_ventas[[#This Row],[Category]])</f>
        <v>ELECTRONICS</v>
      </c>
      <c r="L2530">
        <f>YEAR(Master_ventas[[#This Row],[Order Date]])</f>
        <v>2023</v>
      </c>
      <c r="M2530" t="str">
        <f>CONCATENATE(LEFT(Master_ventas[[#This Row],[ProdUpper]],3),RIGHT(Master_ventas[[#This Row],[Ext-Year]],2),"-",MID(Master_ventas[[#This Row],[Category]],1,1))</f>
        <v>SMA23-E</v>
      </c>
      <c r="N2530" t="str">
        <f>MID(Master_ventas[[#This Row],[ProdUpper]],1,3)</f>
        <v>SMA</v>
      </c>
      <c r="O2530" t="str">
        <f>UPPER(IF(Master_ventas[[#This Row],[Profit]]&gt;500,"High","Std"))</f>
        <v>STD</v>
      </c>
      <c r="P2530">
        <v>2529</v>
      </c>
    </row>
    <row r="2531" spans="1:16" x14ac:dyDescent="0.3">
      <c r="A2531" s="1">
        <v>44930</v>
      </c>
      <c r="B2531" t="s">
        <v>7</v>
      </c>
      <c r="C2531" t="s">
        <v>8</v>
      </c>
      <c r="D2531" t="s">
        <v>16</v>
      </c>
      <c r="E2531">
        <v>6</v>
      </c>
      <c r="F2531" s="3">
        <v>6924</v>
      </c>
      <c r="G2531" s="2">
        <v>1693.77</v>
      </c>
      <c r="H2531">
        <f>Master_ventas[[#This Row],[Profit]]/Master_ventas[[#This Row],[Sales]]</f>
        <v>0.24462305025996534</v>
      </c>
      <c r="I2531">
        <f ca="1">Referencia_Hoy-Master_ventas[[#This Row],[Order Date]]</f>
        <v>1393</v>
      </c>
      <c r="J2531" t="str">
        <f>UPPER(Master_ventas[[#This Row],[Product Name]])</f>
        <v>PRINTER</v>
      </c>
      <c r="K2531" t="str">
        <f>UPPER(Master_ventas[[#This Row],[Category]])</f>
        <v>OFFICE</v>
      </c>
      <c r="L2531">
        <f>YEAR(Master_ventas[[#This Row],[Order Date]])</f>
        <v>2023</v>
      </c>
      <c r="M2531" t="str">
        <f>CONCATENATE(LEFT(Master_ventas[[#This Row],[ProdUpper]],3),RIGHT(Master_ventas[[#This Row],[Ext-Year]],2),"-",MID(Master_ventas[[#This Row],[Category]],1,1))</f>
        <v>PRI23-O</v>
      </c>
      <c r="N2531" t="str">
        <f>MID(Master_ventas[[#This Row],[ProdUpper]],1,3)</f>
        <v>PRI</v>
      </c>
      <c r="O2531" t="str">
        <f>UPPER(IF(Master_ventas[[#This Row],[Profit]]&gt;500,"High","Std"))</f>
        <v>HIGH</v>
      </c>
      <c r="P2531">
        <v>2530</v>
      </c>
    </row>
    <row r="2532" spans="1:16" x14ac:dyDescent="0.3">
      <c r="A2532" s="1">
        <v>45077</v>
      </c>
      <c r="B2532" t="s">
        <v>19</v>
      </c>
      <c r="C2532" t="s">
        <v>14</v>
      </c>
      <c r="D2532" t="s">
        <v>16</v>
      </c>
      <c r="E2532">
        <v>9</v>
      </c>
      <c r="F2532" s="3">
        <v>9054</v>
      </c>
      <c r="G2532" s="2">
        <v>644.36</v>
      </c>
      <c r="H2532">
        <f>Master_ventas[[#This Row],[Profit]]/Master_ventas[[#This Row],[Sales]]</f>
        <v>7.1168544289816657E-2</v>
      </c>
      <c r="I2532">
        <f ca="1">Referencia_Hoy-Master_ventas[[#This Row],[Order Date]]</f>
        <v>1246</v>
      </c>
      <c r="J2532" t="str">
        <f>UPPER(Master_ventas[[#This Row],[Product Name]])</f>
        <v>SMARTWATCH</v>
      </c>
      <c r="K2532" t="str">
        <f>UPPER(Master_ventas[[#This Row],[Category]])</f>
        <v>ELECTRONICS</v>
      </c>
      <c r="L2532">
        <f>YEAR(Master_ventas[[#This Row],[Order Date]])</f>
        <v>2023</v>
      </c>
      <c r="M2532" t="str">
        <f>CONCATENATE(LEFT(Master_ventas[[#This Row],[ProdUpper]],3),RIGHT(Master_ventas[[#This Row],[Ext-Year]],2),"-",MID(Master_ventas[[#This Row],[Category]],1,1))</f>
        <v>SMA23-E</v>
      </c>
      <c r="N2532" t="str">
        <f>MID(Master_ventas[[#This Row],[ProdUpper]],1,3)</f>
        <v>SMA</v>
      </c>
      <c r="O2532" t="str">
        <f>UPPER(IF(Master_ventas[[#This Row],[Profit]]&gt;500,"High","Std"))</f>
        <v>HIGH</v>
      </c>
      <c r="P2532">
        <v>2531</v>
      </c>
    </row>
    <row r="2533" spans="1:16" x14ac:dyDescent="0.3">
      <c r="A2533" s="1">
        <v>45268</v>
      </c>
      <c r="B2533" t="s">
        <v>17</v>
      </c>
      <c r="C2533" t="s">
        <v>14</v>
      </c>
      <c r="D2533" t="s">
        <v>15</v>
      </c>
      <c r="E2533">
        <v>9</v>
      </c>
      <c r="F2533" s="3">
        <v>9936</v>
      </c>
      <c r="G2533" s="2">
        <v>2797.45</v>
      </c>
      <c r="H2533">
        <f>Master_ventas[[#This Row],[Profit]]/Master_ventas[[#This Row],[Sales]]</f>
        <v>0.28154690016103057</v>
      </c>
      <c r="I2533">
        <f ca="1">Referencia_Hoy-Master_ventas[[#This Row],[Order Date]]</f>
        <v>1055</v>
      </c>
      <c r="J2533" t="str">
        <f>UPPER(Master_ventas[[#This Row],[Product Name]])</f>
        <v>CAMERA</v>
      </c>
      <c r="K2533" t="str">
        <f>UPPER(Master_ventas[[#This Row],[Category]])</f>
        <v>ELECTRONICS</v>
      </c>
      <c r="L2533">
        <f>YEAR(Master_ventas[[#This Row],[Order Date]])</f>
        <v>2023</v>
      </c>
      <c r="M2533" t="str">
        <f>CONCATENATE(LEFT(Master_ventas[[#This Row],[ProdUpper]],3),RIGHT(Master_ventas[[#This Row],[Ext-Year]],2),"-",MID(Master_ventas[[#This Row],[Category]],1,1))</f>
        <v>CAM23-E</v>
      </c>
      <c r="N2533" t="str">
        <f>MID(Master_ventas[[#This Row],[ProdUpper]],1,3)</f>
        <v>CAM</v>
      </c>
      <c r="O2533" t="str">
        <f>UPPER(IF(Master_ventas[[#This Row],[Profit]]&gt;500,"High","Std"))</f>
        <v>HIGH</v>
      </c>
      <c r="P2533">
        <v>2532</v>
      </c>
    </row>
    <row r="2534" spans="1:16" x14ac:dyDescent="0.3">
      <c r="A2534" s="1">
        <v>44916</v>
      </c>
      <c r="B2534" t="s">
        <v>21</v>
      </c>
      <c r="C2534" t="s">
        <v>14</v>
      </c>
      <c r="D2534" t="s">
        <v>12</v>
      </c>
      <c r="E2534">
        <v>1</v>
      </c>
      <c r="F2534" s="3">
        <v>393</v>
      </c>
      <c r="G2534" s="2">
        <v>41.05</v>
      </c>
      <c r="H2534">
        <f>Master_ventas[[#This Row],[Profit]]/Master_ventas[[#This Row],[Sales]]</f>
        <v>0.10445292620865139</v>
      </c>
      <c r="I2534">
        <f ca="1">Referencia_Hoy-Master_ventas[[#This Row],[Order Date]]</f>
        <v>1407</v>
      </c>
      <c r="J2534" t="str">
        <f>UPPER(Master_ventas[[#This Row],[Product Name]])</f>
        <v>SMARTPHONE</v>
      </c>
      <c r="K2534" t="str">
        <f>UPPER(Master_ventas[[#This Row],[Category]])</f>
        <v>ELECTRONICS</v>
      </c>
      <c r="L2534">
        <f>YEAR(Master_ventas[[#This Row],[Order Date]])</f>
        <v>2022</v>
      </c>
      <c r="M2534" t="str">
        <f>CONCATENATE(LEFT(Master_ventas[[#This Row],[ProdUpper]],3),RIGHT(Master_ventas[[#This Row],[Ext-Year]],2),"-",MID(Master_ventas[[#This Row],[Category]],1,1))</f>
        <v>SMA22-E</v>
      </c>
      <c r="N2534" t="str">
        <f>MID(Master_ventas[[#This Row],[ProdUpper]],1,3)</f>
        <v>SMA</v>
      </c>
      <c r="O2534" t="str">
        <f>UPPER(IF(Master_ventas[[#This Row],[Profit]]&gt;500,"High","Std"))</f>
        <v>STD</v>
      </c>
      <c r="P2534">
        <v>2533</v>
      </c>
    </row>
    <row r="2535" spans="1:16" x14ac:dyDescent="0.3">
      <c r="A2535" s="1">
        <v>45523</v>
      </c>
      <c r="B2535" t="s">
        <v>7</v>
      </c>
      <c r="C2535" t="s">
        <v>8</v>
      </c>
      <c r="D2535" t="s">
        <v>12</v>
      </c>
      <c r="E2535">
        <v>2</v>
      </c>
      <c r="F2535" s="3">
        <v>308</v>
      </c>
      <c r="G2535" s="2">
        <v>35.32</v>
      </c>
      <c r="H2535">
        <f>Master_ventas[[#This Row],[Profit]]/Master_ventas[[#This Row],[Sales]]</f>
        <v>0.11467532467532468</v>
      </c>
      <c r="I2535">
        <f ca="1">Referencia_Hoy-Master_ventas[[#This Row],[Order Date]]</f>
        <v>800</v>
      </c>
      <c r="J2535" t="str">
        <f>UPPER(Master_ventas[[#This Row],[Product Name]])</f>
        <v>PRINTER</v>
      </c>
      <c r="K2535" t="str">
        <f>UPPER(Master_ventas[[#This Row],[Category]])</f>
        <v>OFFICE</v>
      </c>
      <c r="L2535">
        <f>YEAR(Master_ventas[[#This Row],[Order Date]])</f>
        <v>2024</v>
      </c>
      <c r="M2535" t="str">
        <f>CONCATENATE(LEFT(Master_ventas[[#This Row],[ProdUpper]],3),RIGHT(Master_ventas[[#This Row],[Ext-Year]],2),"-",MID(Master_ventas[[#This Row],[Category]],1,1))</f>
        <v>PRI24-O</v>
      </c>
      <c r="N2535" t="str">
        <f>MID(Master_ventas[[#This Row],[ProdUpper]],1,3)</f>
        <v>PRI</v>
      </c>
      <c r="O2535" t="str">
        <f>UPPER(IF(Master_ventas[[#This Row],[Profit]]&gt;500,"High","Std"))</f>
        <v>STD</v>
      </c>
      <c r="P2535">
        <v>2534</v>
      </c>
    </row>
    <row r="2536" spans="1:16" x14ac:dyDescent="0.3">
      <c r="A2536" s="1">
        <v>45591</v>
      </c>
      <c r="B2536" t="s">
        <v>13</v>
      </c>
      <c r="C2536" t="s">
        <v>14</v>
      </c>
      <c r="D2536" t="s">
        <v>15</v>
      </c>
      <c r="E2536">
        <v>5</v>
      </c>
      <c r="F2536" s="3">
        <v>4900</v>
      </c>
      <c r="G2536" s="2">
        <v>347.25</v>
      </c>
      <c r="H2536">
        <f>Master_ventas[[#This Row],[Profit]]/Master_ventas[[#This Row],[Sales]]</f>
        <v>7.0867346938775513E-2</v>
      </c>
      <c r="I2536">
        <f ca="1">Referencia_Hoy-Master_ventas[[#This Row],[Order Date]]</f>
        <v>732</v>
      </c>
      <c r="J2536" t="str">
        <f>UPPER(Master_ventas[[#This Row],[Product Name]])</f>
        <v>TABLET</v>
      </c>
      <c r="K2536" t="str">
        <f>UPPER(Master_ventas[[#This Row],[Category]])</f>
        <v>ELECTRONICS</v>
      </c>
      <c r="L2536">
        <f>YEAR(Master_ventas[[#This Row],[Order Date]])</f>
        <v>2024</v>
      </c>
      <c r="M2536" t="str">
        <f>CONCATENATE(LEFT(Master_ventas[[#This Row],[ProdUpper]],3),RIGHT(Master_ventas[[#This Row],[Ext-Year]],2),"-",MID(Master_ventas[[#This Row],[Category]],1,1))</f>
        <v>TAB24-E</v>
      </c>
      <c r="N2536" t="str">
        <f>MID(Master_ventas[[#This Row],[ProdUpper]],1,3)</f>
        <v>TAB</v>
      </c>
      <c r="O2536" t="str">
        <f>UPPER(IF(Master_ventas[[#This Row],[Profit]]&gt;500,"High","Std"))</f>
        <v>STD</v>
      </c>
      <c r="P2536">
        <v>2535</v>
      </c>
    </row>
    <row r="2537" spans="1:16" x14ac:dyDescent="0.3">
      <c r="A2537" s="1">
        <v>45528</v>
      </c>
      <c r="B2537" t="s">
        <v>23</v>
      </c>
      <c r="C2537" t="s">
        <v>14</v>
      </c>
      <c r="D2537" t="s">
        <v>15</v>
      </c>
      <c r="E2537">
        <v>1</v>
      </c>
      <c r="F2537" s="3">
        <v>927</v>
      </c>
      <c r="G2537" s="2">
        <v>103.95</v>
      </c>
      <c r="H2537">
        <f>Master_ventas[[#This Row],[Profit]]/Master_ventas[[#This Row],[Sales]]</f>
        <v>0.11213592233009709</v>
      </c>
      <c r="I2537">
        <f ca="1">Referencia_Hoy-Master_ventas[[#This Row],[Order Date]]</f>
        <v>795</v>
      </c>
      <c r="J2537" t="str">
        <f>UPPER(Master_ventas[[#This Row],[Product Name]])</f>
        <v>LAPTOP</v>
      </c>
      <c r="K2537" t="str">
        <f>UPPER(Master_ventas[[#This Row],[Category]])</f>
        <v>ELECTRONICS</v>
      </c>
      <c r="L2537">
        <f>YEAR(Master_ventas[[#This Row],[Order Date]])</f>
        <v>2024</v>
      </c>
      <c r="M2537" t="str">
        <f>CONCATENATE(LEFT(Master_ventas[[#This Row],[ProdUpper]],3),RIGHT(Master_ventas[[#This Row],[Ext-Year]],2),"-",MID(Master_ventas[[#This Row],[Category]],1,1))</f>
        <v>LAP24-E</v>
      </c>
      <c r="N2537" t="str">
        <f>MID(Master_ventas[[#This Row],[ProdUpper]],1,3)</f>
        <v>LAP</v>
      </c>
      <c r="O2537" t="str">
        <f>UPPER(IF(Master_ventas[[#This Row],[Profit]]&gt;500,"High","Std"))</f>
        <v>STD</v>
      </c>
      <c r="P2537">
        <v>2536</v>
      </c>
    </row>
    <row r="2538" spans="1:16" x14ac:dyDescent="0.3">
      <c r="A2538" s="1">
        <v>45253</v>
      </c>
      <c r="B2538" t="s">
        <v>22</v>
      </c>
      <c r="C2538" t="s">
        <v>11</v>
      </c>
      <c r="D2538" t="s">
        <v>12</v>
      </c>
      <c r="E2538">
        <v>1</v>
      </c>
      <c r="F2538" s="3">
        <v>266</v>
      </c>
      <c r="G2538" s="2">
        <v>22.42</v>
      </c>
      <c r="H2538">
        <f>Master_ventas[[#This Row],[Profit]]/Master_ventas[[#This Row],[Sales]]</f>
        <v>8.4285714285714297E-2</v>
      </c>
      <c r="I2538">
        <f ca="1">Referencia_Hoy-Master_ventas[[#This Row],[Order Date]]</f>
        <v>1070</v>
      </c>
      <c r="J2538" t="str">
        <f>UPPER(Master_ventas[[#This Row],[Product Name]])</f>
        <v>KEYBOARD</v>
      </c>
      <c r="K2538" t="str">
        <f>UPPER(Master_ventas[[#This Row],[Category]])</f>
        <v>ACCESSORIES</v>
      </c>
      <c r="L2538">
        <f>YEAR(Master_ventas[[#This Row],[Order Date]])</f>
        <v>2023</v>
      </c>
      <c r="M2538" t="str">
        <f>CONCATENATE(LEFT(Master_ventas[[#This Row],[ProdUpper]],3),RIGHT(Master_ventas[[#This Row],[Ext-Year]],2),"-",MID(Master_ventas[[#This Row],[Category]],1,1))</f>
        <v>KEY23-A</v>
      </c>
      <c r="N2538" t="str">
        <f>MID(Master_ventas[[#This Row],[ProdUpper]],1,3)</f>
        <v>KEY</v>
      </c>
      <c r="O2538" t="str">
        <f>UPPER(IF(Master_ventas[[#This Row],[Profit]]&gt;500,"High","Std"))</f>
        <v>STD</v>
      </c>
      <c r="P2538">
        <v>2537</v>
      </c>
    </row>
    <row r="2539" spans="1:16" x14ac:dyDescent="0.3">
      <c r="A2539" s="1">
        <v>44869</v>
      </c>
      <c r="B2539" t="s">
        <v>7</v>
      </c>
      <c r="C2539" t="s">
        <v>8</v>
      </c>
      <c r="D2539" t="s">
        <v>15</v>
      </c>
      <c r="E2539">
        <v>5</v>
      </c>
      <c r="F2539" s="3">
        <v>4750</v>
      </c>
      <c r="G2539" s="2">
        <v>1179.56</v>
      </c>
      <c r="H2539">
        <f>Master_ventas[[#This Row],[Profit]]/Master_ventas[[#This Row],[Sales]]</f>
        <v>0.24832842105263156</v>
      </c>
      <c r="I2539">
        <f ca="1">Referencia_Hoy-Master_ventas[[#This Row],[Order Date]]</f>
        <v>1454</v>
      </c>
      <c r="J2539" t="str">
        <f>UPPER(Master_ventas[[#This Row],[Product Name]])</f>
        <v>PRINTER</v>
      </c>
      <c r="K2539" t="str">
        <f>UPPER(Master_ventas[[#This Row],[Category]])</f>
        <v>OFFICE</v>
      </c>
      <c r="L2539">
        <f>YEAR(Master_ventas[[#This Row],[Order Date]])</f>
        <v>2022</v>
      </c>
      <c r="M2539" t="str">
        <f>CONCATENATE(LEFT(Master_ventas[[#This Row],[ProdUpper]],3),RIGHT(Master_ventas[[#This Row],[Ext-Year]],2),"-",MID(Master_ventas[[#This Row],[Category]],1,1))</f>
        <v>PRI22-O</v>
      </c>
      <c r="N2539" t="str">
        <f>MID(Master_ventas[[#This Row],[ProdUpper]],1,3)</f>
        <v>PRI</v>
      </c>
      <c r="O2539" t="str">
        <f>UPPER(IF(Master_ventas[[#This Row],[Profit]]&gt;500,"High","Std"))</f>
        <v>HIGH</v>
      </c>
      <c r="P2539">
        <v>2538</v>
      </c>
    </row>
    <row r="2540" spans="1:16" x14ac:dyDescent="0.3">
      <c r="A2540" s="1">
        <v>45493</v>
      </c>
      <c r="B2540" t="s">
        <v>19</v>
      </c>
      <c r="C2540" t="s">
        <v>14</v>
      </c>
      <c r="D2540" t="s">
        <v>12</v>
      </c>
      <c r="E2540">
        <v>8</v>
      </c>
      <c r="F2540" s="3">
        <v>3272</v>
      </c>
      <c r="G2540" s="2">
        <v>460.82</v>
      </c>
      <c r="H2540">
        <f>Master_ventas[[#This Row],[Profit]]/Master_ventas[[#This Row],[Sales]]</f>
        <v>0.14083740831295843</v>
      </c>
      <c r="I2540">
        <f ca="1">Referencia_Hoy-Master_ventas[[#This Row],[Order Date]]</f>
        <v>830</v>
      </c>
      <c r="J2540" t="str">
        <f>UPPER(Master_ventas[[#This Row],[Product Name]])</f>
        <v>SMARTWATCH</v>
      </c>
      <c r="K2540" t="str">
        <f>UPPER(Master_ventas[[#This Row],[Category]])</f>
        <v>ELECTRONICS</v>
      </c>
      <c r="L2540">
        <f>YEAR(Master_ventas[[#This Row],[Order Date]])</f>
        <v>2024</v>
      </c>
      <c r="M2540" t="str">
        <f>CONCATENATE(LEFT(Master_ventas[[#This Row],[ProdUpper]],3),RIGHT(Master_ventas[[#This Row],[Ext-Year]],2),"-",MID(Master_ventas[[#This Row],[Category]],1,1))</f>
        <v>SMA24-E</v>
      </c>
      <c r="N2540" t="str">
        <f>MID(Master_ventas[[#This Row],[ProdUpper]],1,3)</f>
        <v>SMA</v>
      </c>
      <c r="O2540" t="str">
        <f>UPPER(IF(Master_ventas[[#This Row],[Profit]]&gt;500,"High","Std"))</f>
        <v>STD</v>
      </c>
      <c r="P2540">
        <v>2539</v>
      </c>
    </row>
    <row r="2541" spans="1:16" x14ac:dyDescent="0.3">
      <c r="A2541" s="1">
        <v>44905</v>
      </c>
      <c r="B2541" t="s">
        <v>10</v>
      </c>
      <c r="C2541" t="s">
        <v>11</v>
      </c>
      <c r="D2541" t="s">
        <v>12</v>
      </c>
      <c r="E2541">
        <v>5</v>
      </c>
      <c r="F2541" s="3">
        <v>4350</v>
      </c>
      <c r="G2541" s="2">
        <v>688.77</v>
      </c>
      <c r="H2541">
        <f>Master_ventas[[#This Row],[Profit]]/Master_ventas[[#This Row],[Sales]]</f>
        <v>0.15833793103448277</v>
      </c>
      <c r="I2541">
        <f ca="1">Referencia_Hoy-Master_ventas[[#This Row],[Order Date]]</f>
        <v>1418</v>
      </c>
      <c r="J2541" t="str">
        <f>UPPER(Master_ventas[[#This Row],[Product Name]])</f>
        <v>MOUSE</v>
      </c>
      <c r="K2541" t="str">
        <f>UPPER(Master_ventas[[#This Row],[Category]])</f>
        <v>ACCESSORIES</v>
      </c>
      <c r="L2541">
        <f>YEAR(Master_ventas[[#This Row],[Order Date]])</f>
        <v>2022</v>
      </c>
      <c r="M2541" t="str">
        <f>CONCATENATE(LEFT(Master_ventas[[#This Row],[ProdUpper]],3),RIGHT(Master_ventas[[#This Row],[Ext-Year]],2),"-",MID(Master_ventas[[#This Row],[Category]],1,1))</f>
        <v>MOU22-A</v>
      </c>
      <c r="N2541" t="str">
        <f>MID(Master_ventas[[#This Row],[ProdUpper]],1,3)</f>
        <v>MOU</v>
      </c>
      <c r="O2541" t="str">
        <f>UPPER(IF(Master_ventas[[#This Row],[Profit]]&gt;500,"High","Std"))</f>
        <v>HIGH</v>
      </c>
      <c r="P2541">
        <v>2540</v>
      </c>
    </row>
    <row r="2542" spans="1:16" x14ac:dyDescent="0.3">
      <c r="A2542" s="1">
        <v>45500</v>
      </c>
      <c r="B2542" t="s">
        <v>22</v>
      </c>
      <c r="C2542" t="s">
        <v>11</v>
      </c>
      <c r="D2542" t="s">
        <v>12</v>
      </c>
      <c r="E2542">
        <v>1</v>
      </c>
      <c r="F2542" s="3">
        <v>706</v>
      </c>
      <c r="G2542" s="2">
        <v>63.82</v>
      </c>
      <c r="H2542">
        <f>Master_ventas[[#This Row],[Profit]]/Master_ventas[[#This Row],[Sales]]</f>
        <v>9.0396600566572241E-2</v>
      </c>
      <c r="I2542">
        <f ca="1">Referencia_Hoy-Master_ventas[[#This Row],[Order Date]]</f>
        <v>823</v>
      </c>
      <c r="J2542" t="str">
        <f>UPPER(Master_ventas[[#This Row],[Product Name]])</f>
        <v>KEYBOARD</v>
      </c>
      <c r="K2542" t="str">
        <f>UPPER(Master_ventas[[#This Row],[Category]])</f>
        <v>ACCESSORIES</v>
      </c>
      <c r="L2542">
        <f>YEAR(Master_ventas[[#This Row],[Order Date]])</f>
        <v>2024</v>
      </c>
      <c r="M2542" t="str">
        <f>CONCATENATE(LEFT(Master_ventas[[#This Row],[ProdUpper]],3),RIGHT(Master_ventas[[#This Row],[Ext-Year]],2),"-",MID(Master_ventas[[#This Row],[Category]],1,1))</f>
        <v>KEY24-A</v>
      </c>
      <c r="N2542" t="str">
        <f>MID(Master_ventas[[#This Row],[ProdUpper]],1,3)</f>
        <v>KEY</v>
      </c>
      <c r="O2542" t="str">
        <f>UPPER(IF(Master_ventas[[#This Row],[Profit]]&gt;500,"High","Std"))</f>
        <v>STD</v>
      </c>
      <c r="P2542">
        <v>2541</v>
      </c>
    </row>
    <row r="2543" spans="1:16" x14ac:dyDescent="0.3">
      <c r="A2543" s="1">
        <v>45436</v>
      </c>
      <c r="B2543" t="s">
        <v>23</v>
      </c>
      <c r="C2543" t="s">
        <v>14</v>
      </c>
      <c r="D2543" t="s">
        <v>9</v>
      </c>
      <c r="E2543">
        <v>3</v>
      </c>
      <c r="F2543" s="3">
        <v>213</v>
      </c>
      <c r="G2543" s="2">
        <v>30.68</v>
      </c>
      <c r="H2543">
        <f>Master_ventas[[#This Row],[Profit]]/Master_ventas[[#This Row],[Sales]]</f>
        <v>0.14403755868544602</v>
      </c>
      <c r="I2543">
        <f ca="1">Referencia_Hoy-Master_ventas[[#This Row],[Order Date]]</f>
        <v>887</v>
      </c>
      <c r="J2543" t="str">
        <f>UPPER(Master_ventas[[#This Row],[Product Name]])</f>
        <v>LAPTOP</v>
      </c>
      <c r="K2543" t="str">
        <f>UPPER(Master_ventas[[#This Row],[Category]])</f>
        <v>ELECTRONICS</v>
      </c>
      <c r="L2543">
        <f>YEAR(Master_ventas[[#This Row],[Order Date]])</f>
        <v>2024</v>
      </c>
      <c r="M2543" t="str">
        <f>CONCATENATE(LEFT(Master_ventas[[#This Row],[ProdUpper]],3),RIGHT(Master_ventas[[#This Row],[Ext-Year]],2),"-",MID(Master_ventas[[#This Row],[Category]],1,1))</f>
        <v>LAP24-E</v>
      </c>
      <c r="N2543" t="str">
        <f>MID(Master_ventas[[#This Row],[ProdUpper]],1,3)</f>
        <v>LAP</v>
      </c>
      <c r="O2543" t="str">
        <f>UPPER(IF(Master_ventas[[#This Row],[Profit]]&gt;500,"High","Std"))</f>
        <v>STD</v>
      </c>
      <c r="P2543">
        <v>2542</v>
      </c>
    </row>
    <row r="2544" spans="1:16" x14ac:dyDescent="0.3">
      <c r="A2544" s="1">
        <v>45224</v>
      </c>
      <c r="B2544" t="s">
        <v>21</v>
      </c>
      <c r="C2544" t="s">
        <v>14</v>
      </c>
      <c r="D2544" t="s">
        <v>12</v>
      </c>
      <c r="E2544">
        <v>2</v>
      </c>
      <c r="F2544" s="3">
        <v>1614</v>
      </c>
      <c r="G2544" s="2">
        <v>376.31</v>
      </c>
      <c r="H2544">
        <f>Master_ventas[[#This Row],[Profit]]/Master_ventas[[#This Row],[Sales]]</f>
        <v>0.23315365551425032</v>
      </c>
      <c r="I2544">
        <f ca="1">Referencia_Hoy-Master_ventas[[#This Row],[Order Date]]</f>
        <v>1099</v>
      </c>
      <c r="J2544" t="str">
        <f>UPPER(Master_ventas[[#This Row],[Product Name]])</f>
        <v>SMARTPHONE</v>
      </c>
      <c r="K2544" t="str">
        <f>UPPER(Master_ventas[[#This Row],[Category]])</f>
        <v>ELECTRONICS</v>
      </c>
      <c r="L2544">
        <f>YEAR(Master_ventas[[#This Row],[Order Date]])</f>
        <v>2023</v>
      </c>
      <c r="M2544" t="str">
        <f>CONCATENATE(LEFT(Master_ventas[[#This Row],[ProdUpper]],3),RIGHT(Master_ventas[[#This Row],[Ext-Year]],2),"-",MID(Master_ventas[[#This Row],[Category]],1,1))</f>
        <v>SMA23-E</v>
      </c>
      <c r="N2544" t="str">
        <f>MID(Master_ventas[[#This Row],[ProdUpper]],1,3)</f>
        <v>SMA</v>
      </c>
      <c r="O2544" t="str">
        <f>UPPER(IF(Master_ventas[[#This Row],[Profit]]&gt;500,"High","Std"))</f>
        <v>STD</v>
      </c>
      <c r="P2544">
        <v>2543</v>
      </c>
    </row>
    <row r="2545" spans="1:16" x14ac:dyDescent="0.3">
      <c r="A2545" s="1">
        <v>44966</v>
      </c>
      <c r="B2545" t="s">
        <v>10</v>
      </c>
      <c r="C2545" t="s">
        <v>11</v>
      </c>
      <c r="D2545" t="s">
        <v>16</v>
      </c>
      <c r="E2545">
        <v>8</v>
      </c>
      <c r="F2545" s="3">
        <v>6232</v>
      </c>
      <c r="G2545" s="2">
        <v>499.63</v>
      </c>
      <c r="H2545">
        <f>Master_ventas[[#This Row],[Profit]]/Master_ventas[[#This Row],[Sales]]</f>
        <v>8.0171694480102695E-2</v>
      </c>
      <c r="I2545">
        <f ca="1">Referencia_Hoy-Master_ventas[[#This Row],[Order Date]]</f>
        <v>1357</v>
      </c>
      <c r="J2545" t="str">
        <f>UPPER(Master_ventas[[#This Row],[Product Name]])</f>
        <v>MOUSE</v>
      </c>
      <c r="K2545" t="str">
        <f>UPPER(Master_ventas[[#This Row],[Category]])</f>
        <v>ACCESSORIES</v>
      </c>
      <c r="L2545">
        <f>YEAR(Master_ventas[[#This Row],[Order Date]])</f>
        <v>2023</v>
      </c>
      <c r="M2545" t="str">
        <f>CONCATENATE(LEFT(Master_ventas[[#This Row],[ProdUpper]],3),RIGHT(Master_ventas[[#This Row],[Ext-Year]],2),"-",MID(Master_ventas[[#This Row],[Category]],1,1))</f>
        <v>MOU23-A</v>
      </c>
      <c r="N2545" t="str">
        <f>MID(Master_ventas[[#This Row],[ProdUpper]],1,3)</f>
        <v>MOU</v>
      </c>
      <c r="O2545" t="str">
        <f>UPPER(IF(Master_ventas[[#This Row],[Profit]]&gt;500,"High","Std"))</f>
        <v>STD</v>
      </c>
      <c r="P2545">
        <v>2544</v>
      </c>
    </row>
    <row r="2546" spans="1:16" x14ac:dyDescent="0.3">
      <c r="A2546" s="1">
        <v>44960</v>
      </c>
      <c r="B2546" t="s">
        <v>7</v>
      </c>
      <c r="C2546" t="s">
        <v>8</v>
      </c>
      <c r="D2546" t="s">
        <v>9</v>
      </c>
      <c r="E2546">
        <v>4</v>
      </c>
      <c r="F2546" s="3">
        <v>3864</v>
      </c>
      <c r="G2546" s="2">
        <v>717.45</v>
      </c>
      <c r="H2546">
        <f>Master_ventas[[#This Row],[Profit]]/Master_ventas[[#This Row],[Sales]]</f>
        <v>0.18567546583850933</v>
      </c>
      <c r="I2546">
        <f ca="1">Referencia_Hoy-Master_ventas[[#This Row],[Order Date]]</f>
        <v>1363</v>
      </c>
      <c r="J2546" t="str">
        <f>UPPER(Master_ventas[[#This Row],[Product Name]])</f>
        <v>PRINTER</v>
      </c>
      <c r="K2546" t="str">
        <f>UPPER(Master_ventas[[#This Row],[Category]])</f>
        <v>OFFICE</v>
      </c>
      <c r="L2546">
        <f>YEAR(Master_ventas[[#This Row],[Order Date]])</f>
        <v>2023</v>
      </c>
      <c r="M2546" t="str">
        <f>CONCATENATE(LEFT(Master_ventas[[#This Row],[ProdUpper]],3),RIGHT(Master_ventas[[#This Row],[Ext-Year]],2),"-",MID(Master_ventas[[#This Row],[Category]],1,1))</f>
        <v>PRI23-O</v>
      </c>
      <c r="N2546" t="str">
        <f>MID(Master_ventas[[#This Row],[ProdUpper]],1,3)</f>
        <v>PRI</v>
      </c>
      <c r="O2546" t="str">
        <f>UPPER(IF(Master_ventas[[#This Row],[Profit]]&gt;500,"High","Std"))</f>
        <v>HIGH</v>
      </c>
      <c r="P2546">
        <v>2545</v>
      </c>
    </row>
    <row r="2547" spans="1:16" x14ac:dyDescent="0.3">
      <c r="A2547" s="1">
        <v>45634</v>
      </c>
      <c r="B2547" t="s">
        <v>18</v>
      </c>
      <c r="C2547" t="s">
        <v>11</v>
      </c>
      <c r="D2547" t="s">
        <v>15</v>
      </c>
      <c r="E2547">
        <v>3</v>
      </c>
      <c r="F2547" s="3">
        <v>2601</v>
      </c>
      <c r="G2547" s="2">
        <v>363.64</v>
      </c>
      <c r="H2547">
        <f>Master_ventas[[#This Row],[Profit]]/Master_ventas[[#This Row],[Sales]]</f>
        <v>0.13980776624375241</v>
      </c>
      <c r="I2547">
        <f ca="1">Referencia_Hoy-Master_ventas[[#This Row],[Order Date]]</f>
        <v>689</v>
      </c>
      <c r="J2547" t="str">
        <f>UPPER(Master_ventas[[#This Row],[Product Name]])</f>
        <v>HEADPHONES</v>
      </c>
      <c r="K2547" t="str">
        <f>UPPER(Master_ventas[[#This Row],[Category]])</f>
        <v>ACCESSORIES</v>
      </c>
      <c r="L2547">
        <f>YEAR(Master_ventas[[#This Row],[Order Date]])</f>
        <v>2024</v>
      </c>
      <c r="M2547" t="str">
        <f>CONCATENATE(LEFT(Master_ventas[[#This Row],[ProdUpper]],3),RIGHT(Master_ventas[[#This Row],[Ext-Year]],2),"-",MID(Master_ventas[[#This Row],[Category]],1,1))</f>
        <v>HEA24-A</v>
      </c>
      <c r="N2547" t="str">
        <f>MID(Master_ventas[[#This Row],[ProdUpper]],1,3)</f>
        <v>HEA</v>
      </c>
      <c r="O2547" t="str">
        <f>UPPER(IF(Master_ventas[[#This Row],[Profit]]&gt;500,"High","Std"))</f>
        <v>STD</v>
      </c>
      <c r="P2547">
        <v>2546</v>
      </c>
    </row>
    <row r="2548" spans="1:16" x14ac:dyDescent="0.3">
      <c r="A2548" s="1">
        <v>44958</v>
      </c>
      <c r="B2548" t="s">
        <v>10</v>
      </c>
      <c r="C2548" t="s">
        <v>11</v>
      </c>
      <c r="D2548" t="s">
        <v>12</v>
      </c>
      <c r="E2548">
        <v>6</v>
      </c>
      <c r="F2548" s="3">
        <v>4944</v>
      </c>
      <c r="G2548" s="2">
        <v>758.46</v>
      </c>
      <c r="H2548">
        <f>Master_ventas[[#This Row],[Profit]]/Master_ventas[[#This Row],[Sales]]</f>
        <v>0.15341019417475729</v>
      </c>
      <c r="I2548">
        <f ca="1">Referencia_Hoy-Master_ventas[[#This Row],[Order Date]]</f>
        <v>1365</v>
      </c>
      <c r="J2548" t="str">
        <f>UPPER(Master_ventas[[#This Row],[Product Name]])</f>
        <v>MOUSE</v>
      </c>
      <c r="K2548" t="str">
        <f>UPPER(Master_ventas[[#This Row],[Category]])</f>
        <v>ACCESSORIES</v>
      </c>
      <c r="L2548">
        <f>YEAR(Master_ventas[[#This Row],[Order Date]])</f>
        <v>2023</v>
      </c>
      <c r="M2548" t="str">
        <f>CONCATENATE(LEFT(Master_ventas[[#This Row],[ProdUpper]],3),RIGHT(Master_ventas[[#This Row],[Ext-Year]],2),"-",MID(Master_ventas[[#This Row],[Category]],1,1))</f>
        <v>MOU23-A</v>
      </c>
      <c r="N2548" t="str">
        <f>MID(Master_ventas[[#This Row],[ProdUpper]],1,3)</f>
        <v>MOU</v>
      </c>
      <c r="O2548" t="str">
        <f>UPPER(IF(Master_ventas[[#This Row],[Profit]]&gt;500,"High","Std"))</f>
        <v>HIGH</v>
      </c>
      <c r="P2548">
        <v>2547</v>
      </c>
    </row>
    <row r="2549" spans="1:16" x14ac:dyDescent="0.3">
      <c r="A2549" s="1">
        <v>45246</v>
      </c>
      <c r="B2549" t="s">
        <v>7</v>
      </c>
      <c r="C2549" t="s">
        <v>8</v>
      </c>
      <c r="D2549" t="s">
        <v>15</v>
      </c>
      <c r="E2549">
        <v>4</v>
      </c>
      <c r="F2549" s="3">
        <v>4680</v>
      </c>
      <c r="G2549" s="2">
        <v>301.91000000000003</v>
      </c>
      <c r="H2549">
        <f>Master_ventas[[#This Row],[Profit]]/Master_ventas[[#This Row],[Sales]]</f>
        <v>6.4510683760683765E-2</v>
      </c>
      <c r="I2549">
        <f ca="1">Referencia_Hoy-Master_ventas[[#This Row],[Order Date]]</f>
        <v>1077</v>
      </c>
      <c r="J2549" t="str">
        <f>UPPER(Master_ventas[[#This Row],[Product Name]])</f>
        <v>PRINTER</v>
      </c>
      <c r="K2549" t="str">
        <f>UPPER(Master_ventas[[#This Row],[Category]])</f>
        <v>OFFICE</v>
      </c>
      <c r="L2549">
        <f>YEAR(Master_ventas[[#This Row],[Order Date]])</f>
        <v>2023</v>
      </c>
      <c r="M2549" t="str">
        <f>CONCATENATE(LEFT(Master_ventas[[#This Row],[ProdUpper]],3),RIGHT(Master_ventas[[#This Row],[Ext-Year]],2),"-",MID(Master_ventas[[#This Row],[Category]],1,1))</f>
        <v>PRI23-O</v>
      </c>
      <c r="N2549" t="str">
        <f>MID(Master_ventas[[#This Row],[ProdUpper]],1,3)</f>
        <v>PRI</v>
      </c>
      <c r="O2549" t="str">
        <f>UPPER(IF(Master_ventas[[#This Row],[Profit]]&gt;500,"High","Std"))</f>
        <v>STD</v>
      </c>
      <c r="P2549">
        <v>2548</v>
      </c>
    </row>
    <row r="2550" spans="1:16" x14ac:dyDescent="0.3">
      <c r="A2550" s="1">
        <v>44590</v>
      </c>
      <c r="B2550" t="s">
        <v>10</v>
      </c>
      <c r="C2550" t="s">
        <v>11</v>
      </c>
      <c r="D2550" t="s">
        <v>15</v>
      </c>
      <c r="E2550">
        <v>8</v>
      </c>
      <c r="F2550" s="3">
        <v>2112</v>
      </c>
      <c r="G2550" s="2">
        <v>418.58</v>
      </c>
      <c r="H2550">
        <f>Master_ventas[[#This Row],[Profit]]/Master_ventas[[#This Row],[Sales]]</f>
        <v>0.19819128787878787</v>
      </c>
      <c r="I2550">
        <f ca="1">Referencia_Hoy-Master_ventas[[#This Row],[Order Date]]</f>
        <v>1733</v>
      </c>
      <c r="J2550" t="str">
        <f>UPPER(Master_ventas[[#This Row],[Product Name]])</f>
        <v>MOUSE</v>
      </c>
      <c r="K2550" t="str">
        <f>UPPER(Master_ventas[[#This Row],[Category]])</f>
        <v>ACCESSORIES</v>
      </c>
      <c r="L2550">
        <f>YEAR(Master_ventas[[#This Row],[Order Date]])</f>
        <v>2022</v>
      </c>
      <c r="M2550" t="str">
        <f>CONCATENATE(LEFT(Master_ventas[[#This Row],[ProdUpper]],3),RIGHT(Master_ventas[[#This Row],[Ext-Year]],2),"-",MID(Master_ventas[[#This Row],[Category]],1,1))</f>
        <v>MOU22-A</v>
      </c>
      <c r="N2550" t="str">
        <f>MID(Master_ventas[[#This Row],[ProdUpper]],1,3)</f>
        <v>MOU</v>
      </c>
      <c r="O2550" t="str">
        <f>UPPER(IF(Master_ventas[[#This Row],[Profit]]&gt;500,"High","Std"))</f>
        <v>STD</v>
      </c>
      <c r="P2550">
        <v>2549</v>
      </c>
    </row>
    <row r="2551" spans="1:16" x14ac:dyDescent="0.3">
      <c r="A2551" s="1">
        <v>44675</v>
      </c>
      <c r="B2551" t="s">
        <v>20</v>
      </c>
      <c r="C2551" t="s">
        <v>11</v>
      </c>
      <c r="D2551" t="s">
        <v>12</v>
      </c>
      <c r="E2551">
        <v>6</v>
      </c>
      <c r="F2551" s="3">
        <v>7140</v>
      </c>
      <c r="G2551" s="2">
        <v>869.93</v>
      </c>
      <c r="H2551">
        <f>Master_ventas[[#This Row],[Profit]]/Master_ventas[[#This Row],[Sales]]</f>
        <v>0.12183893557422969</v>
      </c>
      <c r="I2551">
        <f ca="1">Referencia_Hoy-Master_ventas[[#This Row],[Order Date]]</f>
        <v>1648</v>
      </c>
      <c r="J2551" t="str">
        <f>UPPER(Master_ventas[[#This Row],[Product Name]])</f>
        <v>MONITOR</v>
      </c>
      <c r="K2551" t="str">
        <f>UPPER(Master_ventas[[#This Row],[Category]])</f>
        <v>ACCESSORIES</v>
      </c>
      <c r="L2551">
        <f>YEAR(Master_ventas[[#This Row],[Order Date]])</f>
        <v>2022</v>
      </c>
      <c r="M2551" t="str">
        <f>CONCATENATE(LEFT(Master_ventas[[#This Row],[ProdUpper]],3),RIGHT(Master_ventas[[#This Row],[Ext-Year]],2),"-",MID(Master_ventas[[#This Row],[Category]],1,1))</f>
        <v>MON22-A</v>
      </c>
      <c r="N2551" t="str">
        <f>MID(Master_ventas[[#This Row],[ProdUpper]],1,3)</f>
        <v>MON</v>
      </c>
      <c r="O2551" t="str">
        <f>UPPER(IF(Master_ventas[[#This Row],[Profit]]&gt;500,"High","Std"))</f>
        <v>HIGH</v>
      </c>
      <c r="P2551">
        <v>2550</v>
      </c>
    </row>
    <row r="2552" spans="1:16" x14ac:dyDescent="0.3">
      <c r="A2552" s="1">
        <v>44853</v>
      </c>
      <c r="B2552" t="s">
        <v>22</v>
      </c>
      <c r="C2552" t="s">
        <v>11</v>
      </c>
      <c r="D2552" t="s">
        <v>12</v>
      </c>
      <c r="E2552">
        <v>1</v>
      </c>
      <c r="F2552" s="3">
        <v>750</v>
      </c>
      <c r="G2552" s="2">
        <v>37.97</v>
      </c>
      <c r="H2552">
        <f>Master_ventas[[#This Row],[Profit]]/Master_ventas[[#This Row],[Sales]]</f>
        <v>5.0626666666666667E-2</v>
      </c>
      <c r="I2552">
        <f ca="1">Referencia_Hoy-Master_ventas[[#This Row],[Order Date]]</f>
        <v>1470</v>
      </c>
      <c r="J2552" t="str">
        <f>UPPER(Master_ventas[[#This Row],[Product Name]])</f>
        <v>KEYBOARD</v>
      </c>
      <c r="K2552" t="str">
        <f>UPPER(Master_ventas[[#This Row],[Category]])</f>
        <v>ACCESSORIES</v>
      </c>
      <c r="L2552">
        <f>YEAR(Master_ventas[[#This Row],[Order Date]])</f>
        <v>2022</v>
      </c>
      <c r="M2552" t="str">
        <f>CONCATENATE(LEFT(Master_ventas[[#This Row],[ProdUpper]],3),RIGHT(Master_ventas[[#This Row],[Ext-Year]],2),"-",MID(Master_ventas[[#This Row],[Category]],1,1))</f>
        <v>KEY22-A</v>
      </c>
      <c r="N2552" t="str">
        <f>MID(Master_ventas[[#This Row],[ProdUpper]],1,3)</f>
        <v>KEY</v>
      </c>
      <c r="O2552" t="str">
        <f>UPPER(IF(Master_ventas[[#This Row],[Profit]]&gt;500,"High","Std"))</f>
        <v>STD</v>
      </c>
      <c r="P2552">
        <v>2551</v>
      </c>
    </row>
    <row r="2553" spans="1:16" x14ac:dyDescent="0.3">
      <c r="A2553" s="1">
        <v>44785</v>
      </c>
      <c r="B2553" t="s">
        <v>10</v>
      </c>
      <c r="C2553" t="s">
        <v>11</v>
      </c>
      <c r="D2553" t="s">
        <v>12</v>
      </c>
      <c r="E2553">
        <v>4</v>
      </c>
      <c r="F2553" s="3">
        <v>392</v>
      </c>
      <c r="G2553" s="2">
        <v>39.229999999999997</v>
      </c>
      <c r="H2553">
        <f>Master_ventas[[#This Row],[Profit]]/Master_ventas[[#This Row],[Sales]]</f>
        <v>0.10007653061224489</v>
      </c>
      <c r="I2553">
        <f ca="1">Referencia_Hoy-Master_ventas[[#This Row],[Order Date]]</f>
        <v>1538</v>
      </c>
      <c r="J2553" t="str">
        <f>UPPER(Master_ventas[[#This Row],[Product Name]])</f>
        <v>MOUSE</v>
      </c>
      <c r="K2553" t="str">
        <f>UPPER(Master_ventas[[#This Row],[Category]])</f>
        <v>ACCESSORIES</v>
      </c>
      <c r="L2553">
        <f>YEAR(Master_ventas[[#This Row],[Order Date]])</f>
        <v>2022</v>
      </c>
      <c r="M2553" t="str">
        <f>CONCATENATE(LEFT(Master_ventas[[#This Row],[ProdUpper]],3),RIGHT(Master_ventas[[#This Row],[Ext-Year]],2),"-",MID(Master_ventas[[#This Row],[Category]],1,1))</f>
        <v>MOU22-A</v>
      </c>
      <c r="N2553" t="str">
        <f>MID(Master_ventas[[#This Row],[ProdUpper]],1,3)</f>
        <v>MOU</v>
      </c>
      <c r="O2553" t="str">
        <f>UPPER(IF(Master_ventas[[#This Row],[Profit]]&gt;500,"High","Std"))</f>
        <v>STD</v>
      </c>
      <c r="P2553">
        <v>2552</v>
      </c>
    </row>
    <row r="2554" spans="1:16" x14ac:dyDescent="0.3">
      <c r="A2554" s="1">
        <v>45567</v>
      </c>
      <c r="B2554" t="s">
        <v>23</v>
      </c>
      <c r="C2554" t="s">
        <v>14</v>
      </c>
      <c r="D2554" t="s">
        <v>15</v>
      </c>
      <c r="E2554">
        <v>4</v>
      </c>
      <c r="F2554" s="3">
        <v>2408</v>
      </c>
      <c r="G2554" s="2">
        <v>721.8</v>
      </c>
      <c r="H2554">
        <f>Master_ventas[[#This Row],[Profit]]/Master_ventas[[#This Row],[Sales]]</f>
        <v>0.29975083056478402</v>
      </c>
      <c r="I2554">
        <f ca="1">Referencia_Hoy-Master_ventas[[#This Row],[Order Date]]</f>
        <v>756</v>
      </c>
      <c r="J2554" t="str">
        <f>UPPER(Master_ventas[[#This Row],[Product Name]])</f>
        <v>LAPTOP</v>
      </c>
      <c r="K2554" t="str">
        <f>UPPER(Master_ventas[[#This Row],[Category]])</f>
        <v>ELECTRONICS</v>
      </c>
      <c r="L2554">
        <f>YEAR(Master_ventas[[#This Row],[Order Date]])</f>
        <v>2024</v>
      </c>
      <c r="M2554" t="str">
        <f>CONCATENATE(LEFT(Master_ventas[[#This Row],[ProdUpper]],3),RIGHT(Master_ventas[[#This Row],[Ext-Year]],2),"-",MID(Master_ventas[[#This Row],[Category]],1,1))</f>
        <v>LAP24-E</v>
      </c>
      <c r="N2554" t="str">
        <f>MID(Master_ventas[[#This Row],[ProdUpper]],1,3)</f>
        <v>LAP</v>
      </c>
      <c r="O2554" t="str">
        <f>UPPER(IF(Master_ventas[[#This Row],[Profit]]&gt;500,"High","Std"))</f>
        <v>HIGH</v>
      </c>
      <c r="P2554">
        <v>2553</v>
      </c>
    </row>
    <row r="2555" spans="1:16" x14ac:dyDescent="0.3">
      <c r="A2555" s="1">
        <v>45182</v>
      </c>
      <c r="B2555" t="s">
        <v>20</v>
      </c>
      <c r="C2555" t="s">
        <v>11</v>
      </c>
      <c r="D2555" t="s">
        <v>12</v>
      </c>
      <c r="E2555">
        <v>2</v>
      </c>
      <c r="F2555" s="3">
        <v>2016</v>
      </c>
      <c r="G2555" s="2">
        <v>151.4</v>
      </c>
      <c r="H2555">
        <f>Master_ventas[[#This Row],[Profit]]/Master_ventas[[#This Row],[Sales]]</f>
        <v>7.5099206349206346E-2</v>
      </c>
      <c r="I2555">
        <f ca="1">Referencia_Hoy-Master_ventas[[#This Row],[Order Date]]</f>
        <v>1141</v>
      </c>
      <c r="J2555" t="str">
        <f>UPPER(Master_ventas[[#This Row],[Product Name]])</f>
        <v>MONITOR</v>
      </c>
      <c r="K2555" t="str">
        <f>UPPER(Master_ventas[[#This Row],[Category]])</f>
        <v>ACCESSORIES</v>
      </c>
      <c r="L2555">
        <f>YEAR(Master_ventas[[#This Row],[Order Date]])</f>
        <v>2023</v>
      </c>
      <c r="M2555" t="str">
        <f>CONCATENATE(LEFT(Master_ventas[[#This Row],[ProdUpper]],3),RIGHT(Master_ventas[[#This Row],[Ext-Year]],2),"-",MID(Master_ventas[[#This Row],[Category]],1,1))</f>
        <v>MON23-A</v>
      </c>
      <c r="N2555" t="str">
        <f>MID(Master_ventas[[#This Row],[ProdUpper]],1,3)</f>
        <v>MON</v>
      </c>
      <c r="O2555" t="str">
        <f>UPPER(IF(Master_ventas[[#This Row],[Profit]]&gt;500,"High","Std"))</f>
        <v>STD</v>
      </c>
      <c r="P2555">
        <v>2554</v>
      </c>
    </row>
    <row r="2556" spans="1:16" x14ac:dyDescent="0.3">
      <c r="A2556" s="1">
        <v>44767</v>
      </c>
      <c r="B2556" t="s">
        <v>20</v>
      </c>
      <c r="C2556" t="s">
        <v>11</v>
      </c>
      <c r="D2556" t="s">
        <v>15</v>
      </c>
      <c r="E2556">
        <v>4</v>
      </c>
      <c r="F2556" s="3">
        <v>464</v>
      </c>
      <c r="G2556" s="2">
        <v>47.93</v>
      </c>
      <c r="H2556">
        <f>Master_ventas[[#This Row],[Profit]]/Master_ventas[[#This Row],[Sales]]</f>
        <v>0.10329741379310345</v>
      </c>
      <c r="I2556">
        <f ca="1">Referencia_Hoy-Master_ventas[[#This Row],[Order Date]]</f>
        <v>1556</v>
      </c>
      <c r="J2556" t="str">
        <f>UPPER(Master_ventas[[#This Row],[Product Name]])</f>
        <v>MONITOR</v>
      </c>
      <c r="K2556" t="str">
        <f>UPPER(Master_ventas[[#This Row],[Category]])</f>
        <v>ACCESSORIES</v>
      </c>
      <c r="L2556">
        <f>YEAR(Master_ventas[[#This Row],[Order Date]])</f>
        <v>2022</v>
      </c>
      <c r="M2556" t="str">
        <f>CONCATENATE(LEFT(Master_ventas[[#This Row],[ProdUpper]],3),RIGHT(Master_ventas[[#This Row],[Ext-Year]],2),"-",MID(Master_ventas[[#This Row],[Category]],1,1))</f>
        <v>MON22-A</v>
      </c>
      <c r="N2556" t="str">
        <f>MID(Master_ventas[[#This Row],[ProdUpper]],1,3)</f>
        <v>MON</v>
      </c>
      <c r="O2556" t="str">
        <f>UPPER(IF(Master_ventas[[#This Row],[Profit]]&gt;500,"High","Std"))</f>
        <v>STD</v>
      </c>
      <c r="P2556">
        <v>2555</v>
      </c>
    </row>
    <row r="2557" spans="1:16" x14ac:dyDescent="0.3">
      <c r="A2557" s="1">
        <v>45269</v>
      </c>
      <c r="B2557" t="s">
        <v>18</v>
      </c>
      <c r="C2557" t="s">
        <v>11</v>
      </c>
      <c r="D2557" t="s">
        <v>12</v>
      </c>
      <c r="E2557">
        <v>1</v>
      </c>
      <c r="F2557" s="3">
        <v>832</v>
      </c>
      <c r="G2557" s="2">
        <v>227.11</v>
      </c>
      <c r="H2557">
        <f>Master_ventas[[#This Row],[Profit]]/Master_ventas[[#This Row],[Sales]]</f>
        <v>0.27296875000000004</v>
      </c>
      <c r="I2557">
        <f ca="1">Referencia_Hoy-Master_ventas[[#This Row],[Order Date]]</f>
        <v>1054</v>
      </c>
      <c r="J2557" t="str">
        <f>UPPER(Master_ventas[[#This Row],[Product Name]])</f>
        <v>HEADPHONES</v>
      </c>
      <c r="K2557" t="str">
        <f>UPPER(Master_ventas[[#This Row],[Category]])</f>
        <v>ACCESSORIES</v>
      </c>
      <c r="L2557">
        <f>YEAR(Master_ventas[[#This Row],[Order Date]])</f>
        <v>2023</v>
      </c>
      <c r="M2557" t="str">
        <f>CONCATENATE(LEFT(Master_ventas[[#This Row],[ProdUpper]],3),RIGHT(Master_ventas[[#This Row],[Ext-Year]],2),"-",MID(Master_ventas[[#This Row],[Category]],1,1))</f>
        <v>HEA23-A</v>
      </c>
      <c r="N2557" t="str">
        <f>MID(Master_ventas[[#This Row],[ProdUpper]],1,3)</f>
        <v>HEA</v>
      </c>
      <c r="O2557" t="str">
        <f>UPPER(IF(Master_ventas[[#This Row],[Profit]]&gt;500,"High","Std"))</f>
        <v>STD</v>
      </c>
      <c r="P2557">
        <v>2556</v>
      </c>
    </row>
    <row r="2558" spans="1:16" x14ac:dyDescent="0.3">
      <c r="A2558" s="1">
        <v>45382</v>
      </c>
      <c r="B2558" t="s">
        <v>18</v>
      </c>
      <c r="C2558" t="s">
        <v>11</v>
      </c>
      <c r="D2558" t="s">
        <v>12</v>
      </c>
      <c r="E2558">
        <v>8</v>
      </c>
      <c r="F2558" s="3">
        <v>1296</v>
      </c>
      <c r="G2558" s="2">
        <v>374.8</v>
      </c>
      <c r="H2558">
        <f>Master_ventas[[#This Row],[Profit]]/Master_ventas[[#This Row],[Sales]]</f>
        <v>0.28919753086419753</v>
      </c>
      <c r="I2558">
        <f ca="1">Referencia_Hoy-Master_ventas[[#This Row],[Order Date]]</f>
        <v>941</v>
      </c>
      <c r="J2558" t="str">
        <f>UPPER(Master_ventas[[#This Row],[Product Name]])</f>
        <v>HEADPHONES</v>
      </c>
      <c r="K2558" t="str">
        <f>UPPER(Master_ventas[[#This Row],[Category]])</f>
        <v>ACCESSORIES</v>
      </c>
      <c r="L2558">
        <f>YEAR(Master_ventas[[#This Row],[Order Date]])</f>
        <v>2024</v>
      </c>
      <c r="M2558" t="str">
        <f>CONCATENATE(LEFT(Master_ventas[[#This Row],[ProdUpper]],3),RIGHT(Master_ventas[[#This Row],[Ext-Year]],2),"-",MID(Master_ventas[[#This Row],[Category]],1,1))</f>
        <v>HEA24-A</v>
      </c>
      <c r="N2558" t="str">
        <f>MID(Master_ventas[[#This Row],[ProdUpper]],1,3)</f>
        <v>HEA</v>
      </c>
      <c r="O2558" t="str">
        <f>UPPER(IF(Master_ventas[[#This Row],[Profit]]&gt;500,"High","Std"))</f>
        <v>STD</v>
      </c>
      <c r="P2558">
        <v>2557</v>
      </c>
    </row>
    <row r="2559" spans="1:16" x14ac:dyDescent="0.3">
      <c r="A2559" s="1">
        <v>44674</v>
      </c>
      <c r="B2559" t="s">
        <v>21</v>
      </c>
      <c r="C2559" t="s">
        <v>14</v>
      </c>
      <c r="D2559" t="s">
        <v>12</v>
      </c>
      <c r="E2559">
        <v>1</v>
      </c>
      <c r="F2559" s="3">
        <v>300</v>
      </c>
      <c r="G2559" s="2">
        <v>45.81</v>
      </c>
      <c r="H2559">
        <f>Master_ventas[[#This Row],[Profit]]/Master_ventas[[#This Row],[Sales]]</f>
        <v>0.1527</v>
      </c>
      <c r="I2559">
        <f ca="1">Referencia_Hoy-Master_ventas[[#This Row],[Order Date]]</f>
        <v>1649</v>
      </c>
      <c r="J2559" t="str">
        <f>UPPER(Master_ventas[[#This Row],[Product Name]])</f>
        <v>SMARTPHONE</v>
      </c>
      <c r="K2559" t="str">
        <f>UPPER(Master_ventas[[#This Row],[Category]])</f>
        <v>ELECTRONICS</v>
      </c>
      <c r="L2559">
        <f>YEAR(Master_ventas[[#This Row],[Order Date]])</f>
        <v>2022</v>
      </c>
      <c r="M2559" t="str">
        <f>CONCATENATE(LEFT(Master_ventas[[#This Row],[ProdUpper]],3),RIGHT(Master_ventas[[#This Row],[Ext-Year]],2),"-",MID(Master_ventas[[#This Row],[Category]],1,1))</f>
        <v>SMA22-E</v>
      </c>
      <c r="N2559" t="str">
        <f>MID(Master_ventas[[#This Row],[ProdUpper]],1,3)</f>
        <v>SMA</v>
      </c>
      <c r="O2559" t="str">
        <f>UPPER(IF(Master_ventas[[#This Row],[Profit]]&gt;500,"High","Std"))</f>
        <v>STD</v>
      </c>
      <c r="P2559">
        <v>2558</v>
      </c>
    </row>
    <row r="2560" spans="1:16" x14ac:dyDescent="0.3">
      <c r="A2560" s="1">
        <v>45479</v>
      </c>
      <c r="B2560" t="s">
        <v>20</v>
      </c>
      <c r="C2560" t="s">
        <v>11</v>
      </c>
      <c r="D2560" t="s">
        <v>9</v>
      </c>
      <c r="E2560">
        <v>6</v>
      </c>
      <c r="F2560" s="3">
        <v>2856</v>
      </c>
      <c r="G2560" s="2">
        <v>226.53</v>
      </c>
      <c r="H2560">
        <f>Master_ventas[[#This Row],[Profit]]/Master_ventas[[#This Row],[Sales]]</f>
        <v>7.9317226890756307E-2</v>
      </c>
      <c r="I2560">
        <f ca="1">Referencia_Hoy-Master_ventas[[#This Row],[Order Date]]</f>
        <v>844</v>
      </c>
      <c r="J2560" t="str">
        <f>UPPER(Master_ventas[[#This Row],[Product Name]])</f>
        <v>MONITOR</v>
      </c>
      <c r="K2560" t="str">
        <f>UPPER(Master_ventas[[#This Row],[Category]])</f>
        <v>ACCESSORIES</v>
      </c>
      <c r="L2560">
        <f>YEAR(Master_ventas[[#This Row],[Order Date]])</f>
        <v>2024</v>
      </c>
      <c r="M2560" t="str">
        <f>CONCATENATE(LEFT(Master_ventas[[#This Row],[ProdUpper]],3),RIGHT(Master_ventas[[#This Row],[Ext-Year]],2),"-",MID(Master_ventas[[#This Row],[Category]],1,1))</f>
        <v>MON24-A</v>
      </c>
      <c r="N2560" t="str">
        <f>MID(Master_ventas[[#This Row],[ProdUpper]],1,3)</f>
        <v>MON</v>
      </c>
      <c r="O2560" t="str">
        <f>UPPER(IF(Master_ventas[[#This Row],[Profit]]&gt;500,"High","Std"))</f>
        <v>STD</v>
      </c>
      <c r="P2560">
        <v>2559</v>
      </c>
    </row>
    <row r="2561" spans="1:16" x14ac:dyDescent="0.3">
      <c r="A2561" s="1">
        <v>44905</v>
      </c>
      <c r="B2561" t="s">
        <v>13</v>
      </c>
      <c r="C2561" t="s">
        <v>14</v>
      </c>
      <c r="D2561" t="s">
        <v>16</v>
      </c>
      <c r="E2561">
        <v>5</v>
      </c>
      <c r="F2561" s="3">
        <v>3380</v>
      </c>
      <c r="G2561" s="2">
        <v>287.05</v>
      </c>
      <c r="H2561">
        <f>Master_ventas[[#This Row],[Profit]]/Master_ventas[[#This Row],[Sales]]</f>
        <v>8.4926035502958588E-2</v>
      </c>
      <c r="I2561">
        <f ca="1">Referencia_Hoy-Master_ventas[[#This Row],[Order Date]]</f>
        <v>1418</v>
      </c>
      <c r="J2561" t="str">
        <f>UPPER(Master_ventas[[#This Row],[Product Name]])</f>
        <v>TABLET</v>
      </c>
      <c r="K2561" t="str">
        <f>UPPER(Master_ventas[[#This Row],[Category]])</f>
        <v>ELECTRONICS</v>
      </c>
      <c r="L2561">
        <f>YEAR(Master_ventas[[#This Row],[Order Date]])</f>
        <v>2022</v>
      </c>
      <c r="M2561" t="str">
        <f>CONCATENATE(LEFT(Master_ventas[[#This Row],[ProdUpper]],3),RIGHT(Master_ventas[[#This Row],[Ext-Year]],2),"-",MID(Master_ventas[[#This Row],[Category]],1,1))</f>
        <v>TAB22-E</v>
      </c>
      <c r="N2561" t="str">
        <f>MID(Master_ventas[[#This Row],[ProdUpper]],1,3)</f>
        <v>TAB</v>
      </c>
      <c r="O2561" t="str">
        <f>UPPER(IF(Master_ventas[[#This Row],[Profit]]&gt;500,"High","Std"))</f>
        <v>STD</v>
      </c>
      <c r="P2561">
        <v>2560</v>
      </c>
    </row>
    <row r="2562" spans="1:16" x14ac:dyDescent="0.3">
      <c r="A2562" s="1">
        <v>44588</v>
      </c>
      <c r="B2562" t="s">
        <v>13</v>
      </c>
      <c r="C2562" t="s">
        <v>14</v>
      </c>
      <c r="D2562" t="s">
        <v>9</v>
      </c>
      <c r="E2562">
        <v>5</v>
      </c>
      <c r="F2562" s="3">
        <v>400</v>
      </c>
      <c r="G2562" s="2">
        <v>86.52</v>
      </c>
      <c r="H2562">
        <f>Master_ventas[[#This Row],[Profit]]/Master_ventas[[#This Row],[Sales]]</f>
        <v>0.21629999999999999</v>
      </c>
      <c r="I2562">
        <f ca="1">Referencia_Hoy-Master_ventas[[#This Row],[Order Date]]</f>
        <v>1735</v>
      </c>
      <c r="J2562" t="str">
        <f>UPPER(Master_ventas[[#This Row],[Product Name]])</f>
        <v>TABLET</v>
      </c>
      <c r="K2562" t="str">
        <f>UPPER(Master_ventas[[#This Row],[Category]])</f>
        <v>ELECTRONICS</v>
      </c>
      <c r="L2562">
        <f>YEAR(Master_ventas[[#This Row],[Order Date]])</f>
        <v>2022</v>
      </c>
      <c r="M2562" t="str">
        <f>CONCATENATE(LEFT(Master_ventas[[#This Row],[ProdUpper]],3),RIGHT(Master_ventas[[#This Row],[Ext-Year]],2),"-",MID(Master_ventas[[#This Row],[Category]],1,1))</f>
        <v>TAB22-E</v>
      </c>
      <c r="N2562" t="str">
        <f>MID(Master_ventas[[#This Row],[ProdUpper]],1,3)</f>
        <v>TAB</v>
      </c>
      <c r="O2562" t="str">
        <f>UPPER(IF(Master_ventas[[#This Row],[Profit]]&gt;500,"High","Std"))</f>
        <v>STD</v>
      </c>
      <c r="P2562">
        <v>2561</v>
      </c>
    </row>
    <row r="2563" spans="1:16" x14ac:dyDescent="0.3">
      <c r="A2563" s="1">
        <v>44848</v>
      </c>
      <c r="B2563" t="s">
        <v>17</v>
      </c>
      <c r="C2563" t="s">
        <v>14</v>
      </c>
      <c r="D2563" t="s">
        <v>9</v>
      </c>
      <c r="E2563">
        <v>1</v>
      </c>
      <c r="F2563" s="3">
        <v>722</v>
      </c>
      <c r="G2563" s="2">
        <v>49.7</v>
      </c>
      <c r="H2563">
        <f>Master_ventas[[#This Row],[Profit]]/Master_ventas[[#This Row],[Sales]]</f>
        <v>6.8836565096952906E-2</v>
      </c>
      <c r="I2563">
        <f ca="1">Referencia_Hoy-Master_ventas[[#This Row],[Order Date]]</f>
        <v>1475</v>
      </c>
      <c r="J2563" t="str">
        <f>UPPER(Master_ventas[[#This Row],[Product Name]])</f>
        <v>CAMERA</v>
      </c>
      <c r="K2563" t="str">
        <f>UPPER(Master_ventas[[#This Row],[Category]])</f>
        <v>ELECTRONICS</v>
      </c>
      <c r="L2563">
        <f>YEAR(Master_ventas[[#This Row],[Order Date]])</f>
        <v>2022</v>
      </c>
      <c r="M2563" t="str">
        <f>CONCATENATE(LEFT(Master_ventas[[#This Row],[ProdUpper]],3),RIGHT(Master_ventas[[#This Row],[Ext-Year]],2),"-",MID(Master_ventas[[#This Row],[Category]],1,1))</f>
        <v>CAM22-E</v>
      </c>
      <c r="N2563" t="str">
        <f>MID(Master_ventas[[#This Row],[ProdUpper]],1,3)</f>
        <v>CAM</v>
      </c>
      <c r="O2563" t="str">
        <f>UPPER(IF(Master_ventas[[#This Row],[Profit]]&gt;500,"High","Std"))</f>
        <v>STD</v>
      </c>
      <c r="P2563">
        <v>2562</v>
      </c>
    </row>
    <row r="2564" spans="1:16" x14ac:dyDescent="0.3">
      <c r="A2564" s="1">
        <v>45619</v>
      </c>
      <c r="B2564" t="s">
        <v>23</v>
      </c>
      <c r="C2564" t="s">
        <v>14</v>
      </c>
      <c r="D2564" t="s">
        <v>15</v>
      </c>
      <c r="E2564">
        <v>4</v>
      </c>
      <c r="F2564" s="3">
        <v>4596</v>
      </c>
      <c r="G2564" s="2">
        <v>947.45</v>
      </c>
      <c r="H2564">
        <f>Master_ventas[[#This Row],[Profit]]/Master_ventas[[#This Row],[Sales]]</f>
        <v>0.2061466492602263</v>
      </c>
      <c r="I2564">
        <f ca="1">Referencia_Hoy-Master_ventas[[#This Row],[Order Date]]</f>
        <v>704</v>
      </c>
      <c r="J2564" t="str">
        <f>UPPER(Master_ventas[[#This Row],[Product Name]])</f>
        <v>LAPTOP</v>
      </c>
      <c r="K2564" t="str">
        <f>UPPER(Master_ventas[[#This Row],[Category]])</f>
        <v>ELECTRONICS</v>
      </c>
      <c r="L2564">
        <f>YEAR(Master_ventas[[#This Row],[Order Date]])</f>
        <v>2024</v>
      </c>
      <c r="M2564" t="str">
        <f>CONCATENATE(LEFT(Master_ventas[[#This Row],[ProdUpper]],3),RIGHT(Master_ventas[[#This Row],[Ext-Year]],2),"-",MID(Master_ventas[[#This Row],[Category]],1,1))</f>
        <v>LAP24-E</v>
      </c>
      <c r="N2564" t="str">
        <f>MID(Master_ventas[[#This Row],[ProdUpper]],1,3)</f>
        <v>LAP</v>
      </c>
      <c r="O2564" t="str">
        <f>UPPER(IF(Master_ventas[[#This Row],[Profit]]&gt;500,"High","Std"))</f>
        <v>HIGH</v>
      </c>
      <c r="P2564">
        <v>2563</v>
      </c>
    </row>
    <row r="2565" spans="1:16" x14ac:dyDescent="0.3">
      <c r="A2565" s="1">
        <v>45024</v>
      </c>
      <c r="B2565" t="s">
        <v>22</v>
      </c>
      <c r="C2565" t="s">
        <v>11</v>
      </c>
      <c r="D2565" t="s">
        <v>16</v>
      </c>
      <c r="E2565">
        <v>8</v>
      </c>
      <c r="F2565" s="3">
        <v>1176</v>
      </c>
      <c r="G2565" s="2">
        <v>313.58</v>
      </c>
      <c r="H2565">
        <f>Master_ventas[[#This Row],[Profit]]/Master_ventas[[#This Row],[Sales]]</f>
        <v>0.26664965986394557</v>
      </c>
      <c r="I2565">
        <f ca="1">Referencia_Hoy-Master_ventas[[#This Row],[Order Date]]</f>
        <v>1299</v>
      </c>
      <c r="J2565" t="str">
        <f>UPPER(Master_ventas[[#This Row],[Product Name]])</f>
        <v>KEYBOARD</v>
      </c>
      <c r="K2565" t="str">
        <f>UPPER(Master_ventas[[#This Row],[Category]])</f>
        <v>ACCESSORIES</v>
      </c>
      <c r="L2565">
        <f>YEAR(Master_ventas[[#This Row],[Order Date]])</f>
        <v>2023</v>
      </c>
      <c r="M2565" t="str">
        <f>CONCATENATE(LEFT(Master_ventas[[#This Row],[ProdUpper]],3),RIGHT(Master_ventas[[#This Row],[Ext-Year]],2),"-",MID(Master_ventas[[#This Row],[Category]],1,1))</f>
        <v>KEY23-A</v>
      </c>
      <c r="N2565" t="str">
        <f>MID(Master_ventas[[#This Row],[ProdUpper]],1,3)</f>
        <v>KEY</v>
      </c>
      <c r="O2565" t="str">
        <f>UPPER(IF(Master_ventas[[#This Row],[Profit]]&gt;500,"High","Std"))</f>
        <v>STD</v>
      </c>
      <c r="P2565">
        <v>2564</v>
      </c>
    </row>
    <row r="2566" spans="1:16" x14ac:dyDescent="0.3">
      <c r="A2566" s="1">
        <v>44763</v>
      </c>
      <c r="B2566" t="s">
        <v>17</v>
      </c>
      <c r="C2566" t="s">
        <v>14</v>
      </c>
      <c r="D2566" t="s">
        <v>9</v>
      </c>
      <c r="E2566">
        <v>2</v>
      </c>
      <c r="F2566" s="3">
        <v>644</v>
      </c>
      <c r="G2566" s="2">
        <v>45.72</v>
      </c>
      <c r="H2566">
        <f>Master_ventas[[#This Row],[Profit]]/Master_ventas[[#This Row],[Sales]]</f>
        <v>7.099378881987578E-2</v>
      </c>
      <c r="I2566">
        <f ca="1">Referencia_Hoy-Master_ventas[[#This Row],[Order Date]]</f>
        <v>1560</v>
      </c>
      <c r="J2566" t="str">
        <f>UPPER(Master_ventas[[#This Row],[Product Name]])</f>
        <v>CAMERA</v>
      </c>
      <c r="K2566" t="str">
        <f>UPPER(Master_ventas[[#This Row],[Category]])</f>
        <v>ELECTRONICS</v>
      </c>
      <c r="L2566">
        <f>YEAR(Master_ventas[[#This Row],[Order Date]])</f>
        <v>2022</v>
      </c>
      <c r="M2566" t="str">
        <f>CONCATENATE(LEFT(Master_ventas[[#This Row],[ProdUpper]],3),RIGHT(Master_ventas[[#This Row],[Ext-Year]],2),"-",MID(Master_ventas[[#This Row],[Category]],1,1))</f>
        <v>CAM22-E</v>
      </c>
      <c r="N2566" t="str">
        <f>MID(Master_ventas[[#This Row],[ProdUpper]],1,3)</f>
        <v>CAM</v>
      </c>
      <c r="O2566" t="str">
        <f>UPPER(IF(Master_ventas[[#This Row],[Profit]]&gt;500,"High","Std"))</f>
        <v>STD</v>
      </c>
      <c r="P2566">
        <v>2565</v>
      </c>
    </row>
    <row r="2567" spans="1:16" x14ac:dyDescent="0.3">
      <c r="A2567" s="1">
        <v>44872</v>
      </c>
      <c r="B2567" t="s">
        <v>21</v>
      </c>
      <c r="C2567" t="s">
        <v>14</v>
      </c>
      <c r="D2567" t="s">
        <v>16</v>
      </c>
      <c r="E2567">
        <v>8</v>
      </c>
      <c r="F2567" s="3">
        <v>544</v>
      </c>
      <c r="G2567" s="2">
        <v>40.78</v>
      </c>
      <c r="H2567">
        <f>Master_ventas[[#This Row],[Profit]]/Master_ventas[[#This Row],[Sales]]</f>
        <v>7.496323529411765E-2</v>
      </c>
      <c r="I2567">
        <f ca="1">Referencia_Hoy-Master_ventas[[#This Row],[Order Date]]</f>
        <v>1451</v>
      </c>
      <c r="J2567" t="str">
        <f>UPPER(Master_ventas[[#This Row],[Product Name]])</f>
        <v>SMARTPHONE</v>
      </c>
      <c r="K2567" t="str">
        <f>UPPER(Master_ventas[[#This Row],[Category]])</f>
        <v>ELECTRONICS</v>
      </c>
      <c r="L2567">
        <f>YEAR(Master_ventas[[#This Row],[Order Date]])</f>
        <v>2022</v>
      </c>
      <c r="M2567" t="str">
        <f>CONCATENATE(LEFT(Master_ventas[[#This Row],[ProdUpper]],3),RIGHT(Master_ventas[[#This Row],[Ext-Year]],2),"-",MID(Master_ventas[[#This Row],[Category]],1,1))</f>
        <v>SMA22-E</v>
      </c>
      <c r="N2567" t="str">
        <f>MID(Master_ventas[[#This Row],[ProdUpper]],1,3)</f>
        <v>SMA</v>
      </c>
      <c r="O2567" t="str">
        <f>UPPER(IF(Master_ventas[[#This Row],[Profit]]&gt;500,"High","Std"))</f>
        <v>STD</v>
      </c>
      <c r="P2567">
        <v>2566</v>
      </c>
    </row>
    <row r="2568" spans="1:16" x14ac:dyDescent="0.3">
      <c r="A2568" s="1">
        <v>45076</v>
      </c>
      <c r="B2568" t="s">
        <v>20</v>
      </c>
      <c r="C2568" t="s">
        <v>11</v>
      </c>
      <c r="D2568" t="s">
        <v>12</v>
      </c>
      <c r="E2568">
        <v>2</v>
      </c>
      <c r="F2568" s="3">
        <v>586</v>
      </c>
      <c r="G2568" s="2">
        <v>101.64</v>
      </c>
      <c r="H2568">
        <f>Master_ventas[[#This Row],[Profit]]/Master_ventas[[#This Row],[Sales]]</f>
        <v>0.17344709897610922</v>
      </c>
      <c r="I2568">
        <f ca="1">Referencia_Hoy-Master_ventas[[#This Row],[Order Date]]</f>
        <v>1247</v>
      </c>
      <c r="J2568" t="str">
        <f>UPPER(Master_ventas[[#This Row],[Product Name]])</f>
        <v>MONITOR</v>
      </c>
      <c r="K2568" t="str">
        <f>UPPER(Master_ventas[[#This Row],[Category]])</f>
        <v>ACCESSORIES</v>
      </c>
      <c r="L2568">
        <f>YEAR(Master_ventas[[#This Row],[Order Date]])</f>
        <v>2023</v>
      </c>
      <c r="M2568" t="str">
        <f>CONCATENATE(LEFT(Master_ventas[[#This Row],[ProdUpper]],3),RIGHT(Master_ventas[[#This Row],[Ext-Year]],2),"-",MID(Master_ventas[[#This Row],[Category]],1,1))</f>
        <v>MON23-A</v>
      </c>
      <c r="N2568" t="str">
        <f>MID(Master_ventas[[#This Row],[ProdUpper]],1,3)</f>
        <v>MON</v>
      </c>
      <c r="O2568" t="str">
        <f>UPPER(IF(Master_ventas[[#This Row],[Profit]]&gt;500,"High","Std"))</f>
        <v>STD</v>
      </c>
      <c r="P2568">
        <v>2567</v>
      </c>
    </row>
    <row r="2569" spans="1:16" x14ac:dyDescent="0.3">
      <c r="A2569" s="1">
        <v>44681</v>
      </c>
      <c r="B2569" t="s">
        <v>22</v>
      </c>
      <c r="C2569" t="s">
        <v>11</v>
      </c>
      <c r="D2569" t="s">
        <v>9</v>
      </c>
      <c r="E2569">
        <v>5</v>
      </c>
      <c r="F2569" s="3">
        <v>3835</v>
      </c>
      <c r="G2569" s="2">
        <v>229.11</v>
      </c>
      <c r="H2569">
        <f>Master_ventas[[#This Row],[Profit]]/Master_ventas[[#This Row],[Sales]]</f>
        <v>5.974185136897002E-2</v>
      </c>
      <c r="I2569">
        <f ca="1">Referencia_Hoy-Master_ventas[[#This Row],[Order Date]]</f>
        <v>1642</v>
      </c>
      <c r="J2569" t="str">
        <f>UPPER(Master_ventas[[#This Row],[Product Name]])</f>
        <v>KEYBOARD</v>
      </c>
      <c r="K2569" t="str">
        <f>UPPER(Master_ventas[[#This Row],[Category]])</f>
        <v>ACCESSORIES</v>
      </c>
      <c r="L2569">
        <f>YEAR(Master_ventas[[#This Row],[Order Date]])</f>
        <v>2022</v>
      </c>
      <c r="M2569" t="str">
        <f>CONCATENATE(LEFT(Master_ventas[[#This Row],[ProdUpper]],3),RIGHT(Master_ventas[[#This Row],[Ext-Year]],2),"-",MID(Master_ventas[[#This Row],[Category]],1,1))</f>
        <v>KEY22-A</v>
      </c>
      <c r="N2569" t="str">
        <f>MID(Master_ventas[[#This Row],[ProdUpper]],1,3)</f>
        <v>KEY</v>
      </c>
      <c r="O2569" t="str">
        <f>UPPER(IF(Master_ventas[[#This Row],[Profit]]&gt;500,"High","Std"))</f>
        <v>STD</v>
      </c>
      <c r="P2569">
        <v>2568</v>
      </c>
    </row>
    <row r="2570" spans="1:16" x14ac:dyDescent="0.3">
      <c r="A2570" s="1">
        <v>45273</v>
      </c>
      <c r="B2570" t="s">
        <v>7</v>
      </c>
      <c r="C2570" t="s">
        <v>8</v>
      </c>
      <c r="D2570" t="s">
        <v>15</v>
      </c>
      <c r="E2570">
        <v>5</v>
      </c>
      <c r="F2570" s="3">
        <v>1415</v>
      </c>
      <c r="G2570" s="2">
        <v>358.39</v>
      </c>
      <c r="H2570">
        <f>Master_ventas[[#This Row],[Profit]]/Master_ventas[[#This Row],[Sales]]</f>
        <v>0.2532791519434629</v>
      </c>
      <c r="I2570">
        <f ca="1">Referencia_Hoy-Master_ventas[[#This Row],[Order Date]]</f>
        <v>1050</v>
      </c>
      <c r="J2570" t="str">
        <f>UPPER(Master_ventas[[#This Row],[Product Name]])</f>
        <v>PRINTER</v>
      </c>
      <c r="K2570" t="str">
        <f>UPPER(Master_ventas[[#This Row],[Category]])</f>
        <v>OFFICE</v>
      </c>
      <c r="L2570">
        <f>YEAR(Master_ventas[[#This Row],[Order Date]])</f>
        <v>2023</v>
      </c>
      <c r="M2570" t="str">
        <f>CONCATENATE(LEFT(Master_ventas[[#This Row],[ProdUpper]],3),RIGHT(Master_ventas[[#This Row],[Ext-Year]],2),"-",MID(Master_ventas[[#This Row],[Category]],1,1))</f>
        <v>PRI23-O</v>
      </c>
      <c r="N2570" t="str">
        <f>MID(Master_ventas[[#This Row],[ProdUpper]],1,3)</f>
        <v>PRI</v>
      </c>
      <c r="O2570" t="str">
        <f>UPPER(IF(Master_ventas[[#This Row],[Profit]]&gt;500,"High","Std"))</f>
        <v>STD</v>
      </c>
      <c r="P2570">
        <v>2569</v>
      </c>
    </row>
    <row r="2571" spans="1:16" x14ac:dyDescent="0.3">
      <c r="A2571" s="1">
        <v>45057</v>
      </c>
      <c r="B2571" t="s">
        <v>22</v>
      </c>
      <c r="C2571" t="s">
        <v>11</v>
      </c>
      <c r="D2571" t="s">
        <v>15</v>
      </c>
      <c r="E2571">
        <v>9</v>
      </c>
      <c r="F2571" s="3">
        <v>1125</v>
      </c>
      <c r="G2571" s="2">
        <v>138.49</v>
      </c>
      <c r="H2571">
        <f>Master_ventas[[#This Row],[Profit]]/Master_ventas[[#This Row],[Sales]]</f>
        <v>0.12310222222222222</v>
      </c>
      <c r="I2571">
        <f ca="1">Referencia_Hoy-Master_ventas[[#This Row],[Order Date]]</f>
        <v>1266</v>
      </c>
      <c r="J2571" t="str">
        <f>UPPER(Master_ventas[[#This Row],[Product Name]])</f>
        <v>KEYBOARD</v>
      </c>
      <c r="K2571" t="str">
        <f>UPPER(Master_ventas[[#This Row],[Category]])</f>
        <v>ACCESSORIES</v>
      </c>
      <c r="L2571">
        <f>YEAR(Master_ventas[[#This Row],[Order Date]])</f>
        <v>2023</v>
      </c>
      <c r="M2571" t="str">
        <f>CONCATENATE(LEFT(Master_ventas[[#This Row],[ProdUpper]],3),RIGHT(Master_ventas[[#This Row],[Ext-Year]],2),"-",MID(Master_ventas[[#This Row],[Category]],1,1))</f>
        <v>KEY23-A</v>
      </c>
      <c r="N2571" t="str">
        <f>MID(Master_ventas[[#This Row],[ProdUpper]],1,3)</f>
        <v>KEY</v>
      </c>
      <c r="O2571" t="str">
        <f>UPPER(IF(Master_ventas[[#This Row],[Profit]]&gt;500,"High","Std"))</f>
        <v>STD</v>
      </c>
      <c r="P2571">
        <v>2570</v>
      </c>
    </row>
    <row r="2572" spans="1:16" x14ac:dyDescent="0.3">
      <c r="A2572" s="1">
        <v>45180</v>
      </c>
      <c r="B2572" t="s">
        <v>17</v>
      </c>
      <c r="C2572" t="s">
        <v>14</v>
      </c>
      <c r="D2572" t="s">
        <v>15</v>
      </c>
      <c r="E2572">
        <v>3</v>
      </c>
      <c r="F2572" s="3">
        <v>3399</v>
      </c>
      <c r="G2572" s="2">
        <v>489.36</v>
      </c>
      <c r="H2572">
        <f>Master_ventas[[#This Row],[Profit]]/Master_ventas[[#This Row],[Sales]]</f>
        <v>0.14397175639894086</v>
      </c>
      <c r="I2572">
        <f ca="1">Referencia_Hoy-Master_ventas[[#This Row],[Order Date]]</f>
        <v>1143</v>
      </c>
      <c r="J2572" t="str">
        <f>UPPER(Master_ventas[[#This Row],[Product Name]])</f>
        <v>CAMERA</v>
      </c>
      <c r="K2572" t="str">
        <f>UPPER(Master_ventas[[#This Row],[Category]])</f>
        <v>ELECTRONICS</v>
      </c>
      <c r="L2572">
        <f>YEAR(Master_ventas[[#This Row],[Order Date]])</f>
        <v>2023</v>
      </c>
      <c r="M2572" t="str">
        <f>CONCATENATE(LEFT(Master_ventas[[#This Row],[ProdUpper]],3),RIGHT(Master_ventas[[#This Row],[Ext-Year]],2),"-",MID(Master_ventas[[#This Row],[Category]],1,1))</f>
        <v>CAM23-E</v>
      </c>
      <c r="N2572" t="str">
        <f>MID(Master_ventas[[#This Row],[ProdUpper]],1,3)</f>
        <v>CAM</v>
      </c>
      <c r="O2572" t="str">
        <f>UPPER(IF(Master_ventas[[#This Row],[Profit]]&gt;500,"High","Std"))</f>
        <v>STD</v>
      </c>
      <c r="P2572">
        <v>2571</v>
      </c>
    </row>
    <row r="2573" spans="1:16" x14ac:dyDescent="0.3">
      <c r="A2573" s="1">
        <v>44623</v>
      </c>
      <c r="B2573" t="s">
        <v>20</v>
      </c>
      <c r="C2573" t="s">
        <v>11</v>
      </c>
      <c r="D2573" t="s">
        <v>12</v>
      </c>
      <c r="E2573">
        <v>6</v>
      </c>
      <c r="F2573" s="3">
        <v>5370</v>
      </c>
      <c r="G2573" s="2">
        <v>1501.06</v>
      </c>
      <c r="H2573">
        <f>Master_ventas[[#This Row],[Profit]]/Master_ventas[[#This Row],[Sales]]</f>
        <v>0.27952700186219737</v>
      </c>
      <c r="I2573">
        <f ca="1">Referencia_Hoy-Master_ventas[[#This Row],[Order Date]]</f>
        <v>1700</v>
      </c>
      <c r="J2573" t="str">
        <f>UPPER(Master_ventas[[#This Row],[Product Name]])</f>
        <v>MONITOR</v>
      </c>
      <c r="K2573" t="str">
        <f>UPPER(Master_ventas[[#This Row],[Category]])</f>
        <v>ACCESSORIES</v>
      </c>
      <c r="L2573">
        <f>YEAR(Master_ventas[[#This Row],[Order Date]])</f>
        <v>2022</v>
      </c>
      <c r="M2573" t="str">
        <f>CONCATENATE(LEFT(Master_ventas[[#This Row],[ProdUpper]],3),RIGHT(Master_ventas[[#This Row],[Ext-Year]],2),"-",MID(Master_ventas[[#This Row],[Category]],1,1))</f>
        <v>MON22-A</v>
      </c>
      <c r="N2573" t="str">
        <f>MID(Master_ventas[[#This Row],[ProdUpper]],1,3)</f>
        <v>MON</v>
      </c>
      <c r="O2573" t="str">
        <f>UPPER(IF(Master_ventas[[#This Row],[Profit]]&gt;500,"High","Std"))</f>
        <v>HIGH</v>
      </c>
      <c r="P2573">
        <v>2572</v>
      </c>
    </row>
    <row r="2574" spans="1:16" x14ac:dyDescent="0.3">
      <c r="A2574" s="1">
        <v>45381</v>
      </c>
      <c r="B2574" t="s">
        <v>22</v>
      </c>
      <c r="C2574" t="s">
        <v>11</v>
      </c>
      <c r="D2574" t="s">
        <v>16</v>
      </c>
      <c r="E2574">
        <v>3</v>
      </c>
      <c r="F2574" s="3">
        <v>2331</v>
      </c>
      <c r="G2574" s="2">
        <v>419.26</v>
      </c>
      <c r="H2574">
        <f>Master_ventas[[#This Row],[Profit]]/Master_ventas[[#This Row],[Sales]]</f>
        <v>0.17986271986271987</v>
      </c>
      <c r="I2574">
        <f ca="1">Referencia_Hoy-Master_ventas[[#This Row],[Order Date]]</f>
        <v>942</v>
      </c>
      <c r="J2574" t="str">
        <f>UPPER(Master_ventas[[#This Row],[Product Name]])</f>
        <v>KEYBOARD</v>
      </c>
      <c r="K2574" t="str">
        <f>UPPER(Master_ventas[[#This Row],[Category]])</f>
        <v>ACCESSORIES</v>
      </c>
      <c r="L2574">
        <f>YEAR(Master_ventas[[#This Row],[Order Date]])</f>
        <v>2024</v>
      </c>
      <c r="M2574" t="str">
        <f>CONCATENATE(LEFT(Master_ventas[[#This Row],[ProdUpper]],3),RIGHT(Master_ventas[[#This Row],[Ext-Year]],2),"-",MID(Master_ventas[[#This Row],[Category]],1,1))</f>
        <v>KEY24-A</v>
      </c>
      <c r="N2574" t="str">
        <f>MID(Master_ventas[[#This Row],[ProdUpper]],1,3)</f>
        <v>KEY</v>
      </c>
      <c r="O2574" t="str">
        <f>UPPER(IF(Master_ventas[[#This Row],[Profit]]&gt;500,"High","Std"))</f>
        <v>STD</v>
      </c>
      <c r="P2574">
        <v>2573</v>
      </c>
    </row>
    <row r="2575" spans="1:16" x14ac:dyDescent="0.3">
      <c r="A2575" s="1">
        <v>44739</v>
      </c>
      <c r="B2575" t="s">
        <v>23</v>
      </c>
      <c r="C2575" t="s">
        <v>14</v>
      </c>
      <c r="D2575" t="s">
        <v>12</v>
      </c>
      <c r="E2575">
        <v>9</v>
      </c>
      <c r="F2575" s="3">
        <v>10728</v>
      </c>
      <c r="G2575" s="2">
        <v>1967.84</v>
      </c>
      <c r="H2575">
        <f>Master_ventas[[#This Row],[Profit]]/Master_ventas[[#This Row],[Sales]]</f>
        <v>0.18343027591349739</v>
      </c>
      <c r="I2575">
        <f ca="1">Referencia_Hoy-Master_ventas[[#This Row],[Order Date]]</f>
        <v>1584</v>
      </c>
      <c r="J2575" t="str">
        <f>UPPER(Master_ventas[[#This Row],[Product Name]])</f>
        <v>LAPTOP</v>
      </c>
      <c r="K2575" t="str">
        <f>UPPER(Master_ventas[[#This Row],[Category]])</f>
        <v>ELECTRONICS</v>
      </c>
      <c r="L2575">
        <f>YEAR(Master_ventas[[#This Row],[Order Date]])</f>
        <v>2022</v>
      </c>
      <c r="M2575" t="str">
        <f>CONCATENATE(LEFT(Master_ventas[[#This Row],[ProdUpper]],3),RIGHT(Master_ventas[[#This Row],[Ext-Year]],2),"-",MID(Master_ventas[[#This Row],[Category]],1,1))</f>
        <v>LAP22-E</v>
      </c>
      <c r="N2575" t="str">
        <f>MID(Master_ventas[[#This Row],[ProdUpper]],1,3)</f>
        <v>LAP</v>
      </c>
      <c r="O2575" t="str">
        <f>UPPER(IF(Master_ventas[[#This Row],[Profit]]&gt;500,"High","Std"))</f>
        <v>HIGH</v>
      </c>
      <c r="P2575">
        <v>2574</v>
      </c>
    </row>
    <row r="2576" spans="1:16" x14ac:dyDescent="0.3">
      <c r="A2576" s="1">
        <v>44987</v>
      </c>
      <c r="B2576" t="s">
        <v>20</v>
      </c>
      <c r="C2576" t="s">
        <v>11</v>
      </c>
      <c r="D2576" t="s">
        <v>16</v>
      </c>
      <c r="E2576">
        <v>8</v>
      </c>
      <c r="F2576" s="3">
        <v>9056</v>
      </c>
      <c r="G2576" s="2">
        <v>1860.37</v>
      </c>
      <c r="H2576">
        <f>Master_ventas[[#This Row],[Profit]]/Master_ventas[[#This Row],[Sales]]</f>
        <v>0.20542954946996464</v>
      </c>
      <c r="I2576">
        <f ca="1">Referencia_Hoy-Master_ventas[[#This Row],[Order Date]]</f>
        <v>1336</v>
      </c>
      <c r="J2576" t="str">
        <f>UPPER(Master_ventas[[#This Row],[Product Name]])</f>
        <v>MONITOR</v>
      </c>
      <c r="K2576" t="str">
        <f>UPPER(Master_ventas[[#This Row],[Category]])</f>
        <v>ACCESSORIES</v>
      </c>
      <c r="L2576">
        <f>YEAR(Master_ventas[[#This Row],[Order Date]])</f>
        <v>2023</v>
      </c>
      <c r="M2576" t="str">
        <f>CONCATENATE(LEFT(Master_ventas[[#This Row],[ProdUpper]],3),RIGHT(Master_ventas[[#This Row],[Ext-Year]],2),"-",MID(Master_ventas[[#This Row],[Category]],1,1))</f>
        <v>MON23-A</v>
      </c>
      <c r="N2576" t="str">
        <f>MID(Master_ventas[[#This Row],[ProdUpper]],1,3)</f>
        <v>MON</v>
      </c>
      <c r="O2576" t="str">
        <f>UPPER(IF(Master_ventas[[#This Row],[Profit]]&gt;500,"High","Std"))</f>
        <v>HIGH</v>
      </c>
      <c r="P2576">
        <v>2575</v>
      </c>
    </row>
    <row r="2577" spans="1:16" x14ac:dyDescent="0.3">
      <c r="A2577" s="1">
        <v>45600</v>
      </c>
      <c r="B2577" t="s">
        <v>20</v>
      </c>
      <c r="C2577" t="s">
        <v>11</v>
      </c>
      <c r="D2577" t="s">
        <v>16</v>
      </c>
      <c r="E2577">
        <v>9</v>
      </c>
      <c r="F2577" s="3">
        <v>4581</v>
      </c>
      <c r="G2577" s="2">
        <v>250.06</v>
      </c>
      <c r="H2577">
        <f>Master_ventas[[#This Row],[Profit]]/Master_ventas[[#This Row],[Sales]]</f>
        <v>5.4586334861383978E-2</v>
      </c>
      <c r="I2577">
        <f ca="1">Referencia_Hoy-Master_ventas[[#This Row],[Order Date]]</f>
        <v>723</v>
      </c>
      <c r="J2577" t="str">
        <f>UPPER(Master_ventas[[#This Row],[Product Name]])</f>
        <v>MONITOR</v>
      </c>
      <c r="K2577" t="str">
        <f>UPPER(Master_ventas[[#This Row],[Category]])</f>
        <v>ACCESSORIES</v>
      </c>
      <c r="L2577">
        <f>YEAR(Master_ventas[[#This Row],[Order Date]])</f>
        <v>2024</v>
      </c>
      <c r="M2577" t="str">
        <f>CONCATENATE(LEFT(Master_ventas[[#This Row],[ProdUpper]],3),RIGHT(Master_ventas[[#This Row],[Ext-Year]],2),"-",MID(Master_ventas[[#This Row],[Category]],1,1))</f>
        <v>MON24-A</v>
      </c>
      <c r="N2577" t="str">
        <f>MID(Master_ventas[[#This Row],[ProdUpper]],1,3)</f>
        <v>MON</v>
      </c>
      <c r="O2577" t="str">
        <f>UPPER(IF(Master_ventas[[#This Row],[Profit]]&gt;500,"High","Std"))</f>
        <v>STD</v>
      </c>
      <c r="P2577">
        <v>2576</v>
      </c>
    </row>
    <row r="2578" spans="1:16" x14ac:dyDescent="0.3">
      <c r="A2578" s="1">
        <v>45566</v>
      </c>
      <c r="B2578" t="s">
        <v>17</v>
      </c>
      <c r="C2578" t="s">
        <v>14</v>
      </c>
      <c r="D2578" t="s">
        <v>9</v>
      </c>
      <c r="E2578">
        <v>3</v>
      </c>
      <c r="F2578" s="3">
        <v>1074</v>
      </c>
      <c r="G2578" s="2">
        <v>240.44</v>
      </c>
      <c r="H2578">
        <f>Master_ventas[[#This Row],[Profit]]/Master_ventas[[#This Row],[Sales]]</f>
        <v>0.22387337057728118</v>
      </c>
      <c r="I2578">
        <f ca="1">Referencia_Hoy-Master_ventas[[#This Row],[Order Date]]</f>
        <v>757</v>
      </c>
      <c r="J2578" t="str">
        <f>UPPER(Master_ventas[[#This Row],[Product Name]])</f>
        <v>CAMERA</v>
      </c>
      <c r="K2578" t="str">
        <f>UPPER(Master_ventas[[#This Row],[Category]])</f>
        <v>ELECTRONICS</v>
      </c>
      <c r="L2578">
        <f>YEAR(Master_ventas[[#This Row],[Order Date]])</f>
        <v>2024</v>
      </c>
      <c r="M2578" t="str">
        <f>CONCATENATE(LEFT(Master_ventas[[#This Row],[ProdUpper]],3),RIGHT(Master_ventas[[#This Row],[Ext-Year]],2),"-",MID(Master_ventas[[#This Row],[Category]],1,1))</f>
        <v>CAM24-E</v>
      </c>
      <c r="N2578" t="str">
        <f>MID(Master_ventas[[#This Row],[ProdUpper]],1,3)</f>
        <v>CAM</v>
      </c>
      <c r="O2578" t="str">
        <f>UPPER(IF(Master_ventas[[#This Row],[Profit]]&gt;500,"High","Std"))</f>
        <v>STD</v>
      </c>
      <c r="P2578">
        <v>2577</v>
      </c>
    </row>
    <row r="2579" spans="1:16" x14ac:dyDescent="0.3">
      <c r="A2579" s="1">
        <v>45094</v>
      </c>
      <c r="B2579" t="s">
        <v>13</v>
      </c>
      <c r="C2579" t="s">
        <v>14</v>
      </c>
      <c r="D2579" t="s">
        <v>16</v>
      </c>
      <c r="E2579">
        <v>4</v>
      </c>
      <c r="F2579" s="3">
        <v>4572</v>
      </c>
      <c r="G2579" s="2">
        <v>1199.49</v>
      </c>
      <c r="H2579">
        <f>Master_ventas[[#This Row],[Profit]]/Master_ventas[[#This Row],[Sales]]</f>
        <v>0.26235564304461945</v>
      </c>
      <c r="I2579">
        <f ca="1">Referencia_Hoy-Master_ventas[[#This Row],[Order Date]]</f>
        <v>1229</v>
      </c>
      <c r="J2579" t="str">
        <f>UPPER(Master_ventas[[#This Row],[Product Name]])</f>
        <v>TABLET</v>
      </c>
      <c r="K2579" t="str">
        <f>UPPER(Master_ventas[[#This Row],[Category]])</f>
        <v>ELECTRONICS</v>
      </c>
      <c r="L2579">
        <f>YEAR(Master_ventas[[#This Row],[Order Date]])</f>
        <v>2023</v>
      </c>
      <c r="M2579" t="str">
        <f>CONCATENATE(LEFT(Master_ventas[[#This Row],[ProdUpper]],3),RIGHT(Master_ventas[[#This Row],[Ext-Year]],2),"-",MID(Master_ventas[[#This Row],[Category]],1,1))</f>
        <v>TAB23-E</v>
      </c>
      <c r="N2579" t="str">
        <f>MID(Master_ventas[[#This Row],[ProdUpper]],1,3)</f>
        <v>TAB</v>
      </c>
      <c r="O2579" t="str">
        <f>UPPER(IF(Master_ventas[[#This Row],[Profit]]&gt;500,"High","Std"))</f>
        <v>HIGH</v>
      </c>
      <c r="P2579">
        <v>2578</v>
      </c>
    </row>
    <row r="2580" spans="1:16" x14ac:dyDescent="0.3">
      <c r="A2580" s="1">
        <v>45250</v>
      </c>
      <c r="B2580" t="s">
        <v>23</v>
      </c>
      <c r="C2580" t="s">
        <v>14</v>
      </c>
      <c r="D2580" t="s">
        <v>15</v>
      </c>
      <c r="E2580">
        <v>7</v>
      </c>
      <c r="F2580" s="3">
        <v>8141</v>
      </c>
      <c r="G2580" s="2">
        <v>651.16</v>
      </c>
      <c r="H2580">
        <f>Master_ventas[[#This Row],[Profit]]/Master_ventas[[#This Row],[Sales]]</f>
        <v>7.9985259796093847E-2</v>
      </c>
      <c r="I2580">
        <f ca="1">Referencia_Hoy-Master_ventas[[#This Row],[Order Date]]</f>
        <v>1073</v>
      </c>
      <c r="J2580" t="str">
        <f>UPPER(Master_ventas[[#This Row],[Product Name]])</f>
        <v>LAPTOP</v>
      </c>
      <c r="K2580" t="str">
        <f>UPPER(Master_ventas[[#This Row],[Category]])</f>
        <v>ELECTRONICS</v>
      </c>
      <c r="L2580">
        <f>YEAR(Master_ventas[[#This Row],[Order Date]])</f>
        <v>2023</v>
      </c>
      <c r="M2580" t="str">
        <f>CONCATENATE(LEFT(Master_ventas[[#This Row],[ProdUpper]],3),RIGHT(Master_ventas[[#This Row],[Ext-Year]],2),"-",MID(Master_ventas[[#This Row],[Category]],1,1))</f>
        <v>LAP23-E</v>
      </c>
      <c r="N2580" t="str">
        <f>MID(Master_ventas[[#This Row],[ProdUpper]],1,3)</f>
        <v>LAP</v>
      </c>
      <c r="O2580" t="str">
        <f>UPPER(IF(Master_ventas[[#This Row],[Profit]]&gt;500,"High","Std"))</f>
        <v>HIGH</v>
      </c>
      <c r="P2580">
        <v>2579</v>
      </c>
    </row>
    <row r="2581" spans="1:16" x14ac:dyDescent="0.3">
      <c r="A2581" s="1">
        <v>45254</v>
      </c>
      <c r="B2581" t="s">
        <v>7</v>
      </c>
      <c r="C2581" t="s">
        <v>8</v>
      </c>
      <c r="D2581" t="s">
        <v>16</v>
      </c>
      <c r="E2581">
        <v>4</v>
      </c>
      <c r="F2581" s="3">
        <v>604</v>
      </c>
      <c r="G2581" s="2">
        <v>180.93</v>
      </c>
      <c r="H2581">
        <f>Master_ventas[[#This Row],[Profit]]/Master_ventas[[#This Row],[Sales]]</f>
        <v>0.29955298013245035</v>
      </c>
      <c r="I2581">
        <f ca="1">Referencia_Hoy-Master_ventas[[#This Row],[Order Date]]</f>
        <v>1069</v>
      </c>
      <c r="J2581" t="str">
        <f>UPPER(Master_ventas[[#This Row],[Product Name]])</f>
        <v>PRINTER</v>
      </c>
      <c r="K2581" t="str">
        <f>UPPER(Master_ventas[[#This Row],[Category]])</f>
        <v>OFFICE</v>
      </c>
      <c r="L2581">
        <f>YEAR(Master_ventas[[#This Row],[Order Date]])</f>
        <v>2023</v>
      </c>
      <c r="M2581" t="str">
        <f>CONCATENATE(LEFT(Master_ventas[[#This Row],[ProdUpper]],3),RIGHT(Master_ventas[[#This Row],[Ext-Year]],2),"-",MID(Master_ventas[[#This Row],[Category]],1,1))</f>
        <v>PRI23-O</v>
      </c>
      <c r="N2581" t="str">
        <f>MID(Master_ventas[[#This Row],[ProdUpper]],1,3)</f>
        <v>PRI</v>
      </c>
      <c r="O2581" t="str">
        <f>UPPER(IF(Master_ventas[[#This Row],[Profit]]&gt;500,"High","Std"))</f>
        <v>STD</v>
      </c>
      <c r="P2581">
        <v>2580</v>
      </c>
    </row>
    <row r="2582" spans="1:16" x14ac:dyDescent="0.3">
      <c r="A2582" s="1">
        <v>45416</v>
      </c>
      <c r="B2582" t="s">
        <v>10</v>
      </c>
      <c r="C2582" t="s">
        <v>11</v>
      </c>
      <c r="D2582" t="s">
        <v>15</v>
      </c>
      <c r="E2582">
        <v>2</v>
      </c>
      <c r="F2582" s="3">
        <v>906</v>
      </c>
      <c r="G2582" s="2">
        <v>59.06</v>
      </c>
      <c r="H2582">
        <f>Master_ventas[[#This Row],[Profit]]/Master_ventas[[#This Row],[Sales]]</f>
        <v>6.5187637969094922E-2</v>
      </c>
      <c r="I2582">
        <f ca="1">Referencia_Hoy-Master_ventas[[#This Row],[Order Date]]</f>
        <v>907</v>
      </c>
      <c r="J2582" t="str">
        <f>UPPER(Master_ventas[[#This Row],[Product Name]])</f>
        <v>MOUSE</v>
      </c>
      <c r="K2582" t="str">
        <f>UPPER(Master_ventas[[#This Row],[Category]])</f>
        <v>ACCESSORIES</v>
      </c>
      <c r="L2582">
        <f>YEAR(Master_ventas[[#This Row],[Order Date]])</f>
        <v>2024</v>
      </c>
      <c r="M2582" t="str">
        <f>CONCATENATE(LEFT(Master_ventas[[#This Row],[ProdUpper]],3),RIGHT(Master_ventas[[#This Row],[Ext-Year]],2),"-",MID(Master_ventas[[#This Row],[Category]],1,1))</f>
        <v>MOU24-A</v>
      </c>
      <c r="N2582" t="str">
        <f>MID(Master_ventas[[#This Row],[ProdUpper]],1,3)</f>
        <v>MOU</v>
      </c>
      <c r="O2582" t="str">
        <f>UPPER(IF(Master_ventas[[#This Row],[Profit]]&gt;500,"High","Std"))</f>
        <v>STD</v>
      </c>
      <c r="P2582">
        <v>2581</v>
      </c>
    </row>
    <row r="2583" spans="1:16" x14ac:dyDescent="0.3">
      <c r="A2583" s="1">
        <v>45038</v>
      </c>
      <c r="B2583" t="s">
        <v>18</v>
      </c>
      <c r="C2583" t="s">
        <v>11</v>
      </c>
      <c r="D2583" t="s">
        <v>15</v>
      </c>
      <c r="E2583">
        <v>7</v>
      </c>
      <c r="F2583" s="3">
        <v>1582</v>
      </c>
      <c r="G2583" s="2">
        <v>278.14</v>
      </c>
      <c r="H2583">
        <f>Master_ventas[[#This Row],[Profit]]/Master_ventas[[#This Row],[Sales]]</f>
        <v>0.17581542351453855</v>
      </c>
      <c r="I2583">
        <f ca="1">Referencia_Hoy-Master_ventas[[#This Row],[Order Date]]</f>
        <v>1285</v>
      </c>
      <c r="J2583" t="str">
        <f>UPPER(Master_ventas[[#This Row],[Product Name]])</f>
        <v>HEADPHONES</v>
      </c>
      <c r="K2583" t="str">
        <f>UPPER(Master_ventas[[#This Row],[Category]])</f>
        <v>ACCESSORIES</v>
      </c>
      <c r="L2583">
        <f>YEAR(Master_ventas[[#This Row],[Order Date]])</f>
        <v>2023</v>
      </c>
      <c r="M2583" t="str">
        <f>CONCATENATE(LEFT(Master_ventas[[#This Row],[ProdUpper]],3),RIGHT(Master_ventas[[#This Row],[Ext-Year]],2),"-",MID(Master_ventas[[#This Row],[Category]],1,1))</f>
        <v>HEA23-A</v>
      </c>
      <c r="N2583" t="str">
        <f>MID(Master_ventas[[#This Row],[ProdUpper]],1,3)</f>
        <v>HEA</v>
      </c>
      <c r="O2583" t="str">
        <f>UPPER(IF(Master_ventas[[#This Row],[Profit]]&gt;500,"High","Std"))</f>
        <v>STD</v>
      </c>
      <c r="P2583">
        <v>2582</v>
      </c>
    </row>
    <row r="2584" spans="1:16" x14ac:dyDescent="0.3">
      <c r="A2584" s="1">
        <v>45322</v>
      </c>
      <c r="B2584" t="s">
        <v>10</v>
      </c>
      <c r="C2584" t="s">
        <v>11</v>
      </c>
      <c r="D2584" t="s">
        <v>16</v>
      </c>
      <c r="E2584">
        <v>6</v>
      </c>
      <c r="F2584" s="3">
        <v>3306</v>
      </c>
      <c r="G2584" s="2">
        <v>216.91</v>
      </c>
      <c r="H2584">
        <f>Master_ventas[[#This Row],[Profit]]/Master_ventas[[#This Row],[Sales]]</f>
        <v>6.5611010284331514E-2</v>
      </c>
      <c r="I2584">
        <f ca="1">Referencia_Hoy-Master_ventas[[#This Row],[Order Date]]</f>
        <v>1001</v>
      </c>
      <c r="J2584" t="str">
        <f>UPPER(Master_ventas[[#This Row],[Product Name]])</f>
        <v>MOUSE</v>
      </c>
      <c r="K2584" t="str">
        <f>UPPER(Master_ventas[[#This Row],[Category]])</f>
        <v>ACCESSORIES</v>
      </c>
      <c r="L2584">
        <f>YEAR(Master_ventas[[#This Row],[Order Date]])</f>
        <v>2024</v>
      </c>
      <c r="M2584" t="str">
        <f>CONCATENATE(LEFT(Master_ventas[[#This Row],[ProdUpper]],3),RIGHT(Master_ventas[[#This Row],[Ext-Year]],2),"-",MID(Master_ventas[[#This Row],[Category]],1,1))</f>
        <v>MOU24-A</v>
      </c>
      <c r="N2584" t="str">
        <f>MID(Master_ventas[[#This Row],[ProdUpper]],1,3)</f>
        <v>MOU</v>
      </c>
      <c r="O2584" t="str">
        <f>UPPER(IF(Master_ventas[[#This Row],[Profit]]&gt;500,"High","Std"))</f>
        <v>STD</v>
      </c>
      <c r="P2584">
        <v>2583</v>
      </c>
    </row>
    <row r="2585" spans="1:16" x14ac:dyDescent="0.3">
      <c r="A2585" s="1">
        <v>45284</v>
      </c>
      <c r="B2585" t="s">
        <v>18</v>
      </c>
      <c r="C2585" t="s">
        <v>11</v>
      </c>
      <c r="D2585" t="s">
        <v>16</v>
      </c>
      <c r="E2585">
        <v>1</v>
      </c>
      <c r="F2585" s="3">
        <v>847</v>
      </c>
      <c r="G2585" s="2">
        <v>237.41</v>
      </c>
      <c r="H2585">
        <f>Master_ventas[[#This Row],[Profit]]/Master_ventas[[#This Row],[Sales]]</f>
        <v>0.28029515938606847</v>
      </c>
      <c r="I2585">
        <f ca="1">Referencia_Hoy-Master_ventas[[#This Row],[Order Date]]</f>
        <v>1039</v>
      </c>
      <c r="J2585" t="str">
        <f>UPPER(Master_ventas[[#This Row],[Product Name]])</f>
        <v>HEADPHONES</v>
      </c>
      <c r="K2585" t="str">
        <f>UPPER(Master_ventas[[#This Row],[Category]])</f>
        <v>ACCESSORIES</v>
      </c>
      <c r="L2585">
        <f>YEAR(Master_ventas[[#This Row],[Order Date]])</f>
        <v>2023</v>
      </c>
      <c r="M2585" t="str">
        <f>CONCATENATE(LEFT(Master_ventas[[#This Row],[ProdUpper]],3),RIGHT(Master_ventas[[#This Row],[Ext-Year]],2),"-",MID(Master_ventas[[#This Row],[Category]],1,1))</f>
        <v>HEA23-A</v>
      </c>
      <c r="N2585" t="str">
        <f>MID(Master_ventas[[#This Row],[ProdUpper]],1,3)</f>
        <v>HEA</v>
      </c>
      <c r="O2585" t="str">
        <f>UPPER(IF(Master_ventas[[#This Row],[Profit]]&gt;500,"High","Std"))</f>
        <v>STD</v>
      </c>
      <c r="P2585">
        <v>2584</v>
      </c>
    </row>
    <row r="2586" spans="1:16" x14ac:dyDescent="0.3">
      <c r="A2586" s="1">
        <v>44874</v>
      </c>
      <c r="B2586" t="s">
        <v>7</v>
      </c>
      <c r="C2586" t="s">
        <v>8</v>
      </c>
      <c r="D2586" t="s">
        <v>12</v>
      </c>
      <c r="E2586">
        <v>6</v>
      </c>
      <c r="F2586" s="3">
        <v>3222</v>
      </c>
      <c r="G2586" s="2">
        <v>846.27</v>
      </c>
      <c r="H2586">
        <f>Master_ventas[[#This Row],[Profit]]/Master_ventas[[#This Row],[Sales]]</f>
        <v>0.2626536312849162</v>
      </c>
      <c r="I2586">
        <f ca="1">Referencia_Hoy-Master_ventas[[#This Row],[Order Date]]</f>
        <v>1449</v>
      </c>
      <c r="J2586" t="str">
        <f>UPPER(Master_ventas[[#This Row],[Product Name]])</f>
        <v>PRINTER</v>
      </c>
      <c r="K2586" t="str">
        <f>UPPER(Master_ventas[[#This Row],[Category]])</f>
        <v>OFFICE</v>
      </c>
      <c r="L2586">
        <f>YEAR(Master_ventas[[#This Row],[Order Date]])</f>
        <v>2022</v>
      </c>
      <c r="M2586" t="str">
        <f>CONCATENATE(LEFT(Master_ventas[[#This Row],[ProdUpper]],3),RIGHT(Master_ventas[[#This Row],[Ext-Year]],2),"-",MID(Master_ventas[[#This Row],[Category]],1,1))</f>
        <v>PRI22-O</v>
      </c>
      <c r="N2586" t="str">
        <f>MID(Master_ventas[[#This Row],[ProdUpper]],1,3)</f>
        <v>PRI</v>
      </c>
      <c r="O2586" t="str">
        <f>UPPER(IF(Master_ventas[[#This Row],[Profit]]&gt;500,"High","Std"))</f>
        <v>HIGH</v>
      </c>
      <c r="P2586">
        <v>2585</v>
      </c>
    </row>
    <row r="2587" spans="1:16" x14ac:dyDescent="0.3">
      <c r="A2587" s="1">
        <v>45599</v>
      </c>
      <c r="B2587" t="s">
        <v>22</v>
      </c>
      <c r="C2587" t="s">
        <v>11</v>
      </c>
      <c r="D2587" t="s">
        <v>12</v>
      </c>
      <c r="E2587">
        <v>3</v>
      </c>
      <c r="F2587" s="3">
        <v>189</v>
      </c>
      <c r="G2587" s="2">
        <v>33.94</v>
      </c>
      <c r="H2587">
        <f>Master_ventas[[#This Row],[Profit]]/Master_ventas[[#This Row],[Sales]]</f>
        <v>0.17957671957671956</v>
      </c>
      <c r="I2587">
        <f ca="1">Referencia_Hoy-Master_ventas[[#This Row],[Order Date]]</f>
        <v>724</v>
      </c>
      <c r="J2587" t="str">
        <f>UPPER(Master_ventas[[#This Row],[Product Name]])</f>
        <v>KEYBOARD</v>
      </c>
      <c r="K2587" t="str">
        <f>UPPER(Master_ventas[[#This Row],[Category]])</f>
        <v>ACCESSORIES</v>
      </c>
      <c r="L2587">
        <f>YEAR(Master_ventas[[#This Row],[Order Date]])</f>
        <v>2024</v>
      </c>
      <c r="M2587" t="str">
        <f>CONCATENATE(LEFT(Master_ventas[[#This Row],[ProdUpper]],3),RIGHT(Master_ventas[[#This Row],[Ext-Year]],2),"-",MID(Master_ventas[[#This Row],[Category]],1,1))</f>
        <v>KEY24-A</v>
      </c>
      <c r="N2587" t="str">
        <f>MID(Master_ventas[[#This Row],[ProdUpper]],1,3)</f>
        <v>KEY</v>
      </c>
      <c r="O2587" t="str">
        <f>UPPER(IF(Master_ventas[[#This Row],[Profit]]&gt;500,"High","Std"))</f>
        <v>STD</v>
      </c>
      <c r="P2587">
        <v>2586</v>
      </c>
    </row>
    <row r="2588" spans="1:16" x14ac:dyDescent="0.3">
      <c r="A2588" s="1">
        <v>45150</v>
      </c>
      <c r="B2588" t="s">
        <v>23</v>
      </c>
      <c r="C2588" t="s">
        <v>14</v>
      </c>
      <c r="D2588" t="s">
        <v>15</v>
      </c>
      <c r="E2588">
        <v>4</v>
      </c>
      <c r="F2588" s="3">
        <v>1224</v>
      </c>
      <c r="G2588" s="2">
        <v>348.91</v>
      </c>
      <c r="H2588">
        <f>Master_ventas[[#This Row],[Profit]]/Master_ventas[[#This Row],[Sales]]</f>
        <v>0.28505718954248366</v>
      </c>
      <c r="I2588">
        <f ca="1">Referencia_Hoy-Master_ventas[[#This Row],[Order Date]]</f>
        <v>1173</v>
      </c>
      <c r="J2588" t="str">
        <f>UPPER(Master_ventas[[#This Row],[Product Name]])</f>
        <v>LAPTOP</v>
      </c>
      <c r="K2588" t="str">
        <f>UPPER(Master_ventas[[#This Row],[Category]])</f>
        <v>ELECTRONICS</v>
      </c>
      <c r="L2588">
        <f>YEAR(Master_ventas[[#This Row],[Order Date]])</f>
        <v>2023</v>
      </c>
      <c r="M2588" t="str">
        <f>CONCATENATE(LEFT(Master_ventas[[#This Row],[ProdUpper]],3),RIGHT(Master_ventas[[#This Row],[Ext-Year]],2),"-",MID(Master_ventas[[#This Row],[Category]],1,1))</f>
        <v>LAP23-E</v>
      </c>
      <c r="N2588" t="str">
        <f>MID(Master_ventas[[#This Row],[ProdUpper]],1,3)</f>
        <v>LAP</v>
      </c>
      <c r="O2588" t="str">
        <f>UPPER(IF(Master_ventas[[#This Row],[Profit]]&gt;500,"High","Std"))</f>
        <v>STD</v>
      </c>
      <c r="P2588">
        <v>2587</v>
      </c>
    </row>
    <row r="2589" spans="1:16" x14ac:dyDescent="0.3">
      <c r="A2589" s="1">
        <v>44965</v>
      </c>
      <c r="B2589" t="s">
        <v>17</v>
      </c>
      <c r="C2589" t="s">
        <v>14</v>
      </c>
      <c r="D2589" t="s">
        <v>15</v>
      </c>
      <c r="E2589">
        <v>7</v>
      </c>
      <c r="F2589" s="3">
        <v>5621</v>
      </c>
      <c r="G2589" s="2">
        <v>1390.73</v>
      </c>
      <c r="H2589">
        <f>Master_ventas[[#This Row],[Profit]]/Master_ventas[[#This Row],[Sales]]</f>
        <v>0.24741682974559687</v>
      </c>
      <c r="I2589">
        <f ca="1">Referencia_Hoy-Master_ventas[[#This Row],[Order Date]]</f>
        <v>1358</v>
      </c>
      <c r="J2589" t="str">
        <f>UPPER(Master_ventas[[#This Row],[Product Name]])</f>
        <v>CAMERA</v>
      </c>
      <c r="K2589" t="str">
        <f>UPPER(Master_ventas[[#This Row],[Category]])</f>
        <v>ELECTRONICS</v>
      </c>
      <c r="L2589">
        <f>YEAR(Master_ventas[[#This Row],[Order Date]])</f>
        <v>2023</v>
      </c>
      <c r="M2589" t="str">
        <f>CONCATENATE(LEFT(Master_ventas[[#This Row],[ProdUpper]],3),RIGHT(Master_ventas[[#This Row],[Ext-Year]],2),"-",MID(Master_ventas[[#This Row],[Category]],1,1))</f>
        <v>CAM23-E</v>
      </c>
      <c r="N2589" t="str">
        <f>MID(Master_ventas[[#This Row],[ProdUpper]],1,3)</f>
        <v>CAM</v>
      </c>
      <c r="O2589" t="str">
        <f>UPPER(IF(Master_ventas[[#This Row],[Profit]]&gt;500,"High","Std"))</f>
        <v>HIGH</v>
      </c>
      <c r="P2589">
        <v>2588</v>
      </c>
    </row>
    <row r="2590" spans="1:16" x14ac:dyDescent="0.3">
      <c r="A2590" s="1">
        <v>45307</v>
      </c>
      <c r="B2590" t="s">
        <v>13</v>
      </c>
      <c r="C2590" t="s">
        <v>14</v>
      </c>
      <c r="D2590" t="s">
        <v>16</v>
      </c>
      <c r="E2590">
        <v>6</v>
      </c>
      <c r="F2590" s="3">
        <v>966</v>
      </c>
      <c r="G2590" s="2">
        <v>246.21</v>
      </c>
      <c r="H2590">
        <f>Master_ventas[[#This Row],[Profit]]/Master_ventas[[#This Row],[Sales]]</f>
        <v>0.25487577639751552</v>
      </c>
      <c r="I2590">
        <f ca="1">Referencia_Hoy-Master_ventas[[#This Row],[Order Date]]</f>
        <v>1016</v>
      </c>
      <c r="J2590" t="str">
        <f>UPPER(Master_ventas[[#This Row],[Product Name]])</f>
        <v>TABLET</v>
      </c>
      <c r="K2590" t="str">
        <f>UPPER(Master_ventas[[#This Row],[Category]])</f>
        <v>ELECTRONICS</v>
      </c>
      <c r="L2590">
        <f>YEAR(Master_ventas[[#This Row],[Order Date]])</f>
        <v>2024</v>
      </c>
      <c r="M2590" t="str">
        <f>CONCATENATE(LEFT(Master_ventas[[#This Row],[ProdUpper]],3),RIGHT(Master_ventas[[#This Row],[Ext-Year]],2),"-",MID(Master_ventas[[#This Row],[Category]],1,1))</f>
        <v>TAB24-E</v>
      </c>
      <c r="N2590" t="str">
        <f>MID(Master_ventas[[#This Row],[ProdUpper]],1,3)</f>
        <v>TAB</v>
      </c>
      <c r="O2590" t="str">
        <f>UPPER(IF(Master_ventas[[#This Row],[Profit]]&gt;500,"High","Std"))</f>
        <v>STD</v>
      </c>
      <c r="P2590">
        <v>2589</v>
      </c>
    </row>
    <row r="2591" spans="1:16" x14ac:dyDescent="0.3">
      <c r="A2591" s="1">
        <v>45140</v>
      </c>
      <c r="B2591" t="s">
        <v>13</v>
      </c>
      <c r="C2591" t="s">
        <v>14</v>
      </c>
      <c r="D2591" t="s">
        <v>16</v>
      </c>
      <c r="E2591">
        <v>9</v>
      </c>
      <c r="F2591" s="3">
        <v>1728</v>
      </c>
      <c r="G2591" s="2">
        <v>179.64</v>
      </c>
      <c r="H2591">
        <f>Master_ventas[[#This Row],[Profit]]/Master_ventas[[#This Row],[Sales]]</f>
        <v>0.10395833333333332</v>
      </c>
      <c r="I2591">
        <f ca="1">Referencia_Hoy-Master_ventas[[#This Row],[Order Date]]</f>
        <v>1183</v>
      </c>
      <c r="J2591" t="str">
        <f>UPPER(Master_ventas[[#This Row],[Product Name]])</f>
        <v>TABLET</v>
      </c>
      <c r="K2591" t="str">
        <f>UPPER(Master_ventas[[#This Row],[Category]])</f>
        <v>ELECTRONICS</v>
      </c>
      <c r="L2591">
        <f>YEAR(Master_ventas[[#This Row],[Order Date]])</f>
        <v>2023</v>
      </c>
      <c r="M2591" t="str">
        <f>CONCATENATE(LEFT(Master_ventas[[#This Row],[ProdUpper]],3),RIGHT(Master_ventas[[#This Row],[Ext-Year]],2),"-",MID(Master_ventas[[#This Row],[Category]],1,1))</f>
        <v>TAB23-E</v>
      </c>
      <c r="N2591" t="str">
        <f>MID(Master_ventas[[#This Row],[ProdUpper]],1,3)</f>
        <v>TAB</v>
      </c>
      <c r="O2591" t="str">
        <f>UPPER(IF(Master_ventas[[#This Row],[Profit]]&gt;500,"High","Std"))</f>
        <v>STD</v>
      </c>
      <c r="P2591">
        <v>2590</v>
      </c>
    </row>
    <row r="2592" spans="1:16" x14ac:dyDescent="0.3">
      <c r="A2592" s="1">
        <v>45304</v>
      </c>
      <c r="B2592" t="s">
        <v>10</v>
      </c>
      <c r="C2592" t="s">
        <v>11</v>
      </c>
      <c r="D2592" t="s">
        <v>16</v>
      </c>
      <c r="E2592">
        <v>9</v>
      </c>
      <c r="F2592" s="3">
        <v>6138</v>
      </c>
      <c r="G2592" s="2">
        <v>1478.57</v>
      </c>
      <c r="H2592">
        <f>Master_ventas[[#This Row],[Profit]]/Master_ventas[[#This Row],[Sales]]</f>
        <v>0.24088791137178234</v>
      </c>
      <c r="I2592">
        <f ca="1">Referencia_Hoy-Master_ventas[[#This Row],[Order Date]]</f>
        <v>1019</v>
      </c>
      <c r="J2592" t="str">
        <f>UPPER(Master_ventas[[#This Row],[Product Name]])</f>
        <v>MOUSE</v>
      </c>
      <c r="K2592" t="str">
        <f>UPPER(Master_ventas[[#This Row],[Category]])</f>
        <v>ACCESSORIES</v>
      </c>
      <c r="L2592">
        <f>YEAR(Master_ventas[[#This Row],[Order Date]])</f>
        <v>2024</v>
      </c>
      <c r="M2592" t="str">
        <f>CONCATENATE(LEFT(Master_ventas[[#This Row],[ProdUpper]],3),RIGHT(Master_ventas[[#This Row],[Ext-Year]],2),"-",MID(Master_ventas[[#This Row],[Category]],1,1))</f>
        <v>MOU24-A</v>
      </c>
      <c r="N2592" t="str">
        <f>MID(Master_ventas[[#This Row],[ProdUpper]],1,3)</f>
        <v>MOU</v>
      </c>
      <c r="O2592" t="str">
        <f>UPPER(IF(Master_ventas[[#This Row],[Profit]]&gt;500,"High","Std"))</f>
        <v>HIGH</v>
      </c>
      <c r="P2592">
        <v>2591</v>
      </c>
    </row>
    <row r="2593" spans="1:16" x14ac:dyDescent="0.3">
      <c r="A2593" s="1">
        <v>45616</v>
      </c>
      <c r="B2593" t="s">
        <v>20</v>
      </c>
      <c r="C2593" t="s">
        <v>11</v>
      </c>
      <c r="D2593" t="s">
        <v>15</v>
      </c>
      <c r="E2593">
        <v>4</v>
      </c>
      <c r="F2593" s="3">
        <v>964</v>
      </c>
      <c r="G2593" s="2">
        <v>184.03</v>
      </c>
      <c r="H2593">
        <f>Master_ventas[[#This Row],[Profit]]/Master_ventas[[#This Row],[Sales]]</f>
        <v>0.19090248962655601</v>
      </c>
      <c r="I2593">
        <f ca="1">Referencia_Hoy-Master_ventas[[#This Row],[Order Date]]</f>
        <v>707</v>
      </c>
      <c r="J2593" t="str">
        <f>UPPER(Master_ventas[[#This Row],[Product Name]])</f>
        <v>MONITOR</v>
      </c>
      <c r="K2593" t="str">
        <f>UPPER(Master_ventas[[#This Row],[Category]])</f>
        <v>ACCESSORIES</v>
      </c>
      <c r="L2593">
        <f>YEAR(Master_ventas[[#This Row],[Order Date]])</f>
        <v>2024</v>
      </c>
      <c r="M2593" t="str">
        <f>CONCATENATE(LEFT(Master_ventas[[#This Row],[ProdUpper]],3),RIGHT(Master_ventas[[#This Row],[Ext-Year]],2),"-",MID(Master_ventas[[#This Row],[Category]],1,1))</f>
        <v>MON24-A</v>
      </c>
      <c r="N2593" t="str">
        <f>MID(Master_ventas[[#This Row],[ProdUpper]],1,3)</f>
        <v>MON</v>
      </c>
      <c r="O2593" t="str">
        <f>UPPER(IF(Master_ventas[[#This Row],[Profit]]&gt;500,"High","Std"))</f>
        <v>STD</v>
      </c>
      <c r="P2593">
        <v>2592</v>
      </c>
    </row>
    <row r="2594" spans="1:16" x14ac:dyDescent="0.3">
      <c r="A2594" s="1">
        <v>45212</v>
      </c>
      <c r="B2594" t="s">
        <v>21</v>
      </c>
      <c r="C2594" t="s">
        <v>14</v>
      </c>
      <c r="D2594" t="s">
        <v>15</v>
      </c>
      <c r="E2594">
        <v>7</v>
      </c>
      <c r="F2594" s="3">
        <v>4697</v>
      </c>
      <c r="G2594" s="2">
        <v>976.26</v>
      </c>
      <c r="H2594">
        <f>Master_ventas[[#This Row],[Profit]]/Master_ventas[[#This Row],[Sales]]</f>
        <v>0.20784756227379178</v>
      </c>
      <c r="I2594">
        <f ca="1">Referencia_Hoy-Master_ventas[[#This Row],[Order Date]]</f>
        <v>1111</v>
      </c>
      <c r="J2594" t="str">
        <f>UPPER(Master_ventas[[#This Row],[Product Name]])</f>
        <v>SMARTPHONE</v>
      </c>
      <c r="K2594" t="str">
        <f>UPPER(Master_ventas[[#This Row],[Category]])</f>
        <v>ELECTRONICS</v>
      </c>
      <c r="L2594">
        <f>YEAR(Master_ventas[[#This Row],[Order Date]])</f>
        <v>2023</v>
      </c>
      <c r="M2594" t="str">
        <f>CONCATENATE(LEFT(Master_ventas[[#This Row],[ProdUpper]],3),RIGHT(Master_ventas[[#This Row],[Ext-Year]],2),"-",MID(Master_ventas[[#This Row],[Category]],1,1))</f>
        <v>SMA23-E</v>
      </c>
      <c r="N2594" t="str">
        <f>MID(Master_ventas[[#This Row],[ProdUpper]],1,3)</f>
        <v>SMA</v>
      </c>
      <c r="O2594" t="str">
        <f>UPPER(IF(Master_ventas[[#This Row],[Profit]]&gt;500,"High","Std"))</f>
        <v>HIGH</v>
      </c>
      <c r="P2594">
        <v>2593</v>
      </c>
    </row>
    <row r="2595" spans="1:16" x14ac:dyDescent="0.3">
      <c r="A2595" s="1">
        <v>44690</v>
      </c>
      <c r="B2595" t="s">
        <v>21</v>
      </c>
      <c r="C2595" t="s">
        <v>14</v>
      </c>
      <c r="D2595" t="s">
        <v>16</v>
      </c>
      <c r="E2595">
        <v>2</v>
      </c>
      <c r="F2595" s="3">
        <v>1232</v>
      </c>
      <c r="G2595" s="2">
        <v>155.52000000000001</v>
      </c>
      <c r="H2595">
        <f>Master_ventas[[#This Row],[Profit]]/Master_ventas[[#This Row],[Sales]]</f>
        <v>0.12623376623376625</v>
      </c>
      <c r="I2595">
        <f ca="1">Referencia_Hoy-Master_ventas[[#This Row],[Order Date]]</f>
        <v>1633</v>
      </c>
      <c r="J2595" t="str">
        <f>UPPER(Master_ventas[[#This Row],[Product Name]])</f>
        <v>SMARTPHONE</v>
      </c>
      <c r="K2595" t="str">
        <f>UPPER(Master_ventas[[#This Row],[Category]])</f>
        <v>ELECTRONICS</v>
      </c>
      <c r="L2595">
        <f>YEAR(Master_ventas[[#This Row],[Order Date]])</f>
        <v>2022</v>
      </c>
      <c r="M2595" t="str">
        <f>CONCATENATE(LEFT(Master_ventas[[#This Row],[ProdUpper]],3),RIGHT(Master_ventas[[#This Row],[Ext-Year]],2),"-",MID(Master_ventas[[#This Row],[Category]],1,1))</f>
        <v>SMA22-E</v>
      </c>
      <c r="N2595" t="str">
        <f>MID(Master_ventas[[#This Row],[ProdUpper]],1,3)</f>
        <v>SMA</v>
      </c>
      <c r="O2595" t="str">
        <f>UPPER(IF(Master_ventas[[#This Row],[Profit]]&gt;500,"High","Std"))</f>
        <v>STD</v>
      </c>
      <c r="P2595">
        <v>2594</v>
      </c>
    </row>
    <row r="2596" spans="1:16" x14ac:dyDescent="0.3">
      <c r="A2596" s="1">
        <v>44916</v>
      </c>
      <c r="B2596" t="s">
        <v>20</v>
      </c>
      <c r="C2596" t="s">
        <v>11</v>
      </c>
      <c r="D2596" t="s">
        <v>16</v>
      </c>
      <c r="E2596">
        <v>7</v>
      </c>
      <c r="F2596" s="3">
        <v>6384</v>
      </c>
      <c r="G2596" s="2">
        <v>734.79</v>
      </c>
      <c r="H2596">
        <f>Master_ventas[[#This Row],[Profit]]/Master_ventas[[#This Row],[Sales]]</f>
        <v>0.11509868421052631</v>
      </c>
      <c r="I2596">
        <f ca="1">Referencia_Hoy-Master_ventas[[#This Row],[Order Date]]</f>
        <v>1407</v>
      </c>
      <c r="J2596" t="str">
        <f>UPPER(Master_ventas[[#This Row],[Product Name]])</f>
        <v>MONITOR</v>
      </c>
      <c r="K2596" t="str">
        <f>UPPER(Master_ventas[[#This Row],[Category]])</f>
        <v>ACCESSORIES</v>
      </c>
      <c r="L2596">
        <f>YEAR(Master_ventas[[#This Row],[Order Date]])</f>
        <v>2022</v>
      </c>
      <c r="M2596" t="str">
        <f>CONCATENATE(LEFT(Master_ventas[[#This Row],[ProdUpper]],3),RIGHT(Master_ventas[[#This Row],[Ext-Year]],2),"-",MID(Master_ventas[[#This Row],[Category]],1,1))</f>
        <v>MON22-A</v>
      </c>
      <c r="N2596" t="str">
        <f>MID(Master_ventas[[#This Row],[ProdUpper]],1,3)</f>
        <v>MON</v>
      </c>
      <c r="O2596" t="str">
        <f>UPPER(IF(Master_ventas[[#This Row],[Profit]]&gt;500,"High","Std"))</f>
        <v>HIGH</v>
      </c>
      <c r="P2596">
        <v>2595</v>
      </c>
    </row>
    <row r="2597" spans="1:16" x14ac:dyDescent="0.3">
      <c r="A2597" s="1">
        <v>45618</v>
      </c>
      <c r="B2597" t="s">
        <v>10</v>
      </c>
      <c r="C2597" t="s">
        <v>11</v>
      </c>
      <c r="D2597" t="s">
        <v>16</v>
      </c>
      <c r="E2597">
        <v>4</v>
      </c>
      <c r="F2597" s="3">
        <v>780</v>
      </c>
      <c r="G2597" s="2">
        <v>162.72</v>
      </c>
      <c r="H2597">
        <f>Master_ventas[[#This Row],[Profit]]/Master_ventas[[#This Row],[Sales]]</f>
        <v>0.20861538461538462</v>
      </c>
      <c r="I2597">
        <f ca="1">Referencia_Hoy-Master_ventas[[#This Row],[Order Date]]</f>
        <v>705</v>
      </c>
      <c r="J2597" t="str">
        <f>UPPER(Master_ventas[[#This Row],[Product Name]])</f>
        <v>MOUSE</v>
      </c>
      <c r="K2597" t="str">
        <f>UPPER(Master_ventas[[#This Row],[Category]])</f>
        <v>ACCESSORIES</v>
      </c>
      <c r="L2597">
        <f>YEAR(Master_ventas[[#This Row],[Order Date]])</f>
        <v>2024</v>
      </c>
      <c r="M2597" t="str">
        <f>CONCATENATE(LEFT(Master_ventas[[#This Row],[ProdUpper]],3),RIGHT(Master_ventas[[#This Row],[Ext-Year]],2),"-",MID(Master_ventas[[#This Row],[Category]],1,1))</f>
        <v>MOU24-A</v>
      </c>
      <c r="N2597" t="str">
        <f>MID(Master_ventas[[#This Row],[ProdUpper]],1,3)</f>
        <v>MOU</v>
      </c>
      <c r="O2597" t="str">
        <f>UPPER(IF(Master_ventas[[#This Row],[Profit]]&gt;500,"High","Std"))</f>
        <v>STD</v>
      </c>
      <c r="P2597">
        <v>2596</v>
      </c>
    </row>
    <row r="2598" spans="1:16" x14ac:dyDescent="0.3">
      <c r="A2598" s="1">
        <v>44953</v>
      </c>
      <c r="B2598" t="s">
        <v>7</v>
      </c>
      <c r="C2598" t="s">
        <v>8</v>
      </c>
      <c r="D2598" t="s">
        <v>16</v>
      </c>
      <c r="E2598">
        <v>4</v>
      </c>
      <c r="F2598" s="3">
        <v>1256</v>
      </c>
      <c r="G2598" s="2">
        <v>362.22</v>
      </c>
      <c r="H2598">
        <f>Master_ventas[[#This Row],[Profit]]/Master_ventas[[#This Row],[Sales]]</f>
        <v>0.28839171974522293</v>
      </c>
      <c r="I2598">
        <f ca="1">Referencia_Hoy-Master_ventas[[#This Row],[Order Date]]</f>
        <v>1370</v>
      </c>
      <c r="J2598" t="str">
        <f>UPPER(Master_ventas[[#This Row],[Product Name]])</f>
        <v>PRINTER</v>
      </c>
      <c r="K2598" t="str">
        <f>UPPER(Master_ventas[[#This Row],[Category]])</f>
        <v>OFFICE</v>
      </c>
      <c r="L2598">
        <f>YEAR(Master_ventas[[#This Row],[Order Date]])</f>
        <v>2023</v>
      </c>
      <c r="M2598" t="str">
        <f>CONCATENATE(LEFT(Master_ventas[[#This Row],[ProdUpper]],3),RIGHT(Master_ventas[[#This Row],[Ext-Year]],2),"-",MID(Master_ventas[[#This Row],[Category]],1,1))</f>
        <v>PRI23-O</v>
      </c>
      <c r="N2598" t="str">
        <f>MID(Master_ventas[[#This Row],[ProdUpper]],1,3)</f>
        <v>PRI</v>
      </c>
      <c r="O2598" t="str">
        <f>UPPER(IF(Master_ventas[[#This Row],[Profit]]&gt;500,"High","Std"))</f>
        <v>STD</v>
      </c>
      <c r="P2598">
        <v>2597</v>
      </c>
    </row>
    <row r="2599" spans="1:16" x14ac:dyDescent="0.3">
      <c r="A2599" s="1">
        <v>44689</v>
      </c>
      <c r="B2599" t="s">
        <v>10</v>
      </c>
      <c r="C2599" t="s">
        <v>11</v>
      </c>
      <c r="D2599" t="s">
        <v>15</v>
      </c>
      <c r="E2599">
        <v>1</v>
      </c>
      <c r="F2599" s="3">
        <v>1162</v>
      </c>
      <c r="G2599" s="2">
        <v>220.93</v>
      </c>
      <c r="H2599">
        <f>Master_ventas[[#This Row],[Profit]]/Master_ventas[[#This Row],[Sales]]</f>
        <v>0.1901290877796902</v>
      </c>
      <c r="I2599">
        <f ca="1">Referencia_Hoy-Master_ventas[[#This Row],[Order Date]]</f>
        <v>1634</v>
      </c>
      <c r="J2599" t="str">
        <f>UPPER(Master_ventas[[#This Row],[Product Name]])</f>
        <v>MOUSE</v>
      </c>
      <c r="K2599" t="str">
        <f>UPPER(Master_ventas[[#This Row],[Category]])</f>
        <v>ACCESSORIES</v>
      </c>
      <c r="L2599">
        <f>YEAR(Master_ventas[[#This Row],[Order Date]])</f>
        <v>2022</v>
      </c>
      <c r="M2599" t="str">
        <f>CONCATENATE(LEFT(Master_ventas[[#This Row],[ProdUpper]],3),RIGHT(Master_ventas[[#This Row],[Ext-Year]],2),"-",MID(Master_ventas[[#This Row],[Category]],1,1))</f>
        <v>MOU22-A</v>
      </c>
      <c r="N2599" t="str">
        <f>MID(Master_ventas[[#This Row],[ProdUpper]],1,3)</f>
        <v>MOU</v>
      </c>
      <c r="O2599" t="str">
        <f>UPPER(IF(Master_ventas[[#This Row],[Profit]]&gt;500,"High","Std"))</f>
        <v>STD</v>
      </c>
      <c r="P2599">
        <v>2598</v>
      </c>
    </row>
    <row r="2600" spans="1:16" x14ac:dyDescent="0.3">
      <c r="A2600" s="1">
        <v>44967</v>
      </c>
      <c r="B2600" t="s">
        <v>10</v>
      </c>
      <c r="C2600" t="s">
        <v>11</v>
      </c>
      <c r="D2600" t="s">
        <v>15</v>
      </c>
      <c r="E2600">
        <v>8</v>
      </c>
      <c r="F2600" s="3">
        <v>7520</v>
      </c>
      <c r="G2600" s="2">
        <v>995.03</v>
      </c>
      <c r="H2600">
        <f>Master_ventas[[#This Row],[Profit]]/Master_ventas[[#This Row],[Sales]]</f>
        <v>0.13231781914893617</v>
      </c>
      <c r="I2600">
        <f ca="1">Referencia_Hoy-Master_ventas[[#This Row],[Order Date]]</f>
        <v>1356</v>
      </c>
      <c r="J2600" t="str">
        <f>UPPER(Master_ventas[[#This Row],[Product Name]])</f>
        <v>MOUSE</v>
      </c>
      <c r="K2600" t="str">
        <f>UPPER(Master_ventas[[#This Row],[Category]])</f>
        <v>ACCESSORIES</v>
      </c>
      <c r="L2600">
        <f>YEAR(Master_ventas[[#This Row],[Order Date]])</f>
        <v>2023</v>
      </c>
      <c r="M2600" t="str">
        <f>CONCATENATE(LEFT(Master_ventas[[#This Row],[ProdUpper]],3),RIGHT(Master_ventas[[#This Row],[Ext-Year]],2),"-",MID(Master_ventas[[#This Row],[Category]],1,1))</f>
        <v>MOU23-A</v>
      </c>
      <c r="N2600" t="str">
        <f>MID(Master_ventas[[#This Row],[ProdUpper]],1,3)</f>
        <v>MOU</v>
      </c>
      <c r="O2600" t="str">
        <f>UPPER(IF(Master_ventas[[#This Row],[Profit]]&gt;500,"High","Std"))</f>
        <v>HIGH</v>
      </c>
      <c r="P2600">
        <v>2599</v>
      </c>
    </row>
    <row r="2601" spans="1:16" x14ac:dyDescent="0.3">
      <c r="A2601" s="1">
        <v>45377</v>
      </c>
      <c r="B2601" t="s">
        <v>18</v>
      </c>
      <c r="C2601" t="s">
        <v>11</v>
      </c>
      <c r="D2601" t="s">
        <v>15</v>
      </c>
      <c r="E2601">
        <v>7</v>
      </c>
      <c r="F2601" s="3">
        <v>2387</v>
      </c>
      <c r="G2601" s="2">
        <v>463.92</v>
      </c>
      <c r="H2601">
        <f>Master_ventas[[#This Row],[Profit]]/Master_ventas[[#This Row],[Sales]]</f>
        <v>0.19435274403016339</v>
      </c>
      <c r="I2601">
        <f ca="1">Referencia_Hoy-Master_ventas[[#This Row],[Order Date]]</f>
        <v>946</v>
      </c>
      <c r="J2601" t="str">
        <f>UPPER(Master_ventas[[#This Row],[Product Name]])</f>
        <v>HEADPHONES</v>
      </c>
      <c r="K2601" t="str">
        <f>UPPER(Master_ventas[[#This Row],[Category]])</f>
        <v>ACCESSORIES</v>
      </c>
      <c r="L2601">
        <f>YEAR(Master_ventas[[#This Row],[Order Date]])</f>
        <v>2024</v>
      </c>
      <c r="M2601" t="str">
        <f>CONCATENATE(LEFT(Master_ventas[[#This Row],[ProdUpper]],3),RIGHT(Master_ventas[[#This Row],[Ext-Year]],2),"-",MID(Master_ventas[[#This Row],[Category]],1,1))</f>
        <v>HEA24-A</v>
      </c>
      <c r="N2601" t="str">
        <f>MID(Master_ventas[[#This Row],[ProdUpper]],1,3)</f>
        <v>HEA</v>
      </c>
      <c r="O2601" t="str">
        <f>UPPER(IF(Master_ventas[[#This Row],[Profit]]&gt;500,"High","Std"))</f>
        <v>STD</v>
      </c>
      <c r="P2601">
        <v>2600</v>
      </c>
    </row>
    <row r="2602" spans="1:16" x14ac:dyDescent="0.3">
      <c r="A2602" s="1">
        <v>45219</v>
      </c>
      <c r="B2602" t="s">
        <v>22</v>
      </c>
      <c r="C2602" t="s">
        <v>11</v>
      </c>
      <c r="D2602" t="s">
        <v>12</v>
      </c>
      <c r="E2602">
        <v>8</v>
      </c>
      <c r="F2602" s="3">
        <v>2256</v>
      </c>
      <c r="G2602" s="2">
        <v>316.77</v>
      </c>
      <c r="H2602">
        <f>Master_ventas[[#This Row],[Profit]]/Master_ventas[[#This Row],[Sales]]</f>
        <v>0.14041223404255318</v>
      </c>
      <c r="I2602">
        <f ca="1">Referencia_Hoy-Master_ventas[[#This Row],[Order Date]]</f>
        <v>1104</v>
      </c>
      <c r="J2602" t="str">
        <f>UPPER(Master_ventas[[#This Row],[Product Name]])</f>
        <v>KEYBOARD</v>
      </c>
      <c r="K2602" t="str">
        <f>UPPER(Master_ventas[[#This Row],[Category]])</f>
        <v>ACCESSORIES</v>
      </c>
      <c r="L2602">
        <f>YEAR(Master_ventas[[#This Row],[Order Date]])</f>
        <v>2023</v>
      </c>
      <c r="M2602" t="str">
        <f>CONCATENATE(LEFT(Master_ventas[[#This Row],[ProdUpper]],3),RIGHT(Master_ventas[[#This Row],[Ext-Year]],2),"-",MID(Master_ventas[[#This Row],[Category]],1,1))</f>
        <v>KEY23-A</v>
      </c>
      <c r="N2602" t="str">
        <f>MID(Master_ventas[[#This Row],[ProdUpper]],1,3)</f>
        <v>KEY</v>
      </c>
      <c r="O2602" t="str">
        <f>UPPER(IF(Master_ventas[[#This Row],[Profit]]&gt;500,"High","Std"))</f>
        <v>STD</v>
      </c>
      <c r="P2602">
        <v>2601</v>
      </c>
    </row>
    <row r="2603" spans="1:16" x14ac:dyDescent="0.3">
      <c r="A2603" s="1">
        <v>45449</v>
      </c>
      <c r="B2603" t="s">
        <v>20</v>
      </c>
      <c r="C2603" t="s">
        <v>11</v>
      </c>
      <c r="D2603" t="s">
        <v>9</v>
      </c>
      <c r="E2603">
        <v>8</v>
      </c>
      <c r="F2603" s="3">
        <v>7792</v>
      </c>
      <c r="G2603" s="2">
        <v>913.12</v>
      </c>
      <c r="H2603">
        <f>Master_ventas[[#This Row],[Profit]]/Master_ventas[[#This Row],[Sales]]</f>
        <v>0.11718685831622176</v>
      </c>
      <c r="I2603">
        <f ca="1">Referencia_Hoy-Master_ventas[[#This Row],[Order Date]]</f>
        <v>874</v>
      </c>
      <c r="J2603" t="str">
        <f>UPPER(Master_ventas[[#This Row],[Product Name]])</f>
        <v>MONITOR</v>
      </c>
      <c r="K2603" t="str">
        <f>UPPER(Master_ventas[[#This Row],[Category]])</f>
        <v>ACCESSORIES</v>
      </c>
      <c r="L2603">
        <f>YEAR(Master_ventas[[#This Row],[Order Date]])</f>
        <v>2024</v>
      </c>
      <c r="M2603" t="str">
        <f>CONCATENATE(LEFT(Master_ventas[[#This Row],[ProdUpper]],3),RIGHT(Master_ventas[[#This Row],[Ext-Year]],2),"-",MID(Master_ventas[[#This Row],[Category]],1,1))</f>
        <v>MON24-A</v>
      </c>
      <c r="N2603" t="str">
        <f>MID(Master_ventas[[#This Row],[ProdUpper]],1,3)</f>
        <v>MON</v>
      </c>
      <c r="O2603" t="str">
        <f>UPPER(IF(Master_ventas[[#This Row],[Profit]]&gt;500,"High","Std"))</f>
        <v>HIGH</v>
      </c>
      <c r="P2603">
        <v>2602</v>
      </c>
    </row>
    <row r="2604" spans="1:16" x14ac:dyDescent="0.3">
      <c r="A2604" s="1">
        <v>45070</v>
      </c>
      <c r="B2604" t="s">
        <v>23</v>
      </c>
      <c r="C2604" t="s">
        <v>14</v>
      </c>
      <c r="D2604" t="s">
        <v>12</v>
      </c>
      <c r="E2604">
        <v>8</v>
      </c>
      <c r="F2604" s="3">
        <v>3944</v>
      </c>
      <c r="G2604" s="2">
        <v>296.35000000000002</v>
      </c>
      <c r="H2604">
        <f>Master_ventas[[#This Row],[Profit]]/Master_ventas[[#This Row],[Sales]]</f>
        <v>7.5139452332657203E-2</v>
      </c>
      <c r="I2604">
        <f ca="1">Referencia_Hoy-Master_ventas[[#This Row],[Order Date]]</f>
        <v>1253</v>
      </c>
      <c r="J2604" t="str">
        <f>UPPER(Master_ventas[[#This Row],[Product Name]])</f>
        <v>LAPTOP</v>
      </c>
      <c r="K2604" t="str">
        <f>UPPER(Master_ventas[[#This Row],[Category]])</f>
        <v>ELECTRONICS</v>
      </c>
      <c r="L2604">
        <f>YEAR(Master_ventas[[#This Row],[Order Date]])</f>
        <v>2023</v>
      </c>
      <c r="M2604" t="str">
        <f>CONCATENATE(LEFT(Master_ventas[[#This Row],[ProdUpper]],3),RIGHT(Master_ventas[[#This Row],[Ext-Year]],2),"-",MID(Master_ventas[[#This Row],[Category]],1,1))</f>
        <v>LAP23-E</v>
      </c>
      <c r="N2604" t="str">
        <f>MID(Master_ventas[[#This Row],[ProdUpper]],1,3)</f>
        <v>LAP</v>
      </c>
      <c r="O2604" t="str">
        <f>UPPER(IF(Master_ventas[[#This Row],[Profit]]&gt;500,"High","Std"))</f>
        <v>STD</v>
      </c>
      <c r="P2604">
        <v>2603</v>
      </c>
    </row>
    <row r="2605" spans="1:16" x14ac:dyDescent="0.3">
      <c r="A2605" s="1">
        <v>45277</v>
      </c>
      <c r="B2605" t="s">
        <v>21</v>
      </c>
      <c r="C2605" t="s">
        <v>14</v>
      </c>
      <c r="D2605" t="s">
        <v>15</v>
      </c>
      <c r="E2605">
        <v>2</v>
      </c>
      <c r="F2605" s="3">
        <v>822</v>
      </c>
      <c r="G2605" s="2">
        <v>183.45</v>
      </c>
      <c r="H2605">
        <f>Master_ventas[[#This Row],[Profit]]/Master_ventas[[#This Row],[Sales]]</f>
        <v>0.2231751824817518</v>
      </c>
      <c r="I2605">
        <f ca="1">Referencia_Hoy-Master_ventas[[#This Row],[Order Date]]</f>
        <v>1046</v>
      </c>
      <c r="J2605" t="str">
        <f>UPPER(Master_ventas[[#This Row],[Product Name]])</f>
        <v>SMARTPHONE</v>
      </c>
      <c r="K2605" t="str">
        <f>UPPER(Master_ventas[[#This Row],[Category]])</f>
        <v>ELECTRONICS</v>
      </c>
      <c r="L2605">
        <f>YEAR(Master_ventas[[#This Row],[Order Date]])</f>
        <v>2023</v>
      </c>
      <c r="M2605" t="str">
        <f>CONCATENATE(LEFT(Master_ventas[[#This Row],[ProdUpper]],3),RIGHT(Master_ventas[[#This Row],[Ext-Year]],2),"-",MID(Master_ventas[[#This Row],[Category]],1,1))</f>
        <v>SMA23-E</v>
      </c>
      <c r="N2605" t="str">
        <f>MID(Master_ventas[[#This Row],[ProdUpper]],1,3)</f>
        <v>SMA</v>
      </c>
      <c r="O2605" t="str">
        <f>UPPER(IF(Master_ventas[[#This Row],[Profit]]&gt;500,"High","Std"))</f>
        <v>STD</v>
      </c>
      <c r="P2605">
        <v>2604</v>
      </c>
    </row>
    <row r="2606" spans="1:16" x14ac:dyDescent="0.3">
      <c r="A2606" s="1">
        <v>45463</v>
      </c>
      <c r="B2606" t="s">
        <v>18</v>
      </c>
      <c r="C2606" t="s">
        <v>11</v>
      </c>
      <c r="D2606" t="s">
        <v>9</v>
      </c>
      <c r="E2606">
        <v>3</v>
      </c>
      <c r="F2606" s="3">
        <v>1962</v>
      </c>
      <c r="G2606" s="2">
        <v>469.94</v>
      </c>
      <c r="H2606">
        <f>Master_ventas[[#This Row],[Profit]]/Master_ventas[[#This Row],[Sales]]</f>
        <v>0.23952089704383281</v>
      </c>
      <c r="I2606">
        <f ca="1">Referencia_Hoy-Master_ventas[[#This Row],[Order Date]]</f>
        <v>860</v>
      </c>
      <c r="J2606" t="str">
        <f>UPPER(Master_ventas[[#This Row],[Product Name]])</f>
        <v>HEADPHONES</v>
      </c>
      <c r="K2606" t="str">
        <f>UPPER(Master_ventas[[#This Row],[Category]])</f>
        <v>ACCESSORIES</v>
      </c>
      <c r="L2606">
        <f>YEAR(Master_ventas[[#This Row],[Order Date]])</f>
        <v>2024</v>
      </c>
      <c r="M2606" t="str">
        <f>CONCATENATE(LEFT(Master_ventas[[#This Row],[ProdUpper]],3),RIGHT(Master_ventas[[#This Row],[Ext-Year]],2),"-",MID(Master_ventas[[#This Row],[Category]],1,1))</f>
        <v>HEA24-A</v>
      </c>
      <c r="N2606" t="str">
        <f>MID(Master_ventas[[#This Row],[ProdUpper]],1,3)</f>
        <v>HEA</v>
      </c>
      <c r="O2606" t="str">
        <f>UPPER(IF(Master_ventas[[#This Row],[Profit]]&gt;500,"High","Std"))</f>
        <v>STD</v>
      </c>
      <c r="P2606">
        <v>2605</v>
      </c>
    </row>
    <row r="2607" spans="1:16" x14ac:dyDescent="0.3">
      <c r="A2607" s="1">
        <v>44916</v>
      </c>
      <c r="B2607" t="s">
        <v>7</v>
      </c>
      <c r="C2607" t="s">
        <v>8</v>
      </c>
      <c r="D2607" t="s">
        <v>9</v>
      </c>
      <c r="E2607">
        <v>4</v>
      </c>
      <c r="F2607" s="3">
        <v>1016</v>
      </c>
      <c r="G2607" s="2">
        <v>269.88</v>
      </c>
      <c r="H2607">
        <f>Master_ventas[[#This Row],[Profit]]/Master_ventas[[#This Row],[Sales]]</f>
        <v>0.26562992125984253</v>
      </c>
      <c r="I2607">
        <f ca="1">Referencia_Hoy-Master_ventas[[#This Row],[Order Date]]</f>
        <v>1407</v>
      </c>
      <c r="J2607" t="str">
        <f>UPPER(Master_ventas[[#This Row],[Product Name]])</f>
        <v>PRINTER</v>
      </c>
      <c r="K2607" t="str">
        <f>UPPER(Master_ventas[[#This Row],[Category]])</f>
        <v>OFFICE</v>
      </c>
      <c r="L2607">
        <f>YEAR(Master_ventas[[#This Row],[Order Date]])</f>
        <v>2022</v>
      </c>
      <c r="M2607" t="str">
        <f>CONCATENATE(LEFT(Master_ventas[[#This Row],[ProdUpper]],3),RIGHT(Master_ventas[[#This Row],[Ext-Year]],2),"-",MID(Master_ventas[[#This Row],[Category]],1,1))</f>
        <v>PRI22-O</v>
      </c>
      <c r="N2607" t="str">
        <f>MID(Master_ventas[[#This Row],[ProdUpper]],1,3)</f>
        <v>PRI</v>
      </c>
      <c r="O2607" t="str">
        <f>UPPER(IF(Master_ventas[[#This Row],[Profit]]&gt;500,"High","Std"))</f>
        <v>STD</v>
      </c>
      <c r="P2607">
        <v>2606</v>
      </c>
    </row>
    <row r="2608" spans="1:16" x14ac:dyDescent="0.3">
      <c r="A2608" s="1">
        <v>45097</v>
      </c>
      <c r="B2608" t="s">
        <v>13</v>
      </c>
      <c r="C2608" t="s">
        <v>14</v>
      </c>
      <c r="D2608" t="s">
        <v>9</v>
      </c>
      <c r="E2608">
        <v>2</v>
      </c>
      <c r="F2608" s="3">
        <v>1980</v>
      </c>
      <c r="G2608" s="2">
        <v>125.99</v>
      </c>
      <c r="H2608">
        <f>Master_ventas[[#This Row],[Profit]]/Master_ventas[[#This Row],[Sales]]</f>
        <v>6.3631313131313122E-2</v>
      </c>
      <c r="I2608">
        <f ca="1">Referencia_Hoy-Master_ventas[[#This Row],[Order Date]]</f>
        <v>1226</v>
      </c>
      <c r="J2608" t="str">
        <f>UPPER(Master_ventas[[#This Row],[Product Name]])</f>
        <v>TABLET</v>
      </c>
      <c r="K2608" t="str">
        <f>UPPER(Master_ventas[[#This Row],[Category]])</f>
        <v>ELECTRONICS</v>
      </c>
      <c r="L2608">
        <f>YEAR(Master_ventas[[#This Row],[Order Date]])</f>
        <v>2023</v>
      </c>
      <c r="M2608" t="str">
        <f>CONCATENATE(LEFT(Master_ventas[[#This Row],[ProdUpper]],3),RIGHT(Master_ventas[[#This Row],[Ext-Year]],2),"-",MID(Master_ventas[[#This Row],[Category]],1,1))</f>
        <v>TAB23-E</v>
      </c>
      <c r="N2608" t="str">
        <f>MID(Master_ventas[[#This Row],[ProdUpper]],1,3)</f>
        <v>TAB</v>
      </c>
      <c r="O2608" t="str">
        <f>UPPER(IF(Master_ventas[[#This Row],[Profit]]&gt;500,"High","Std"))</f>
        <v>STD</v>
      </c>
      <c r="P2608">
        <v>2607</v>
      </c>
    </row>
    <row r="2609" spans="1:16" x14ac:dyDescent="0.3">
      <c r="A2609" s="1">
        <v>45634</v>
      </c>
      <c r="B2609" t="s">
        <v>18</v>
      </c>
      <c r="C2609" t="s">
        <v>11</v>
      </c>
      <c r="D2609" t="s">
        <v>16</v>
      </c>
      <c r="E2609">
        <v>4</v>
      </c>
      <c r="F2609" s="3">
        <v>3996</v>
      </c>
      <c r="G2609" s="2">
        <v>965.26</v>
      </c>
      <c r="H2609">
        <f>Master_ventas[[#This Row],[Profit]]/Master_ventas[[#This Row],[Sales]]</f>
        <v>0.24155655655655656</v>
      </c>
      <c r="I2609">
        <f ca="1">Referencia_Hoy-Master_ventas[[#This Row],[Order Date]]</f>
        <v>689</v>
      </c>
      <c r="J2609" t="str">
        <f>UPPER(Master_ventas[[#This Row],[Product Name]])</f>
        <v>HEADPHONES</v>
      </c>
      <c r="K2609" t="str">
        <f>UPPER(Master_ventas[[#This Row],[Category]])</f>
        <v>ACCESSORIES</v>
      </c>
      <c r="L2609">
        <f>YEAR(Master_ventas[[#This Row],[Order Date]])</f>
        <v>2024</v>
      </c>
      <c r="M2609" t="str">
        <f>CONCATENATE(LEFT(Master_ventas[[#This Row],[ProdUpper]],3),RIGHT(Master_ventas[[#This Row],[Ext-Year]],2),"-",MID(Master_ventas[[#This Row],[Category]],1,1))</f>
        <v>HEA24-A</v>
      </c>
      <c r="N2609" t="str">
        <f>MID(Master_ventas[[#This Row],[ProdUpper]],1,3)</f>
        <v>HEA</v>
      </c>
      <c r="O2609" t="str">
        <f>UPPER(IF(Master_ventas[[#This Row],[Profit]]&gt;500,"High","Std"))</f>
        <v>HIGH</v>
      </c>
      <c r="P2609">
        <v>2608</v>
      </c>
    </row>
    <row r="2610" spans="1:16" x14ac:dyDescent="0.3">
      <c r="A2610" s="1">
        <v>44760</v>
      </c>
      <c r="B2610" t="s">
        <v>19</v>
      </c>
      <c r="C2610" t="s">
        <v>14</v>
      </c>
      <c r="D2610" t="s">
        <v>9</v>
      </c>
      <c r="E2610">
        <v>1</v>
      </c>
      <c r="F2610" s="3">
        <v>663</v>
      </c>
      <c r="G2610" s="2">
        <v>183.82</v>
      </c>
      <c r="H2610">
        <f>Master_ventas[[#This Row],[Profit]]/Master_ventas[[#This Row],[Sales]]</f>
        <v>0.27725490196078428</v>
      </c>
      <c r="I2610">
        <f ca="1">Referencia_Hoy-Master_ventas[[#This Row],[Order Date]]</f>
        <v>1563</v>
      </c>
      <c r="J2610" t="str">
        <f>UPPER(Master_ventas[[#This Row],[Product Name]])</f>
        <v>SMARTWATCH</v>
      </c>
      <c r="K2610" t="str">
        <f>UPPER(Master_ventas[[#This Row],[Category]])</f>
        <v>ELECTRONICS</v>
      </c>
      <c r="L2610">
        <f>YEAR(Master_ventas[[#This Row],[Order Date]])</f>
        <v>2022</v>
      </c>
      <c r="M2610" t="str">
        <f>CONCATENATE(LEFT(Master_ventas[[#This Row],[ProdUpper]],3),RIGHT(Master_ventas[[#This Row],[Ext-Year]],2),"-",MID(Master_ventas[[#This Row],[Category]],1,1))</f>
        <v>SMA22-E</v>
      </c>
      <c r="N2610" t="str">
        <f>MID(Master_ventas[[#This Row],[ProdUpper]],1,3)</f>
        <v>SMA</v>
      </c>
      <c r="O2610" t="str">
        <f>UPPER(IF(Master_ventas[[#This Row],[Profit]]&gt;500,"High","Std"))</f>
        <v>STD</v>
      </c>
      <c r="P2610">
        <v>2609</v>
      </c>
    </row>
    <row r="2611" spans="1:16" x14ac:dyDescent="0.3">
      <c r="A2611" s="1">
        <v>45204</v>
      </c>
      <c r="B2611" t="s">
        <v>23</v>
      </c>
      <c r="C2611" t="s">
        <v>14</v>
      </c>
      <c r="D2611" t="s">
        <v>15</v>
      </c>
      <c r="E2611">
        <v>1</v>
      </c>
      <c r="F2611" s="3">
        <v>575</v>
      </c>
      <c r="G2611" s="2">
        <v>104.31</v>
      </c>
      <c r="H2611">
        <f>Master_ventas[[#This Row],[Profit]]/Master_ventas[[#This Row],[Sales]]</f>
        <v>0.18140869565217391</v>
      </c>
      <c r="I2611">
        <f ca="1">Referencia_Hoy-Master_ventas[[#This Row],[Order Date]]</f>
        <v>1119</v>
      </c>
      <c r="J2611" t="str">
        <f>UPPER(Master_ventas[[#This Row],[Product Name]])</f>
        <v>LAPTOP</v>
      </c>
      <c r="K2611" t="str">
        <f>UPPER(Master_ventas[[#This Row],[Category]])</f>
        <v>ELECTRONICS</v>
      </c>
      <c r="L2611">
        <f>YEAR(Master_ventas[[#This Row],[Order Date]])</f>
        <v>2023</v>
      </c>
      <c r="M2611" t="str">
        <f>CONCATENATE(LEFT(Master_ventas[[#This Row],[ProdUpper]],3),RIGHT(Master_ventas[[#This Row],[Ext-Year]],2),"-",MID(Master_ventas[[#This Row],[Category]],1,1))</f>
        <v>LAP23-E</v>
      </c>
      <c r="N2611" t="str">
        <f>MID(Master_ventas[[#This Row],[ProdUpper]],1,3)</f>
        <v>LAP</v>
      </c>
      <c r="O2611" t="str">
        <f>UPPER(IF(Master_ventas[[#This Row],[Profit]]&gt;500,"High","Std"))</f>
        <v>STD</v>
      </c>
      <c r="P2611">
        <v>2610</v>
      </c>
    </row>
    <row r="2612" spans="1:16" x14ac:dyDescent="0.3">
      <c r="A2612" s="1">
        <v>45173</v>
      </c>
      <c r="B2612" t="s">
        <v>13</v>
      </c>
      <c r="C2612" t="s">
        <v>14</v>
      </c>
      <c r="D2612" t="s">
        <v>15</v>
      </c>
      <c r="E2612">
        <v>1</v>
      </c>
      <c r="F2612" s="3">
        <v>187</v>
      </c>
      <c r="G2612" s="2">
        <v>33.76</v>
      </c>
      <c r="H2612">
        <f>Master_ventas[[#This Row],[Profit]]/Master_ventas[[#This Row],[Sales]]</f>
        <v>0.18053475935828875</v>
      </c>
      <c r="I2612">
        <f ca="1">Referencia_Hoy-Master_ventas[[#This Row],[Order Date]]</f>
        <v>1150</v>
      </c>
      <c r="J2612" t="str">
        <f>UPPER(Master_ventas[[#This Row],[Product Name]])</f>
        <v>TABLET</v>
      </c>
      <c r="K2612" t="str">
        <f>UPPER(Master_ventas[[#This Row],[Category]])</f>
        <v>ELECTRONICS</v>
      </c>
      <c r="L2612">
        <f>YEAR(Master_ventas[[#This Row],[Order Date]])</f>
        <v>2023</v>
      </c>
      <c r="M2612" t="str">
        <f>CONCATENATE(LEFT(Master_ventas[[#This Row],[ProdUpper]],3),RIGHT(Master_ventas[[#This Row],[Ext-Year]],2),"-",MID(Master_ventas[[#This Row],[Category]],1,1))</f>
        <v>TAB23-E</v>
      </c>
      <c r="N2612" t="str">
        <f>MID(Master_ventas[[#This Row],[ProdUpper]],1,3)</f>
        <v>TAB</v>
      </c>
      <c r="O2612" t="str">
        <f>UPPER(IF(Master_ventas[[#This Row],[Profit]]&gt;500,"High","Std"))</f>
        <v>STD</v>
      </c>
      <c r="P2612">
        <v>2611</v>
      </c>
    </row>
    <row r="2613" spans="1:16" x14ac:dyDescent="0.3">
      <c r="A2613" s="1">
        <v>45139</v>
      </c>
      <c r="B2613" t="s">
        <v>13</v>
      </c>
      <c r="C2613" t="s">
        <v>14</v>
      </c>
      <c r="D2613" t="s">
        <v>12</v>
      </c>
      <c r="E2613">
        <v>7</v>
      </c>
      <c r="F2613" s="3">
        <v>6216</v>
      </c>
      <c r="G2613" s="2">
        <v>378.24</v>
      </c>
      <c r="H2613">
        <f>Master_ventas[[#This Row],[Profit]]/Master_ventas[[#This Row],[Sales]]</f>
        <v>6.0849420849420847E-2</v>
      </c>
      <c r="I2613">
        <f ca="1">Referencia_Hoy-Master_ventas[[#This Row],[Order Date]]</f>
        <v>1184</v>
      </c>
      <c r="J2613" t="str">
        <f>UPPER(Master_ventas[[#This Row],[Product Name]])</f>
        <v>TABLET</v>
      </c>
      <c r="K2613" t="str">
        <f>UPPER(Master_ventas[[#This Row],[Category]])</f>
        <v>ELECTRONICS</v>
      </c>
      <c r="L2613">
        <f>YEAR(Master_ventas[[#This Row],[Order Date]])</f>
        <v>2023</v>
      </c>
      <c r="M2613" t="str">
        <f>CONCATENATE(LEFT(Master_ventas[[#This Row],[ProdUpper]],3),RIGHT(Master_ventas[[#This Row],[Ext-Year]],2),"-",MID(Master_ventas[[#This Row],[Category]],1,1))</f>
        <v>TAB23-E</v>
      </c>
      <c r="N2613" t="str">
        <f>MID(Master_ventas[[#This Row],[ProdUpper]],1,3)</f>
        <v>TAB</v>
      </c>
      <c r="O2613" t="str">
        <f>UPPER(IF(Master_ventas[[#This Row],[Profit]]&gt;500,"High","Std"))</f>
        <v>STD</v>
      </c>
      <c r="P2613">
        <v>2612</v>
      </c>
    </row>
    <row r="2614" spans="1:16" x14ac:dyDescent="0.3">
      <c r="A2614" s="1">
        <v>44625</v>
      </c>
      <c r="B2614" t="s">
        <v>17</v>
      </c>
      <c r="C2614" t="s">
        <v>14</v>
      </c>
      <c r="D2614" t="s">
        <v>15</v>
      </c>
      <c r="E2614">
        <v>1</v>
      </c>
      <c r="F2614" s="3">
        <v>189</v>
      </c>
      <c r="G2614" s="2">
        <v>19.02</v>
      </c>
      <c r="H2614">
        <f>Master_ventas[[#This Row],[Profit]]/Master_ventas[[#This Row],[Sales]]</f>
        <v>0.10063492063492063</v>
      </c>
      <c r="I2614">
        <f ca="1">Referencia_Hoy-Master_ventas[[#This Row],[Order Date]]</f>
        <v>1698</v>
      </c>
      <c r="J2614" t="str">
        <f>UPPER(Master_ventas[[#This Row],[Product Name]])</f>
        <v>CAMERA</v>
      </c>
      <c r="K2614" t="str">
        <f>UPPER(Master_ventas[[#This Row],[Category]])</f>
        <v>ELECTRONICS</v>
      </c>
      <c r="L2614">
        <f>YEAR(Master_ventas[[#This Row],[Order Date]])</f>
        <v>2022</v>
      </c>
      <c r="M2614" t="str">
        <f>CONCATENATE(LEFT(Master_ventas[[#This Row],[ProdUpper]],3),RIGHT(Master_ventas[[#This Row],[Ext-Year]],2),"-",MID(Master_ventas[[#This Row],[Category]],1,1))</f>
        <v>CAM22-E</v>
      </c>
      <c r="N2614" t="str">
        <f>MID(Master_ventas[[#This Row],[ProdUpper]],1,3)</f>
        <v>CAM</v>
      </c>
      <c r="O2614" t="str">
        <f>UPPER(IF(Master_ventas[[#This Row],[Profit]]&gt;500,"High","Std"))</f>
        <v>STD</v>
      </c>
      <c r="P2614">
        <v>2613</v>
      </c>
    </row>
    <row r="2615" spans="1:16" x14ac:dyDescent="0.3">
      <c r="A2615" s="1">
        <v>44786</v>
      </c>
      <c r="B2615" t="s">
        <v>13</v>
      </c>
      <c r="C2615" t="s">
        <v>14</v>
      </c>
      <c r="D2615" t="s">
        <v>15</v>
      </c>
      <c r="E2615">
        <v>2</v>
      </c>
      <c r="F2615" s="3">
        <v>358</v>
      </c>
      <c r="G2615" s="2">
        <v>41.46</v>
      </c>
      <c r="H2615">
        <f>Master_ventas[[#This Row],[Profit]]/Master_ventas[[#This Row],[Sales]]</f>
        <v>0.11581005586592179</v>
      </c>
      <c r="I2615">
        <f ca="1">Referencia_Hoy-Master_ventas[[#This Row],[Order Date]]</f>
        <v>1537</v>
      </c>
      <c r="J2615" t="str">
        <f>UPPER(Master_ventas[[#This Row],[Product Name]])</f>
        <v>TABLET</v>
      </c>
      <c r="K2615" t="str">
        <f>UPPER(Master_ventas[[#This Row],[Category]])</f>
        <v>ELECTRONICS</v>
      </c>
      <c r="L2615">
        <f>YEAR(Master_ventas[[#This Row],[Order Date]])</f>
        <v>2022</v>
      </c>
      <c r="M2615" t="str">
        <f>CONCATENATE(LEFT(Master_ventas[[#This Row],[ProdUpper]],3),RIGHT(Master_ventas[[#This Row],[Ext-Year]],2),"-",MID(Master_ventas[[#This Row],[Category]],1,1))</f>
        <v>TAB22-E</v>
      </c>
      <c r="N2615" t="str">
        <f>MID(Master_ventas[[#This Row],[ProdUpper]],1,3)</f>
        <v>TAB</v>
      </c>
      <c r="O2615" t="str">
        <f>UPPER(IF(Master_ventas[[#This Row],[Profit]]&gt;500,"High","Std"))</f>
        <v>STD</v>
      </c>
      <c r="P2615">
        <v>2614</v>
      </c>
    </row>
    <row r="2616" spans="1:16" x14ac:dyDescent="0.3">
      <c r="A2616" s="1">
        <v>44668</v>
      </c>
      <c r="B2616" t="s">
        <v>22</v>
      </c>
      <c r="C2616" t="s">
        <v>11</v>
      </c>
      <c r="D2616" t="s">
        <v>9</v>
      </c>
      <c r="E2616">
        <v>6</v>
      </c>
      <c r="F2616" s="3">
        <v>6192</v>
      </c>
      <c r="G2616" s="2">
        <v>316.23</v>
      </c>
      <c r="H2616">
        <f>Master_ventas[[#This Row],[Profit]]/Master_ventas[[#This Row],[Sales]]</f>
        <v>5.1070736434108532E-2</v>
      </c>
      <c r="I2616">
        <f ca="1">Referencia_Hoy-Master_ventas[[#This Row],[Order Date]]</f>
        <v>1655</v>
      </c>
      <c r="J2616" t="str">
        <f>UPPER(Master_ventas[[#This Row],[Product Name]])</f>
        <v>KEYBOARD</v>
      </c>
      <c r="K2616" t="str">
        <f>UPPER(Master_ventas[[#This Row],[Category]])</f>
        <v>ACCESSORIES</v>
      </c>
      <c r="L2616">
        <f>YEAR(Master_ventas[[#This Row],[Order Date]])</f>
        <v>2022</v>
      </c>
      <c r="M2616" t="str">
        <f>CONCATENATE(LEFT(Master_ventas[[#This Row],[ProdUpper]],3),RIGHT(Master_ventas[[#This Row],[Ext-Year]],2),"-",MID(Master_ventas[[#This Row],[Category]],1,1))</f>
        <v>KEY22-A</v>
      </c>
      <c r="N2616" t="str">
        <f>MID(Master_ventas[[#This Row],[ProdUpper]],1,3)</f>
        <v>KEY</v>
      </c>
      <c r="O2616" t="str">
        <f>UPPER(IF(Master_ventas[[#This Row],[Profit]]&gt;500,"High","Std"))</f>
        <v>STD</v>
      </c>
      <c r="P2616">
        <v>2615</v>
      </c>
    </row>
    <row r="2617" spans="1:16" x14ac:dyDescent="0.3">
      <c r="A2617" s="1">
        <v>45071</v>
      </c>
      <c r="B2617" t="s">
        <v>13</v>
      </c>
      <c r="C2617" t="s">
        <v>14</v>
      </c>
      <c r="D2617" t="s">
        <v>12</v>
      </c>
      <c r="E2617">
        <v>7</v>
      </c>
      <c r="F2617" s="3">
        <v>4382</v>
      </c>
      <c r="G2617" s="2">
        <v>592.46</v>
      </c>
      <c r="H2617">
        <f>Master_ventas[[#This Row],[Profit]]/Master_ventas[[#This Row],[Sales]]</f>
        <v>0.13520310360565951</v>
      </c>
      <c r="I2617">
        <f ca="1">Referencia_Hoy-Master_ventas[[#This Row],[Order Date]]</f>
        <v>1252</v>
      </c>
      <c r="J2617" t="str">
        <f>UPPER(Master_ventas[[#This Row],[Product Name]])</f>
        <v>TABLET</v>
      </c>
      <c r="K2617" t="str">
        <f>UPPER(Master_ventas[[#This Row],[Category]])</f>
        <v>ELECTRONICS</v>
      </c>
      <c r="L2617">
        <f>YEAR(Master_ventas[[#This Row],[Order Date]])</f>
        <v>2023</v>
      </c>
      <c r="M2617" t="str">
        <f>CONCATENATE(LEFT(Master_ventas[[#This Row],[ProdUpper]],3),RIGHT(Master_ventas[[#This Row],[Ext-Year]],2),"-",MID(Master_ventas[[#This Row],[Category]],1,1))</f>
        <v>TAB23-E</v>
      </c>
      <c r="N2617" t="str">
        <f>MID(Master_ventas[[#This Row],[ProdUpper]],1,3)</f>
        <v>TAB</v>
      </c>
      <c r="O2617" t="str">
        <f>UPPER(IF(Master_ventas[[#This Row],[Profit]]&gt;500,"High","Std"))</f>
        <v>HIGH</v>
      </c>
      <c r="P2617">
        <v>2616</v>
      </c>
    </row>
    <row r="2618" spans="1:16" x14ac:dyDescent="0.3">
      <c r="A2618" s="1">
        <v>45585</v>
      </c>
      <c r="B2618" t="s">
        <v>22</v>
      </c>
      <c r="C2618" t="s">
        <v>11</v>
      </c>
      <c r="D2618" t="s">
        <v>12</v>
      </c>
      <c r="E2618">
        <v>2</v>
      </c>
      <c r="F2618" s="3">
        <v>1122</v>
      </c>
      <c r="G2618" s="2">
        <v>100.78</v>
      </c>
      <c r="H2618">
        <f>Master_ventas[[#This Row],[Profit]]/Master_ventas[[#This Row],[Sales]]</f>
        <v>8.9821746880570416E-2</v>
      </c>
      <c r="I2618">
        <f ca="1">Referencia_Hoy-Master_ventas[[#This Row],[Order Date]]</f>
        <v>738</v>
      </c>
      <c r="J2618" t="str">
        <f>UPPER(Master_ventas[[#This Row],[Product Name]])</f>
        <v>KEYBOARD</v>
      </c>
      <c r="K2618" t="str">
        <f>UPPER(Master_ventas[[#This Row],[Category]])</f>
        <v>ACCESSORIES</v>
      </c>
      <c r="L2618">
        <f>YEAR(Master_ventas[[#This Row],[Order Date]])</f>
        <v>2024</v>
      </c>
      <c r="M2618" t="str">
        <f>CONCATENATE(LEFT(Master_ventas[[#This Row],[ProdUpper]],3),RIGHT(Master_ventas[[#This Row],[Ext-Year]],2),"-",MID(Master_ventas[[#This Row],[Category]],1,1))</f>
        <v>KEY24-A</v>
      </c>
      <c r="N2618" t="str">
        <f>MID(Master_ventas[[#This Row],[ProdUpper]],1,3)</f>
        <v>KEY</v>
      </c>
      <c r="O2618" t="str">
        <f>UPPER(IF(Master_ventas[[#This Row],[Profit]]&gt;500,"High","Std"))</f>
        <v>STD</v>
      </c>
      <c r="P2618">
        <v>2617</v>
      </c>
    </row>
    <row r="2619" spans="1:16" x14ac:dyDescent="0.3">
      <c r="A2619" s="1">
        <v>44733</v>
      </c>
      <c r="B2619" t="s">
        <v>23</v>
      </c>
      <c r="C2619" t="s">
        <v>14</v>
      </c>
      <c r="D2619" t="s">
        <v>9</v>
      </c>
      <c r="E2619">
        <v>8</v>
      </c>
      <c r="F2619" s="3">
        <v>8192</v>
      </c>
      <c r="G2619" s="2">
        <v>2081.7199999999998</v>
      </c>
      <c r="H2619">
        <f>Master_ventas[[#This Row],[Profit]]/Master_ventas[[#This Row],[Sales]]</f>
        <v>0.25411621093749998</v>
      </c>
      <c r="I2619">
        <f ca="1">Referencia_Hoy-Master_ventas[[#This Row],[Order Date]]</f>
        <v>1590</v>
      </c>
      <c r="J2619" t="str">
        <f>UPPER(Master_ventas[[#This Row],[Product Name]])</f>
        <v>LAPTOP</v>
      </c>
      <c r="K2619" t="str">
        <f>UPPER(Master_ventas[[#This Row],[Category]])</f>
        <v>ELECTRONICS</v>
      </c>
      <c r="L2619">
        <f>YEAR(Master_ventas[[#This Row],[Order Date]])</f>
        <v>2022</v>
      </c>
      <c r="M2619" t="str">
        <f>CONCATENATE(LEFT(Master_ventas[[#This Row],[ProdUpper]],3),RIGHT(Master_ventas[[#This Row],[Ext-Year]],2),"-",MID(Master_ventas[[#This Row],[Category]],1,1))</f>
        <v>LAP22-E</v>
      </c>
      <c r="N2619" t="str">
        <f>MID(Master_ventas[[#This Row],[ProdUpper]],1,3)</f>
        <v>LAP</v>
      </c>
      <c r="O2619" t="str">
        <f>UPPER(IF(Master_ventas[[#This Row],[Profit]]&gt;500,"High","Std"))</f>
        <v>HIGH</v>
      </c>
      <c r="P2619">
        <v>2618</v>
      </c>
    </row>
    <row r="2620" spans="1:16" x14ac:dyDescent="0.3">
      <c r="A2620" s="1">
        <v>44795</v>
      </c>
      <c r="B2620" t="s">
        <v>23</v>
      </c>
      <c r="C2620" t="s">
        <v>14</v>
      </c>
      <c r="D2620" t="s">
        <v>15</v>
      </c>
      <c r="E2620">
        <v>6</v>
      </c>
      <c r="F2620" s="3">
        <v>2658</v>
      </c>
      <c r="G2620" s="2">
        <v>200.79</v>
      </c>
      <c r="H2620">
        <f>Master_ventas[[#This Row],[Profit]]/Master_ventas[[#This Row],[Sales]]</f>
        <v>7.5541760722347626E-2</v>
      </c>
      <c r="I2620">
        <f ca="1">Referencia_Hoy-Master_ventas[[#This Row],[Order Date]]</f>
        <v>1528</v>
      </c>
      <c r="J2620" t="str">
        <f>UPPER(Master_ventas[[#This Row],[Product Name]])</f>
        <v>LAPTOP</v>
      </c>
      <c r="K2620" t="str">
        <f>UPPER(Master_ventas[[#This Row],[Category]])</f>
        <v>ELECTRONICS</v>
      </c>
      <c r="L2620">
        <f>YEAR(Master_ventas[[#This Row],[Order Date]])</f>
        <v>2022</v>
      </c>
      <c r="M2620" t="str">
        <f>CONCATENATE(LEFT(Master_ventas[[#This Row],[ProdUpper]],3),RIGHT(Master_ventas[[#This Row],[Ext-Year]],2),"-",MID(Master_ventas[[#This Row],[Category]],1,1))</f>
        <v>LAP22-E</v>
      </c>
      <c r="N2620" t="str">
        <f>MID(Master_ventas[[#This Row],[ProdUpper]],1,3)</f>
        <v>LAP</v>
      </c>
      <c r="O2620" t="str">
        <f>UPPER(IF(Master_ventas[[#This Row],[Profit]]&gt;500,"High","Std"))</f>
        <v>STD</v>
      </c>
      <c r="P2620">
        <v>2619</v>
      </c>
    </row>
    <row r="2621" spans="1:16" x14ac:dyDescent="0.3">
      <c r="A2621" s="1">
        <v>45002</v>
      </c>
      <c r="B2621" t="s">
        <v>13</v>
      </c>
      <c r="C2621" t="s">
        <v>14</v>
      </c>
      <c r="D2621" t="s">
        <v>16</v>
      </c>
      <c r="E2621">
        <v>6</v>
      </c>
      <c r="F2621" s="3">
        <v>606</v>
      </c>
      <c r="G2621" s="2">
        <v>127.68</v>
      </c>
      <c r="H2621">
        <f>Master_ventas[[#This Row],[Profit]]/Master_ventas[[#This Row],[Sales]]</f>
        <v>0.21069306930693071</v>
      </c>
      <c r="I2621">
        <f ca="1">Referencia_Hoy-Master_ventas[[#This Row],[Order Date]]</f>
        <v>1321</v>
      </c>
      <c r="J2621" t="str">
        <f>UPPER(Master_ventas[[#This Row],[Product Name]])</f>
        <v>TABLET</v>
      </c>
      <c r="K2621" t="str">
        <f>UPPER(Master_ventas[[#This Row],[Category]])</f>
        <v>ELECTRONICS</v>
      </c>
      <c r="L2621">
        <f>YEAR(Master_ventas[[#This Row],[Order Date]])</f>
        <v>2023</v>
      </c>
      <c r="M2621" t="str">
        <f>CONCATENATE(LEFT(Master_ventas[[#This Row],[ProdUpper]],3),RIGHT(Master_ventas[[#This Row],[Ext-Year]],2),"-",MID(Master_ventas[[#This Row],[Category]],1,1))</f>
        <v>TAB23-E</v>
      </c>
      <c r="N2621" t="str">
        <f>MID(Master_ventas[[#This Row],[ProdUpper]],1,3)</f>
        <v>TAB</v>
      </c>
      <c r="O2621" t="str">
        <f>UPPER(IF(Master_ventas[[#This Row],[Profit]]&gt;500,"High","Std"))</f>
        <v>STD</v>
      </c>
      <c r="P2621">
        <v>2620</v>
      </c>
    </row>
    <row r="2622" spans="1:16" x14ac:dyDescent="0.3">
      <c r="A2622" s="1">
        <v>45598</v>
      </c>
      <c r="B2622" t="s">
        <v>20</v>
      </c>
      <c r="C2622" t="s">
        <v>11</v>
      </c>
      <c r="D2622" t="s">
        <v>15</v>
      </c>
      <c r="E2622">
        <v>8</v>
      </c>
      <c r="F2622" s="3">
        <v>448</v>
      </c>
      <c r="G2622" s="2">
        <v>45.43</v>
      </c>
      <c r="H2622">
        <f>Master_ventas[[#This Row],[Profit]]/Master_ventas[[#This Row],[Sales]]</f>
        <v>0.10140625</v>
      </c>
      <c r="I2622">
        <f ca="1">Referencia_Hoy-Master_ventas[[#This Row],[Order Date]]</f>
        <v>725</v>
      </c>
      <c r="J2622" t="str">
        <f>UPPER(Master_ventas[[#This Row],[Product Name]])</f>
        <v>MONITOR</v>
      </c>
      <c r="K2622" t="str">
        <f>UPPER(Master_ventas[[#This Row],[Category]])</f>
        <v>ACCESSORIES</v>
      </c>
      <c r="L2622">
        <f>YEAR(Master_ventas[[#This Row],[Order Date]])</f>
        <v>2024</v>
      </c>
      <c r="M2622" t="str">
        <f>CONCATENATE(LEFT(Master_ventas[[#This Row],[ProdUpper]],3),RIGHT(Master_ventas[[#This Row],[Ext-Year]],2),"-",MID(Master_ventas[[#This Row],[Category]],1,1))</f>
        <v>MON24-A</v>
      </c>
      <c r="N2622" t="str">
        <f>MID(Master_ventas[[#This Row],[ProdUpper]],1,3)</f>
        <v>MON</v>
      </c>
      <c r="O2622" t="str">
        <f>UPPER(IF(Master_ventas[[#This Row],[Profit]]&gt;500,"High","Std"))</f>
        <v>STD</v>
      </c>
      <c r="P2622">
        <v>2621</v>
      </c>
    </row>
    <row r="2623" spans="1:16" x14ac:dyDescent="0.3">
      <c r="A2623" s="1">
        <v>44943</v>
      </c>
      <c r="B2623" t="s">
        <v>7</v>
      </c>
      <c r="C2623" t="s">
        <v>8</v>
      </c>
      <c r="D2623" t="s">
        <v>9</v>
      </c>
      <c r="E2623">
        <v>3</v>
      </c>
      <c r="F2623" s="3">
        <v>1674</v>
      </c>
      <c r="G2623" s="2">
        <v>435.95</v>
      </c>
      <c r="H2623">
        <f>Master_ventas[[#This Row],[Profit]]/Master_ventas[[#This Row],[Sales]]</f>
        <v>0.26042413381123058</v>
      </c>
      <c r="I2623">
        <f ca="1">Referencia_Hoy-Master_ventas[[#This Row],[Order Date]]</f>
        <v>1380</v>
      </c>
      <c r="J2623" t="str">
        <f>UPPER(Master_ventas[[#This Row],[Product Name]])</f>
        <v>PRINTER</v>
      </c>
      <c r="K2623" t="str">
        <f>UPPER(Master_ventas[[#This Row],[Category]])</f>
        <v>OFFICE</v>
      </c>
      <c r="L2623">
        <f>YEAR(Master_ventas[[#This Row],[Order Date]])</f>
        <v>2023</v>
      </c>
      <c r="M2623" t="str">
        <f>CONCATENATE(LEFT(Master_ventas[[#This Row],[ProdUpper]],3),RIGHT(Master_ventas[[#This Row],[Ext-Year]],2),"-",MID(Master_ventas[[#This Row],[Category]],1,1))</f>
        <v>PRI23-O</v>
      </c>
      <c r="N2623" t="str">
        <f>MID(Master_ventas[[#This Row],[ProdUpper]],1,3)</f>
        <v>PRI</v>
      </c>
      <c r="O2623" t="str">
        <f>UPPER(IF(Master_ventas[[#This Row],[Profit]]&gt;500,"High","Std"))</f>
        <v>STD</v>
      </c>
      <c r="P2623">
        <v>2622</v>
      </c>
    </row>
    <row r="2624" spans="1:16" x14ac:dyDescent="0.3">
      <c r="A2624" s="1">
        <v>44605</v>
      </c>
      <c r="B2624" t="s">
        <v>13</v>
      </c>
      <c r="C2624" t="s">
        <v>14</v>
      </c>
      <c r="D2624" t="s">
        <v>15</v>
      </c>
      <c r="E2624">
        <v>6</v>
      </c>
      <c r="F2624" s="3">
        <v>1944</v>
      </c>
      <c r="G2624" s="2">
        <v>366.18</v>
      </c>
      <c r="H2624">
        <f>Master_ventas[[#This Row],[Profit]]/Master_ventas[[#This Row],[Sales]]</f>
        <v>0.1883641975308642</v>
      </c>
      <c r="I2624">
        <f ca="1">Referencia_Hoy-Master_ventas[[#This Row],[Order Date]]</f>
        <v>1718</v>
      </c>
      <c r="J2624" t="str">
        <f>UPPER(Master_ventas[[#This Row],[Product Name]])</f>
        <v>TABLET</v>
      </c>
      <c r="K2624" t="str">
        <f>UPPER(Master_ventas[[#This Row],[Category]])</f>
        <v>ELECTRONICS</v>
      </c>
      <c r="L2624">
        <f>YEAR(Master_ventas[[#This Row],[Order Date]])</f>
        <v>2022</v>
      </c>
      <c r="M2624" t="str">
        <f>CONCATENATE(LEFT(Master_ventas[[#This Row],[ProdUpper]],3),RIGHT(Master_ventas[[#This Row],[Ext-Year]],2),"-",MID(Master_ventas[[#This Row],[Category]],1,1))</f>
        <v>TAB22-E</v>
      </c>
      <c r="N2624" t="str">
        <f>MID(Master_ventas[[#This Row],[ProdUpper]],1,3)</f>
        <v>TAB</v>
      </c>
      <c r="O2624" t="str">
        <f>UPPER(IF(Master_ventas[[#This Row],[Profit]]&gt;500,"High","Std"))</f>
        <v>STD</v>
      </c>
      <c r="P2624">
        <v>2623</v>
      </c>
    </row>
    <row r="2625" spans="1:16" x14ac:dyDescent="0.3">
      <c r="A2625" s="1">
        <v>44599</v>
      </c>
      <c r="B2625" t="s">
        <v>20</v>
      </c>
      <c r="C2625" t="s">
        <v>11</v>
      </c>
      <c r="D2625" t="s">
        <v>15</v>
      </c>
      <c r="E2625">
        <v>6</v>
      </c>
      <c r="F2625" s="3">
        <v>1716</v>
      </c>
      <c r="G2625" s="2">
        <v>302.08999999999997</v>
      </c>
      <c r="H2625">
        <f>Master_ventas[[#This Row],[Profit]]/Master_ventas[[#This Row],[Sales]]</f>
        <v>0.17604312354312354</v>
      </c>
      <c r="I2625">
        <f ca="1">Referencia_Hoy-Master_ventas[[#This Row],[Order Date]]</f>
        <v>1724</v>
      </c>
      <c r="J2625" t="str">
        <f>UPPER(Master_ventas[[#This Row],[Product Name]])</f>
        <v>MONITOR</v>
      </c>
      <c r="K2625" t="str">
        <f>UPPER(Master_ventas[[#This Row],[Category]])</f>
        <v>ACCESSORIES</v>
      </c>
      <c r="L2625">
        <f>YEAR(Master_ventas[[#This Row],[Order Date]])</f>
        <v>2022</v>
      </c>
      <c r="M2625" t="str">
        <f>CONCATENATE(LEFT(Master_ventas[[#This Row],[ProdUpper]],3),RIGHT(Master_ventas[[#This Row],[Ext-Year]],2),"-",MID(Master_ventas[[#This Row],[Category]],1,1))</f>
        <v>MON22-A</v>
      </c>
      <c r="N2625" t="str">
        <f>MID(Master_ventas[[#This Row],[ProdUpper]],1,3)</f>
        <v>MON</v>
      </c>
      <c r="O2625" t="str">
        <f>UPPER(IF(Master_ventas[[#This Row],[Profit]]&gt;500,"High","Std"))</f>
        <v>STD</v>
      </c>
      <c r="P2625">
        <v>2624</v>
      </c>
    </row>
    <row r="2626" spans="1:16" x14ac:dyDescent="0.3">
      <c r="A2626" s="1">
        <v>44686</v>
      </c>
      <c r="B2626" t="s">
        <v>17</v>
      </c>
      <c r="C2626" t="s">
        <v>14</v>
      </c>
      <c r="D2626" t="s">
        <v>15</v>
      </c>
      <c r="E2626">
        <v>6</v>
      </c>
      <c r="F2626" s="3">
        <v>2982</v>
      </c>
      <c r="G2626" s="2">
        <v>445.01</v>
      </c>
      <c r="H2626">
        <f>Master_ventas[[#This Row],[Profit]]/Master_ventas[[#This Row],[Sales]]</f>
        <v>0.14923205902079142</v>
      </c>
      <c r="I2626">
        <f ca="1">Referencia_Hoy-Master_ventas[[#This Row],[Order Date]]</f>
        <v>1637</v>
      </c>
      <c r="J2626" t="str">
        <f>UPPER(Master_ventas[[#This Row],[Product Name]])</f>
        <v>CAMERA</v>
      </c>
      <c r="K2626" t="str">
        <f>UPPER(Master_ventas[[#This Row],[Category]])</f>
        <v>ELECTRONICS</v>
      </c>
      <c r="L2626">
        <f>YEAR(Master_ventas[[#This Row],[Order Date]])</f>
        <v>2022</v>
      </c>
      <c r="M2626" t="str">
        <f>CONCATENATE(LEFT(Master_ventas[[#This Row],[ProdUpper]],3),RIGHT(Master_ventas[[#This Row],[Ext-Year]],2),"-",MID(Master_ventas[[#This Row],[Category]],1,1))</f>
        <v>CAM22-E</v>
      </c>
      <c r="N2626" t="str">
        <f>MID(Master_ventas[[#This Row],[ProdUpper]],1,3)</f>
        <v>CAM</v>
      </c>
      <c r="O2626" t="str">
        <f>UPPER(IF(Master_ventas[[#This Row],[Profit]]&gt;500,"High","Std"))</f>
        <v>STD</v>
      </c>
      <c r="P2626">
        <v>2625</v>
      </c>
    </row>
    <row r="2627" spans="1:16" x14ac:dyDescent="0.3">
      <c r="A2627" s="1">
        <v>44787</v>
      </c>
      <c r="B2627" t="s">
        <v>23</v>
      </c>
      <c r="C2627" t="s">
        <v>14</v>
      </c>
      <c r="D2627" t="s">
        <v>9</v>
      </c>
      <c r="E2627">
        <v>9</v>
      </c>
      <c r="F2627" s="3">
        <v>7497</v>
      </c>
      <c r="G2627" s="2">
        <v>2241.59</v>
      </c>
      <c r="H2627">
        <f>Master_ventas[[#This Row],[Profit]]/Master_ventas[[#This Row],[Sales]]</f>
        <v>0.2989982659730559</v>
      </c>
      <c r="I2627">
        <f ca="1">Referencia_Hoy-Master_ventas[[#This Row],[Order Date]]</f>
        <v>1536</v>
      </c>
      <c r="J2627" t="str">
        <f>UPPER(Master_ventas[[#This Row],[Product Name]])</f>
        <v>LAPTOP</v>
      </c>
      <c r="K2627" t="str">
        <f>UPPER(Master_ventas[[#This Row],[Category]])</f>
        <v>ELECTRONICS</v>
      </c>
      <c r="L2627">
        <f>YEAR(Master_ventas[[#This Row],[Order Date]])</f>
        <v>2022</v>
      </c>
      <c r="M2627" t="str">
        <f>CONCATENATE(LEFT(Master_ventas[[#This Row],[ProdUpper]],3),RIGHT(Master_ventas[[#This Row],[Ext-Year]],2),"-",MID(Master_ventas[[#This Row],[Category]],1,1))</f>
        <v>LAP22-E</v>
      </c>
      <c r="N2627" t="str">
        <f>MID(Master_ventas[[#This Row],[ProdUpper]],1,3)</f>
        <v>LAP</v>
      </c>
      <c r="O2627" t="str">
        <f>UPPER(IF(Master_ventas[[#This Row],[Profit]]&gt;500,"High","Std"))</f>
        <v>HIGH</v>
      </c>
      <c r="P2627">
        <v>2626</v>
      </c>
    </row>
    <row r="2628" spans="1:16" x14ac:dyDescent="0.3">
      <c r="A2628" s="1">
        <v>45317</v>
      </c>
      <c r="B2628" t="s">
        <v>18</v>
      </c>
      <c r="C2628" t="s">
        <v>11</v>
      </c>
      <c r="D2628" t="s">
        <v>15</v>
      </c>
      <c r="E2628">
        <v>3</v>
      </c>
      <c r="F2628" s="3">
        <v>1026</v>
      </c>
      <c r="G2628" s="2">
        <v>142.71</v>
      </c>
      <c r="H2628">
        <f>Master_ventas[[#This Row],[Profit]]/Master_ventas[[#This Row],[Sales]]</f>
        <v>0.13909356725146199</v>
      </c>
      <c r="I2628">
        <f ca="1">Referencia_Hoy-Master_ventas[[#This Row],[Order Date]]</f>
        <v>1006</v>
      </c>
      <c r="J2628" t="str">
        <f>UPPER(Master_ventas[[#This Row],[Product Name]])</f>
        <v>HEADPHONES</v>
      </c>
      <c r="K2628" t="str">
        <f>UPPER(Master_ventas[[#This Row],[Category]])</f>
        <v>ACCESSORIES</v>
      </c>
      <c r="L2628">
        <f>YEAR(Master_ventas[[#This Row],[Order Date]])</f>
        <v>2024</v>
      </c>
      <c r="M2628" t="str">
        <f>CONCATENATE(LEFT(Master_ventas[[#This Row],[ProdUpper]],3),RIGHT(Master_ventas[[#This Row],[Ext-Year]],2),"-",MID(Master_ventas[[#This Row],[Category]],1,1))</f>
        <v>HEA24-A</v>
      </c>
      <c r="N2628" t="str">
        <f>MID(Master_ventas[[#This Row],[ProdUpper]],1,3)</f>
        <v>HEA</v>
      </c>
      <c r="O2628" t="str">
        <f>UPPER(IF(Master_ventas[[#This Row],[Profit]]&gt;500,"High","Std"))</f>
        <v>STD</v>
      </c>
      <c r="P2628">
        <v>2627</v>
      </c>
    </row>
    <row r="2629" spans="1:16" x14ac:dyDescent="0.3">
      <c r="A2629" s="1">
        <v>45637</v>
      </c>
      <c r="B2629" t="s">
        <v>23</v>
      </c>
      <c r="C2629" t="s">
        <v>14</v>
      </c>
      <c r="D2629" t="s">
        <v>15</v>
      </c>
      <c r="E2629">
        <v>7</v>
      </c>
      <c r="F2629" s="3">
        <v>7392</v>
      </c>
      <c r="G2629" s="2">
        <v>2063.23</v>
      </c>
      <c r="H2629">
        <f>Master_ventas[[#This Row],[Profit]]/Master_ventas[[#This Row],[Sales]]</f>
        <v>0.27911661255411258</v>
      </c>
      <c r="I2629">
        <f ca="1">Referencia_Hoy-Master_ventas[[#This Row],[Order Date]]</f>
        <v>686</v>
      </c>
      <c r="J2629" t="str">
        <f>UPPER(Master_ventas[[#This Row],[Product Name]])</f>
        <v>LAPTOP</v>
      </c>
      <c r="K2629" t="str">
        <f>UPPER(Master_ventas[[#This Row],[Category]])</f>
        <v>ELECTRONICS</v>
      </c>
      <c r="L2629">
        <f>YEAR(Master_ventas[[#This Row],[Order Date]])</f>
        <v>2024</v>
      </c>
      <c r="M2629" t="str">
        <f>CONCATENATE(LEFT(Master_ventas[[#This Row],[ProdUpper]],3),RIGHT(Master_ventas[[#This Row],[Ext-Year]],2),"-",MID(Master_ventas[[#This Row],[Category]],1,1))</f>
        <v>LAP24-E</v>
      </c>
      <c r="N2629" t="str">
        <f>MID(Master_ventas[[#This Row],[ProdUpper]],1,3)</f>
        <v>LAP</v>
      </c>
      <c r="O2629" t="str">
        <f>UPPER(IF(Master_ventas[[#This Row],[Profit]]&gt;500,"High","Std"))</f>
        <v>HIGH</v>
      </c>
      <c r="P2629">
        <v>2628</v>
      </c>
    </row>
    <row r="2630" spans="1:16" x14ac:dyDescent="0.3">
      <c r="A2630" s="1">
        <v>45466</v>
      </c>
      <c r="B2630" t="s">
        <v>7</v>
      </c>
      <c r="C2630" t="s">
        <v>8</v>
      </c>
      <c r="D2630" t="s">
        <v>9</v>
      </c>
      <c r="E2630">
        <v>4</v>
      </c>
      <c r="F2630" s="3">
        <v>2604</v>
      </c>
      <c r="G2630" s="2">
        <v>271.22000000000003</v>
      </c>
      <c r="H2630">
        <f>Master_ventas[[#This Row],[Profit]]/Master_ventas[[#This Row],[Sales]]</f>
        <v>0.10415514592933948</v>
      </c>
      <c r="I2630">
        <f ca="1">Referencia_Hoy-Master_ventas[[#This Row],[Order Date]]</f>
        <v>857</v>
      </c>
      <c r="J2630" t="str">
        <f>UPPER(Master_ventas[[#This Row],[Product Name]])</f>
        <v>PRINTER</v>
      </c>
      <c r="K2630" t="str">
        <f>UPPER(Master_ventas[[#This Row],[Category]])</f>
        <v>OFFICE</v>
      </c>
      <c r="L2630">
        <f>YEAR(Master_ventas[[#This Row],[Order Date]])</f>
        <v>2024</v>
      </c>
      <c r="M2630" t="str">
        <f>CONCATENATE(LEFT(Master_ventas[[#This Row],[ProdUpper]],3),RIGHT(Master_ventas[[#This Row],[Ext-Year]],2),"-",MID(Master_ventas[[#This Row],[Category]],1,1))</f>
        <v>PRI24-O</v>
      </c>
      <c r="N2630" t="str">
        <f>MID(Master_ventas[[#This Row],[ProdUpper]],1,3)</f>
        <v>PRI</v>
      </c>
      <c r="O2630" t="str">
        <f>UPPER(IF(Master_ventas[[#This Row],[Profit]]&gt;500,"High","Std"))</f>
        <v>STD</v>
      </c>
      <c r="P2630">
        <v>2629</v>
      </c>
    </row>
    <row r="2631" spans="1:16" x14ac:dyDescent="0.3">
      <c r="A2631" s="1">
        <v>45253</v>
      </c>
      <c r="B2631" t="s">
        <v>19</v>
      </c>
      <c r="C2631" t="s">
        <v>14</v>
      </c>
      <c r="D2631" t="s">
        <v>9</v>
      </c>
      <c r="E2631">
        <v>6</v>
      </c>
      <c r="F2631" s="3">
        <v>1746</v>
      </c>
      <c r="G2631" s="2">
        <v>289.2</v>
      </c>
      <c r="H2631">
        <f>Master_ventas[[#This Row],[Profit]]/Master_ventas[[#This Row],[Sales]]</f>
        <v>0.16563573883161511</v>
      </c>
      <c r="I2631">
        <f ca="1">Referencia_Hoy-Master_ventas[[#This Row],[Order Date]]</f>
        <v>1070</v>
      </c>
      <c r="J2631" t="str">
        <f>UPPER(Master_ventas[[#This Row],[Product Name]])</f>
        <v>SMARTWATCH</v>
      </c>
      <c r="K2631" t="str">
        <f>UPPER(Master_ventas[[#This Row],[Category]])</f>
        <v>ELECTRONICS</v>
      </c>
      <c r="L2631">
        <f>YEAR(Master_ventas[[#This Row],[Order Date]])</f>
        <v>2023</v>
      </c>
      <c r="M2631" t="str">
        <f>CONCATENATE(LEFT(Master_ventas[[#This Row],[ProdUpper]],3),RIGHT(Master_ventas[[#This Row],[Ext-Year]],2),"-",MID(Master_ventas[[#This Row],[Category]],1,1))</f>
        <v>SMA23-E</v>
      </c>
      <c r="N2631" t="str">
        <f>MID(Master_ventas[[#This Row],[ProdUpper]],1,3)</f>
        <v>SMA</v>
      </c>
      <c r="O2631" t="str">
        <f>UPPER(IF(Master_ventas[[#This Row],[Profit]]&gt;500,"High","Std"))</f>
        <v>STD</v>
      </c>
      <c r="P2631">
        <v>2630</v>
      </c>
    </row>
    <row r="2632" spans="1:16" x14ac:dyDescent="0.3">
      <c r="A2632" s="1">
        <v>45345</v>
      </c>
      <c r="B2632" t="s">
        <v>18</v>
      </c>
      <c r="C2632" t="s">
        <v>11</v>
      </c>
      <c r="D2632" t="s">
        <v>16</v>
      </c>
      <c r="E2632">
        <v>6</v>
      </c>
      <c r="F2632" s="3">
        <v>5682</v>
      </c>
      <c r="G2632" s="2">
        <v>1365.87</v>
      </c>
      <c r="H2632">
        <f>Master_ventas[[#This Row],[Profit]]/Master_ventas[[#This Row],[Sales]]</f>
        <v>0.24038542766631465</v>
      </c>
      <c r="I2632">
        <f ca="1">Referencia_Hoy-Master_ventas[[#This Row],[Order Date]]</f>
        <v>978</v>
      </c>
      <c r="J2632" t="str">
        <f>UPPER(Master_ventas[[#This Row],[Product Name]])</f>
        <v>HEADPHONES</v>
      </c>
      <c r="K2632" t="str">
        <f>UPPER(Master_ventas[[#This Row],[Category]])</f>
        <v>ACCESSORIES</v>
      </c>
      <c r="L2632">
        <f>YEAR(Master_ventas[[#This Row],[Order Date]])</f>
        <v>2024</v>
      </c>
      <c r="M2632" t="str">
        <f>CONCATENATE(LEFT(Master_ventas[[#This Row],[ProdUpper]],3),RIGHT(Master_ventas[[#This Row],[Ext-Year]],2),"-",MID(Master_ventas[[#This Row],[Category]],1,1))</f>
        <v>HEA24-A</v>
      </c>
      <c r="N2632" t="str">
        <f>MID(Master_ventas[[#This Row],[ProdUpper]],1,3)</f>
        <v>HEA</v>
      </c>
      <c r="O2632" t="str">
        <f>UPPER(IF(Master_ventas[[#This Row],[Profit]]&gt;500,"High","Std"))</f>
        <v>HIGH</v>
      </c>
      <c r="P2632">
        <v>2631</v>
      </c>
    </row>
    <row r="2633" spans="1:16" x14ac:dyDescent="0.3">
      <c r="A2633" s="1">
        <v>45467</v>
      </c>
      <c r="B2633" t="s">
        <v>10</v>
      </c>
      <c r="C2633" t="s">
        <v>11</v>
      </c>
      <c r="D2633" t="s">
        <v>9</v>
      </c>
      <c r="E2633">
        <v>8</v>
      </c>
      <c r="F2633" s="3">
        <v>8664</v>
      </c>
      <c r="G2633" s="2">
        <v>2131.16</v>
      </c>
      <c r="H2633">
        <f>Master_ventas[[#This Row],[Profit]]/Master_ventas[[#This Row],[Sales]]</f>
        <v>0.24597876269621421</v>
      </c>
      <c r="I2633">
        <f ca="1">Referencia_Hoy-Master_ventas[[#This Row],[Order Date]]</f>
        <v>856</v>
      </c>
      <c r="J2633" t="str">
        <f>UPPER(Master_ventas[[#This Row],[Product Name]])</f>
        <v>MOUSE</v>
      </c>
      <c r="K2633" t="str">
        <f>UPPER(Master_ventas[[#This Row],[Category]])</f>
        <v>ACCESSORIES</v>
      </c>
      <c r="L2633">
        <f>YEAR(Master_ventas[[#This Row],[Order Date]])</f>
        <v>2024</v>
      </c>
      <c r="M2633" t="str">
        <f>CONCATENATE(LEFT(Master_ventas[[#This Row],[ProdUpper]],3),RIGHT(Master_ventas[[#This Row],[Ext-Year]],2),"-",MID(Master_ventas[[#This Row],[Category]],1,1))</f>
        <v>MOU24-A</v>
      </c>
      <c r="N2633" t="str">
        <f>MID(Master_ventas[[#This Row],[ProdUpper]],1,3)</f>
        <v>MOU</v>
      </c>
      <c r="O2633" t="str">
        <f>UPPER(IF(Master_ventas[[#This Row],[Profit]]&gt;500,"High","Std"))</f>
        <v>HIGH</v>
      </c>
      <c r="P2633">
        <v>2632</v>
      </c>
    </row>
    <row r="2634" spans="1:16" x14ac:dyDescent="0.3">
      <c r="A2634" s="1">
        <v>45115</v>
      </c>
      <c r="B2634" t="s">
        <v>13</v>
      </c>
      <c r="C2634" t="s">
        <v>14</v>
      </c>
      <c r="D2634" t="s">
        <v>16</v>
      </c>
      <c r="E2634">
        <v>3</v>
      </c>
      <c r="F2634" s="3">
        <v>1887</v>
      </c>
      <c r="G2634" s="2">
        <v>363.42</v>
      </c>
      <c r="H2634">
        <f>Master_ventas[[#This Row],[Profit]]/Master_ventas[[#This Row],[Sales]]</f>
        <v>0.19259141494435614</v>
      </c>
      <c r="I2634">
        <f ca="1">Referencia_Hoy-Master_ventas[[#This Row],[Order Date]]</f>
        <v>1208</v>
      </c>
      <c r="J2634" t="str">
        <f>UPPER(Master_ventas[[#This Row],[Product Name]])</f>
        <v>TABLET</v>
      </c>
      <c r="K2634" t="str">
        <f>UPPER(Master_ventas[[#This Row],[Category]])</f>
        <v>ELECTRONICS</v>
      </c>
      <c r="L2634">
        <f>YEAR(Master_ventas[[#This Row],[Order Date]])</f>
        <v>2023</v>
      </c>
      <c r="M2634" t="str">
        <f>CONCATENATE(LEFT(Master_ventas[[#This Row],[ProdUpper]],3),RIGHT(Master_ventas[[#This Row],[Ext-Year]],2),"-",MID(Master_ventas[[#This Row],[Category]],1,1))</f>
        <v>TAB23-E</v>
      </c>
      <c r="N2634" t="str">
        <f>MID(Master_ventas[[#This Row],[ProdUpper]],1,3)</f>
        <v>TAB</v>
      </c>
      <c r="O2634" t="str">
        <f>UPPER(IF(Master_ventas[[#This Row],[Profit]]&gt;500,"High","Std"))</f>
        <v>STD</v>
      </c>
      <c r="P2634">
        <v>2633</v>
      </c>
    </row>
    <row r="2635" spans="1:16" x14ac:dyDescent="0.3">
      <c r="A2635" s="1">
        <v>45594</v>
      </c>
      <c r="B2635" t="s">
        <v>21</v>
      </c>
      <c r="C2635" t="s">
        <v>14</v>
      </c>
      <c r="D2635" t="s">
        <v>12</v>
      </c>
      <c r="E2635">
        <v>7</v>
      </c>
      <c r="F2635" s="3">
        <v>6013</v>
      </c>
      <c r="G2635" s="2">
        <v>1544.51</v>
      </c>
      <c r="H2635">
        <f>Master_ventas[[#This Row],[Profit]]/Master_ventas[[#This Row],[Sales]]</f>
        <v>0.25686179943455845</v>
      </c>
      <c r="I2635">
        <f ca="1">Referencia_Hoy-Master_ventas[[#This Row],[Order Date]]</f>
        <v>729</v>
      </c>
      <c r="J2635" t="str">
        <f>UPPER(Master_ventas[[#This Row],[Product Name]])</f>
        <v>SMARTPHONE</v>
      </c>
      <c r="K2635" t="str">
        <f>UPPER(Master_ventas[[#This Row],[Category]])</f>
        <v>ELECTRONICS</v>
      </c>
      <c r="L2635">
        <f>YEAR(Master_ventas[[#This Row],[Order Date]])</f>
        <v>2024</v>
      </c>
      <c r="M2635" t="str">
        <f>CONCATENATE(LEFT(Master_ventas[[#This Row],[ProdUpper]],3),RIGHT(Master_ventas[[#This Row],[Ext-Year]],2),"-",MID(Master_ventas[[#This Row],[Category]],1,1))</f>
        <v>SMA24-E</v>
      </c>
      <c r="N2635" t="str">
        <f>MID(Master_ventas[[#This Row],[ProdUpper]],1,3)</f>
        <v>SMA</v>
      </c>
      <c r="O2635" t="str">
        <f>UPPER(IF(Master_ventas[[#This Row],[Profit]]&gt;500,"High","Std"))</f>
        <v>HIGH</v>
      </c>
      <c r="P2635">
        <v>2634</v>
      </c>
    </row>
    <row r="2636" spans="1:16" x14ac:dyDescent="0.3">
      <c r="A2636" s="1">
        <v>45296</v>
      </c>
      <c r="B2636" t="s">
        <v>19</v>
      </c>
      <c r="C2636" t="s">
        <v>14</v>
      </c>
      <c r="D2636" t="s">
        <v>9</v>
      </c>
      <c r="E2636">
        <v>2</v>
      </c>
      <c r="F2636" s="3">
        <v>1578</v>
      </c>
      <c r="G2636" s="2">
        <v>463.58</v>
      </c>
      <c r="H2636">
        <f>Master_ventas[[#This Row],[Profit]]/Master_ventas[[#This Row],[Sales]]</f>
        <v>0.29377693282636247</v>
      </c>
      <c r="I2636">
        <f ca="1">Referencia_Hoy-Master_ventas[[#This Row],[Order Date]]</f>
        <v>1027</v>
      </c>
      <c r="J2636" t="str">
        <f>UPPER(Master_ventas[[#This Row],[Product Name]])</f>
        <v>SMARTWATCH</v>
      </c>
      <c r="K2636" t="str">
        <f>UPPER(Master_ventas[[#This Row],[Category]])</f>
        <v>ELECTRONICS</v>
      </c>
      <c r="L2636">
        <f>YEAR(Master_ventas[[#This Row],[Order Date]])</f>
        <v>2024</v>
      </c>
      <c r="M2636" t="str">
        <f>CONCATENATE(LEFT(Master_ventas[[#This Row],[ProdUpper]],3),RIGHT(Master_ventas[[#This Row],[Ext-Year]],2),"-",MID(Master_ventas[[#This Row],[Category]],1,1))</f>
        <v>SMA24-E</v>
      </c>
      <c r="N2636" t="str">
        <f>MID(Master_ventas[[#This Row],[ProdUpper]],1,3)</f>
        <v>SMA</v>
      </c>
      <c r="O2636" t="str">
        <f>UPPER(IF(Master_ventas[[#This Row],[Profit]]&gt;500,"High","Std"))</f>
        <v>STD</v>
      </c>
      <c r="P2636">
        <v>2635</v>
      </c>
    </row>
    <row r="2637" spans="1:16" x14ac:dyDescent="0.3">
      <c r="A2637" s="1">
        <v>44792</v>
      </c>
      <c r="B2637" t="s">
        <v>17</v>
      </c>
      <c r="C2637" t="s">
        <v>14</v>
      </c>
      <c r="D2637" t="s">
        <v>15</v>
      </c>
      <c r="E2637">
        <v>3</v>
      </c>
      <c r="F2637" s="3">
        <v>285</v>
      </c>
      <c r="G2637" s="2">
        <v>38.369999999999997</v>
      </c>
      <c r="H2637">
        <f>Master_ventas[[#This Row],[Profit]]/Master_ventas[[#This Row],[Sales]]</f>
        <v>0.13463157894736841</v>
      </c>
      <c r="I2637">
        <f ca="1">Referencia_Hoy-Master_ventas[[#This Row],[Order Date]]</f>
        <v>1531</v>
      </c>
      <c r="J2637" t="str">
        <f>UPPER(Master_ventas[[#This Row],[Product Name]])</f>
        <v>CAMERA</v>
      </c>
      <c r="K2637" t="str">
        <f>UPPER(Master_ventas[[#This Row],[Category]])</f>
        <v>ELECTRONICS</v>
      </c>
      <c r="L2637">
        <f>YEAR(Master_ventas[[#This Row],[Order Date]])</f>
        <v>2022</v>
      </c>
      <c r="M2637" t="str">
        <f>CONCATENATE(LEFT(Master_ventas[[#This Row],[ProdUpper]],3),RIGHT(Master_ventas[[#This Row],[Ext-Year]],2),"-",MID(Master_ventas[[#This Row],[Category]],1,1))</f>
        <v>CAM22-E</v>
      </c>
      <c r="N2637" t="str">
        <f>MID(Master_ventas[[#This Row],[ProdUpper]],1,3)</f>
        <v>CAM</v>
      </c>
      <c r="O2637" t="str">
        <f>UPPER(IF(Master_ventas[[#This Row],[Profit]]&gt;500,"High","Std"))</f>
        <v>STD</v>
      </c>
      <c r="P2637">
        <v>2636</v>
      </c>
    </row>
    <row r="2638" spans="1:16" x14ac:dyDescent="0.3">
      <c r="A2638" s="1">
        <v>44953</v>
      </c>
      <c r="B2638" t="s">
        <v>23</v>
      </c>
      <c r="C2638" t="s">
        <v>14</v>
      </c>
      <c r="D2638" t="s">
        <v>16</v>
      </c>
      <c r="E2638">
        <v>6</v>
      </c>
      <c r="F2638" s="3">
        <v>5448</v>
      </c>
      <c r="G2638" s="2">
        <v>963.82</v>
      </c>
      <c r="H2638">
        <f>Master_ventas[[#This Row],[Profit]]/Master_ventas[[#This Row],[Sales]]</f>
        <v>0.17691262848751838</v>
      </c>
      <c r="I2638">
        <f ca="1">Referencia_Hoy-Master_ventas[[#This Row],[Order Date]]</f>
        <v>1370</v>
      </c>
      <c r="J2638" t="str">
        <f>UPPER(Master_ventas[[#This Row],[Product Name]])</f>
        <v>LAPTOP</v>
      </c>
      <c r="K2638" t="str">
        <f>UPPER(Master_ventas[[#This Row],[Category]])</f>
        <v>ELECTRONICS</v>
      </c>
      <c r="L2638">
        <f>YEAR(Master_ventas[[#This Row],[Order Date]])</f>
        <v>2023</v>
      </c>
      <c r="M2638" t="str">
        <f>CONCATENATE(LEFT(Master_ventas[[#This Row],[ProdUpper]],3),RIGHT(Master_ventas[[#This Row],[Ext-Year]],2),"-",MID(Master_ventas[[#This Row],[Category]],1,1))</f>
        <v>LAP23-E</v>
      </c>
      <c r="N2638" t="str">
        <f>MID(Master_ventas[[#This Row],[ProdUpper]],1,3)</f>
        <v>LAP</v>
      </c>
      <c r="O2638" t="str">
        <f>UPPER(IF(Master_ventas[[#This Row],[Profit]]&gt;500,"High","Std"))</f>
        <v>HIGH</v>
      </c>
      <c r="P2638">
        <v>2637</v>
      </c>
    </row>
    <row r="2639" spans="1:16" x14ac:dyDescent="0.3">
      <c r="A2639" s="1">
        <v>45513</v>
      </c>
      <c r="B2639" t="s">
        <v>7</v>
      </c>
      <c r="C2639" t="s">
        <v>8</v>
      </c>
      <c r="D2639" t="s">
        <v>12</v>
      </c>
      <c r="E2639">
        <v>2</v>
      </c>
      <c r="F2639" s="3">
        <v>1710</v>
      </c>
      <c r="G2639" s="2">
        <v>468.76</v>
      </c>
      <c r="H2639">
        <f>Master_ventas[[#This Row],[Profit]]/Master_ventas[[#This Row],[Sales]]</f>
        <v>0.27412865497076022</v>
      </c>
      <c r="I2639">
        <f ca="1">Referencia_Hoy-Master_ventas[[#This Row],[Order Date]]</f>
        <v>810</v>
      </c>
      <c r="J2639" t="str">
        <f>UPPER(Master_ventas[[#This Row],[Product Name]])</f>
        <v>PRINTER</v>
      </c>
      <c r="K2639" t="str">
        <f>UPPER(Master_ventas[[#This Row],[Category]])</f>
        <v>OFFICE</v>
      </c>
      <c r="L2639">
        <f>YEAR(Master_ventas[[#This Row],[Order Date]])</f>
        <v>2024</v>
      </c>
      <c r="M2639" t="str">
        <f>CONCATENATE(LEFT(Master_ventas[[#This Row],[ProdUpper]],3),RIGHT(Master_ventas[[#This Row],[Ext-Year]],2),"-",MID(Master_ventas[[#This Row],[Category]],1,1))</f>
        <v>PRI24-O</v>
      </c>
      <c r="N2639" t="str">
        <f>MID(Master_ventas[[#This Row],[ProdUpper]],1,3)</f>
        <v>PRI</v>
      </c>
      <c r="O2639" t="str">
        <f>UPPER(IF(Master_ventas[[#This Row],[Profit]]&gt;500,"High","Std"))</f>
        <v>STD</v>
      </c>
      <c r="P2639">
        <v>2638</v>
      </c>
    </row>
    <row r="2640" spans="1:16" x14ac:dyDescent="0.3">
      <c r="A2640" s="1">
        <v>44868</v>
      </c>
      <c r="B2640" t="s">
        <v>22</v>
      </c>
      <c r="C2640" t="s">
        <v>11</v>
      </c>
      <c r="D2640" t="s">
        <v>16</v>
      </c>
      <c r="E2640">
        <v>9</v>
      </c>
      <c r="F2640" s="3">
        <v>2817</v>
      </c>
      <c r="G2640" s="2">
        <v>432.67</v>
      </c>
      <c r="H2640">
        <f>Master_ventas[[#This Row],[Profit]]/Master_ventas[[#This Row],[Sales]]</f>
        <v>0.15359247426340078</v>
      </c>
      <c r="I2640">
        <f ca="1">Referencia_Hoy-Master_ventas[[#This Row],[Order Date]]</f>
        <v>1455</v>
      </c>
      <c r="J2640" t="str">
        <f>UPPER(Master_ventas[[#This Row],[Product Name]])</f>
        <v>KEYBOARD</v>
      </c>
      <c r="K2640" t="str">
        <f>UPPER(Master_ventas[[#This Row],[Category]])</f>
        <v>ACCESSORIES</v>
      </c>
      <c r="L2640">
        <f>YEAR(Master_ventas[[#This Row],[Order Date]])</f>
        <v>2022</v>
      </c>
      <c r="M2640" t="str">
        <f>CONCATENATE(LEFT(Master_ventas[[#This Row],[ProdUpper]],3),RIGHT(Master_ventas[[#This Row],[Ext-Year]],2),"-",MID(Master_ventas[[#This Row],[Category]],1,1))</f>
        <v>KEY22-A</v>
      </c>
      <c r="N2640" t="str">
        <f>MID(Master_ventas[[#This Row],[ProdUpper]],1,3)</f>
        <v>KEY</v>
      </c>
      <c r="O2640" t="str">
        <f>UPPER(IF(Master_ventas[[#This Row],[Profit]]&gt;500,"High","Std"))</f>
        <v>STD</v>
      </c>
      <c r="P2640">
        <v>2639</v>
      </c>
    </row>
    <row r="2641" spans="1:16" x14ac:dyDescent="0.3">
      <c r="A2641" s="1">
        <v>44660</v>
      </c>
      <c r="B2641" t="s">
        <v>21</v>
      </c>
      <c r="C2641" t="s">
        <v>14</v>
      </c>
      <c r="D2641" t="s">
        <v>12</v>
      </c>
      <c r="E2641">
        <v>9</v>
      </c>
      <c r="F2641" s="3">
        <v>9117</v>
      </c>
      <c r="G2641" s="2">
        <v>1780.52</v>
      </c>
      <c r="H2641">
        <f>Master_ventas[[#This Row],[Profit]]/Master_ventas[[#This Row],[Sales]]</f>
        <v>0.19529669847537567</v>
      </c>
      <c r="I2641">
        <f ca="1">Referencia_Hoy-Master_ventas[[#This Row],[Order Date]]</f>
        <v>1663</v>
      </c>
      <c r="J2641" t="str">
        <f>UPPER(Master_ventas[[#This Row],[Product Name]])</f>
        <v>SMARTPHONE</v>
      </c>
      <c r="K2641" t="str">
        <f>UPPER(Master_ventas[[#This Row],[Category]])</f>
        <v>ELECTRONICS</v>
      </c>
      <c r="L2641">
        <f>YEAR(Master_ventas[[#This Row],[Order Date]])</f>
        <v>2022</v>
      </c>
      <c r="M2641" t="str">
        <f>CONCATENATE(LEFT(Master_ventas[[#This Row],[ProdUpper]],3),RIGHT(Master_ventas[[#This Row],[Ext-Year]],2),"-",MID(Master_ventas[[#This Row],[Category]],1,1))</f>
        <v>SMA22-E</v>
      </c>
      <c r="N2641" t="str">
        <f>MID(Master_ventas[[#This Row],[ProdUpper]],1,3)</f>
        <v>SMA</v>
      </c>
      <c r="O2641" t="str">
        <f>UPPER(IF(Master_ventas[[#This Row],[Profit]]&gt;500,"High","Std"))</f>
        <v>HIGH</v>
      </c>
      <c r="P2641">
        <v>2640</v>
      </c>
    </row>
    <row r="2642" spans="1:16" x14ac:dyDescent="0.3">
      <c r="A2642" s="1">
        <v>45147</v>
      </c>
      <c r="B2642" t="s">
        <v>19</v>
      </c>
      <c r="C2642" t="s">
        <v>14</v>
      </c>
      <c r="D2642" t="s">
        <v>15</v>
      </c>
      <c r="E2642">
        <v>2</v>
      </c>
      <c r="F2642" s="3">
        <v>274</v>
      </c>
      <c r="G2642" s="2">
        <v>42.37</v>
      </c>
      <c r="H2642">
        <f>Master_ventas[[#This Row],[Profit]]/Master_ventas[[#This Row],[Sales]]</f>
        <v>0.15463503649635035</v>
      </c>
      <c r="I2642">
        <f ca="1">Referencia_Hoy-Master_ventas[[#This Row],[Order Date]]</f>
        <v>1176</v>
      </c>
      <c r="J2642" t="str">
        <f>UPPER(Master_ventas[[#This Row],[Product Name]])</f>
        <v>SMARTWATCH</v>
      </c>
      <c r="K2642" t="str">
        <f>UPPER(Master_ventas[[#This Row],[Category]])</f>
        <v>ELECTRONICS</v>
      </c>
      <c r="L2642">
        <f>YEAR(Master_ventas[[#This Row],[Order Date]])</f>
        <v>2023</v>
      </c>
      <c r="M2642" t="str">
        <f>CONCATENATE(LEFT(Master_ventas[[#This Row],[ProdUpper]],3),RIGHT(Master_ventas[[#This Row],[Ext-Year]],2),"-",MID(Master_ventas[[#This Row],[Category]],1,1))</f>
        <v>SMA23-E</v>
      </c>
      <c r="N2642" t="str">
        <f>MID(Master_ventas[[#This Row],[ProdUpper]],1,3)</f>
        <v>SMA</v>
      </c>
      <c r="O2642" t="str">
        <f>UPPER(IF(Master_ventas[[#This Row],[Profit]]&gt;500,"High","Std"))</f>
        <v>STD</v>
      </c>
      <c r="P2642">
        <v>2641</v>
      </c>
    </row>
    <row r="2643" spans="1:16" x14ac:dyDescent="0.3">
      <c r="A2643" s="1">
        <v>45194</v>
      </c>
      <c r="B2643" t="s">
        <v>22</v>
      </c>
      <c r="C2643" t="s">
        <v>11</v>
      </c>
      <c r="D2643" t="s">
        <v>15</v>
      </c>
      <c r="E2643">
        <v>6</v>
      </c>
      <c r="F2643" s="3">
        <v>6408</v>
      </c>
      <c r="G2643" s="2">
        <v>885.71</v>
      </c>
      <c r="H2643">
        <f>Master_ventas[[#This Row],[Profit]]/Master_ventas[[#This Row],[Sales]]</f>
        <v>0.13821941323345818</v>
      </c>
      <c r="I2643">
        <f ca="1">Referencia_Hoy-Master_ventas[[#This Row],[Order Date]]</f>
        <v>1129</v>
      </c>
      <c r="J2643" t="str">
        <f>UPPER(Master_ventas[[#This Row],[Product Name]])</f>
        <v>KEYBOARD</v>
      </c>
      <c r="K2643" t="str">
        <f>UPPER(Master_ventas[[#This Row],[Category]])</f>
        <v>ACCESSORIES</v>
      </c>
      <c r="L2643">
        <f>YEAR(Master_ventas[[#This Row],[Order Date]])</f>
        <v>2023</v>
      </c>
      <c r="M2643" t="str">
        <f>CONCATENATE(LEFT(Master_ventas[[#This Row],[ProdUpper]],3),RIGHT(Master_ventas[[#This Row],[Ext-Year]],2),"-",MID(Master_ventas[[#This Row],[Category]],1,1))</f>
        <v>KEY23-A</v>
      </c>
      <c r="N2643" t="str">
        <f>MID(Master_ventas[[#This Row],[ProdUpper]],1,3)</f>
        <v>KEY</v>
      </c>
      <c r="O2643" t="str">
        <f>UPPER(IF(Master_ventas[[#This Row],[Profit]]&gt;500,"High","Std"))</f>
        <v>HIGH</v>
      </c>
      <c r="P2643">
        <v>2642</v>
      </c>
    </row>
    <row r="2644" spans="1:16" x14ac:dyDescent="0.3">
      <c r="A2644" s="1">
        <v>44697</v>
      </c>
      <c r="B2644" t="s">
        <v>22</v>
      </c>
      <c r="C2644" t="s">
        <v>11</v>
      </c>
      <c r="D2644" t="s">
        <v>16</v>
      </c>
      <c r="E2644">
        <v>5</v>
      </c>
      <c r="F2644" s="3">
        <v>5755</v>
      </c>
      <c r="G2644" s="2">
        <v>1441.84</v>
      </c>
      <c r="H2644">
        <f>Master_ventas[[#This Row],[Profit]]/Master_ventas[[#This Row],[Sales]]</f>
        <v>0.25053692441355341</v>
      </c>
      <c r="I2644">
        <f ca="1">Referencia_Hoy-Master_ventas[[#This Row],[Order Date]]</f>
        <v>1626</v>
      </c>
      <c r="J2644" t="str">
        <f>UPPER(Master_ventas[[#This Row],[Product Name]])</f>
        <v>KEYBOARD</v>
      </c>
      <c r="K2644" t="str">
        <f>UPPER(Master_ventas[[#This Row],[Category]])</f>
        <v>ACCESSORIES</v>
      </c>
      <c r="L2644">
        <f>YEAR(Master_ventas[[#This Row],[Order Date]])</f>
        <v>2022</v>
      </c>
      <c r="M2644" t="str">
        <f>CONCATENATE(LEFT(Master_ventas[[#This Row],[ProdUpper]],3),RIGHT(Master_ventas[[#This Row],[Ext-Year]],2),"-",MID(Master_ventas[[#This Row],[Category]],1,1))</f>
        <v>KEY22-A</v>
      </c>
      <c r="N2644" t="str">
        <f>MID(Master_ventas[[#This Row],[ProdUpper]],1,3)</f>
        <v>KEY</v>
      </c>
      <c r="O2644" t="str">
        <f>UPPER(IF(Master_ventas[[#This Row],[Profit]]&gt;500,"High","Std"))</f>
        <v>HIGH</v>
      </c>
      <c r="P2644">
        <v>2643</v>
      </c>
    </row>
    <row r="2645" spans="1:16" x14ac:dyDescent="0.3">
      <c r="A2645" s="1">
        <v>45636</v>
      </c>
      <c r="B2645" t="s">
        <v>13</v>
      </c>
      <c r="C2645" t="s">
        <v>14</v>
      </c>
      <c r="D2645" t="s">
        <v>16</v>
      </c>
      <c r="E2645">
        <v>3</v>
      </c>
      <c r="F2645" s="3">
        <v>2262</v>
      </c>
      <c r="G2645" s="2">
        <v>245.66</v>
      </c>
      <c r="H2645">
        <f>Master_ventas[[#This Row],[Profit]]/Master_ventas[[#This Row],[Sales]]</f>
        <v>0.10860300618921308</v>
      </c>
      <c r="I2645">
        <f ca="1">Referencia_Hoy-Master_ventas[[#This Row],[Order Date]]</f>
        <v>687</v>
      </c>
      <c r="J2645" t="str">
        <f>UPPER(Master_ventas[[#This Row],[Product Name]])</f>
        <v>TABLET</v>
      </c>
      <c r="K2645" t="str">
        <f>UPPER(Master_ventas[[#This Row],[Category]])</f>
        <v>ELECTRONICS</v>
      </c>
      <c r="L2645">
        <f>YEAR(Master_ventas[[#This Row],[Order Date]])</f>
        <v>2024</v>
      </c>
      <c r="M2645" t="str">
        <f>CONCATENATE(LEFT(Master_ventas[[#This Row],[ProdUpper]],3),RIGHT(Master_ventas[[#This Row],[Ext-Year]],2),"-",MID(Master_ventas[[#This Row],[Category]],1,1))</f>
        <v>TAB24-E</v>
      </c>
      <c r="N2645" t="str">
        <f>MID(Master_ventas[[#This Row],[ProdUpper]],1,3)</f>
        <v>TAB</v>
      </c>
      <c r="O2645" t="str">
        <f>UPPER(IF(Master_ventas[[#This Row],[Profit]]&gt;500,"High","Std"))</f>
        <v>STD</v>
      </c>
      <c r="P2645">
        <v>2644</v>
      </c>
    </row>
    <row r="2646" spans="1:16" x14ac:dyDescent="0.3">
      <c r="A2646" s="1">
        <v>45442</v>
      </c>
      <c r="B2646" t="s">
        <v>18</v>
      </c>
      <c r="C2646" t="s">
        <v>11</v>
      </c>
      <c r="D2646" t="s">
        <v>12</v>
      </c>
      <c r="E2646">
        <v>7</v>
      </c>
      <c r="F2646" s="3">
        <v>1785</v>
      </c>
      <c r="G2646" s="2">
        <v>233.77</v>
      </c>
      <c r="H2646">
        <f>Master_ventas[[#This Row],[Profit]]/Master_ventas[[#This Row],[Sales]]</f>
        <v>0.13096358543417366</v>
      </c>
      <c r="I2646">
        <f ca="1">Referencia_Hoy-Master_ventas[[#This Row],[Order Date]]</f>
        <v>881</v>
      </c>
      <c r="J2646" t="str">
        <f>UPPER(Master_ventas[[#This Row],[Product Name]])</f>
        <v>HEADPHONES</v>
      </c>
      <c r="K2646" t="str">
        <f>UPPER(Master_ventas[[#This Row],[Category]])</f>
        <v>ACCESSORIES</v>
      </c>
      <c r="L2646">
        <f>YEAR(Master_ventas[[#This Row],[Order Date]])</f>
        <v>2024</v>
      </c>
      <c r="M2646" t="str">
        <f>CONCATENATE(LEFT(Master_ventas[[#This Row],[ProdUpper]],3),RIGHT(Master_ventas[[#This Row],[Ext-Year]],2),"-",MID(Master_ventas[[#This Row],[Category]],1,1))</f>
        <v>HEA24-A</v>
      </c>
      <c r="N2646" t="str">
        <f>MID(Master_ventas[[#This Row],[ProdUpper]],1,3)</f>
        <v>HEA</v>
      </c>
      <c r="O2646" t="str">
        <f>UPPER(IF(Master_ventas[[#This Row],[Profit]]&gt;500,"High","Std"))</f>
        <v>STD</v>
      </c>
      <c r="P2646">
        <v>2645</v>
      </c>
    </row>
    <row r="2647" spans="1:16" x14ac:dyDescent="0.3">
      <c r="A2647" s="1">
        <v>45083</v>
      </c>
      <c r="B2647" t="s">
        <v>7</v>
      </c>
      <c r="C2647" t="s">
        <v>8</v>
      </c>
      <c r="D2647" t="s">
        <v>9</v>
      </c>
      <c r="E2647">
        <v>8</v>
      </c>
      <c r="F2647" s="3">
        <v>5128</v>
      </c>
      <c r="G2647" s="2">
        <v>657.87</v>
      </c>
      <c r="H2647">
        <f>Master_ventas[[#This Row],[Profit]]/Master_ventas[[#This Row],[Sales]]</f>
        <v>0.12828978159126364</v>
      </c>
      <c r="I2647">
        <f ca="1">Referencia_Hoy-Master_ventas[[#This Row],[Order Date]]</f>
        <v>1240</v>
      </c>
      <c r="J2647" t="str">
        <f>UPPER(Master_ventas[[#This Row],[Product Name]])</f>
        <v>PRINTER</v>
      </c>
      <c r="K2647" t="str">
        <f>UPPER(Master_ventas[[#This Row],[Category]])</f>
        <v>OFFICE</v>
      </c>
      <c r="L2647">
        <f>YEAR(Master_ventas[[#This Row],[Order Date]])</f>
        <v>2023</v>
      </c>
      <c r="M2647" t="str">
        <f>CONCATENATE(LEFT(Master_ventas[[#This Row],[ProdUpper]],3),RIGHT(Master_ventas[[#This Row],[Ext-Year]],2),"-",MID(Master_ventas[[#This Row],[Category]],1,1))</f>
        <v>PRI23-O</v>
      </c>
      <c r="N2647" t="str">
        <f>MID(Master_ventas[[#This Row],[ProdUpper]],1,3)</f>
        <v>PRI</v>
      </c>
      <c r="O2647" t="str">
        <f>UPPER(IF(Master_ventas[[#This Row],[Profit]]&gt;500,"High","Std"))</f>
        <v>HIGH</v>
      </c>
      <c r="P2647">
        <v>2646</v>
      </c>
    </row>
    <row r="2648" spans="1:16" x14ac:dyDescent="0.3">
      <c r="A2648" s="1">
        <v>45295</v>
      </c>
      <c r="B2648" t="s">
        <v>17</v>
      </c>
      <c r="C2648" t="s">
        <v>14</v>
      </c>
      <c r="D2648" t="s">
        <v>15</v>
      </c>
      <c r="E2648">
        <v>8</v>
      </c>
      <c r="F2648" s="3">
        <v>5176</v>
      </c>
      <c r="G2648" s="2">
        <v>1400.82</v>
      </c>
      <c r="H2648">
        <f>Master_ventas[[#This Row],[Profit]]/Master_ventas[[#This Row],[Sales]]</f>
        <v>0.27063755795981453</v>
      </c>
      <c r="I2648">
        <f ca="1">Referencia_Hoy-Master_ventas[[#This Row],[Order Date]]</f>
        <v>1028</v>
      </c>
      <c r="J2648" t="str">
        <f>UPPER(Master_ventas[[#This Row],[Product Name]])</f>
        <v>CAMERA</v>
      </c>
      <c r="K2648" t="str">
        <f>UPPER(Master_ventas[[#This Row],[Category]])</f>
        <v>ELECTRONICS</v>
      </c>
      <c r="L2648">
        <f>YEAR(Master_ventas[[#This Row],[Order Date]])</f>
        <v>2024</v>
      </c>
      <c r="M2648" t="str">
        <f>CONCATENATE(LEFT(Master_ventas[[#This Row],[ProdUpper]],3),RIGHT(Master_ventas[[#This Row],[Ext-Year]],2),"-",MID(Master_ventas[[#This Row],[Category]],1,1))</f>
        <v>CAM24-E</v>
      </c>
      <c r="N2648" t="str">
        <f>MID(Master_ventas[[#This Row],[ProdUpper]],1,3)</f>
        <v>CAM</v>
      </c>
      <c r="O2648" t="str">
        <f>UPPER(IF(Master_ventas[[#This Row],[Profit]]&gt;500,"High","Std"))</f>
        <v>HIGH</v>
      </c>
      <c r="P2648">
        <v>2647</v>
      </c>
    </row>
    <row r="2649" spans="1:16" x14ac:dyDescent="0.3">
      <c r="A2649" s="1">
        <v>45185</v>
      </c>
      <c r="B2649" t="s">
        <v>22</v>
      </c>
      <c r="C2649" t="s">
        <v>11</v>
      </c>
      <c r="D2649" t="s">
        <v>9</v>
      </c>
      <c r="E2649">
        <v>5</v>
      </c>
      <c r="F2649" s="3">
        <v>1510</v>
      </c>
      <c r="G2649" s="2">
        <v>331.76</v>
      </c>
      <c r="H2649">
        <f>Master_ventas[[#This Row],[Profit]]/Master_ventas[[#This Row],[Sales]]</f>
        <v>0.21970860927152316</v>
      </c>
      <c r="I2649">
        <f ca="1">Referencia_Hoy-Master_ventas[[#This Row],[Order Date]]</f>
        <v>1138</v>
      </c>
      <c r="J2649" t="str">
        <f>UPPER(Master_ventas[[#This Row],[Product Name]])</f>
        <v>KEYBOARD</v>
      </c>
      <c r="K2649" t="str">
        <f>UPPER(Master_ventas[[#This Row],[Category]])</f>
        <v>ACCESSORIES</v>
      </c>
      <c r="L2649">
        <f>YEAR(Master_ventas[[#This Row],[Order Date]])</f>
        <v>2023</v>
      </c>
      <c r="M2649" t="str">
        <f>CONCATENATE(LEFT(Master_ventas[[#This Row],[ProdUpper]],3),RIGHT(Master_ventas[[#This Row],[Ext-Year]],2),"-",MID(Master_ventas[[#This Row],[Category]],1,1))</f>
        <v>KEY23-A</v>
      </c>
      <c r="N2649" t="str">
        <f>MID(Master_ventas[[#This Row],[ProdUpper]],1,3)</f>
        <v>KEY</v>
      </c>
      <c r="O2649" t="str">
        <f>UPPER(IF(Master_ventas[[#This Row],[Profit]]&gt;500,"High","Std"))</f>
        <v>STD</v>
      </c>
      <c r="P2649">
        <v>2648</v>
      </c>
    </row>
    <row r="2650" spans="1:16" x14ac:dyDescent="0.3">
      <c r="A2650" s="1">
        <v>45002</v>
      </c>
      <c r="B2650" t="s">
        <v>22</v>
      </c>
      <c r="C2650" t="s">
        <v>11</v>
      </c>
      <c r="D2650" t="s">
        <v>9</v>
      </c>
      <c r="E2650">
        <v>1</v>
      </c>
      <c r="F2650" s="3">
        <v>947</v>
      </c>
      <c r="G2650" s="2">
        <v>77.209999999999994</v>
      </c>
      <c r="H2650">
        <f>Master_ventas[[#This Row],[Profit]]/Master_ventas[[#This Row],[Sales]]</f>
        <v>8.1531151003167893E-2</v>
      </c>
      <c r="I2650">
        <f ca="1">Referencia_Hoy-Master_ventas[[#This Row],[Order Date]]</f>
        <v>1321</v>
      </c>
      <c r="J2650" t="str">
        <f>UPPER(Master_ventas[[#This Row],[Product Name]])</f>
        <v>KEYBOARD</v>
      </c>
      <c r="K2650" t="str">
        <f>UPPER(Master_ventas[[#This Row],[Category]])</f>
        <v>ACCESSORIES</v>
      </c>
      <c r="L2650">
        <f>YEAR(Master_ventas[[#This Row],[Order Date]])</f>
        <v>2023</v>
      </c>
      <c r="M2650" t="str">
        <f>CONCATENATE(LEFT(Master_ventas[[#This Row],[ProdUpper]],3),RIGHT(Master_ventas[[#This Row],[Ext-Year]],2),"-",MID(Master_ventas[[#This Row],[Category]],1,1))</f>
        <v>KEY23-A</v>
      </c>
      <c r="N2650" t="str">
        <f>MID(Master_ventas[[#This Row],[ProdUpper]],1,3)</f>
        <v>KEY</v>
      </c>
      <c r="O2650" t="str">
        <f>UPPER(IF(Master_ventas[[#This Row],[Profit]]&gt;500,"High","Std"))</f>
        <v>STD</v>
      </c>
      <c r="P2650">
        <v>2649</v>
      </c>
    </row>
    <row r="2651" spans="1:16" x14ac:dyDescent="0.3">
      <c r="A2651" s="1">
        <v>45291</v>
      </c>
      <c r="B2651" t="s">
        <v>21</v>
      </c>
      <c r="C2651" t="s">
        <v>14</v>
      </c>
      <c r="D2651" t="s">
        <v>9</v>
      </c>
      <c r="E2651">
        <v>9</v>
      </c>
      <c r="F2651" s="3">
        <v>5427</v>
      </c>
      <c r="G2651" s="2">
        <v>731.33</v>
      </c>
      <c r="H2651">
        <f>Master_ventas[[#This Row],[Profit]]/Master_ventas[[#This Row],[Sales]]</f>
        <v>0.1347576930163995</v>
      </c>
      <c r="I2651">
        <f ca="1">Referencia_Hoy-Master_ventas[[#This Row],[Order Date]]</f>
        <v>1032</v>
      </c>
      <c r="J2651" t="str">
        <f>UPPER(Master_ventas[[#This Row],[Product Name]])</f>
        <v>SMARTPHONE</v>
      </c>
      <c r="K2651" t="str">
        <f>UPPER(Master_ventas[[#This Row],[Category]])</f>
        <v>ELECTRONICS</v>
      </c>
      <c r="L2651">
        <f>YEAR(Master_ventas[[#This Row],[Order Date]])</f>
        <v>2023</v>
      </c>
      <c r="M2651" t="str">
        <f>CONCATENATE(LEFT(Master_ventas[[#This Row],[ProdUpper]],3),RIGHT(Master_ventas[[#This Row],[Ext-Year]],2),"-",MID(Master_ventas[[#This Row],[Category]],1,1))</f>
        <v>SMA23-E</v>
      </c>
      <c r="N2651" t="str">
        <f>MID(Master_ventas[[#This Row],[ProdUpper]],1,3)</f>
        <v>SMA</v>
      </c>
      <c r="O2651" t="str">
        <f>UPPER(IF(Master_ventas[[#This Row],[Profit]]&gt;500,"High","Std"))</f>
        <v>HIGH</v>
      </c>
      <c r="P2651">
        <v>2650</v>
      </c>
    </row>
    <row r="2652" spans="1:16" x14ac:dyDescent="0.3">
      <c r="A2652" s="1">
        <v>44660</v>
      </c>
      <c r="B2652" t="s">
        <v>19</v>
      </c>
      <c r="C2652" t="s">
        <v>14</v>
      </c>
      <c r="D2652" t="s">
        <v>15</v>
      </c>
      <c r="E2652">
        <v>4</v>
      </c>
      <c r="F2652" s="3">
        <v>4560</v>
      </c>
      <c r="G2652" s="2">
        <v>507.87</v>
      </c>
      <c r="H2652">
        <f>Master_ventas[[#This Row],[Profit]]/Master_ventas[[#This Row],[Sales]]</f>
        <v>0.111375</v>
      </c>
      <c r="I2652">
        <f ca="1">Referencia_Hoy-Master_ventas[[#This Row],[Order Date]]</f>
        <v>1663</v>
      </c>
      <c r="J2652" t="str">
        <f>UPPER(Master_ventas[[#This Row],[Product Name]])</f>
        <v>SMARTWATCH</v>
      </c>
      <c r="K2652" t="str">
        <f>UPPER(Master_ventas[[#This Row],[Category]])</f>
        <v>ELECTRONICS</v>
      </c>
      <c r="L2652">
        <f>YEAR(Master_ventas[[#This Row],[Order Date]])</f>
        <v>2022</v>
      </c>
      <c r="M2652" t="str">
        <f>CONCATENATE(LEFT(Master_ventas[[#This Row],[ProdUpper]],3),RIGHT(Master_ventas[[#This Row],[Ext-Year]],2),"-",MID(Master_ventas[[#This Row],[Category]],1,1))</f>
        <v>SMA22-E</v>
      </c>
      <c r="N2652" t="str">
        <f>MID(Master_ventas[[#This Row],[ProdUpper]],1,3)</f>
        <v>SMA</v>
      </c>
      <c r="O2652" t="str">
        <f>UPPER(IF(Master_ventas[[#This Row],[Profit]]&gt;500,"High","Std"))</f>
        <v>HIGH</v>
      </c>
      <c r="P2652">
        <v>2651</v>
      </c>
    </row>
    <row r="2653" spans="1:16" x14ac:dyDescent="0.3">
      <c r="A2653" s="1">
        <v>45049</v>
      </c>
      <c r="B2653" t="s">
        <v>13</v>
      </c>
      <c r="C2653" t="s">
        <v>14</v>
      </c>
      <c r="D2653" t="s">
        <v>15</v>
      </c>
      <c r="E2653">
        <v>6</v>
      </c>
      <c r="F2653" s="3">
        <v>2100</v>
      </c>
      <c r="G2653" s="2">
        <v>268.39999999999998</v>
      </c>
      <c r="H2653">
        <f>Master_ventas[[#This Row],[Profit]]/Master_ventas[[#This Row],[Sales]]</f>
        <v>0.12780952380952379</v>
      </c>
      <c r="I2653">
        <f ca="1">Referencia_Hoy-Master_ventas[[#This Row],[Order Date]]</f>
        <v>1274</v>
      </c>
      <c r="J2653" t="str">
        <f>UPPER(Master_ventas[[#This Row],[Product Name]])</f>
        <v>TABLET</v>
      </c>
      <c r="K2653" t="str">
        <f>UPPER(Master_ventas[[#This Row],[Category]])</f>
        <v>ELECTRONICS</v>
      </c>
      <c r="L2653">
        <f>YEAR(Master_ventas[[#This Row],[Order Date]])</f>
        <v>2023</v>
      </c>
      <c r="M2653" t="str">
        <f>CONCATENATE(LEFT(Master_ventas[[#This Row],[ProdUpper]],3),RIGHT(Master_ventas[[#This Row],[Ext-Year]],2),"-",MID(Master_ventas[[#This Row],[Category]],1,1))</f>
        <v>TAB23-E</v>
      </c>
      <c r="N2653" t="str">
        <f>MID(Master_ventas[[#This Row],[ProdUpper]],1,3)</f>
        <v>TAB</v>
      </c>
      <c r="O2653" t="str">
        <f>UPPER(IF(Master_ventas[[#This Row],[Profit]]&gt;500,"High","Std"))</f>
        <v>STD</v>
      </c>
      <c r="P2653">
        <v>2652</v>
      </c>
    </row>
    <row r="2654" spans="1:16" x14ac:dyDescent="0.3">
      <c r="A2654" s="1">
        <v>45422</v>
      </c>
      <c r="B2654" t="s">
        <v>23</v>
      </c>
      <c r="C2654" t="s">
        <v>14</v>
      </c>
      <c r="D2654" t="s">
        <v>9</v>
      </c>
      <c r="E2654">
        <v>1</v>
      </c>
      <c r="F2654" s="3">
        <v>1054</v>
      </c>
      <c r="G2654" s="2">
        <v>288.14999999999998</v>
      </c>
      <c r="H2654">
        <f>Master_ventas[[#This Row],[Profit]]/Master_ventas[[#This Row],[Sales]]</f>
        <v>0.27338709677419354</v>
      </c>
      <c r="I2654">
        <f ca="1">Referencia_Hoy-Master_ventas[[#This Row],[Order Date]]</f>
        <v>901</v>
      </c>
      <c r="J2654" t="str">
        <f>UPPER(Master_ventas[[#This Row],[Product Name]])</f>
        <v>LAPTOP</v>
      </c>
      <c r="K2654" t="str">
        <f>UPPER(Master_ventas[[#This Row],[Category]])</f>
        <v>ELECTRONICS</v>
      </c>
      <c r="L2654">
        <f>YEAR(Master_ventas[[#This Row],[Order Date]])</f>
        <v>2024</v>
      </c>
      <c r="M2654" t="str">
        <f>CONCATENATE(LEFT(Master_ventas[[#This Row],[ProdUpper]],3),RIGHT(Master_ventas[[#This Row],[Ext-Year]],2),"-",MID(Master_ventas[[#This Row],[Category]],1,1))</f>
        <v>LAP24-E</v>
      </c>
      <c r="N2654" t="str">
        <f>MID(Master_ventas[[#This Row],[ProdUpper]],1,3)</f>
        <v>LAP</v>
      </c>
      <c r="O2654" t="str">
        <f>UPPER(IF(Master_ventas[[#This Row],[Profit]]&gt;500,"High","Std"))</f>
        <v>STD</v>
      </c>
      <c r="P2654">
        <v>2653</v>
      </c>
    </row>
    <row r="2655" spans="1:16" x14ac:dyDescent="0.3">
      <c r="A2655" s="1">
        <v>44791</v>
      </c>
      <c r="B2655" t="s">
        <v>19</v>
      </c>
      <c r="C2655" t="s">
        <v>14</v>
      </c>
      <c r="D2655" t="s">
        <v>16</v>
      </c>
      <c r="E2655">
        <v>6</v>
      </c>
      <c r="F2655" s="3">
        <v>7026</v>
      </c>
      <c r="G2655" s="2">
        <v>1814.21</v>
      </c>
      <c r="H2655">
        <f>Master_ventas[[#This Row],[Profit]]/Master_ventas[[#This Row],[Sales]]</f>
        <v>0.25821377739823514</v>
      </c>
      <c r="I2655">
        <f ca="1">Referencia_Hoy-Master_ventas[[#This Row],[Order Date]]</f>
        <v>1532</v>
      </c>
      <c r="J2655" t="str">
        <f>UPPER(Master_ventas[[#This Row],[Product Name]])</f>
        <v>SMARTWATCH</v>
      </c>
      <c r="K2655" t="str">
        <f>UPPER(Master_ventas[[#This Row],[Category]])</f>
        <v>ELECTRONICS</v>
      </c>
      <c r="L2655">
        <f>YEAR(Master_ventas[[#This Row],[Order Date]])</f>
        <v>2022</v>
      </c>
      <c r="M2655" t="str">
        <f>CONCATENATE(LEFT(Master_ventas[[#This Row],[ProdUpper]],3),RIGHT(Master_ventas[[#This Row],[Ext-Year]],2),"-",MID(Master_ventas[[#This Row],[Category]],1,1))</f>
        <v>SMA22-E</v>
      </c>
      <c r="N2655" t="str">
        <f>MID(Master_ventas[[#This Row],[ProdUpper]],1,3)</f>
        <v>SMA</v>
      </c>
      <c r="O2655" t="str">
        <f>UPPER(IF(Master_ventas[[#This Row],[Profit]]&gt;500,"High","Std"))</f>
        <v>HIGH</v>
      </c>
      <c r="P2655">
        <v>2654</v>
      </c>
    </row>
    <row r="2656" spans="1:16" x14ac:dyDescent="0.3">
      <c r="A2656" s="1">
        <v>44756</v>
      </c>
      <c r="B2656" t="s">
        <v>17</v>
      </c>
      <c r="C2656" t="s">
        <v>14</v>
      </c>
      <c r="D2656" t="s">
        <v>9</v>
      </c>
      <c r="E2656">
        <v>9</v>
      </c>
      <c r="F2656" s="3">
        <v>513</v>
      </c>
      <c r="G2656" s="2">
        <v>151.87</v>
      </c>
      <c r="H2656">
        <f>Master_ventas[[#This Row],[Profit]]/Master_ventas[[#This Row],[Sales]]</f>
        <v>0.29604288499025344</v>
      </c>
      <c r="I2656">
        <f ca="1">Referencia_Hoy-Master_ventas[[#This Row],[Order Date]]</f>
        <v>1567</v>
      </c>
      <c r="J2656" t="str">
        <f>UPPER(Master_ventas[[#This Row],[Product Name]])</f>
        <v>CAMERA</v>
      </c>
      <c r="K2656" t="str">
        <f>UPPER(Master_ventas[[#This Row],[Category]])</f>
        <v>ELECTRONICS</v>
      </c>
      <c r="L2656">
        <f>YEAR(Master_ventas[[#This Row],[Order Date]])</f>
        <v>2022</v>
      </c>
      <c r="M2656" t="str">
        <f>CONCATENATE(LEFT(Master_ventas[[#This Row],[ProdUpper]],3),RIGHT(Master_ventas[[#This Row],[Ext-Year]],2),"-",MID(Master_ventas[[#This Row],[Category]],1,1))</f>
        <v>CAM22-E</v>
      </c>
      <c r="N2656" t="str">
        <f>MID(Master_ventas[[#This Row],[ProdUpper]],1,3)</f>
        <v>CAM</v>
      </c>
      <c r="O2656" t="str">
        <f>UPPER(IF(Master_ventas[[#This Row],[Profit]]&gt;500,"High","Std"))</f>
        <v>STD</v>
      </c>
      <c r="P2656">
        <v>2655</v>
      </c>
    </row>
    <row r="2657" spans="1:16" x14ac:dyDescent="0.3">
      <c r="A2657" s="1">
        <v>45411</v>
      </c>
      <c r="B2657" t="s">
        <v>18</v>
      </c>
      <c r="C2657" t="s">
        <v>11</v>
      </c>
      <c r="D2657" t="s">
        <v>15</v>
      </c>
      <c r="E2657">
        <v>2</v>
      </c>
      <c r="F2657" s="3">
        <v>2244</v>
      </c>
      <c r="G2657" s="2">
        <v>353.83</v>
      </c>
      <c r="H2657">
        <f>Master_ventas[[#This Row],[Profit]]/Master_ventas[[#This Row],[Sales]]</f>
        <v>0.1576782531194296</v>
      </c>
      <c r="I2657">
        <f ca="1">Referencia_Hoy-Master_ventas[[#This Row],[Order Date]]</f>
        <v>912</v>
      </c>
      <c r="J2657" t="str">
        <f>UPPER(Master_ventas[[#This Row],[Product Name]])</f>
        <v>HEADPHONES</v>
      </c>
      <c r="K2657" t="str">
        <f>UPPER(Master_ventas[[#This Row],[Category]])</f>
        <v>ACCESSORIES</v>
      </c>
      <c r="L2657">
        <f>YEAR(Master_ventas[[#This Row],[Order Date]])</f>
        <v>2024</v>
      </c>
      <c r="M2657" t="str">
        <f>CONCATENATE(LEFT(Master_ventas[[#This Row],[ProdUpper]],3),RIGHT(Master_ventas[[#This Row],[Ext-Year]],2),"-",MID(Master_ventas[[#This Row],[Category]],1,1))</f>
        <v>HEA24-A</v>
      </c>
      <c r="N2657" t="str">
        <f>MID(Master_ventas[[#This Row],[ProdUpper]],1,3)</f>
        <v>HEA</v>
      </c>
      <c r="O2657" t="str">
        <f>UPPER(IF(Master_ventas[[#This Row],[Profit]]&gt;500,"High","Std"))</f>
        <v>STD</v>
      </c>
      <c r="P2657">
        <v>2656</v>
      </c>
    </row>
    <row r="2658" spans="1:16" x14ac:dyDescent="0.3">
      <c r="A2658" s="1">
        <v>45344</v>
      </c>
      <c r="B2658" t="s">
        <v>21</v>
      </c>
      <c r="C2658" t="s">
        <v>14</v>
      </c>
      <c r="D2658" t="s">
        <v>9</v>
      </c>
      <c r="E2658">
        <v>5</v>
      </c>
      <c r="F2658" s="3">
        <v>1785</v>
      </c>
      <c r="G2658" s="2">
        <v>134.94999999999999</v>
      </c>
      <c r="H2658">
        <f>Master_ventas[[#This Row],[Profit]]/Master_ventas[[#This Row],[Sales]]</f>
        <v>7.560224089635853E-2</v>
      </c>
      <c r="I2658">
        <f ca="1">Referencia_Hoy-Master_ventas[[#This Row],[Order Date]]</f>
        <v>979</v>
      </c>
      <c r="J2658" t="str">
        <f>UPPER(Master_ventas[[#This Row],[Product Name]])</f>
        <v>SMARTPHONE</v>
      </c>
      <c r="K2658" t="str">
        <f>UPPER(Master_ventas[[#This Row],[Category]])</f>
        <v>ELECTRONICS</v>
      </c>
      <c r="L2658">
        <f>YEAR(Master_ventas[[#This Row],[Order Date]])</f>
        <v>2024</v>
      </c>
      <c r="M2658" t="str">
        <f>CONCATENATE(LEFT(Master_ventas[[#This Row],[ProdUpper]],3),RIGHT(Master_ventas[[#This Row],[Ext-Year]],2),"-",MID(Master_ventas[[#This Row],[Category]],1,1))</f>
        <v>SMA24-E</v>
      </c>
      <c r="N2658" t="str">
        <f>MID(Master_ventas[[#This Row],[ProdUpper]],1,3)</f>
        <v>SMA</v>
      </c>
      <c r="O2658" t="str">
        <f>UPPER(IF(Master_ventas[[#This Row],[Profit]]&gt;500,"High","Std"))</f>
        <v>STD</v>
      </c>
      <c r="P2658">
        <v>2657</v>
      </c>
    </row>
    <row r="2659" spans="1:16" x14ac:dyDescent="0.3">
      <c r="A2659" s="1">
        <v>45101</v>
      </c>
      <c r="B2659" t="s">
        <v>22</v>
      </c>
      <c r="C2659" t="s">
        <v>11</v>
      </c>
      <c r="D2659" t="s">
        <v>15</v>
      </c>
      <c r="E2659">
        <v>5</v>
      </c>
      <c r="F2659" s="3">
        <v>725</v>
      </c>
      <c r="G2659" s="2">
        <v>77.91</v>
      </c>
      <c r="H2659">
        <f>Master_ventas[[#This Row],[Profit]]/Master_ventas[[#This Row],[Sales]]</f>
        <v>0.10746206896551724</v>
      </c>
      <c r="I2659">
        <f ca="1">Referencia_Hoy-Master_ventas[[#This Row],[Order Date]]</f>
        <v>1222</v>
      </c>
      <c r="J2659" t="str">
        <f>UPPER(Master_ventas[[#This Row],[Product Name]])</f>
        <v>KEYBOARD</v>
      </c>
      <c r="K2659" t="str">
        <f>UPPER(Master_ventas[[#This Row],[Category]])</f>
        <v>ACCESSORIES</v>
      </c>
      <c r="L2659">
        <f>YEAR(Master_ventas[[#This Row],[Order Date]])</f>
        <v>2023</v>
      </c>
      <c r="M2659" t="str">
        <f>CONCATENATE(LEFT(Master_ventas[[#This Row],[ProdUpper]],3),RIGHT(Master_ventas[[#This Row],[Ext-Year]],2),"-",MID(Master_ventas[[#This Row],[Category]],1,1))</f>
        <v>KEY23-A</v>
      </c>
      <c r="N2659" t="str">
        <f>MID(Master_ventas[[#This Row],[ProdUpper]],1,3)</f>
        <v>KEY</v>
      </c>
      <c r="O2659" t="str">
        <f>UPPER(IF(Master_ventas[[#This Row],[Profit]]&gt;500,"High","Std"))</f>
        <v>STD</v>
      </c>
      <c r="P2659">
        <v>2658</v>
      </c>
    </row>
    <row r="2660" spans="1:16" x14ac:dyDescent="0.3">
      <c r="A2660" s="1">
        <v>45609</v>
      </c>
      <c r="B2660" t="s">
        <v>21</v>
      </c>
      <c r="C2660" t="s">
        <v>14</v>
      </c>
      <c r="D2660" t="s">
        <v>9</v>
      </c>
      <c r="E2660">
        <v>4</v>
      </c>
      <c r="F2660" s="3">
        <v>2516</v>
      </c>
      <c r="G2660" s="2">
        <v>689.29</v>
      </c>
      <c r="H2660">
        <f>Master_ventas[[#This Row],[Profit]]/Master_ventas[[#This Row],[Sales]]</f>
        <v>0.27396263910969793</v>
      </c>
      <c r="I2660">
        <f ca="1">Referencia_Hoy-Master_ventas[[#This Row],[Order Date]]</f>
        <v>714</v>
      </c>
      <c r="J2660" t="str">
        <f>UPPER(Master_ventas[[#This Row],[Product Name]])</f>
        <v>SMARTPHONE</v>
      </c>
      <c r="K2660" t="str">
        <f>UPPER(Master_ventas[[#This Row],[Category]])</f>
        <v>ELECTRONICS</v>
      </c>
      <c r="L2660">
        <f>YEAR(Master_ventas[[#This Row],[Order Date]])</f>
        <v>2024</v>
      </c>
      <c r="M2660" t="str">
        <f>CONCATENATE(LEFT(Master_ventas[[#This Row],[ProdUpper]],3),RIGHT(Master_ventas[[#This Row],[Ext-Year]],2),"-",MID(Master_ventas[[#This Row],[Category]],1,1))</f>
        <v>SMA24-E</v>
      </c>
      <c r="N2660" t="str">
        <f>MID(Master_ventas[[#This Row],[ProdUpper]],1,3)</f>
        <v>SMA</v>
      </c>
      <c r="O2660" t="str">
        <f>UPPER(IF(Master_ventas[[#This Row],[Profit]]&gt;500,"High","Std"))</f>
        <v>HIGH</v>
      </c>
      <c r="P2660">
        <v>2659</v>
      </c>
    </row>
    <row r="2661" spans="1:16" x14ac:dyDescent="0.3">
      <c r="A2661" s="1">
        <v>45075</v>
      </c>
      <c r="B2661" t="s">
        <v>20</v>
      </c>
      <c r="C2661" t="s">
        <v>11</v>
      </c>
      <c r="D2661" t="s">
        <v>12</v>
      </c>
      <c r="E2661">
        <v>8</v>
      </c>
      <c r="F2661" s="3">
        <v>6256</v>
      </c>
      <c r="G2661" s="2">
        <v>1152.99</v>
      </c>
      <c r="H2661">
        <f>Master_ventas[[#This Row],[Profit]]/Master_ventas[[#This Row],[Sales]]</f>
        <v>0.18430147058823529</v>
      </c>
      <c r="I2661">
        <f ca="1">Referencia_Hoy-Master_ventas[[#This Row],[Order Date]]</f>
        <v>1248</v>
      </c>
      <c r="J2661" t="str">
        <f>UPPER(Master_ventas[[#This Row],[Product Name]])</f>
        <v>MONITOR</v>
      </c>
      <c r="K2661" t="str">
        <f>UPPER(Master_ventas[[#This Row],[Category]])</f>
        <v>ACCESSORIES</v>
      </c>
      <c r="L2661">
        <f>YEAR(Master_ventas[[#This Row],[Order Date]])</f>
        <v>2023</v>
      </c>
      <c r="M2661" t="str">
        <f>CONCATENATE(LEFT(Master_ventas[[#This Row],[ProdUpper]],3),RIGHT(Master_ventas[[#This Row],[Ext-Year]],2),"-",MID(Master_ventas[[#This Row],[Category]],1,1))</f>
        <v>MON23-A</v>
      </c>
      <c r="N2661" t="str">
        <f>MID(Master_ventas[[#This Row],[ProdUpper]],1,3)</f>
        <v>MON</v>
      </c>
      <c r="O2661" t="str">
        <f>UPPER(IF(Master_ventas[[#This Row],[Profit]]&gt;500,"High","Std"))</f>
        <v>HIGH</v>
      </c>
      <c r="P2661">
        <v>2660</v>
      </c>
    </row>
    <row r="2662" spans="1:16" x14ac:dyDescent="0.3">
      <c r="A2662" s="1">
        <v>45088</v>
      </c>
      <c r="B2662" t="s">
        <v>17</v>
      </c>
      <c r="C2662" t="s">
        <v>14</v>
      </c>
      <c r="D2662" t="s">
        <v>9</v>
      </c>
      <c r="E2662">
        <v>2</v>
      </c>
      <c r="F2662" s="3">
        <v>452</v>
      </c>
      <c r="G2662" s="2">
        <v>74.34</v>
      </c>
      <c r="H2662">
        <f>Master_ventas[[#This Row],[Profit]]/Master_ventas[[#This Row],[Sales]]</f>
        <v>0.16446902654867257</v>
      </c>
      <c r="I2662">
        <f ca="1">Referencia_Hoy-Master_ventas[[#This Row],[Order Date]]</f>
        <v>1235</v>
      </c>
      <c r="J2662" t="str">
        <f>UPPER(Master_ventas[[#This Row],[Product Name]])</f>
        <v>CAMERA</v>
      </c>
      <c r="K2662" t="str">
        <f>UPPER(Master_ventas[[#This Row],[Category]])</f>
        <v>ELECTRONICS</v>
      </c>
      <c r="L2662">
        <f>YEAR(Master_ventas[[#This Row],[Order Date]])</f>
        <v>2023</v>
      </c>
      <c r="M2662" t="str">
        <f>CONCATENATE(LEFT(Master_ventas[[#This Row],[ProdUpper]],3),RIGHT(Master_ventas[[#This Row],[Ext-Year]],2),"-",MID(Master_ventas[[#This Row],[Category]],1,1))</f>
        <v>CAM23-E</v>
      </c>
      <c r="N2662" t="str">
        <f>MID(Master_ventas[[#This Row],[ProdUpper]],1,3)</f>
        <v>CAM</v>
      </c>
      <c r="O2662" t="str">
        <f>UPPER(IF(Master_ventas[[#This Row],[Profit]]&gt;500,"High","Std"))</f>
        <v>STD</v>
      </c>
      <c r="P2662">
        <v>2661</v>
      </c>
    </row>
    <row r="2663" spans="1:16" x14ac:dyDescent="0.3">
      <c r="A2663" s="1">
        <v>44625</v>
      </c>
      <c r="B2663" t="s">
        <v>23</v>
      </c>
      <c r="C2663" t="s">
        <v>14</v>
      </c>
      <c r="D2663" t="s">
        <v>15</v>
      </c>
      <c r="E2663">
        <v>7</v>
      </c>
      <c r="F2663" s="3">
        <v>5285</v>
      </c>
      <c r="G2663" s="2">
        <v>1338.58</v>
      </c>
      <c r="H2663">
        <f>Master_ventas[[#This Row],[Profit]]/Master_ventas[[#This Row],[Sales]]</f>
        <v>0.25327909176915797</v>
      </c>
      <c r="I2663">
        <f ca="1">Referencia_Hoy-Master_ventas[[#This Row],[Order Date]]</f>
        <v>1698</v>
      </c>
      <c r="J2663" t="str">
        <f>UPPER(Master_ventas[[#This Row],[Product Name]])</f>
        <v>LAPTOP</v>
      </c>
      <c r="K2663" t="str">
        <f>UPPER(Master_ventas[[#This Row],[Category]])</f>
        <v>ELECTRONICS</v>
      </c>
      <c r="L2663">
        <f>YEAR(Master_ventas[[#This Row],[Order Date]])</f>
        <v>2022</v>
      </c>
      <c r="M2663" t="str">
        <f>CONCATENATE(LEFT(Master_ventas[[#This Row],[ProdUpper]],3),RIGHT(Master_ventas[[#This Row],[Ext-Year]],2),"-",MID(Master_ventas[[#This Row],[Category]],1,1))</f>
        <v>LAP22-E</v>
      </c>
      <c r="N2663" t="str">
        <f>MID(Master_ventas[[#This Row],[ProdUpper]],1,3)</f>
        <v>LAP</v>
      </c>
      <c r="O2663" t="str">
        <f>UPPER(IF(Master_ventas[[#This Row],[Profit]]&gt;500,"High","Std"))</f>
        <v>HIGH</v>
      </c>
      <c r="P2663">
        <v>2662</v>
      </c>
    </row>
    <row r="2664" spans="1:16" x14ac:dyDescent="0.3">
      <c r="A2664" s="1">
        <v>45004</v>
      </c>
      <c r="B2664" t="s">
        <v>21</v>
      </c>
      <c r="C2664" t="s">
        <v>14</v>
      </c>
      <c r="D2664" t="s">
        <v>9</v>
      </c>
      <c r="E2664">
        <v>6</v>
      </c>
      <c r="F2664" s="3">
        <v>4872</v>
      </c>
      <c r="G2664" s="2">
        <v>786.79</v>
      </c>
      <c r="H2664">
        <f>Master_ventas[[#This Row],[Profit]]/Master_ventas[[#This Row],[Sales]]</f>
        <v>0.16149220032840722</v>
      </c>
      <c r="I2664">
        <f ca="1">Referencia_Hoy-Master_ventas[[#This Row],[Order Date]]</f>
        <v>1319</v>
      </c>
      <c r="J2664" t="str">
        <f>UPPER(Master_ventas[[#This Row],[Product Name]])</f>
        <v>SMARTPHONE</v>
      </c>
      <c r="K2664" t="str">
        <f>UPPER(Master_ventas[[#This Row],[Category]])</f>
        <v>ELECTRONICS</v>
      </c>
      <c r="L2664">
        <f>YEAR(Master_ventas[[#This Row],[Order Date]])</f>
        <v>2023</v>
      </c>
      <c r="M2664" t="str">
        <f>CONCATENATE(LEFT(Master_ventas[[#This Row],[ProdUpper]],3),RIGHT(Master_ventas[[#This Row],[Ext-Year]],2),"-",MID(Master_ventas[[#This Row],[Category]],1,1))</f>
        <v>SMA23-E</v>
      </c>
      <c r="N2664" t="str">
        <f>MID(Master_ventas[[#This Row],[ProdUpper]],1,3)</f>
        <v>SMA</v>
      </c>
      <c r="O2664" t="str">
        <f>UPPER(IF(Master_ventas[[#This Row],[Profit]]&gt;500,"High","Std"))</f>
        <v>HIGH</v>
      </c>
      <c r="P2664">
        <v>2663</v>
      </c>
    </row>
    <row r="2665" spans="1:16" x14ac:dyDescent="0.3">
      <c r="A2665" s="1">
        <v>45160</v>
      </c>
      <c r="B2665" t="s">
        <v>22</v>
      </c>
      <c r="C2665" t="s">
        <v>11</v>
      </c>
      <c r="D2665" t="s">
        <v>12</v>
      </c>
      <c r="E2665">
        <v>5</v>
      </c>
      <c r="F2665" s="3">
        <v>2495</v>
      </c>
      <c r="G2665" s="2">
        <v>164.56</v>
      </c>
      <c r="H2665">
        <f>Master_ventas[[#This Row],[Profit]]/Master_ventas[[#This Row],[Sales]]</f>
        <v>6.5955911823647295E-2</v>
      </c>
      <c r="I2665">
        <f ca="1">Referencia_Hoy-Master_ventas[[#This Row],[Order Date]]</f>
        <v>1163</v>
      </c>
      <c r="J2665" t="str">
        <f>UPPER(Master_ventas[[#This Row],[Product Name]])</f>
        <v>KEYBOARD</v>
      </c>
      <c r="K2665" t="str">
        <f>UPPER(Master_ventas[[#This Row],[Category]])</f>
        <v>ACCESSORIES</v>
      </c>
      <c r="L2665">
        <f>YEAR(Master_ventas[[#This Row],[Order Date]])</f>
        <v>2023</v>
      </c>
      <c r="M2665" t="str">
        <f>CONCATENATE(LEFT(Master_ventas[[#This Row],[ProdUpper]],3),RIGHT(Master_ventas[[#This Row],[Ext-Year]],2),"-",MID(Master_ventas[[#This Row],[Category]],1,1))</f>
        <v>KEY23-A</v>
      </c>
      <c r="N2665" t="str">
        <f>MID(Master_ventas[[#This Row],[ProdUpper]],1,3)</f>
        <v>KEY</v>
      </c>
      <c r="O2665" t="str">
        <f>UPPER(IF(Master_ventas[[#This Row],[Profit]]&gt;500,"High","Std"))</f>
        <v>STD</v>
      </c>
      <c r="P2665">
        <v>2664</v>
      </c>
    </row>
    <row r="2666" spans="1:16" x14ac:dyDescent="0.3">
      <c r="A2666" s="1">
        <v>44611</v>
      </c>
      <c r="B2666" t="s">
        <v>20</v>
      </c>
      <c r="C2666" t="s">
        <v>11</v>
      </c>
      <c r="D2666" t="s">
        <v>16</v>
      </c>
      <c r="E2666">
        <v>1</v>
      </c>
      <c r="F2666" s="3">
        <v>442</v>
      </c>
      <c r="G2666" s="2">
        <v>82.73</v>
      </c>
      <c r="H2666">
        <f>Master_ventas[[#This Row],[Profit]]/Master_ventas[[#This Row],[Sales]]</f>
        <v>0.18717194570135748</v>
      </c>
      <c r="I2666">
        <f ca="1">Referencia_Hoy-Master_ventas[[#This Row],[Order Date]]</f>
        <v>1712</v>
      </c>
      <c r="J2666" t="str">
        <f>UPPER(Master_ventas[[#This Row],[Product Name]])</f>
        <v>MONITOR</v>
      </c>
      <c r="K2666" t="str">
        <f>UPPER(Master_ventas[[#This Row],[Category]])</f>
        <v>ACCESSORIES</v>
      </c>
      <c r="L2666">
        <f>YEAR(Master_ventas[[#This Row],[Order Date]])</f>
        <v>2022</v>
      </c>
      <c r="M2666" t="str">
        <f>CONCATENATE(LEFT(Master_ventas[[#This Row],[ProdUpper]],3),RIGHT(Master_ventas[[#This Row],[Ext-Year]],2),"-",MID(Master_ventas[[#This Row],[Category]],1,1))</f>
        <v>MON22-A</v>
      </c>
      <c r="N2666" t="str">
        <f>MID(Master_ventas[[#This Row],[ProdUpper]],1,3)</f>
        <v>MON</v>
      </c>
      <c r="O2666" t="str">
        <f>UPPER(IF(Master_ventas[[#This Row],[Profit]]&gt;500,"High","Std"))</f>
        <v>STD</v>
      </c>
      <c r="P2666">
        <v>2665</v>
      </c>
    </row>
    <row r="2667" spans="1:16" x14ac:dyDescent="0.3">
      <c r="A2667" s="1">
        <v>45552</v>
      </c>
      <c r="B2667" t="s">
        <v>7</v>
      </c>
      <c r="C2667" t="s">
        <v>8</v>
      </c>
      <c r="D2667" t="s">
        <v>12</v>
      </c>
      <c r="E2667">
        <v>9</v>
      </c>
      <c r="F2667" s="3">
        <v>8595</v>
      </c>
      <c r="G2667" s="2">
        <v>1312.19</v>
      </c>
      <c r="H2667">
        <f>Master_ventas[[#This Row],[Profit]]/Master_ventas[[#This Row],[Sales]]</f>
        <v>0.15266899360093078</v>
      </c>
      <c r="I2667">
        <f ca="1">Referencia_Hoy-Master_ventas[[#This Row],[Order Date]]</f>
        <v>771</v>
      </c>
      <c r="J2667" t="str">
        <f>UPPER(Master_ventas[[#This Row],[Product Name]])</f>
        <v>PRINTER</v>
      </c>
      <c r="K2667" t="str">
        <f>UPPER(Master_ventas[[#This Row],[Category]])</f>
        <v>OFFICE</v>
      </c>
      <c r="L2667">
        <f>YEAR(Master_ventas[[#This Row],[Order Date]])</f>
        <v>2024</v>
      </c>
      <c r="M2667" t="str">
        <f>CONCATENATE(LEFT(Master_ventas[[#This Row],[ProdUpper]],3),RIGHT(Master_ventas[[#This Row],[Ext-Year]],2),"-",MID(Master_ventas[[#This Row],[Category]],1,1))</f>
        <v>PRI24-O</v>
      </c>
      <c r="N2667" t="str">
        <f>MID(Master_ventas[[#This Row],[ProdUpper]],1,3)</f>
        <v>PRI</v>
      </c>
      <c r="O2667" t="str">
        <f>UPPER(IF(Master_ventas[[#This Row],[Profit]]&gt;500,"High","Std"))</f>
        <v>HIGH</v>
      </c>
      <c r="P2667">
        <v>2666</v>
      </c>
    </row>
    <row r="2668" spans="1:16" x14ac:dyDescent="0.3">
      <c r="A2668" s="1">
        <v>44659</v>
      </c>
      <c r="B2668" t="s">
        <v>22</v>
      </c>
      <c r="C2668" t="s">
        <v>11</v>
      </c>
      <c r="D2668" t="s">
        <v>12</v>
      </c>
      <c r="E2668">
        <v>4</v>
      </c>
      <c r="F2668" s="3">
        <v>3528</v>
      </c>
      <c r="G2668" s="2">
        <v>411.5</v>
      </c>
      <c r="H2668">
        <f>Master_ventas[[#This Row],[Profit]]/Master_ventas[[#This Row],[Sales]]</f>
        <v>0.11663832199546485</v>
      </c>
      <c r="I2668">
        <f ca="1">Referencia_Hoy-Master_ventas[[#This Row],[Order Date]]</f>
        <v>1664</v>
      </c>
      <c r="J2668" t="str">
        <f>UPPER(Master_ventas[[#This Row],[Product Name]])</f>
        <v>KEYBOARD</v>
      </c>
      <c r="K2668" t="str">
        <f>UPPER(Master_ventas[[#This Row],[Category]])</f>
        <v>ACCESSORIES</v>
      </c>
      <c r="L2668">
        <f>YEAR(Master_ventas[[#This Row],[Order Date]])</f>
        <v>2022</v>
      </c>
      <c r="M2668" t="str">
        <f>CONCATENATE(LEFT(Master_ventas[[#This Row],[ProdUpper]],3),RIGHT(Master_ventas[[#This Row],[Ext-Year]],2),"-",MID(Master_ventas[[#This Row],[Category]],1,1))</f>
        <v>KEY22-A</v>
      </c>
      <c r="N2668" t="str">
        <f>MID(Master_ventas[[#This Row],[ProdUpper]],1,3)</f>
        <v>KEY</v>
      </c>
      <c r="O2668" t="str">
        <f>UPPER(IF(Master_ventas[[#This Row],[Profit]]&gt;500,"High","Std"))</f>
        <v>STD</v>
      </c>
      <c r="P2668">
        <v>2667</v>
      </c>
    </row>
    <row r="2669" spans="1:16" x14ac:dyDescent="0.3">
      <c r="A2669" s="1">
        <v>45453</v>
      </c>
      <c r="B2669" t="s">
        <v>23</v>
      </c>
      <c r="C2669" t="s">
        <v>14</v>
      </c>
      <c r="D2669" t="s">
        <v>9</v>
      </c>
      <c r="E2669">
        <v>7</v>
      </c>
      <c r="F2669" s="3">
        <v>7777</v>
      </c>
      <c r="G2669" s="2">
        <v>746.84</v>
      </c>
      <c r="H2669">
        <f>Master_ventas[[#This Row],[Profit]]/Master_ventas[[#This Row],[Sales]]</f>
        <v>9.603188890317603E-2</v>
      </c>
      <c r="I2669">
        <f ca="1">Referencia_Hoy-Master_ventas[[#This Row],[Order Date]]</f>
        <v>870</v>
      </c>
      <c r="J2669" t="str">
        <f>UPPER(Master_ventas[[#This Row],[Product Name]])</f>
        <v>LAPTOP</v>
      </c>
      <c r="K2669" t="str">
        <f>UPPER(Master_ventas[[#This Row],[Category]])</f>
        <v>ELECTRONICS</v>
      </c>
      <c r="L2669">
        <f>YEAR(Master_ventas[[#This Row],[Order Date]])</f>
        <v>2024</v>
      </c>
      <c r="M2669" t="str">
        <f>CONCATENATE(LEFT(Master_ventas[[#This Row],[ProdUpper]],3),RIGHT(Master_ventas[[#This Row],[Ext-Year]],2),"-",MID(Master_ventas[[#This Row],[Category]],1,1))</f>
        <v>LAP24-E</v>
      </c>
      <c r="N2669" t="str">
        <f>MID(Master_ventas[[#This Row],[ProdUpper]],1,3)</f>
        <v>LAP</v>
      </c>
      <c r="O2669" t="str">
        <f>UPPER(IF(Master_ventas[[#This Row],[Profit]]&gt;500,"High","Std"))</f>
        <v>HIGH</v>
      </c>
      <c r="P2669">
        <v>2668</v>
      </c>
    </row>
    <row r="2670" spans="1:16" x14ac:dyDescent="0.3">
      <c r="A2670" s="1">
        <v>44870</v>
      </c>
      <c r="B2670" t="s">
        <v>19</v>
      </c>
      <c r="C2670" t="s">
        <v>14</v>
      </c>
      <c r="D2670" t="s">
        <v>15</v>
      </c>
      <c r="E2670">
        <v>4</v>
      </c>
      <c r="F2670" s="3">
        <v>2008</v>
      </c>
      <c r="G2670" s="2">
        <v>451.68</v>
      </c>
      <c r="H2670">
        <f>Master_ventas[[#This Row],[Profit]]/Master_ventas[[#This Row],[Sales]]</f>
        <v>0.22494023904382471</v>
      </c>
      <c r="I2670">
        <f ca="1">Referencia_Hoy-Master_ventas[[#This Row],[Order Date]]</f>
        <v>1453</v>
      </c>
      <c r="J2670" t="str">
        <f>UPPER(Master_ventas[[#This Row],[Product Name]])</f>
        <v>SMARTWATCH</v>
      </c>
      <c r="K2670" t="str">
        <f>UPPER(Master_ventas[[#This Row],[Category]])</f>
        <v>ELECTRONICS</v>
      </c>
      <c r="L2670">
        <f>YEAR(Master_ventas[[#This Row],[Order Date]])</f>
        <v>2022</v>
      </c>
      <c r="M2670" t="str">
        <f>CONCATENATE(LEFT(Master_ventas[[#This Row],[ProdUpper]],3),RIGHT(Master_ventas[[#This Row],[Ext-Year]],2),"-",MID(Master_ventas[[#This Row],[Category]],1,1))</f>
        <v>SMA22-E</v>
      </c>
      <c r="N2670" t="str">
        <f>MID(Master_ventas[[#This Row],[ProdUpper]],1,3)</f>
        <v>SMA</v>
      </c>
      <c r="O2670" t="str">
        <f>UPPER(IF(Master_ventas[[#This Row],[Profit]]&gt;500,"High","Std"))</f>
        <v>STD</v>
      </c>
      <c r="P2670">
        <v>2669</v>
      </c>
    </row>
    <row r="2671" spans="1:16" x14ac:dyDescent="0.3">
      <c r="A2671" s="1">
        <v>44684</v>
      </c>
      <c r="B2671" t="s">
        <v>10</v>
      </c>
      <c r="C2671" t="s">
        <v>11</v>
      </c>
      <c r="D2671" t="s">
        <v>9</v>
      </c>
      <c r="E2671">
        <v>2</v>
      </c>
      <c r="F2671" s="3">
        <v>596</v>
      </c>
      <c r="G2671" s="2">
        <v>41.37</v>
      </c>
      <c r="H2671">
        <f>Master_ventas[[#This Row],[Profit]]/Master_ventas[[#This Row],[Sales]]</f>
        <v>6.9412751677852338E-2</v>
      </c>
      <c r="I2671">
        <f ca="1">Referencia_Hoy-Master_ventas[[#This Row],[Order Date]]</f>
        <v>1639</v>
      </c>
      <c r="J2671" t="str">
        <f>UPPER(Master_ventas[[#This Row],[Product Name]])</f>
        <v>MOUSE</v>
      </c>
      <c r="K2671" t="str">
        <f>UPPER(Master_ventas[[#This Row],[Category]])</f>
        <v>ACCESSORIES</v>
      </c>
      <c r="L2671">
        <f>YEAR(Master_ventas[[#This Row],[Order Date]])</f>
        <v>2022</v>
      </c>
      <c r="M2671" t="str">
        <f>CONCATENATE(LEFT(Master_ventas[[#This Row],[ProdUpper]],3),RIGHT(Master_ventas[[#This Row],[Ext-Year]],2),"-",MID(Master_ventas[[#This Row],[Category]],1,1))</f>
        <v>MOU22-A</v>
      </c>
      <c r="N2671" t="str">
        <f>MID(Master_ventas[[#This Row],[ProdUpper]],1,3)</f>
        <v>MOU</v>
      </c>
      <c r="O2671" t="str">
        <f>UPPER(IF(Master_ventas[[#This Row],[Profit]]&gt;500,"High","Std"))</f>
        <v>STD</v>
      </c>
      <c r="P2671">
        <v>2670</v>
      </c>
    </row>
    <row r="2672" spans="1:16" x14ac:dyDescent="0.3">
      <c r="A2672" s="1">
        <v>45651</v>
      </c>
      <c r="B2672" t="s">
        <v>19</v>
      </c>
      <c r="C2672" t="s">
        <v>14</v>
      </c>
      <c r="D2672" t="s">
        <v>12</v>
      </c>
      <c r="E2672">
        <v>9</v>
      </c>
      <c r="F2672" s="3">
        <v>4950</v>
      </c>
      <c r="G2672" s="2">
        <v>1402.67</v>
      </c>
      <c r="H2672">
        <f>Master_ventas[[#This Row],[Profit]]/Master_ventas[[#This Row],[Sales]]</f>
        <v>0.28336767676767677</v>
      </c>
      <c r="I2672">
        <f ca="1">Referencia_Hoy-Master_ventas[[#This Row],[Order Date]]</f>
        <v>672</v>
      </c>
      <c r="J2672" t="str">
        <f>UPPER(Master_ventas[[#This Row],[Product Name]])</f>
        <v>SMARTWATCH</v>
      </c>
      <c r="K2672" t="str">
        <f>UPPER(Master_ventas[[#This Row],[Category]])</f>
        <v>ELECTRONICS</v>
      </c>
      <c r="L2672">
        <f>YEAR(Master_ventas[[#This Row],[Order Date]])</f>
        <v>2024</v>
      </c>
      <c r="M2672" t="str">
        <f>CONCATENATE(LEFT(Master_ventas[[#This Row],[ProdUpper]],3),RIGHT(Master_ventas[[#This Row],[Ext-Year]],2),"-",MID(Master_ventas[[#This Row],[Category]],1,1))</f>
        <v>SMA24-E</v>
      </c>
      <c r="N2672" t="str">
        <f>MID(Master_ventas[[#This Row],[ProdUpper]],1,3)</f>
        <v>SMA</v>
      </c>
      <c r="O2672" t="str">
        <f>UPPER(IF(Master_ventas[[#This Row],[Profit]]&gt;500,"High","Std"))</f>
        <v>HIGH</v>
      </c>
      <c r="P2672">
        <v>2671</v>
      </c>
    </row>
    <row r="2673" spans="1:16" x14ac:dyDescent="0.3">
      <c r="A2673" s="1">
        <v>45459</v>
      </c>
      <c r="B2673" t="s">
        <v>22</v>
      </c>
      <c r="C2673" t="s">
        <v>11</v>
      </c>
      <c r="D2673" t="s">
        <v>15</v>
      </c>
      <c r="E2673">
        <v>2</v>
      </c>
      <c r="F2673" s="3">
        <v>630</v>
      </c>
      <c r="G2673" s="2">
        <v>86.07</v>
      </c>
      <c r="H2673">
        <f>Master_ventas[[#This Row],[Profit]]/Master_ventas[[#This Row],[Sales]]</f>
        <v>0.13661904761904761</v>
      </c>
      <c r="I2673">
        <f ca="1">Referencia_Hoy-Master_ventas[[#This Row],[Order Date]]</f>
        <v>864</v>
      </c>
      <c r="J2673" t="str">
        <f>UPPER(Master_ventas[[#This Row],[Product Name]])</f>
        <v>KEYBOARD</v>
      </c>
      <c r="K2673" t="str">
        <f>UPPER(Master_ventas[[#This Row],[Category]])</f>
        <v>ACCESSORIES</v>
      </c>
      <c r="L2673">
        <f>YEAR(Master_ventas[[#This Row],[Order Date]])</f>
        <v>2024</v>
      </c>
      <c r="M2673" t="str">
        <f>CONCATENATE(LEFT(Master_ventas[[#This Row],[ProdUpper]],3),RIGHT(Master_ventas[[#This Row],[Ext-Year]],2),"-",MID(Master_ventas[[#This Row],[Category]],1,1))</f>
        <v>KEY24-A</v>
      </c>
      <c r="N2673" t="str">
        <f>MID(Master_ventas[[#This Row],[ProdUpper]],1,3)</f>
        <v>KEY</v>
      </c>
      <c r="O2673" t="str">
        <f>UPPER(IF(Master_ventas[[#This Row],[Profit]]&gt;500,"High","Std"))</f>
        <v>STD</v>
      </c>
      <c r="P2673">
        <v>2672</v>
      </c>
    </row>
    <row r="2674" spans="1:16" x14ac:dyDescent="0.3">
      <c r="A2674" s="1">
        <v>45478</v>
      </c>
      <c r="B2674" t="s">
        <v>17</v>
      </c>
      <c r="C2674" t="s">
        <v>14</v>
      </c>
      <c r="D2674" t="s">
        <v>9</v>
      </c>
      <c r="E2674">
        <v>6</v>
      </c>
      <c r="F2674" s="3">
        <v>6144</v>
      </c>
      <c r="G2674" s="2">
        <v>754.18</v>
      </c>
      <c r="H2674">
        <f>Master_ventas[[#This Row],[Profit]]/Master_ventas[[#This Row],[Sales]]</f>
        <v>0.12275065104166666</v>
      </c>
      <c r="I2674">
        <f ca="1">Referencia_Hoy-Master_ventas[[#This Row],[Order Date]]</f>
        <v>845</v>
      </c>
      <c r="J2674" t="str">
        <f>UPPER(Master_ventas[[#This Row],[Product Name]])</f>
        <v>CAMERA</v>
      </c>
      <c r="K2674" t="str">
        <f>UPPER(Master_ventas[[#This Row],[Category]])</f>
        <v>ELECTRONICS</v>
      </c>
      <c r="L2674">
        <f>YEAR(Master_ventas[[#This Row],[Order Date]])</f>
        <v>2024</v>
      </c>
      <c r="M2674" t="str">
        <f>CONCATENATE(LEFT(Master_ventas[[#This Row],[ProdUpper]],3),RIGHT(Master_ventas[[#This Row],[Ext-Year]],2),"-",MID(Master_ventas[[#This Row],[Category]],1,1))</f>
        <v>CAM24-E</v>
      </c>
      <c r="N2674" t="str">
        <f>MID(Master_ventas[[#This Row],[ProdUpper]],1,3)</f>
        <v>CAM</v>
      </c>
      <c r="O2674" t="str">
        <f>UPPER(IF(Master_ventas[[#This Row],[Profit]]&gt;500,"High","Std"))</f>
        <v>HIGH</v>
      </c>
      <c r="P2674">
        <v>2673</v>
      </c>
    </row>
    <row r="2675" spans="1:16" x14ac:dyDescent="0.3">
      <c r="A2675" s="1">
        <v>45263</v>
      </c>
      <c r="B2675" t="s">
        <v>20</v>
      </c>
      <c r="C2675" t="s">
        <v>11</v>
      </c>
      <c r="D2675" t="s">
        <v>9</v>
      </c>
      <c r="E2675">
        <v>1</v>
      </c>
      <c r="F2675" s="3">
        <v>140</v>
      </c>
      <c r="G2675" s="2">
        <v>24.21</v>
      </c>
      <c r="H2675">
        <f>Master_ventas[[#This Row],[Profit]]/Master_ventas[[#This Row],[Sales]]</f>
        <v>0.17292857142857143</v>
      </c>
      <c r="I2675">
        <f ca="1">Referencia_Hoy-Master_ventas[[#This Row],[Order Date]]</f>
        <v>1060</v>
      </c>
      <c r="J2675" t="str">
        <f>UPPER(Master_ventas[[#This Row],[Product Name]])</f>
        <v>MONITOR</v>
      </c>
      <c r="K2675" t="str">
        <f>UPPER(Master_ventas[[#This Row],[Category]])</f>
        <v>ACCESSORIES</v>
      </c>
      <c r="L2675">
        <f>YEAR(Master_ventas[[#This Row],[Order Date]])</f>
        <v>2023</v>
      </c>
      <c r="M2675" t="str">
        <f>CONCATENATE(LEFT(Master_ventas[[#This Row],[ProdUpper]],3),RIGHT(Master_ventas[[#This Row],[Ext-Year]],2),"-",MID(Master_ventas[[#This Row],[Category]],1,1))</f>
        <v>MON23-A</v>
      </c>
      <c r="N2675" t="str">
        <f>MID(Master_ventas[[#This Row],[ProdUpper]],1,3)</f>
        <v>MON</v>
      </c>
      <c r="O2675" t="str">
        <f>UPPER(IF(Master_ventas[[#This Row],[Profit]]&gt;500,"High","Std"))</f>
        <v>STD</v>
      </c>
      <c r="P2675">
        <v>2674</v>
      </c>
    </row>
    <row r="2676" spans="1:16" x14ac:dyDescent="0.3">
      <c r="A2676" s="1">
        <v>45321</v>
      </c>
      <c r="B2676" t="s">
        <v>18</v>
      </c>
      <c r="C2676" t="s">
        <v>11</v>
      </c>
      <c r="D2676" t="s">
        <v>12</v>
      </c>
      <c r="E2676">
        <v>2</v>
      </c>
      <c r="F2676" s="3">
        <v>2014</v>
      </c>
      <c r="G2676" s="2">
        <v>215.06</v>
      </c>
      <c r="H2676">
        <f>Master_ventas[[#This Row],[Profit]]/Master_ventas[[#This Row],[Sales]]</f>
        <v>0.10678252234359484</v>
      </c>
      <c r="I2676">
        <f ca="1">Referencia_Hoy-Master_ventas[[#This Row],[Order Date]]</f>
        <v>1002</v>
      </c>
      <c r="J2676" t="str">
        <f>UPPER(Master_ventas[[#This Row],[Product Name]])</f>
        <v>HEADPHONES</v>
      </c>
      <c r="K2676" t="str">
        <f>UPPER(Master_ventas[[#This Row],[Category]])</f>
        <v>ACCESSORIES</v>
      </c>
      <c r="L2676">
        <f>YEAR(Master_ventas[[#This Row],[Order Date]])</f>
        <v>2024</v>
      </c>
      <c r="M2676" t="str">
        <f>CONCATENATE(LEFT(Master_ventas[[#This Row],[ProdUpper]],3),RIGHT(Master_ventas[[#This Row],[Ext-Year]],2),"-",MID(Master_ventas[[#This Row],[Category]],1,1))</f>
        <v>HEA24-A</v>
      </c>
      <c r="N2676" t="str">
        <f>MID(Master_ventas[[#This Row],[ProdUpper]],1,3)</f>
        <v>HEA</v>
      </c>
      <c r="O2676" t="str">
        <f>UPPER(IF(Master_ventas[[#This Row],[Profit]]&gt;500,"High","Std"))</f>
        <v>STD</v>
      </c>
      <c r="P2676">
        <v>2675</v>
      </c>
    </row>
    <row r="2677" spans="1:16" x14ac:dyDescent="0.3">
      <c r="A2677" s="1">
        <v>45510</v>
      </c>
      <c r="B2677" t="s">
        <v>10</v>
      </c>
      <c r="C2677" t="s">
        <v>11</v>
      </c>
      <c r="D2677" t="s">
        <v>16</v>
      </c>
      <c r="E2677">
        <v>2</v>
      </c>
      <c r="F2677" s="3">
        <v>384</v>
      </c>
      <c r="G2677" s="2">
        <v>99.02</v>
      </c>
      <c r="H2677">
        <f>Master_ventas[[#This Row],[Profit]]/Master_ventas[[#This Row],[Sales]]</f>
        <v>0.25786458333333334</v>
      </c>
      <c r="I2677">
        <f ca="1">Referencia_Hoy-Master_ventas[[#This Row],[Order Date]]</f>
        <v>813</v>
      </c>
      <c r="J2677" t="str">
        <f>UPPER(Master_ventas[[#This Row],[Product Name]])</f>
        <v>MOUSE</v>
      </c>
      <c r="K2677" t="str">
        <f>UPPER(Master_ventas[[#This Row],[Category]])</f>
        <v>ACCESSORIES</v>
      </c>
      <c r="L2677">
        <f>YEAR(Master_ventas[[#This Row],[Order Date]])</f>
        <v>2024</v>
      </c>
      <c r="M2677" t="str">
        <f>CONCATENATE(LEFT(Master_ventas[[#This Row],[ProdUpper]],3),RIGHT(Master_ventas[[#This Row],[Ext-Year]],2),"-",MID(Master_ventas[[#This Row],[Category]],1,1))</f>
        <v>MOU24-A</v>
      </c>
      <c r="N2677" t="str">
        <f>MID(Master_ventas[[#This Row],[ProdUpper]],1,3)</f>
        <v>MOU</v>
      </c>
      <c r="O2677" t="str">
        <f>UPPER(IF(Master_ventas[[#This Row],[Profit]]&gt;500,"High","Std"))</f>
        <v>STD</v>
      </c>
      <c r="P2677">
        <v>2676</v>
      </c>
    </row>
    <row r="2678" spans="1:16" x14ac:dyDescent="0.3">
      <c r="A2678" s="1">
        <v>44579</v>
      </c>
      <c r="B2678" t="s">
        <v>7</v>
      </c>
      <c r="C2678" t="s">
        <v>8</v>
      </c>
      <c r="D2678" t="s">
        <v>12</v>
      </c>
      <c r="E2678">
        <v>7</v>
      </c>
      <c r="F2678" s="3">
        <v>3780</v>
      </c>
      <c r="G2678" s="2">
        <v>351.51</v>
      </c>
      <c r="H2678">
        <f>Master_ventas[[#This Row],[Profit]]/Master_ventas[[#This Row],[Sales]]</f>
        <v>9.2992063492063487E-2</v>
      </c>
      <c r="I2678">
        <f ca="1">Referencia_Hoy-Master_ventas[[#This Row],[Order Date]]</f>
        <v>1744</v>
      </c>
      <c r="J2678" t="str">
        <f>UPPER(Master_ventas[[#This Row],[Product Name]])</f>
        <v>PRINTER</v>
      </c>
      <c r="K2678" t="str">
        <f>UPPER(Master_ventas[[#This Row],[Category]])</f>
        <v>OFFICE</v>
      </c>
      <c r="L2678">
        <f>YEAR(Master_ventas[[#This Row],[Order Date]])</f>
        <v>2022</v>
      </c>
      <c r="M2678" t="str">
        <f>CONCATENATE(LEFT(Master_ventas[[#This Row],[ProdUpper]],3),RIGHT(Master_ventas[[#This Row],[Ext-Year]],2),"-",MID(Master_ventas[[#This Row],[Category]],1,1))</f>
        <v>PRI22-O</v>
      </c>
      <c r="N2678" t="str">
        <f>MID(Master_ventas[[#This Row],[ProdUpper]],1,3)</f>
        <v>PRI</v>
      </c>
      <c r="O2678" t="str">
        <f>UPPER(IF(Master_ventas[[#This Row],[Profit]]&gt;500,"High","Std"))</f>
        <v>STD</v>
      </c>
      <c r="P2678">
        <v>2677</v>
      </c>
    </row>
    <row r="2679" spans="1:16" x14ac:dyDescent="0.3">
      <c r="A2679" s="1">
        <v>44985</v>
      </c>
      <c r="B2679" t="s">
        <v>20</v>
      </c>
      <c r="C2679" t="s">
        <v>11</v>
      </c>
      <c r="D2679" t="s">
        <v>16</v>
      </c>
      <c r="E2679">
        <v>7</v>
      </c>
      <c r="F2679" s="3">
        <v>5047</v>
      </c>
      <c r="G2679" s="2">
        <v>915.75</v>
      </c>
      <c r="H2679">
        <f>Master_ventas[[#This Row],[Profit]]/Master_ventas[[#This Row],[Sales]]</f>
        <v>0.18144442242916584</v>
      </c>
      <c r="I2679">
        <f ca="1">Referencia_Hoy-Master_ventas[[#This Row],[Order Date]]</f>
        <v>1338</v>
      </c>
      <c r="J2679" t="str">
        <f>UPPER(Master_ventas[[#This Row],[Product Name]])</f>
        <v>MONITOR</v>
      </c>
      <c r="K2679" t="str">
        <f>UPPER(Master_ventas[[#This Row],[Category]])</f>
        <v>ACCESSORIES</v>
      </c>
      <c r="L2679">
        <f>YEAR(Master_ventas[[#This Row],[Order Date]])</f>
        <v>2023</v>
      </c>
      <c r="M2679" t="str">
        <f>CONCATENATE(LEFT(Master_ventas[[#This Row],[ProdUpper]],3),RIGHT(Master_ventas[[#This Row],[Ext-Year]],2),"-",MID(Master_ventas[[#This Row],[Category]],1,1))</f>
        <v>MON23-A</v>
      </c>
      <c r="N2679" t="str">
        <f>MID(Master_ventas[[#This Row],[ProdUpper]],1,3)</f>
        <v>MON</v>
      </c>
      <c r="O2679" t="str">
        <f>UPPER(IF(Master_ventas[[#This Row],[Profit]]&gt;500,"High","Std"))</f>
        <v>HIGH</v>
      </c>
      <c r="P2679">
        <v>2678</v>
      </c>
    </row>
    <row r="2680" spans="1:16" x14ac:dyDescent="0.3">
      <c r="A2680" s="1">
        <v>44800</v>
      </c>
      <c r="B2680" t="s">
        <v>18</v>
      </c>
      <c r="C2680" t="s">
        <v>11</v>
      </c>
      <c r="D2680" t="s">
        <v>15</v>
      </c>
      <c r="E2680">
        <v>3</v>
      </c>
      <c r="F2680" s="3">
        <v>2658</v>
      </c>
      <c r="G2680" s="2">
        <v>175.89</v>
      </c>
      <c r="H2680">
        <f>Master_ventas[[#This Row],[Profit]]/Master_ventas[[#This Row],[Sales]]</f>
        <v>6.6173814898419864E-2</v>
      </c>
      <c r="I2680">
        <f ca="1">Referencia_Hoy-Master_ventas[[#This Row],[Order Date]]</f>
        <v>1523</v>
      </c>
      <c r="J2680" t="str">
        <f>UPPER(Master_ventas[[#This Row],[Product Name]])</f>
        <v>HEADPHONES</v>
      </c>
      <c r="K2680" t="str">
        <f>UPPER(Master_ventas[[#This Row],[Category]])</f>
        <v>ACCESSORIES</v>
      </c>
      <c r="L2680">
        <f>YEAR(Master_ventas[[#This Row],[Order Date]])</f>
        <v>2022</v>
      </c>
      <c r="M2680" t="str">
        <f>CONCATENATE(LEFT(Master_ventas[[#This Row],[ProdUpper]],3),RIGHT(Master_ventas[[#This Row],[Ext-Year]],2),"-",MID(Master_ventas[[#This Row],[Category]],1,1))</f>
        <v>HEA22-A</v>
      </c>
      <c r="N2680" t="str">
        <f>MID(Master_ventas[[#This Row],[ProdUpper]],1,3)</f>
        <v>HEA</v>
      </c>
      <c r="O2680" t="str">
        <f>UPPER(IF(Master_ventas[[#This Row],[Profit]]&gt;500,"High","Std"))</f>
        <v>STD</v>
      </c>
      <c r="P2680">
        <v>2679</v>
      </c>
    </row>
    <row r="2681" spans="1:16" x14ac:dyDescent="0.3">
      <c r="A2681" s="1">
        <v>45213</v>
      </c>
      <c r="B2681" t="s">
        <v>10</v>
      </c>
      <c r="C2681" t="s">
        <v>11</v>
      </c>
      <c r="D2681" t="s">
        <v>16</v>
      </c>
      <c r="E2681">
        <v>8</v>
      </c>
      <c r="F2681" s="3">
        <v>528</v>
      </c>
      <c r="G2681" s="2">
        <v>53.91</v>
      </c>
      <c r="H2681">
        <f>Master_ventas[[#This Row],[Profit]]/Master_ventas[[#This Row],[Sales]]</f>
        <v>0.10210227272727272</v>
      </c>
      <c r="I2681">
        <f ca="1">Referencia_Hoy-Master_ventas[[#This Row],[Order Date]]</f>
        <v>1110</v>
      </c>
      <c r="J2681" t="str">
        <f>UPPER(Master_ventas[[#This Row],[Product Name]])</f>
        <v>MOUSE</v>
      </c>
      <c r="K2681" t="str">
        <f>UPPER(Master_ventas[[#This Row],[Category]])</f>
        <v>ACCESSORIES</v>
      </c>
      <c r="L2681">
        <f>YEAR(Master_ventas[[#This Row],[Order Date]])</f>
        <v>2023</v>
      </c>
      <c r="M2681" t="str">
        <f>CONCATENATE(LEFT(Master_ventas[[#This Row],[ProdUpper]],3),RIGHT(Master_ventas[[#This Row],[Ext-Year]],2),"-",MID(Master_ventas[[#This Row],[Category]],1,1))</f>
        <v>MOU23-A</v>
      </c>
      <c r="N2681" t="str">
        <f>MID(Master_ventas[[#This Row],[ProdUpper]],1,3)</f>
        <v>MOU</v>
      </c>
      <c r="O2681" t="str">
        <f>UPPER(IF(Master_ventas[[#This Row],[Profit]]&gt;500,"High","Std"))</f>
        <v>STD</v>
      </c>
      <c r="P2681">
        <v>2680</v>
      </c>
    </row>
    <row r="2682" spans="1:16" x14ac:dyDescent="0.3">
      <c r="A2682" s="1">
        <v>44735</v>
      </c>
      <c r="B2682" t="s">
        <v>22</v>
      </c>
      <c r="C2682" t="s">
        <v>11</v>
      </c>
      <c r="D2682" t="s">
        <v>12</v>
      </c>
      <c r="E2682">
        <v>9</v>
      </c>
      <c r="F2682" s="3">
        <v>6507</v>
      </c>
      <c r="G2682" s="2">
        <v>1045.1400000000001</v>
      </c>
      <c r="H2682">
        <f>Master_ventas[[#This Row],[Profit]]/Master_ventas[[#This Row],[Sales]]</f>
        <v>0.16061779621945599</v>
      </c>
      <c r="I2682">
        <f ca="1">Referencia_Hoy-Master_ventas[[#This Row],[Order Date]]</f>
        <v>1588</v>
      </c>
      <c r="J2682" t="str">
        <f>UPPER(Master_ventas[[#This Row],[Product Name]])</f>
        <v>KEYBOARD</v>
      </c>
      <c r="K2682" t="str">
        <f>UPPER(Master_ventas[[#This Row],[Category]])</f>
        <v>ACCESSORIES</v>
      </c>
      <c r="L2682">
        <f>YEAR(Master_ventas[[#This Row],[Order Date]])</f>
        <v>2022</v>
      </c>
      <c r="M2682" t="str">
        <f>CONCATENATE(LEFT(Master_ventas[[#This Row],[ProdUpper]],3),RIGHT(Master_ventas[[#This Row],[Ext-Year]],2),"-",MID(Master_ventas[[#This Row],[Category]],1,1))</f>
        <v>KEY22-A</v>
      </c>
      <c r="N2682" t="str">
        <f>MID(Master_ventas[[#This Row],[ProdUpper]],1,3)</f>
        <v>KEY</v>
      </c>
      <c r="O2682" t="str">
        <f>UPPER(IF(Master_ventas[[#This Row],[Profit]]&gt;500,"High","Std"))</f>
        <v>HIGH</v>
      </c>
      <c r="P2682">
        <v>2681</v>
      </c>
    </row>
    <row r="2683" spans="1:16" x14ac:dyDescent="0.3">
      <c r="A2683" s="1">
        <v>45079</v>
      </c>
      <c r="B2683" t="s">
        <v>17</v>
      </c>
      <c r="C2683" t="s">
        <v>14</v>
      </c>
      <c r="D2683" t="s">
        <v>15</v>
      </c>
      <c r="E2683">
        <v>7</v>
      </c>
      <c r="F2683" s="3">
        <v>5887</v>
      </c>
      <c r="G2683" s="2">
        <v>1035.5</v>
      </c>
      <c r="H2683">
        <f>Master_ventas[[#This Row],[Profit]]/Master_ventas[[#This Row],[Sales]]</f>
        <v>0.17589604212671989</v>
      </c>
      <c r="I2683">
        <f ca="1">Referencia_Hoy-Master_ventas[[#This Row],[Order Date]]</f>
        <v>1244</v>
      </c>
      <c r="J2683" t="str">
        <f>UPPER(Master_ventas[[#This Row],[Product Name]])</f>
        <v>CAMERA</v>
      </c>
      <c r="K2683" t="str">
        <f>UPPER(Master_ventas[[#This Row],[Category]])</f>
        <v>ELECTRONICS</v>
      </c>
      <c r="L2683">
        <f>YEAR(Master_ventas[[#This Row],[Order Date]])</f>
        <v>2023</v>
      </c>
      <c r="M2683" t="str">
        <f>CONCATENATE(LEFT(Master_ventas[[#This Row],[ProdUpper]],3),RIGHT(Master_ventas[[#This Row],[Ext-Year]],2),"-",MID(Master_ventas[[#This Row],[Category]],1,1))</f>
        <v>CAM23-E</v>
      </c>
      <c r="N2683" t="str">
        <f>MID(Master_ventas[[#This Row],[ProdUpper]],1,3)</f>
        <v>CAM</v>
      </c>
      <c r="O2683" t="str">
        <f>UPPER(IF(Master_ventas[[#This Row],[Profit]]&gt;500,"High","Std"))</f>
        <v>HIGH</v>
      </c>
      <c r="P2683">
        <v>2682</v>
      </c>
    </row>
    <row r="2684" spans="1:16" x14ac:dyDescent="0.3">
      <c r="A2684" s="1">
        <v>45151</v>
      </c>
      <c r="B2684" t="s">
        <v>18</v>
      </c>
      <c r="C2684" t="s">
        <v>11</v>
      </c>
      <c r="D2684" t="s">
        <v>12</v>
      </c>
      <c r="E2684">
        <v>8</v>
      </c>
      <c r="F2684" s="3">
        <v>8224</v>
      </c>
      <c r="G2684" s="2">
        <v>1679.16</v>
      </c>
      <c r="H2684">
        <f>Master_ventas[[#This Row],[Profit]]/Master_ventas[[#This Row],[Sales]]</f>
        <v>0.20417801556420234</v>
      </c>
      <c r="I2684">
        <f ca="1">Referencia_Hoy-Master_ventas[[#This Row],[Order Date]]</f>
        <v>1172</v>
      </c>
      <c r="J2684" t="str">
        <f>UPPER(Master_ventas[[#This Row],[Product Name]])</f>
        <v>HEADPHONES</v>
      </c>
      <c r="K2684" t="str">
        <f>UPPER(Master_ventas[[#This Row],[Category]])</f>
        <v>ACCESSORIES</v>
      </c>
      <c r="L2684">
        <f>YEAR(Master_ventas[[#This Row],[Order Date]])</f>
        <v>2023</v>
      </c>
      <c r="M2684" t="str">
        <f>CONCATENATE(LEFT(Master_ventas[[#This Row],[ProdUpper]],3),RIGHT(Master_ventas[[#This Row],[Ext-Year]],2),"-",MID(Master_ventas[[#This Row],[Category]],1,1))</f>
        <v>HEA23-A</v>
      </c>
      <c r="N2684" t="str">
        <f>MID(Master_ventas[[#This Row],[ProdUpper]],1,3)</f>
        <v>HEA</v>
      </c>
      <c r="O2684" t="str">
        <f>UPPER(IF(Master_ventas[[#This Row],[Profit]]&gt;500,"High","Std"))</f>
        <v>HIGH</v>
      </c>
      <c r="P2684">
        <v>2683</v>
      </c>
    </row>
    <row r="2685" spans="1:16" x14ac:dyDescent="0.3">
      <c r="A2685" s="1">
        <v>44632</v>
      </c>
      <c r="B2685" t="s">
        <v>23</v>
      </c>
      <c r="C2685" t="s">
        <v>14</v>
      </c>
      <c r="D2685" t="s">
        <v>15</v>
      </c>
      <c r="E2685">
        <v>3</v>
      </c>
      <c r="F2685" s="3">
        <v>723</v>
      </c>
      <c r="G2685" s="2">
        <v>115.25</v>
      </c>
      <c r="H2685">
        <f>Master_ventas[[#This Row],[Profit]]/Master_ventas[[#This Row],[Sales]]</f>
        <v>0.15940525587828491</v>
      </c>
      <c r="I2685">
        <f ca="1">Referencia_Hoy-Master_ventas[[#This Row],[Order Date]]</f>
        <v>1691</v>
      </c>
      <c r="J2685" t="str">
        <f>UPPER(Master_ventas[[#This Row],[Product Name]])</f>
        <v>LAPTOP</v>
      </c>
      <c r="K2685" t="str">
        <f>UPPER(Master_ventas[[#This Row],[Category]])</f>
        <v>ELECTRONICS</v>
      </c>
      <c r="L2685">
        <f>YEAR(Master_ventas[[#This Row],[Order Date]])</f>
        <v>2022</v>
      </c>
      <c r="M2685" t="str">
        <f>CONCATENATE(LEFT(Master_ventas[[#This Row],[ProdUpper]],3),RIGHT(Master_ventas[[#This Row],[Ext-Year]],2),"-",MID(Master_ventas[[#This Row],[Category]],1,1))</f>
        <v>LAP22-E</v>
      </c>
      <c r="N2685" t="str">
        <f>MID(Master_ventas[[#This Row],[ProdUpper]],1,3)</f>
        <v>LAP</v>
      </c>
      <c r="O2685" t="str">
        <f>UPPER(IF(Master_ventas[[#This Row],[Profit]]&gt;500,"High","Std"))</f>
        <v>STD</v>
      </c>
      <c r="P2685">
        <v>2684</v>
      </c>
    </row>
    <row r="2686" spans="1:16" x14ac:dyDescent="0.3">
      <c r="A2686" s="1">
        <v>45080</v>
      </c>
      <c r="B2686" t="s">
        <v>10</v>
      </c>
      <c r="C2686" t="s">
        <v>11</v>
      </c>
      <c r="D2686" t="s">
        <v>9</v>
      </c>
      <c r="E2686">
        <v>2</v>
      </c>
      <c r="F2686" s="3">
        <v>2272</v>
      </c>
      <c r="G2686" s="2">
        <v>504.72</v>
      </c>
      <c r="H2686">
        <f>Master_ventas[[#This Row],[Profit]]/Master_ventas[[#This Row],[Sales]]</f>
        <v>0.22214788732394367</v>
      </c>
      <c r="I2686">
        <f ca="1">Referencia_Hoy-Master_ventas[[#This Row],[Order Date]]</f>
        <v>1243</v>
      </c>
      <c r="J2686" t="str">
        <f>UPPER(Master_ventas[[#This Row],[Product Name]])</f>
        <v>MOUSE</v>
      </c>
      <c r="K2686" t="str">
        <f>UPPER(Master_ventas[[#This Row],[Category]])</f>
        <v>ACCESSORIES</v>
      </c>
      <c r="L2686">
        <f>YEAR(Master_ventas[[#This Row],[Order Date]])</f>
        <v>2023</v>
      </c>
      <c r="M2686" t="str">
        <f>CONCATENATE(LEFT(Master_ventas[[#This Row],[ProdUpper]],3),RIGHT(Master_ventas[[#This Row],[Ext-Year]],2),"-",MID(Master_ventas[[#This Row],[Category]],1,1))</f>
        <v>MOU23-A</v>
      </c>
      <c r="N2686" t="str">
        <f>MID(Master_ventas[[#This Row],[ProdUpper]],1,3)</f>
        <v>MOU</v>
      </c>
      <c r="O2686" t="str">
        <f>UPPER(IF(Master_ventas[[#This Row],[Profit]]&gt;500,"High","Std"))</f>
        <v>HIGH</v>
      </c>
      <c r="P2686">
        <v>2685</v>
      </c>
    </row>
    <row r="2687" spans="1:16" x14ac:dyDescent="0.3">
      <c r="A2687" s="1">
        <v>44745</v>
      </c>
      <c r="B2687" t="s">
        <v>22</v>
      </c>
      <c r="C2687" t="s">
        <v>11</v>
      </c>
      <c r="D2687" t="s">
        <v>12</v>
      </c>
      <c r="E2687">
        <v>9</v>
      </c>
      <c r="F2687" s="3">
        <v>8640</v>
      </c>
      <c r="G2687" s="2">
        <v>1963.34</v>
      </c>
      <c r="H2687">
        <f>Master_ventas[[#This Row],[Profit]]/Master_ventas[[#This Row],[Sales]]</f>
        <v>0.22723842592592591</v>
      </c>
      <c r="I2687">
        <f ca="1">Referencia_Hoy-Master_ventas[[#This Row],[Order Date]]</f>
        <v>1578</v>
      </c>
      <c r="J2687" t="str">
        <f>UPPER(Master_ventas[[#This Row],[Product Name]])</f>
        <v>KEYBOARD</v>
      </c>
      <c r="K2687" t="str">
        <f>UPPER(Master_ventas[[#This Row],[Category]])</f>
        <v>ACCESSORIES</v>
      </c>
      <c r="L2687">
        <f>YEAR(Master_ventas[[#This Row],[Order Date]])</f>
        <v>2022</v>
      </c>
      <c r="M2687" t="str">
        <f>CONCATENATE(LEFT(Master_ventas[[#This Row],[ProdUpper]],3),RIGHT(Master_ventas[[#This Row],[Ext-Year]],2),"-",MID(Master_ventas[[#This Row],[Category]],1,1))</f>
        <v>KEY22-A</v>
      </c>
      <c r="N2687" t="str">
        <f>MID(Master_ventas[[#This Row],[ProdUpper]],1,3)</f>
        <v>KEY</v>
      </c>
      <c r="O2687" t="str">
        <f>UPPER(IF(Master_ventas[[#This Row],[Profit]]&gt;500,"High","Std"))</f>
        <v>HIGH</v>
      </c>
      <c r="P2687">
        <v>2686</v>
      </c>
    </row>
    <row r="2688" spans="1:16" x14ac:dyDescent="0.3">
      <c r="A2688" s="1">
        <v>45183</v>
      </c>
      <c r="B2688" t="s">
        <v>17</v>
      </c>
      <c r="C2688" t="s">
        <v>14</v>
      </c>
      <c r="D2688" t="s">
        <v>9</v>
      </c>
      <c r="E2688">
        <v>8</v>
      </c>
      <c r="F2688" s="3">
        <v>2984</v>
      </c>
      <c r="G2688" s="2">
        <v>631.80999999999995</v>
      </c>
      <c r="H2688">
        <f>Master_ventas[[#This Row],[Profit]]/Master_ventas[[#This Row],[Sales]]</f>
        <v>0.21173257372654153</v>
      </c>
      <c r="I2688">
        <f ca="1">Referencia_Hoy-Master_ventas[[#This Row],[Order Date]]</f>
        <v>1140</v>
      </c>
      <c r="J2688" t="str">
        <f>UPPER(Master_ventas[[#This Row],[Product Name]])</f>
        <v>CAMERA</v>
      </c>
      <c r="K2688" t="str">
        <f>UPPER(Master_ventas[[#This Row],[Category]])</f>
        <v>ELECTRONICS</v>
      </c>
      <c r="L2688">
        <f>YEAR(Master_ventas[[#This Row],[Order Date]])</f>
        <v>2023</v>
      </c>
      <c r="M2688" t="str">
        <f>CONCATENATE(LEFT(Master_ventas[[#This Row],[ProdUpper]],3),RIGHT(Master_ventas[[#This Row],[Ext-Year]],2),"-",MID(Master_ventas[[#This Row],[Category]],1,1))</f>
        <v>CAM23-E</v>
      </c>
      <c r="N2688" t="str">
        <f>MID(Master_ventas[[#This Row],[ProdUpper]],1,3)</f>
        <v>CAM</v>
      </c>
      <c r="O2688" t="str">
        <f>UPPER(IF(Master_ventas[[#This Row],[Profit]]&gt;500,"High","Std"))</f>
        <v>HIGH</v>
      </c>
      <c r="P2688">
        <v>2687</v>
      </c>
    </row>
    <row r="2689" spans="1:16" x14ac:dyDescent="0.3">
      <c r="A2689" s="1">
        <v>44679</v>
      </c>
      <c r="B2689" t="s">
        <v>21</v>
      </c>
      <c r="C2689" t="s">
        <v>14</v>
      </c>
      <c r="D2689" t="s">
        <v>12</v>
      </c>
      <c r="E2689">
        <v>2</v>
      </c>
      <c r="F2689" s="3">
        <v>606</v>
      </c>
      <c r="G2689" s="2">
        <v>150.94999999999999</v>
      </c>
      <c r="H2689">
        <f>Master_ventas[[#This Row],[Profit]]/Master_ventas[[#This Row],[Sales]]</f>
        <v>0.24909240924092407</v>
      </c>
      <c r="I2689">
        <f ca="1">Referencia_Hoy-Master_ventas[[#This Row],[Order Date]]</f>
        <v>1644</v>
      </c>
      <c r="J2689" t="str">
        <f>UPPER(Master_ventas[[#This Row],[Product Name]])</f>
        <v>SMARTPHONE</v>
      </c>
      <c r="K2689" t="str">
        <f>UPPER(Master_ventas[[#This Row],[Category]])</f>
        <v>ELECTRONICS</v>
      </c>
      <c r="L2689">
        <f>YEAR(Master_ventas[[#This Row],[Order Date]])</f>
        <v>2022</v>
      </c>
      <c r="M2689" t="str">
        <f>CONCATENATE(LEFT(Master_ventas[[#This Row],[ProdUpper]],3),RIGHT(Master_ventas[[#This Row],[Ext-Year]],2),"-",MID(Master_ventas[[#This Row],[Category]],1,1))</f>
        <v>SMA22-E</v>
      </c>
      <c r="N2689" t="str">
        <f>MID(Master_ventas[[#This Row],[ProdUpper]],1,3)</f>
        <v>SMA</v>
      </c>
      <c r="O2689" t="str">
        <f>UPPER(IF(Master_ventas[[#This Row],[Profit]]&gt;500,"High","Std"))</f>
        <v>STD</v>
      </c>
      <c r="P2689">
        <v>2688</v>
      </c>
    </row>
    <row r="2690" spans="1:16" x14ac:dyDescent="0.3">
      <c r="A2690" s="1">
        <v>44659</v>
      </c>
      <c r="B2690" t="s">
        <v>20</v>
      </c>
      <c r="C2690" t="s">
        <v>11</v>
      </c>
      <c r="D2690" t="s">
        <v>16</v>
      </c>
      <c r="E2690">
        <v>2</v>
      </c>
      <c r="F2690" s="3">
        <v>170</v>
      </c>
      <c r="G2690" s="2">
        <v>48.69</v>
      </c>
      <c r="H2690">
        <f>Master_ventas[[#This Row],[Profit]]/Master_ventas[[#This Row],[Sales]]</f>
        <v>0.28641176470588237</v>
      </c>
      <c r="I2690">
        <f ca="1">Referencia_Hoy-Master_ventas[[#This Row],[Order Date]]</f>
        <v>1664</v>
      </c>
      <c r="J2690" t="str">
        <f>UPPER(Master_ventas[[#This Row],[Product Name]])</f>
        <v>MONITOR</v>
      </c>
      <c r="K2690" t="str">
        <f>UPPER(Master_ventas[[#This Row],[Category]])</f>
        <v>ACCESSORIES</v>
      </c>
      <c r="L2690">
        <f>YEAR(Master_ventas[[#This Row],[Order Date]])</f>
        <v>2022</v>
      </c>
      <c r="M2690" t="str">
        <f>CONCATENATE(LEFT(Master_ventas[[#This Row],[ProdUpper]],3),RIGHT(Master_ventas[[#This Row],[Ext-Year]],2),"-",MID(Master_ventas[[#This Row],[Category]],1,1))</f>
        <v>MON22-A</v>
      </c>
      <c r="N2690" t="str">
        <f>MID(Master_ventas[[#This Row],[ProdUpper]],1,3)</f>
        <v>MON</v>
      </c>
      <c r="O2690" t="str">
        <f>UPPER(IF(Master_ventas[[#This Row],[Profit]]&gt;500,"High","Std"))</f>
        <v>STD</v>
      </c>
      <c r="P2690">
        <v>2689</v>
      </c>
    </row>
    <row r="2691" spans="1:16" x14ac:dyDescent="0.3">
      <c r="A2691" s="1">
        <v>44641</v>
      </c>
      <c r="B2691" t="s">
        <v>18</v>
      </c>
      <c r="C2691" t="s">
        <v>11</v>
      </c>
      <c r="D2691" t="s">
        <v>12</v>
      </c>
      <c r="E2691">
        <v>9</v>
      </c>
      <c r="F2691" s="3">
        <v>5283</v>
      </c>
      <c r="G2691" s="2">
        <v>1550.3</v>
      </c>
      <c r="H2691">
        <f>Master_ventas[[#This Row],[Profit]]/Master_ventas[[#This Row],[Sales]]</f>
        <v>0.29345069089532461</v>
      </c>
      <c r="I2691">
        <f ca="1">Referencia_Hoy-Master_ventas[[#This Row],[Order Date]]</f>
        <v>1682</v>
      </c>
      <c r="J2691" t="str">
        <f>UPPER(Master_ventas[[#This Row],[Product Name]])</f>
        <v>HEADPHONES</v>
      </c>
      <c r="K2691" t="str">
        <f>UPPER(Master_ventas[[#This Row],[Category]])</f>
        <v>ACCESSORIES</v>
      </c>
      <c r="L2691">
        <f>YEAR(Master_ventas[[#This Row],[Order Date]])</f>
        <v>2022</v>
      </c>
      <c r="M2691" t="str">
        <f>CONCATENATE(LEFT(Master_ventas[[#This Row],[ProdUpper]],3),RIGHT(Master_ventas[[#This Row],[Ext-Year]],2),"-",MID(Master_ventas[[#This Row],[Category]],1,1))</f>
        <v>HEA22-A</v>
      </c>
      <c r="N2691" t="str">
        <f>MID(Master_ventas[[#This Row],[ProdUpper]],1,3)</f>
        <v>HEA</v>
      </c>
      <c r="O2691" t="str">
        <f>UPPER(IF(Master_ventas[[#This Row],[Profit]]&gt;500,"High","Std"))</f>
        <v>HIGH</v>
      </c>
      <c r="P2691">
        <v>2690</v>
      </c>
    </row>
    <row r="2692" spans="1:16" x14ac:dyDescent="0.3">
      <c r="A2692" s="1">
        <v>44984</v>
      </c>
      <c r="B2692" t="s">
        <v>19</v>
      </c>
      <c r="C2692" t="s">
        <v>14</v>
      </c>
      <c r="D2692" t="s">
        <v>16</v>
      </c>
      <c r="E2692">
        <v>6</v>
      </c>
      <c r="F2692" s="3">
        <v>1350</v>
      </c>
      <c r="G2692" s="2">
        <v>356.88</v>
      </c>
      <c r="H2692">
        <f>Master_ventas[[#This Row],[Profit]]/Master_ventas[[#This Row],[Sales]]</f>
        <v>0.26435555555555557</v>
      </c>
      <c r="I2692">
        <f ca="1">Referencia_Hoy-Master_ventas[[#This Row],[Order Date]]</f>
        <v>1339</v>
      </c>
      <c r="J2692" t="str">
        <f>UPPER(Master_ventas[[#This Row],[Product Name]])</f>
        <v>SMARTWATCH</v>
      </c>
      <c r="K2692" t="str">
        <f>UPPER(Master_ventas[[#This Row],[Category]])</f>
        <v>ELECTRONICS</v>
      </c>
      <c r="L2692">
        <f>YEAR(Master_ventas[[#This Row],[Order Date]])</f>
        <v>2023</v>
      </c>
      <c r="M2692" t="str">
        <f>CONCATENATE(LEFT(Master_ventas[[#This Row],[ProdUpper]],3),RIGHT(Master_ventas[[#This Row],[Ext-Year]],2),"-",MID(Master_ventas[[#This Row],[Category]],1,1))</f>
        <v>SMA23-E</v>
      </c>
      <c r="N2692" t="str">
        <f>MID(Master_ventas[[#This Row],[ProdUpper]],1,3)</f>
        <v>SMA</v>
      </c>
      <c r="O2692" t="str">
        <f>UPPER(IF(Master_ventas[[#This Row],[Profit]]&gt;500,"High","Std"))</f>
        <v>STD</v>
      </c>
      <c r="P2692">
        <v>2691</v>
      </c>
    </row>
    <row r="2693" spans="1:16" x14ac:dyDescent="0.3">
      <c r="A2693" s="1">
        <v>44893</v>
      </c>
      <c r="B2693" t="s">
        <v>18</v>
      </c>
      <c r="C2693" t="s">
        <v>11</v>
      </c>
      <c r="D2693" t="s">
        <v>15</v>
      </c>
      <c r="E2693">
        <v>4</v>
      </c>
      <c r="F2693" s="3">
        <v>2500</v>
      </c>
      <c r="G2693" s="2">
        <v>467.34</v>
      </c>
      <c r="H2693">
        <f>Master_ventas[[#This Row],[Profit]]/Master_ventas[[#This Row],[Sales]]</f>
        <v>0.18693599999999999</v>
      </c>
      <c r="I2693">
        <f ca="1">Referencia_Hoy-Master_ventas[[#This Row],[Order Date]]</f>
        <v>1430</v>
      </c>
      <c r="J2693" t="str">
        <f>UPPER(Master_ventas[[#This Row],[Product Name]])</f>
        <v>HEADPHONES</v>
      </c>
      <c r="K2693" t="str">
        <f>UPPER(Master_ventas[[#This Row],[Category]])</f>
        <v>ACCESSORIES</v>
      </c>
      <c r="L2693">
        <f>YEAR(Master_ventas[[#This Row],[Order Date]])</f>
        <v>2022</v>
      </c>
      <c r="M2693" t="str">
        <f>CONCATENATE(LEFT(Master_ventas[[#This Row],[ProdUpper]],3),RIGHT(Master_ventas[[#This Row],[Ext-Year]],2),"-",MID(Master_ventas[[#This Row],[Category]],1,1))</f>
        <v>HEA22-A</v>
      </c>
      <c r="N2693" t="str">
        <f>MID(Master_ventas[[#This Row],[ProdUpper]],1,3)</f>
        <v>HEA</v>
      </c>
      <c r="O2693" t="str">
        <f>UPPER(IF(Master_ventas[[#This Row],[Profit]]&gt;500,"High","Std"))</f>
        <v>STD</v>
      </c>
      <c r="P2693">
        <v>2692</v>
      </c>
    </row>
    <row r="2694" spans="1:16" x14ac:dyDescent="0.3">
      <c r="A2694" s="1">
        <v>44603</v>
      </c>
      <c r="B2694" t="s">
        <v>17</v>
      </c>
      <c r="C2694" t="s">
        <v>14</v>
      </c>
      <c r="D2694" t="s">
        <v>9</v>
      </c>
      <c r="E2694">
        <v>4</v>
      </c>
      <c r="F2694" s="3">
        <v>4648</v>
      </c>
      <c r="G2694" s="2">
        <v>689.85</v>
      </c>
      <c r="H2694">
        <f>Master_ventas[[#This Row],[Profit]]/Master_ventas[[#This Row],[Sales]]</f>
        <v>0.14841867469879519</v>
      </c>
      <c r="I2694">
        <f ca="1">Referencia_Hoy-Master_ventas[[#This Row],[Order Date]]</f>
        <v>1720</v>
      </c>
      <c r="J2694" t="str">
        <f>UPPER(Master_ventas[[#This Row],[Product Name]])</f>
        <v>CAMERA</v>
      </c>
      <c r="K2694" t="str">
        <f>UPPER(Master_ventas[[#This Row],[Category]])</f>
        <v>ELECTRONICS</v>
      </c>
      <c r="L2694">
        <f>YEAR(Master_ventas[[#This Row],[Order Date]])</f>
        <v>2022</v>
      </c>
      <c r="M2694" t="str">
        <f>CONCATENATE(LEFT(Master_ventas[[#This Row],[ProdUpper]],3),RIGHT(Master_ventas[[#This Row],[Ext-Year]],2),"-",MID(Master_ventas[[#This Row],[Category]],1,1))</f>
        <v>CAM22-E</v>
      </c>
      <c r="N2694" t="str">
        <f>MID(Master_ventas[[#This Row],[ProdUpper]],1,3)</f>
        <v>CAM</v>
      </c>
      <c r="O2694" t="str">
        <f>UPPER(IF(Master_ventas[[#This Row],[Profit]]&gt;500,"High","Std"))</f>
        <v>HIGH</v>
      </c>
      <c r="P2694">
        <v>2693</v>
      </c>
    </row>
    <row r="2695" spans="1:16" x14ac:dyDescent="0.3">
      <c r="A2695" s="1">
        <v>45067</v>
      </c>
      <c r="B2695" t="s">
        <v>7</v>
      </c>
      <c r="C2695" t="s">
        <v>8</v>
      </c>
      <c r="D2695" t="s">
        <v>9</v>
      </c>
      <c r="E2695">
        <v>5</v>
      </c>
      <c r="F2695" s="3">
        <v>650</v>
      </c>
      <c r="G2695" s="2">
        <v>93.41</v>
      </c>
      <c r="H2695">
        <f>Master_ventas[[#This Row],[Profit]]/Master_ventas[[#This Row],[Sales]]</f>
        <v>0.14370769230769231</v>
      </c>
      <c r="I2695">
        <f ca="1">Referencia_Hoy-Master_ventas[[#This Row],[Order Date]]</f>
        <v>1256</v>
      </c>
      <c r="J2695" t="str">
        <f>UPPER(Master_ventas[[#This Row],[Product Name]])</f>
        <v>PRINTER</v>
      </c>
      <c r="K2695" t="str">
        <f>UPPER(Master_ventas[[#This Row],[Category]])</f>
        <v>OFFICE</v>
      </c>
      <c r="L2695">
        <f>YEAR(Master_ventas[[#This Row],[Order Date]])</f>
        <v>2023</v>
      </c>
      <c r="M2695" t="str">
        <f>CONCATENATE(LEFT(Master_ventas[[#This Row],[ProdUpper]],3),RIGHT(Master_ventas[[#This Row],[Ext-Year]],2),"-",MID(Master_ventas[[#This Row],[Category]],1,1))</f>
        <v>PRI23-O</v>
      </c>
      <c r="N2695" t="str">
        <f>MID(Master_ventas[[#This Row],[ProdUpper]],1,3)</f>
        <v>PRI</v>
      </c>
      <c r="O2695" t="str">
        <f>UPPER(IF(Master_ventas[[#This Row],[Profit]]&gt;500,"High","Std"))</f>
        <v>STD</v>
      </c>
      <c r="P2695">
        <v>2694</v>
      </c>
    </row>
    <row r="2696" spans="1:16" x14ac:dyDescent="0.3">
      <c r="A2696" s="1">
        <v>44818</v>
      </c>
      <c r="B2696" t="s">
        <v>20</v>
      </c>
      <c r="C2696" t="s">
        <v>11</v>
      </c>
      <c r="D2696" t="s">
        <v>9</v>
      </c>
      <c r="E2696">
        <v>2</v>
      </c>
      <c r="F2696" s="3">
        <v>1538</v>
      </c>
      <c r="G2696" s="2">
        <v>97.15</v>
      </c>
      <c r="H2696">
        <f>Master_ventas[[#This Row],[Profit]]/Master_ventas[[#This Row],[Sales]]</f>
        <v>6.3166449934980495E-2</v>
      </c>
      <c r="I2696">
        <f ca="1">Referencia_Hoy-Master_ventas[[#This Row],[Order Date]]</f>
        <v>1505</v>
      </c>
      <c r="J2696" t="str">
        <f>UPPER(Master_ventas[[#This Row],[Product Name]])</f>
        <v>MONITOR</v>
      </c>
      <c r="K2696" t="str">
        <f>UPPER(Master_ventas[[#This Row],[Category]])</f>
        <v>ACCESSORIES</v>
      </c>
      <c r="L2696">
        <f>YEAR(Master_ventas[[#This Row],[Order Date]])</f>
        <v>2022</v>
      </c>
      <c r="M2696" t="str">
        <f>CONCATENATE(LEFT(Master_ventas[[#This Row],[ProdUpper]],3),RIGHT(Master_ventas[[#This Row],[Ext-Year]],2),"-",MID(Master_ventas[[#This Row],[Category]],1,1))</f>
        <v>MON22-A</v>
      </c>
      <c r="N2696" t="str">
        <f>MID(Master_ventas[[#This Row],[ProdUpper]],1,3)</f>
        <v>MON</v>
      </c>
      <c r="O2696" t="str">
        <f>UPPER(IF(Master_ventas[[#This Row],[Profit]]&gt;500,"High","Std"))</f>
        <v>STD</v>
      </c>
      <c r="P2696">
        <v>2695</v>
      </c>
    </row>
    <row r="2697" spans="1:16" x14ac:dyDescent="0.3">
      <c r="A2697" s="1">
        <v>45458</v>
      </c>
      <c r="B2697" t="s">
        <v>19</v>
      </c>
      <c r="C2697" t="s">
        <v>14</v>
      </c>
      <c r="D2697" t="s">
        <v>12</v>
      </c>
      <c r="E2697">
        <v>4</v>
      </c>
      <c r="F2697" s="3">
        <v>3928</v>
      </c>
      <c r="G2697" s="2">
        <v>325.32</v>
      </c>
      <c r="H2697">
        <f>Master_ventas[[#This Row],[Profit]]/Master_ventas[[#This Row],[Sales]]</f>
        <v>8.2820773930753558E-2</v>
      </c>
      <c r="I2697">
        <f ca="1">Referencia_Hoy-Master_ventas[[#This Row],[Order Date]]</f>
        <v>865</v>
      </c>
      <c r="J2697" t="str">
        <f>UPPER(Master_ventas[[#This Row],[Product Name]])</f>
        <v>SMARTWATCH</v>
      </c>
      <c r="K2697" t="str">
        <f>UPPER(Master_ventas[[#This Row],[Category]])</f>
        <v>ELECTRONICS</v>
      </c>
      <c r="L2697">
        <f>YEAR(Master_ventas[[#This Row],[Order Date]])</f>
        <v>2024</v>
      </c>
      <c r="M2697" t="str">
        <f>CONCATENATE(LEFT(Master_ventas[[#This Row],[ProdUpper]],3),RIGHT(Master_ventas[[#This Row],[Ext-Year]],2),"-",MID(Master_ventas[[#This Row],[Category]],1,1))</f>
        <v>SMA24-E</v>
      </c>
      <c r="N2697" t="str">
        <f>MID(Master_ventas[[#This Row],[ProdUpper]],1,3)</f>
        <v>SMA</v>
      </c>
      <c r="O2697" t="str">
        <f>UPPER(IF(Master_ventas[[#This Row],[Profit]]&gt;500,"High","Std"))</f>
        <v>STD</v>
      </c>
      <c r="P2697">
        <v>2696</v>
      </c>
    </row>
    <row r="2698" spans="1:16" x14ac:dyDescent="0.3">
      <c r="A2698" s="1">
        <v>44643</v>
      </c>
      <c r="B2698" t="s">
        <v>18</v>
      </c>
      <c r="C2698" t="s">
        <v>11</v>
      </c>
      <c r="D2698" t="s">
        <v>9</v>
      </c>
      <c r="E2698">
        <v>2</v>
      </c>
      <c r="F2698" s="3">
        <v>2258</v>
      </c>
      <c r="G2698" s="2">
        <v>175.86</v>
      </c>
      <c r="H2698">
        <f>Master_ventas[[#This Row],[Profit]]/Master_ventas[[#This Row],[Sales]]</f>
        <v>7.7883082373782109E-2</v>
      </c>
      <c r="I2698">
        <f ca="1">Referencia_Hoy-Master_ventas[[#This Row],[Order Date]]</f>
        <v>1680</v>
      </c>
      <c r="J2698" t="str">
        <f>UPPER(Master_ventas[[#This Row],[Product Name]])</f>
        <v>HEADPHONES</v>
      </c>
      <c r="K2698" t="str">
        <f>UPPER(Master_ventas[[#This Row],[Category]])</f>
        <v>ACCESSORIES</v>
      </c>
      <c r="L2698">
        <f>YEAR(Master_ventas[[#This Row],[Order Date]])</f>
        <v>2022</v>
      </c>
      <c r="M2698" t="str">
        <f>CONCATENATE(LEFT(Master_ventas[[#This Row],[ProdUpper]],3),RIGHT(Master_ventas[[#This Row],[Ext-Year]],2),"-",MID(Master_ventas[[#This Row],[Category]],1,1))</f>
        <v>HEA22-A</v>
      </c>
      <c r="N2698" t="str">
        <f>MID(Master_ventas[[#This Row],[ProdUpper]],1,3)</f>
        <v>HEA</v>
      </c>
      <c r="O2698" t="str">
        <f>UPPER(IF(Master_ventas[[#This Row],[Profit]]&gt;500,"High","Std"))</f>
        <v>STD</v>
      </c>
      <c r="P2698">
        <v>2697</v>
      </c>
    </row>
    <row r="2699" spans="1:16" x14ac:dyDescent="0.3">
      <c r="A2699" s="1">
        <v>44721</v>
      </c>
      <c r="B2699" t="s">
        <v>20</v>
      </c>
      <c r="C2699" t="s">
        <v>11</v>
      </c>
      <c r="D2699" t="s">
        <v>16</v>
      </c>
      <c r="E2699">
        <v>9</v>
      </c>
      <c r="F2699" s="3">
        <v>2988</v>
      </c>
      <c r="G2699" s="2">
        <v>447.93</v>
      </c>
      <c r="H2699">
        <f>Master_ventas[[#This Row],[Profit]]/Master_ventas[[#This Row],[Sales]]</f>
        <v>0.14990963855421688</v>
      </c>
      <c r="I2699">
        <f ca="1">Referencia_Hoy-Master_ventas[[#This Row],[Order Date]]</f>
        <v>1602</v>
      </c>
      <c r="J2699" t="str">
        <f>UPPER(Master_ventas[[#This Row],[Product Name]])</f>
        <v>MONITOR</v>
      </c>
      <c r="K2699" t="str">
        <f>UPPER(Master_ventas[[#This Row],[Category]])</f>
        <v>ACCESSORIES</v>
      </c>
      <c r="L2699">
        <f>YEAR(Master_ventas[[#This Row],[Order Date]])</f>
        <v>2022</v>
      </c>
      <c r="M2699" t="str">
        <f>CONCATENATE(LEFT(Master_ventas[[#This Row],[ProdUpper]],3),RIGHT(Master_ventas[[#This Row],[Ext-Year]],2),"-",MID(Master_ventas[[#This Row],[Category]],1,1))</f>
        <v>MON22-A</v>
      </c>
      <c r="N2699" t="str">
        <f>MID(Master_ventas[[#This Row],[ProdUpper]],1,3)</f>
        <v>MON</v>
      </c>
      <c r="O2699" t="str">
        <f>UPPER(IF(Master_ventas[[#This Row],[Profit]]&gt;500,"High","Std"))</f>
        <v>STD</v>
      </c>
      <c r="P2699">
        <v>2698</v>
      </c>
    </row>
    <row r="2700" spans="1:16" x14ac:dyDescent="0.3">
      <c r="A2700" s="1">
        <v>45023</v>
      </c>
      <c r="B2700" t="s">
        <v>18</v>
      </c>
      <c r="C2700" t="s">
        <v>11</v>
      </c>
      <c r="D2700" t="s">
        <v>15</v>
      </c>
      <c r="E2700">
        <v>8</v>
      </c>
      <c r="F2700" s="3">
        <v>4136</v>
      </c>
      <c r="G2700" s="2">
        <v>810.82</v>
      </c>
      <c r="H2700">
        <f>Master_ventas[[#This Row],[Profit]]/Master_ventas[[#This Row],[Sales]]</f>
        <v>0.1960396518375242</v>
      </c>
      <c r="I2700">
        <f ca="1">Referencia_Hoy-Master_ventas[[#This Row],[Order Date]]</f>
        <v>1300</v>
      </c>
      <c r="J2700" t="str">
        <f>UPPER(Master_ventas[[#This Row],[Product Name]])</f>
        <v>HEADPHONES</v>
      </c>
      <c r="K2700" t="str">
        <f>UPPER(Master_ventas[[#This Row],[Category]])</f>
        <v>ACCESSORIES</v>
      </c>
      <c r="L2700">
        <f>YEAR(Master_ventas[[#This Row],[Order Date]])</f>
        <v>2023</v>
      </c>
      <c r="M2700" t="str">
        <f>CONCATENATE(LEFT(Master_ventas[[#This Row],[ProdUpper]],3),RIGHT(Master_ventas[[#This Row],[Ext-Year]],2),"-",MID(Master_ventas[[#This Row],[Category]],1,1))</f>
        <v>HEA23-A</v>
      </c>
      <c r="N2700" t="str">
        <f>MID(Master_ventas[[#This Row],[ProdUpper]],1,3)</f>
        <v>HEA</v>
      </c>
      <c r="O2700" t="str">
        <f>UPPER(IF(Master_ventas[[#This Row],[Profit]]&gt;500,"High","Std"))</f>
        <v>HIGH</v>
      </c>
      <c r="P2700">
        <v>2699</v>
      </c>
    </row>
    <row r="2701" spans="1:16" x14ac:dyDescent="0.3">
      <c r="A2701" s="1">
        <v>45221</v>
      </c>
      <c r="B2701" t="s">
        <v>10</v>
      </c>
      <c r="C2701" t="s">
        <v>11</v>
      </c>
      <c r="D2701" t="s">
        <v>15</v>
      </c>
      <c r="E2701">
        <v>7</v>
      </c>
      <c r="F2701" s="3">
        <v>3605</v>
      </c>
      <c r="G2701" s="2">
        <v>387.82</v>
      </c>
      <c r="H2701">
        <f>Master_ventas[[#This Row],[Profit]]/Master_ventas[[#This Row],[Sales]]</f>
        <v>0.10757836338418862</v>
      </c>
      <c r="I2701">
        <f ca="1">Referencia_Hoy-Master_ventas[[#This Row],[Order Date]]</f>
        <v>1102</v>
      </c>
      <c r="J2701" t="str">
        <f>UPPER(Master_ventas[[#This Row],[Product Name]])</f>
        <v>MOUSE</v>
      </c>
      <c r="K2701" t="str">
        <f>UPPER(Master_ventas[[#This Row],[Category]])</f>
        <v>ACCESSORIES</v>
      </c>
      <c r="L2701">
        <f>YEAR(Master_ventas[[#This Row],[Order Date]])</f>
        <v>2023</v>
      </c>
      <c r="M2701" t="str">
        <f>CONCATENATE(LEFT(Master_ventas[[#This Row],[ProdUpper]],3),RIGHT(Master_ventas[[#This Row],[Ext-Year]],2),"-",MID(Master_ventas[[#This Row],[Category]],1,1))</f>
        <v>MOU23-A</v>
      </c>
      <c r="N2701" t="str">
        <f>MID(Master_ventas[[#This Row],[ProdUpper]],1,3)</f>
        <v>MOU</v>
      </c>
      <c r="O2701" t="str">
        <f>UPPER(IF(Master_ventas[[#This Row],[Profit]]&gt;500,"High","Std"))</f>
        <v>STD</v>
      </c>
      <c r="P2701">
        <v>2700</v>
      </c>
    </row>
    <row r="2702" spans="1:16" x14ac:dyDescent="0.3">
      <c r="A2702" s="1">
        <v>45148</v>
      </c>
      <c r="B2702" t="s">
        <v>19</v>
      </c>
      <c r="C2702" t="s">
        <v>14</v>
      </c>
      <c r="D2702" t="s">
        <v>16</v>
      </c>
      <c r="E2702">
        <v>3</v>
      </c>
      <c r="F2702" s="3">
        <v>1656</v>
      </c>
      <c r="G2702" s="2">
        <v>469.28</v>
      </c>
      <c r="H2702">
        <f>Master_ventas[[#This Row],[Profit]]/Master_ventas[[#This Row],[Sales]]</f>
        <v>0.28338164251207726</v>
      </c>
      <c r="I2702">
        <f ca="1">Referencia_Hoy-Master_ventas[[#This Row],[Order Date]]</f>
        <v>1175</v>
      </c>
      <c r="J2702" t="str">
        <f>UPPER(Master_ventas[[#This Row],[Product Name]])</f>
        <v>SMARTWATCH</v>
      </c>
      <c r="K2702" t="str">
        <f>UPPER(Master_ventas[[#This Row],[Category]])</f>
        <v>ELECTRONICS</v>
      </c>
      <c r="L2702">
        <f>YEAR(Master_ventas[[#This Row],[Order Date]])</f>
        <v>2023</v>
      </c>
      <c r="M2702" t="str">
        <f>CONCATENATE(LEFT(Master_ventas[[#This Row],[ProdUpper]],3),RIGHT(Master_ventas[[#This Row],[Ext-Year]],2),"-",MID(Master_ventas[[#This Row],[Category]],1,1))</f>
        <v>SMA23-E</v>
      </c>
      <c r="N2702" t="str">
        <f>MID(Master_ventas[[#This Row],[ProdUpper]],1,3)</f>
        <v>SMA</v>
      </c>
      <c r="O2702" t="str">
        <f>UPPER(IF(Master_ventas[[#This Row],[Profit]]&gt;500,"High","Std"))</f>
        <v>STD</v>
      </c>
      <c r="P2702">
        <v>2701</v>
      </c>
    </row>
    <row r="2703" spans="1:16" x14ac:dyDescent="0.3">
      <c r="A2703" s="1">
        <v>44919</v>
      </c>
      <c r="B2703" t="s">
        <v>7</v>
      </c>
      <c r="C2703" t="s">
        <v>8</v>
      </c>
      <c r="D2703" t="s">
        <v>16</v>
      </c>
      <c r="E2703">
        <v>8</v>
      </c>
      <c r="F2703" s="3">
        <v>7072</v>
      </c>
      <c r="G2703" s="2">
        <v>2113.06</v>
      </c>
      <c r="H2703">
        <f>Master_ventas[[#This Row],[Profit]]/Master_ventas[[#This Row],[Sales]]</f>
        <v>0.29879242081447965</v>
      </c>
      <c r="I2703">
        <f ca="1">Referencia_Hoy-Master_ventas[[#This Row],[Order Date]]</f>
        <v>1404</v>
      </c>
      <c r="J2703" t="str">
        <f>UPPER(Master_ventas[[#This Row],[Product Name]])</f>
        <v>PRINTER</v>
      </c>
      <c r="K2703" t="str">
        <f>UPPER(Master_ventas[[#This Row],[Category]])</f>
        <v>OFFICE</v>
      </c>
      <c r="L2703">
        <f>YEAR(Master_ventas[[#This Row],[Order Date]])</f>
        <v>2022</v>
      </c>
      <c r="M2703" t="str">
        <f>CONCATENATE(LEFT(Master_ventas[[#This Row],[ProdUpper]],3),RIGHT(Master_ventas[[#This Row],[Ext-Year]],2),"-",MID(Master_ventas[[#This Row],[Category]],1,1))</f>
        <v>PRI22-O</v>
      </c>
      <c r="N2703" t="str">
        <f>MID(Master_ventas[[#This Row],[ProdUpper]],1,3)</f>
        <v>PRI</v>
      </c>
      <c r="O2703" t="str">
        <f>UPPER(IF(Master_ventas[[#This Row],[Profit]]&gt;500,"High","Std"))</f>
        <v>HIGH</v>
      </c>
      <c r="P2703">
        <v>2702</v>
      </c>
    </row>
    <row r="2704" spans="1:16" x14ac:dyDescent="0.3">
      <c r="A2704" s="1">
        <v>45539</v>
      </c>
      <c r="B2704" t="s">
        <v>22</v>
      </c>
      <c r="C2704" t="s">
        <v>11</v>
      </c>
      <c r="D2704" t="s">
        <v>15</v>
      </c>
      <c r="E2704">
        <v>8</v>
      </c>
      <c r="F2704" s="3">
        <v>5368</v>
      </c>
      <c r="G2704" s="2">
        <v>542.52</v>
      </c>
      <c r="H2704">
        <f>Master_ventas[[#This Row],[Profit]]/Master_ventas[[#This Row],[Sales]]</f>
        <v>0.1010655737704918</v>
      </c>
      <c r="I2704">
        <f ca="1">Referencia_Hoy-Master_ventas[[#This Row],[Order Date]]</f>
        <v>784</v>
      </c>
      <c r="J2704" t="str">
        <f>UPPER(Master_ventas[[#This Row],[Product Name]])</f>
        <v>KEYBOARD</v>
      </c>
      <c r="K2704" t="str">
        <f>UPPER(Master_ventas[[#This Row],[Category]])</f>
        <v>ACCESSORIES</v>
      </c>
      <c r="L2704">
        <f>YEAR(Master_ventas[[#This Row],[Order Date]])</f>
        <v>2024</v>
      </c>
      <c r="M2704" t="str">
        <f>CONCATENATE(LEFT(Master_ventas[[#This Row],[ProdUpper]],3),RIGHT(Master_ventas[[#This Row],[Ext-Year]],2),"-",MID(Master_ventas[[#This Row],[Category]],1,1))</f>
        <v>KEY24-A</v>
      </c>
      <c r="N2704" t="str">
        <f>MID(Master_ventas[[#This Row],[ProdUpper]],1,3)</f>
        <v>KEY</v>
      </c>
      <c r="O2704" t="str">
        <f>UPPER(IF(Master_ventas[[#This Row],[Profit]]&gt;500,"High","Std"))</f>
        <v>HIGH</v>
      </c>
      <c r="P2704">
        <v>2703</v>
      </c>
    </row>
    <row r="2705" spans="1:16" x14ac:dyDescent="0.3">
      <c r="A2705" s="1">
        <v>45313</v>
      </c>
      <c r="B2705" t="s">
        <v>23</v>
      </c>
      <c r="C2705" t="s">
        <v>14</v>
      </c>
      <c r="D2705" t="s">
        <v>12</v>
      </c>
      <c r="E2705">
        <v>4</v>
      </c>
      <c r="F2705" s="3">
        <v>1356</v>
      </c>
      <c r="G2705" s="2">
        <v>374.79</v>
      </c>
      <c r="H2705">
        <f>Master_ventas[[#This Row],[Profit]]/Master_ventas[[#This Row],[Sales]]</f>
        <v>0.27639380530973451</v>
      </c>
      <c r="I2705">
        <f ca="1">Referencia_Hoy-Master_ventas[[#This Row],[Order Date]]</f>
        <v>1010</v>
      </c>
      <c r="J2705" t="str">
        <f>UPPER(Master_ventas[[#This Row],[Product Name]])</f>
        <v>LAPTOP</v>
      </c>
      <c r="K2705" t="str">
        <f>UPPER(Master_ventas[[#This Row],[Category]])</f>
        <v>ELECTRONICS</v>
      </c>
      <c r="L2705">
        <f>YEAR(Master_ventas[[#This Row],[Order Date]])</f>
        <v>2024</v>
      </c>
      <c r="M2705" t="str">
        <f>CONCATENATE(LEFT(Master_ventas[[#This Row],[ProdUpper]],3),RIGHT(Master_ventas[[#This Row],[Ext-Year]],2),"-",MID(Master_ventas[[#This Row],[Category]],1,1))</f>
        <v>LAP24-E</v>
      </c>
      <c r="N2705" t="str">
        <f>MID(Master_ventas[[#This Row],[ProdUpper]],1,3)</f>
        <v>LAP</v>
      </c>
      <c r="O2705" t="str">
        <f>UPPER(IF(Master_ventas[[#This Row],[Profit]]&gt;500,"High","Std"))</f>
        <v>STD</v>
      </c>
      <c r="P2705">
        <v>2704</v>
      </c>
    </row>
    <row r="2706" spans="1:16" x14ac:dyDescent="0.3">
      <c r="A2706" s="1">
        <v>45469</v>
      </c>
      <c r="B2706" t="s">
        <v>7</v>
      </c>
      <c r="C2706" t="s">
        <v>8</v>
      </c>
      <c r="D2706" t="s">
        <v>15</v>
      </c>
      <c r="E2706">
        <v>6</v>
      </c>
      <c r="F2706" s="3">
        <v>1326</v>
      </c>
      <c r="G2706" s="2">
        <v>338.66</v>
      </c>
      <c r="H2706">
        <f>Master_ventas[[#This Row],[Profit]]/Master_ventas[[#This Row],[Sales]]</f>
        <v>0.25539969834087484</v>
      </c>
      <c r="I2706">
        <f ca="1">Referencia_Hoy-Master_ventas[[#This Row],[Order Date]]</f>
        <v>854</v>
      </c>
      <c r="J2706" t="str">
        <f>UPPER(Master_ventas[[#This Row],[Product Name]])</f>
        <v>PRINTER</v>
      </c>
      <c r="K2706" t="str">
        <f>UPPER(Master_ventas[[#This Row],[Category]])</f>
        <v>OFFICE</v>
      </c>
      <c r="L2706">
        <f>YEAR(Master_ventas[[#This Row],[Order Date]])</f>
        <v>2024</v>
      </c>
      <c r="M2706" t="str">
        <f>CONCATENATE(LEFT(Master_ventas[[#This Row],[ProdUpper]],3),RIGHT(Master_ventas[[#This Row],[Ext-Year]],2),"-",MID(Master_ventas[[#This Row],[Category]],1,1))</f>
        <v>PRI24-O</v>
      </c>
      <c r="N2706" t="str">
        <f>MID(Master_ventas[[#This Row],[ProdUpper]],1,3)</f>
        <v>PRI</v>
      </c>
      <c r="O2706" t="str">
        <f>UPPER(IF(Master_ventas[[#This Row],[Profit]]&gt;500,"High","Std"))</f>
        <v>STD</v>
      </c>
      <c r="P2706">
        <v>2705</v>
      </c>
    </row>
    <row r="2707" spans="1:16" x14ac:dyDescent="0.3">
      <c r="A2707" s="1">
        <v>45591</v>
      </c>
      <c r="B2707" t="s">
        <v>7</v>
      </c>
      <c r="C2707" t="s">
        <v>8</v>
      </c>
      <c r="D2707" t="s">
        <v>12</v>
      </c>
      <c r="E2707">
        <v>1</v>
      </c>
      <c r="F2707" s="3">
        <v>730</v>
      </c>
      <c r="G2707" s="2">
        <v>55.72</v>
      </c>
      <c r="H2707">
        <f>Master_ventas[[#This Row],[Profit]]/Master_ventas[[#This Row],[Sales]]</f>
        <v>7.6328767123287664E-2</v>
      </c>
      <c r="I2707">
        <f ca="1">Referencia_Hoy-Master_ventas[[#This Row],[Order Date]]</f>
        <v>732</v>
      </c>
      <c r="J2707" t="str">
        <f>UPPER(Master_ventas[[#This Row],[Product Name]])</f>
        <v>PRINTER</v>
      </c>
      <c r="K2707" t="str">
        <f>UPPER(Master_ventas[[#This Row],[Category]])</f>
        <v>OFFICE</v>
      </c>
      <c r="L2707">
        <f>YEAR(Master_ventas[[#This Row],[Order Date]])</f>
        <v>2024</v>
      </c>
      <c r="M2707" t="str">
        <f>CONCATENATE(LEFT(Master_ventas[[#This Row],[ProdUpper]],3),RIGHT(Master_ventas[[#This Row],[Ext-Year]],2),"-",MID(Master_ventas[[#This Row],[Category]],1,1))</f>
        <v>PRI24-O</v>
      </c>
      <c r="N2707" t="str">
        <f>MID(Master_ventas[[#This Row],[ProdUpper]],1,3)</f>
        <v>PRI</v>
      </c>
      <c r="O2707" t="str">
        <f>UPPER(IF(Master_ventas[[#This Row],[Profit]]&gt;500,"High","Std"))</f>
        <v>STD</v>
      </c>
      <c r="P2707">
        <v>2706</v>
      </c>
    </row>
    <row r="2708" spans="1:16" x14ac:dyDescent="0.3">
      <c r="A2708" s="1">
        <v>45422</v>
      </c>
      <c r="B2708" t="s">
        <v>18</v>
      </c>
      <c r="C2708" t="s">
        <v>11</v>
      </c>
      <c r="D2708" t="s">
        <v>15</v>
      </c>
      <c r="E2708">
        <v>4</v>
      </c>
      <c r="F2708" s="3">
        <v>4664</v>
      </c>
      <c r="G2708" s="2">
        <v>294.05</v>
      </c>
      <c r="H2708">
        <f>Master_ventas[[#This Row],[Profit]]/Master_ventas[[#This Row],[Sales]]</f>
        <v>6.3046740994854203E-2</v>
      </c>
      <c r="I2708">
        <f ca="1">Referencia_Hoy-Master_ventas[[#This Row],[Order Date]]</f>
        <v>901</v>
      </c>
      <c r="J2708" t="str">
        <f>UPPER(Master_ventas[[#This Row],[Product Name]])</f>
        <v>HEADPHONES</v>
      </c>
      <c r="K2708" t="str">
        <f>UPPER(Master_ventas[[#This Row],[Category]])</f>
        <v>ACCESSORIES</v>
      </c>
      <c r="L2708">
        <f>YEAR(Master_ventas[[#This Row],[Order Date]])</f>
        <v>2024</v>
      </c>
      <c r="M2708" t="str">
        <f>CONCATENATE(LEFT(Master_ventas[[#This Row],[ProdUpper]],3),RIGHT(Master_ventas[[#This Row],[Ext-Year]],2),"-",MID(Master_ventas[[#This Row],[Category]],1,1))</f>
        <v>HEA24-A</v>
      </c>
      <c r="N2708" t="str">
        <f>MID(Master_ventas[[#This Row],[ProdUpper]],1,3)</f>
        <v>HEA</v>
      </c>
      <c r="O2708" t="str">
        <f>UPPER(IF(Master_ventas[[#This Row],[Profit]]&gt;500,"High","Std"))</f>
        <v>STD</v>
      </c>
      <c r="P2708">
        <v>2707</v>
      </c>
    </row>
    <row r="2709" spans="1:16" x14ac:dyDescent="0.3">
      <c r="A2709" s="1">
        <v>45264</v>
      </c>
      <c r="B2709" t="s">
        <v>23</v>
      </c>
      <c r="C2709" t="s">
        <v>14</v>
      </c>
      <c r="D2709" t="s">
        <v>9</v>
      </c>
      <c r="E2709">
        <v>8</v>
      </c>
      <c r="F2709" s="3">
        <v>3528</v>
      </c>
      <c r="G2709" s="2">
        <v>593.11</v>
      </c>
      <c r="H2709">
        <f>Master_ventas[[#This Row],[Profit]]/Master_ventas[[#This Row],[Sales]]</f>
        <v>0.16811507936507936</v>
      </c>
      <c r="I2709">
        <f ca="1">Referencia_Hoy-Master_ventas[[#This Row],[Order Date]]</f>
        <v>1059</v>
      </c>
      <c r="J2709" t="str">
        <f>UPPER(Master_ventas[[#This Row],[Product Name]])</f>
        <v>LAPTOP</v>
      </c>
      <c r="K2709" t="str">
        <f>UPPER(Master_ventas[[#This Row],[Category]])</f>
        <v>ELECTRONICS</v>
      </c>
      <c r="L2709">
        <f>YEAR(Master_ventas[[#This Row],[Order Date]])</f>
        <v>2023</v>
      </c>
      <c r="M2709" t="str">
        <f>CONCATENATE(LEFT(Master_ventas[[#This Row],[ProdUpper]],3),RIGHT(Master_ventas[[#This Row],[Ext-Year]],2),"-",MID(Master_ventas[[#This Row],[Category]],1,1))</f>
        <v>LAP23-E</v>
      </c>
      <c r="N2709" t="str">
        <f>MID(Master_ventas[[#This Row],[ProdUpper]],1,3)</f>
        <v>LAP</v>
      </c>
      <c r="O2709" t="str">
        <f>UPPER(IF(Master_ventas[[#This Row],[Profit]]&gt;500,"High","Std"))</f>
        <v>HIGH</v>
      </c>
      <c r="P2709">
        <v>2708</v>
      </c>
    </row>
    <row r="2710" spans="1:16" x14ac:dyDescent="0.3">
      <c r="A2710" s="1">
        <v>45004</v>
      </c>
      <c r="B2710" t="s">
        <v>10</v>
      </c>
      <c r="C2710" t="s">
        <v>11</v>
      </c>
      <c r="D2710" t="s">
        <v>16</v>
      </c>
      <c r="E2710">
        <v>3</v>
      </c>
      <c r="F2710" s="3">
        <v>1497</v>
      </c>
      <c r="G2710" s="2">
        <v>190.59</v>
      </c>
      <c r="H2710">
        <f>Master_ventas[[#This Row],[Profit]]/Master_ventas[[#This Row],[Sales]]</f>
        <v>0.12731462925851703</v>
      </c>
      <c r="I2710">
        <f ca="1">Referencia_Hoy-Master_ventas[[#This Row],[Order Date]]</f>
        <v>1319</v>
      </c>
      <c r="J2710" t="str">
        <f>UPPER(Master_ventas[[#This Row],[Product Name]])</f>
        <v>MOUSE</v>
      </c>
      <c r="K2710" t="str">
        <f>UPPER(Master_ventas[[#This Row],[Category]])</f>
        <v>ACCESSORIES</v>
      </c>
      <c r="L2710">
        <f>YEAR(Master_ventas[[#This Row],[Order Date]])</f>
        <v>2023</v>
      </c>
      <c r="M2710" t="str">
        <f>CONCATENATE(LEFT(Master_ventas[[#This Row],[ProdUpper]],3),RIGHT(Master_ventas[[#This Row],[Ext-Year]],2),"-",MID(Master_ventas[[#This Row],[Category]],1,1))</f>
        <v>MOU23-A</v>
      </c>
      <c r="N2710" t="str">
        <f>MID(Master_ventas[[#This Row],[ProdUpper]],1,3)</f>
        <v>MOU</v>
      </c>
      <c r="O2710" t="str">
        <f>UPPER(IF(Master_ventas[[#This Row],[Profit]]&gt;500,"High","Std"))</f>
        <v>STD</v>
      </c>
      <c r="P2710">
        <v>2709</v>
      </c>
    </row>
    <row r="2711" spans="1:16" x14ac:dyDescent="0.3">
      <c r="A2711" s="1">
        <v>45037</v>
      </c>
      <c r="B2711" t="s">
        <v>13</v>
      </c>
      <c r="C2711" t="s">
        <v>14</v>
      </c>
      <c r="D2711" t="s">
        <v>9</v>
      </c>
      <c r="E2711">
        <v>3</v>
      </c>
      <c r="F2711" s="3">
        <v>2628</v>
      </c>
      <c r="G2711" s="2">
        <v>781.94</v>
      </c>
      <c r="H2711">
        <f>Master_ventas[[#This Row],[Profit]]/Master_ventas[[#This Row],[Sales]]</f>
        <v>0.29754185692541857</v>
      </c>
      <c r="I2711">
        <f ca="1">Referencia_Hoy-Master_ventas[[#This Row],[Order Date]]</f>
        <v>1286</v>
      </c>
      <c r="J2711" t="str">
        <f>UPPER(Master_ventas[[#This Row],[Product Name]])</f>
        <v>TABLET</v>
      </c>
      <c r="K2711" t="str">
        <f>UPPER(Master_ventas[[#This Row],[Category]])</f>
        <v>ELECTRONICS</v>
      </c>
      <c r="L2711">
        <f>YEAR(Master_ventas[[#This Row],[Order Date]])</f>
        <v>2023</v>
      </c>
      <c r="M2711" t="str">
        <f>CONCATENATE(LEFT(Master_ventas[[#This Row],[ProdUpper]],3),RIGHT(Master_ventas[[#This Row],[Ext-Year]],2),"-",MID(Master_ventas[[#This Row],[Category]],1,1))</f>
        <v>TAB23-E</v>
      </c>
      <c r="N2711" t="str">
        <f>MID(Master_ventas[[#This Row],[ProdUpper]],1,3)</f>
        <v>TAB</v>
      </c>
      <c r="O2711" t="str">
        <f>UPPER(IF(Master_ventas[[#This Row],[Profit]]&gt;500,"High","Std"))</f>
        <v>HIGH</v>
      </c>
      <c r="P2711">
        <v>2710</v>
      </c>
    </row>
    <row r="2712" spans="1:16" x14ac:dyDescent="0.3">
      <c r="A2712" s="1">
        <v>44877</v>
      </c>
      <c r="B2712" t="s">
        <v>23</v>
      </c>
      <c r="C2712" t="s">
        <v>14</v>
      </c>
      <c r="D2712" t="s">
        <v>16</v>
      </c>
      <c r="E2712">
        <v>4</v>
      </c>
      <c r="F2712" s="3">
        <v>4196</v>
      </c>
      <c r="G2712" s="2">
        <v>655.29</v>
      </c>
      <c r="H2712">
        <f>Master_ventas[[#This Row],[Profit]]/Master_ventas[[#This Row],[Sales]]</f>
        <v>0.15617016205910389</v>
      </c>
      <c r="I2712">
        <f ca="1">Referencia_Hoy-Master_ventas[[#This Row],[Order Date]]</f>
        <v>1446</v>
      </c>
      <c r="J2712" t="str">
        <f>UPPER(Master_ventas[[#This Row],[Product Name]])</f>
        <v>LAPTOP</v>
      </c>
      <c r="K2712" t="str">
        <f>UPPER(Master_ventas[[#This Row],[Category]])</f>
        <v>ELECTRONICS</v>
      </c>
      <c r="L2712">
        <f>YEAR(Master_ventas[[#This Row],[Order Date]])</f>
        <v>2022</v>
      </c>
      <c r="M2712" t="str">
        <f>CONCATENATE(LEFT(Master_ventas[[#This Row],[ProdUpper]],3),RIGHT(Master_ventas[[#This Row],[Ext-Year]],2),"-",MID(Master_ventas[[#This Row],[Category]],1,1))</f>
        <v>LAP22-E</v>
      </c>
      <c r="N2712" t="str">
        <f>MID(Master_ventas[[#This Row],[ProdUpper]],1,3)</f>
        <v>LAP</v>
      </c>
      <c r="O2712" t="str">
        <f>UPPER(IF(Master_ventas[[#This Row],[Profit]]&gt;500,"High","Std"))</f>
        <v>HIGH</v>
      </c>
      <c r="P2712">
        <v>2711</v>
      </c>
    </row>
    <row r="2713" spans="1:16" x14ac:dyDescent="0.3">
      <c r="A2713" s="1">
        <v>44775</v>
      </c>
      <c r="B2713" t="s">
        <v>20</v>
      </c>
      <c r="C2713" t="s">
        <v>11</v>
      </c>
      <c r="D2713" t="s">
        <v>15</v>
      </c>
      <c r="E2713">
        <v>7</v>
      </c>
      <c r="F2713" s="3">
        <v>1204</v>
      </c>
      <c r="G2713" s="2">
        <v>317.12</v>
      </c>
      <c r="H2713">
        <f>Master_ventas[[#This Row],[Profit]]/Master_ventas[[#This Row],[Sales]]</f>
        <v>0.26338870431893691</v>
      </c>
      <c r="I2713">
        <f ca="1">Referencia_Hoy-Master_ventas[[#This Row],[Order Date]]</f>
        <v>1548</v>
      </c>
      <c r="J2713" t="str">
        <f>UPPER(Master_ventas[[#This Row],[Product Name]])</f>
        <v>MONITOR</v>
      </c>
      <c r="K2713" t="str">
        <f>UPPER(Master_ventas[[#This Row],[Category]])</f>
        <v>ACCESSORIES</v>
      </c>
      <c r="L2713">
        <f>YEAR(Master_ventas[[#This Row],[Order Date]])</f>
        <v>2022</v>
      </c>
      <c r="M2713" t="str">
        <f>CONCATENATE(LEFT(Master_ventas[[#This Row],[ProdUpper]],3),RIGHT(Master_ventas[[#This Row],[Ext-Year]],2),"-",MID(Master_ventas[[#This Row],[Category]],1,1))</f>
        <v>MON22-A</v>
      </c>
      <c r="N2713" t="str">
        <f>MID(Master_ventas[[#This Row],[ProdUpper]],1,3)</f>
        <v>MON</v>
      </c>
      <c r="O2713" t="str">
        <f>UPPER(IF(Master_ventas[[#This Row],[Profit]]&gt;500,"High","Std"))</f>
        <v>STD</v>
      </c>
      <c r="P2713">
        <v>2712</v>
      </c>
    </row>
    <row r="2714" spans="1:16" x14ac:dyDescent="0.3">
      <c r="A2714" s="1">
        <v>45161</v>
      </c>
      <c r="B2714" t="s">
        <v>7</v>
      </c>
      <c r="C2714" t="s">
        <v>8</v>
      </c>
      <c r="D2714" t="s">
        <v>16</v>
      </c>
      <c r="E2714">
        <v>7</v>
      </c>
      <c r="F2714" s="3">
        <v>7119</v>
      </c>
      <c r="G2714" s="2">
        <v>1555.05</v>
      </c>
      <c r="H2714">
        <f>Master_ventas[[#This Row],[Profit]]/Master_ventas[[#This Row],[Sales]]</f>
        <v>0.21843657817109144</v>
      </c>
      <c r="I2714">
        <f ca="1">Referencia_Hoy-Master_ventas[[#This Row],[Order Date]]</f>
        <v>1162</v>
      </c>
      <c r="J2714" t="str">
        <f>UPPER(Master_ventas[[#This Row],[Product Name]])</f>
        <v>PRINTER</v>
      </c>
      <c r="K2714" t="str">
        <f>UPPER(Master_ventas[[#This Row],[Category]])</f>
        <v>OFFICE</v>
      </c>
      <c r="L2714">
        <f>YEAR(Master_ventas[[#This Row],[Order Date]])</f>
        <v>2023</v>
      </c>
      <c r="M2714" t="str">
        <f>CONCATENATE(LEFT(Master_ventas[[#This Row],[ProdUpper]],3),RIGHT(Master_ventas[[#This Row],[Ext-Year]],2),"-",MID(Master_ventas[[#This Row],[Category]],1,1))</f>
        <v>PRI23-O</v>
      </c>
      <c r="N2714" t="str">
        <f>MID(Master_ventas[[#This Row],[ProdUpper]],1,3)</f>
        <v>PRI</v>
      </c>
      <c r="O2714" t="str">
        <f>UPPER(IF(Master_ventas[[#This Row],[Profit]]&gt;500,"High","Std"))</f>
        <v>HIGH</v>
      </c>
      <c r="P2714">
        <v>2713</v>
      </c>
    </row>
    <row r="2715" spans="1:16" x14ac:dyDescent="0.3">
      <c r="A2715" s="1">
        <v>45424</v>
      </c>
      <c r="B2715" t="s">
        <v>13</v>
      </c>
      <c r="C2715" t="s">
        <v>14</v>
      </c>
      <c r="D2715" t="s">
        <v>16</v>
      </c>
      <c r="E2715">
        <v>8</v>
      </c>
      <c r="F2715" s="3">
        <v>1848</v>
      </c>
      <c r="G2715" s="2">
        <v>351.02</v>
      </c>
      <c r="H2715">
        <f>Master_ventas[[#This Row],[Profit]]/Master_ventas[[#This Row],[Sales]]</f>
        <v>0.18994588744588745</v>
      </c>
      <c r="I2715">
        <f ca="1">Referencia_Hoy-Master_ventas[[#This Row],[Order Date]]</f>
        <v>899</v>
      </c>
      <c r="J2715" t="str">
        <f>UPPER(Master_ventas[[#This Row],[Product Name]])</f>
        <v>TABLET</v>
      </c>
      <c r="K2715" t="str">
        <f>UPPER(Master_ventas[[#This Row],[Category]])</f>
        <v>ELECTRONICS</v>
      </c>
      <c r="L2715">
        <f>YEAR(Master_ventas[[#This Row],[Order Date]])</f>
        <v>2024</v>
      </c>
      <c r="M2715" t="str">
        <f>CONCATENATE(LEFT(Master_ventas[[#This Row],[ProdUpper]],3),RIGHT(Master_ventas[[#This Row],[Ext-Year]],2),"-",MID(Master_ventas[[#This Row],[Category]],1,1))</f>
        <v>TAB24-E</v>
      </c>
      <c r="N2715" t="str">
        <f>MID(Master_ventas[[#This Row],[ProdUpper]],1,3)</f>
        <v>TAB</v>
      </c>
      <c r="O2715" t="str">
        <f>UPPER(IF(Master_ventas[[#This Row],[Profit]]&gt;500,"High","Std"))</f>
        <v>STD</v>
      </c>
      <c r="P2715">
        <v>2714</v>
      </c>
    </row>
    <row r="2716" spans="1:16" x14ac:dyDescent="0.3">
      <c r="A2716" s="1">
        <v>45436</v>
      </c>
      <c r="B2716" t="s">
        <v>13</v>
      </c>
      <c r="C2716" t="s">
        <v>14</v>
      </c>
      <c r="D2716" t="s">
        <v>15</v>
      </c>
      <c r="E2716">
        <v>4</v>
      </c>
      <c r="F2716" s="3">
        <v>2232</v>
      </c>
      <c r="G2716" s="2">
        <v>531.12</v>
      </c>
      <c r="H2716">
        <f>Master_ventas[[#This Row],[Profit]]/Master_ventas[[#This Row],[Sales]]</f>
        <v>0.23795698924731182</v>
      </c>
      <c r="I2716">
        <f ca="1">Referencia_Hoy-Master_ventas[[#This Row],[Order Date]]</f>
        <v>887</v>
      </c>
      <c r="J2716" t="str">
        <f>UPPER(Master_ventas[[#This Row],[Product Name]])</f>
        <v>TABLET</v>
      </c>
      <c r="K2716" t="str">
        <f>UPPER(Master_ventas[[#This Row],[Category]])</f>
        <v>ELECTRONICS</v>
      </c>
      <c r="L2716">
        <f>YEAR(Master_ventas[[#This Row],[Order Date]])</f>
        <v>2024</v>
      </c>
      <c r="M2716" t="str">
        <f>CONCATENATE(LEFT(Master_ventas[[#This Row],[ProdUpper]],3),RIGHT(Master_ventas[[#This Row],[Ext-Year]],2),"-",MID(Master_ventas[[#This Row],[Category]],1,1))</f>
        <v>TAB24-E</v>
      </c>
      <c r="N2716" t="str">
        <f>MID(Master_ventas[[#This Row],[ProdUpper]],1,3)</f>
        <v>TAB</v>
      </c>
      <c r="O2716" t="str">
        <f>UPPER(IF(Master_ventas[[#This Row],[Profit]]&gt;500,"High","Std"))</f>
        <v>HIGH</v>
      </c>
      <c r="P2716">
        <v>2715</v>
      </c>
    </row>
    <row r="2717" spans="1:16" x14ac:dyDescent="0.3">
      <c r="A2717" s="1">
        <v>45645</v>
      </c>
      <c r="B2717" t="s">
        <v>10</v>
      </c>
      <c r="C2717" t="s">
        <v>11</v>
      </c>
      <c r="D2717" t="s">
        <v>16</v>
      </c>
      <c r="E2717">
        <v>6</v>
      </c>
      <c r="F2717" s="3">
        <v>5190</v>
      </c>
      <c r="G2717" s="2">
        <v>898.86</v>
      </c>
      <c r="H2717">
        <f>Master_ventas[[#This Row],[Profit]]/Master_ventas[[#This Row],[Sales]]</f>
        <v>0.17319075144508672</v>
      </c>
      <c r="I2717">
        <f ca="1">Referencia_Hoy-Master_ventas[[#This Row],[Order Date]]</f>
        <v>678</v>
      </c>
      <c r="J2717" t="str">
        <f>UPPER(Master_ventas[[#This Row],[Product Name]])</f>
        <v>MOUSE</v>
      </c>
      <c r="K2717" t="str">
        <f>UPPER(Master_ventas[[#This Row],[Category]])</f>
        <v>ACCESSORIES</v>
      </c>
      <c r="L2717">
        <f>YEAR(Master_ventas[[#This Row],[Order Date]])</f>
        <v>2024</v>
      </c>
      <c r="M2717" t="str">
        <f>CONCATENATE(LEFT(Master_ventas[[#This Row],[ProdUpper]],3),RIGHT(Master_ventas[[#This Row],[Ext-Year]],2),"-",MID(Master_ventas[[#This Row],[Category]],1,1))</f>
        <v>MOU24-A</v>
      </c>
      <c r="N2717" t="str">
        <f>MID(Master_ventas[[#This Row],[ProdUpper]],1,3)</f>
        <v>MOU</v>
      </c>
      <c r="O2717" t="str">
        <f>UPPER(IF(Master_ventas[[#This Row],[Profit]]&gt;500,"High","Std"))</f>
        <v>HIGH</v>
      </c>
      <c r="P2717">
        <v>2716</v>
      </c>
    </row>
    <row r="2718" spans="1:16" x14ac:dyDescent="0.3">
      <c r="A2718" s="1">
        <v>44589</v>
      </c>
      <c r="B2718" t="s">
        <v>21</v>
      </c>
      <c r="C2718" t="s">
        <v>14</v>
      </c>
      <c r="D2718" t="s">
        <v>16</v>
      </c>
      <c r="E2718">
        <v>3</v>
      </c>
      <c r="F2718" s="3">
        <v>1830</v>
      </c>
      <c r="G2718" s="2">
        <v>403.42</v>
      </c>
      <c r="H2718">
        <f>Master_ventas[[#This Row],[Profit]]/Master_ventas[[#This Row],[Sales]]</f>
        <v>0.220448087431694</v>
      </c>
      <c r="I2718">
        <f ca="1">Referencia_Hoy-Master_ventas[[#This Row],[Order Date]]</f>
        <v>1734</v>
      </c>
      <c r="J2718" t="str">
        <f>UPPER(Master_ventas[[#This Row],[Product Name]])</f>
        <v>SMARTPHONE</v>
      </c>
      <c r="K2718" t="str">
        <f>UPPER(Master_ventas[[#This Row],[Category]])</f>
        <v>ELECTRONICS</v>
      </c>
      <c r="L2718">
        <f>YEAR(Master_ventas[[#This Row],[Order Date]])</f>
        <v>2022</v>
      </c>
      <c r="M2718" t="str">
        <f>CONCATENATE(LEFT(Master_ventas[[#This Row],[ProdUpper]],3),RIGHT(Master_ventas[[#This Row],[Ext-Year]],2),"-",MID(Master_ventas[[#This Row],[Category]],1,1))</f>
        <v>SMA22-E</v>
      </c>
      <c r="N2718" t="str">
        <f>MID(Master_ventas[[#This Row],[ProdUpper]],1,3)</f>
        <v>SMA</v>
      </c>
      <c r="O2718" t="str">
        <f>UPPER(IF(Master_ventas[[#This Row],[Profit]]&gt;500,"High","Std"))</f>
        <v>STD</v>
      </c>
      <c r="P2718">
        <v>2717</v>
      </c>
    </row>
    <row r="2719" spans="1:16" x14ac:dyDescent="0.3">
      <c r="A2719" s="1">
        <v>44590</v>
      </c>
      <c r="B2719" t="s">
        <v>10</v>
      </c>
      <c r="C2719" t="s">
        <v>11</v>
      </c>
      <c r="D2719" t="s">
        <v>16</v>
      </c>
      <c r="E2719">
        <v>1</v>
      </c>
      <c r="F2719" s="3">
        <v>1033</v>
      </c>
      <c r="G2719" s="2">
        <v>302.68</v>
      </c>
      <c r="H2719">
        <f>Master_ventas[[#This Row],[Profit]]/Master_ventas[[#This Row],[Sales]]</f>
        <v>0.29301064859632142</v>
      </c>
      <c r="I2719">
        <f ca="1">Referencia_Hoy-Master_ventas[[#This Row],[Order Date]]</f>
        <v>1733</v>
      </c>
      <c r="J2719" t="str">
        <f>UPPER(Master_ventas[[#This Row],[Product Name]])</f>
        <v>MOUSE</v>
      </c>
      <c r="K2719" t="str">
        <f>UPPER(Master_ventas[[#This Row],[Category]])</f>
        <v>ACCESSORIES</v>
      </c>
      <c r="L2719">
        <f>YEAR(Master_ventas[[#This Row],[Order Date]])</f>
        <v>2022</v>
      </c>
      <c r="M2719" t="str">
        <f>CONCATENATE(LEFT(Master_ventas[[#This Row],[ProdUpper]],3),RIGHT(Master_ventas[[#This Row],[Ext-Year]],2),"-",MID(Master_ventas[[#This Row],[Category]],1,1))</f>
        <v>MOU22-A</v>
      </c>
      <c r="N2719" t="str">
        <f>MID(Master_ventas[[#This Row],[ProdUpper]],1,3)</f>
        <v>MOU</v>
      </c>
      <c r="O2719" t="str">
        <f>UPPER(IF(Master_ventas[[#This Row],[Profit]]&gt;500,"High","Std"))</f>
        <v>STD</v>
      </c>
      <c r="P2719">
        <v>2718</v>
      </c>
    </row>
    <row r="2720" spans="1:16" x14ac:dyDescent="0.3">
      <c r="A2720" s="1">
        <v>44866</v>
      </c>
      <c r="B2720" t="s">
        <v>19</v>
      </c>
      <c r="C2720" t="s">
        <v>14</v>
      </c>
      <c r="D2720" t="s">
        <v>15</v>
      </c>
      <c r="E2720">
        <v>7</v>
      </c>
      <c r="F2720" s="3">
        <v>2324</v>
      </c>
      <c r="G2720" s="2">
        <v>611.70000000000005</v>
      </c>
      <c r="H2720">
        <f>Master_ventas[[#This Row],[Profit]]/Master_ventas[[#This Row],[Sales]]</f>
        <v>0.26320998278829605</v>
      </c>
      <c r="I2720">
        <f ca="1">Referencia_Hoy-Master_ventas[[#This Row],[Order Date]]</f>
        <v>1457</v>
      </c>
      <c r="J2720" t="str">
        <f>UPPER(Master_ventas[[#This Row],[Product Name]])</f>
        <v>SMARTWATCH</v>
      </c>
      <c r="K2720" t="str">
        <f>UPPER(Master_ventas[[#This Row],[Category]])</f>
        <v>ELECTRONICS</v>
      </c>
      <c r="L2720">
        <f>YEAR(Master_ventas[[#This Row],[Order Date]])</f>
        <v>2022</v>
      </c>
      <c r="M2720" t="str">
        <f>CONCATENATE(LEFT(Master_ventas[[#This Row],[ProdUpper]],3),RIGHT(Master_ventas[[#This Row],[Ext-Year]],2),"-",MID(Master_ventas[[#This Row],[Category]],1,1))</f>
        <v>SMA22-E</v>
      </c>
      <c r="N2720" t="str">
        <f>MID(Master_ventas[[#This Row],[ProdUpper]],1,3)</f>
        <v>SMA</v>
      </c>
      <c r="O2720" t="str">
        <f>UPPER(IF(Master_ventas[[#This Row],[Profit]]&gt;500,"High","Std"))</f>
        <v>HIGH</v>
      </c>
      <c r="P2720">
        <v>2719</v>
      </c>
    </row>
    <row r="2721" spans="1:16" x14ac:dyDescent="0.3">
      <c r="A2721" s="1">
        <v>45081</v>
      </c>
      <c r="B2721" t="s">
        <v>22</v>
      </c>
      <c r="C2721" t="s">
        <v>11</v>
      </c>
      <c r="D2721" t="s">
        <v>9</v>
      </c>
      <c r="E2721">
        <v>2</v>
      </c>
      <c r="F2721" s="3">
        <v>1942</v>
      </c>
      <c r="G2721" s="2">
        <v>235.42</v>
      </c>
      <c r="H2721">
        <f>Master_ventas[[#This Row],[Profit]]/Master_ventas[[#This Row],[Sales]]</f>
        <v>0.12122554067971163</v>
      </c>
      <c r="I2721">
        <f ca="1">Referencia_Hoy-Master_ventas[[#This Row],[Order Date]]</f>
        <v>1242</v>
      </c>
      <c r="J2721" t="str">
        <f>UPPER(Master_ventas[[#This Row],[Product Name]])</f>
        <v>KEYBOARD</v>
      </c>
      <c r="K2721" t="str">
        <f>UPPER(Master_ventas[[#This Row],[Category]])</f>
        <v>ACCESSORIES</v>
      </c>
      <c r="L2721">
        <f>YEAR(Master_ventas[[#This Row],[Order Date]])</f>
        <v>2023</v>
      </c>
      <c r="M2721" t="str">
        <f>CONCATENATE(LEFT(Master_ventas[[#This Row],[ProdUpper]],3),RIGHT(Master_ventas[[#This Row],[Ext-Year]],2),"-",MID(Master_ventas[[#This Row],[Category]],1,1))</f>
        <v>KEY23-A</v>
      </c>
      <c r="N2721" t="str">
        <f>MID(Master_ventas[[#This Row],[ProdUpper]],1,3)</f>
        <v>KEY</v>
      </c>
      <c r="O2721" t="str">
        <f>UPPER(IF(Master_ventas[[#This Row],[Profit]]&gt;500,"High","Std"))</f>
        <v>STD</v>
      </c>
      <c r="P2721">
        <v>2720</v>
      </c>
    </row>
    <row r="2722" spans="1:16" x14ac:dyDescent="0.3">
      <c r="A2722" s="1">
        <v>44647</v>
      </c>
      <c r="B2722" t="s">
        <v>7</v>
      </c>
      <c r="C2722" t="s">
        <v>8</v>
      </c>
      <c r="D2722" t="s">
        <v>15</v>
      </c>
      <c r="E2722">
        <v>7</v>
      </c>
      <c r="F2722" s="3">
        <v>5740</v>
      </c>
      <c r="G2722" s="2">
        <v>1615.9</v>
      </c>
      <c r="H2722">
        <f>Master_ventas[[#This Row],[Profit]]/Master_ventas[[#This Row],[Sales]]</f>
        <v>0.28151567944250872</v>
      </c>
      <c r="I2722">
        <f ca="1">Referencia_Hoy-Master_ventas[[#This Row],[Order Date]]</f>
        <v>1676</v>
      </c>
      <c r="J2722" t="str">
        <f>UPPER(Master_ventas[[#This Row],[Product Name]])</f>
        <v>PRINTER</v>
      </c>
      <c r="K2722" t="str">
        <f>UPPER(Master_ventas[[#This Row],[Category]])</f>
        <v>OFFICE</v>
      </c>
      <c r="L2722">
        <f>YEAR(Master_ventas[[#This Row],[Order Date]])</f>
        <v>2022</v>
      </c>
      <c r="M2722" t="str">
        <f>CONCATENATE(LEFT(Master_ventas[[#This Row],[ProdUpper]],3),RIGHT(Master_ventas[[#This Row],[Ext-Year]],2),"-",MID(Master_ventas[[#This Row],[Category]],1,1))</f>
        <v>PRI22-O</v>
      </c>
      <c r="N2722" t="str">
        <f>MID(Master_ventas[[#This Row],[ProdUpper]],1,3)</f>
        <v>PRI</v>
      </c>
      <c r="O2722" t="str">
        <f>UPPER(IF(Master_ventas[[#This Row],[Profit]]&gt;500,"High","Std"))</f>
        <v>HIGH</v>
      </c>
      <c r="P2722">
        <v>2721</v>
      </c>
    </row>
    <row r="2723" spans="1:16" x14ac:dyDescent="0.3">
      <c r="A2723" s="1">
        <v>44856</v>
      </c>
      <c r="B2723" t="s">
        <v>19</v>
      </c>
      <c r="C2723" t="s">
        <v>14</v>
      </c>
      <c r="D2723" t="s">
        <v>15</v>
      </c>
      <c r="E2723">
        <v>9</v>
      </c>
      <c r="F2723" s="3">
        <v>6435</v>
      </c>
      <c r="G2723" s="2">
        <v>1096.8800000000001</v>
      </c>
      <c r="H2723">
        <f>Master_ventas[[#This Row],[Profit]]/Master_ventas[[#This Row],[Sales]]</f>
        <v>0.17045532245532247</v>
      </c>
      <c r="I2723">
        <f ca="1">Referencia_Hoy-Master_ventas[[#This Row],[Order Date]]</f>
        <v>1467</v>
      </c>
      <c r="J2723" t="str">
        <f>UPPER(Master_ventas[[#This Row],[Product Name]])</f>
        <v>SMARTWATCH</v>
      </c>
      <c r="K2723" t="str">
        <f>UPPER(Master_ventas[[#This Row],[Category]])</f>
        <v>ELECTRONICS</v>
      </c>
      <c r="L2723">
        <f>YEAR(Master_ventas[[#This Row],[Order Date]])</f>
        <v>2022</v>
      </c>
      <c r="M2723" t="str">
        <f>CONCATENATE(LEFT(Master_ventas[[#This Row],[ProdUpper]],3),RIGHT(Master_ventas[[#This Row],[Ext-Year]],2),"-",MID(Master_ventas[[#This Row],[Category]],1,1))</f>
        <v>SMA22-E</v>
      </c>
      <c r="N2723" t="str">
        <f>MID(Master_ventas[[#This Row],[ProdUpper]],1,3)</f>
        <v>SMA</v>
      </c>
      <c r="O2723" t="str">
        <f>UPPER(IF(Master_ventas[[#This Row],[Profit]]&gt;500,"High","Std"))</f>
        <v>HIGH</v>
      </c>
      <c r="P2723">
        <v>2722</v>
      </c>
    </row>
    <row r="2724" spans="1:16" x14ac:dyDescent="0.3">
      <c r="A2724" s="1">
        <v>44649</v>
      </c>
      <c r="B2724" t="s">
        <v>10</v>
      </c>
      <c r="C2724" t="s">
        <v>11</v>
      </c>
      <c r="D2724" t="s">
        <v>9</v>
      </c>
      <c r="E2724">
        <v>2</v>
      </c>
      <c r="F2724" s="3">
        <v>1168</v>
      </c>
      <c r="G2724" s="2">
        <v>172.18</v>
      </c>
      <c r="H2724">
        <f>Master_ventas[[#This Row],[Profit]]/Master_ventas[[#This Row],[Sales]]</f>
        <v>0.14741438356164385</v>
      </c>
      <c r="I2724">
        <f ca="1">Referencia_Hoy-Master_ventas[[#This Row],[Order Date]]</f>
        <v>1674</v>
      </c>
      <c r="J2724" t="str">
        <f>UPPER(Master_ventas[[#This Row],[Product Name]])</f>
        <v>MOUSE</v>
      </c>
      <c r="K2724" t="str">
        <f>UPPER(Master_ventas[[#This Row],[Category]])</f>
        <v>ACCESSORIES</v>
      </c>
      <c r="L2724">
        <f>YEAR(Master_ventas[[#This Row],[Order Date]])</f>
        <v>2022</v>
      </c>
      <c r="M2724" t="str">
        <f>CONCATENATE(LEFT(Master_ventas[[#This Row],[ProdUpper]],3),RIGHT(Master_ventas[[#This Row],[Ext-Year]],2),"-",MID(Master_ventas[[#This Row],[Category]],1,1))</f>
        <v>MOU22-A</v>
      </c>
      <c r="N2724" t="str">
        <f>MID(Master_ventas[[#This Row],[ProdUpper]],1,3)</f>
        <v>MOU</v>
      </c>
      <c r="O2724" t="str">
        <f>UPPER(IF(Master_ventas[[#This Row],[Profit]]&gt;500,"High","Std"))</f>
        <v>STD</v>
      </c>
      <c r="P2724">
        <v>2723</v>
      </c>
    </row>
    <row r="2725" spans="1:16" x14ac:dyDescent="0.3">
      <c r="A2725" s="1">
        <v>44799</v>
      </c>
      <c r="B2725" t="s">
        <v>13</v>
      </c>
      <c r="C2725" t="s">
        <v>14</v>
      </c>
      <c r="D2725" t="s">
        <v>15</v>
      </c>
      <c r="E2725">
        <v>9</v>
      </c>
      <c r="F2725" s="3">
        <v>7362</v>
      </c>
      <c r="G2725" s="2">
        <v>441.36</v>
      </c>
      <c r="H2725">
        <f>Master_ventas[[#This Row],[Profit]]/Master_ventas[[#This Row],[Sales]]</f>
        <v>5.9951100244498783E-2</v>
      </c>
      <c r="I2725">
        <f ca="1">Referencia_Hoy-Master_ventas[[#This Row],[Order Date]]</f>
        <v>1524</v>
      </c>
      <c r="J2725" t="str">
        <f>UPPER(Master_ventas[[#This Row],[Product Name]])</f>
        <v>TABLET</v>
      </c>
      <c r="K2725" t="str">
        <f>UPPER(Master_ventas[[#This Row],[Category]])</f>
        <v>ELECTRONICS</v>
      </c>
      <c r="L2725">
        <f>YEAR(Master_ventas[[#This Row],[Order Date]])</f>
        <v>2022</v>
      </c>
      <c r="M2725" t="str">
        <f>CONCATENATE(LEFT(Master_ventas[[#This Row],[ProdUpper]],3),RIGHT(Master_ventas[[#This Row],[Ext-Year]],2),"-",MID(Master_ventas[[#This Row],[Category]],1,1))</f>
        <v>TAB22-E</v>
      </c>
      <c r="N2725" t="str">
        <f>MID(Master_ventas[[#This Row],[ProdUpper]],1,3)</f>
        <v>TAB</v>
      </c>
      <c r="O2725" t="str">
        <f>UPPER(IF(Master_ventas[[#This Row],[Profit]]&gt;500,"High","Std"))</f>
        <v>STD</v>
      </c>
      <c r="P2725">
        <v>2724</v>
      </c>
    </row>
    <row r="2726" spans="1:16" x14ac:dyDescent="0.3">
      <c r="A2726" s="1">
        <v>45216</v>
      </c>
      <c r="B2726" t="s">
        <v>19</v>
      </c>
      <c r="C2726" t="s">
        <v>14</v>
      </c>
      <c r="D2726" t="s">
        <v>16</v>
      </c>
      <c r="E2726">
        <v>2</v>
      </c>
      <c r="F2726" s="3">
        <v>862</v>
      </c>
      <c r="G2726" s="2">
        <v>105.97</v>
      </c>
      <c r="H2726">
        <f>Master_ventas[[#This Row],[Profit]]/Master_ventas[[#This Row],[Sales]]</f>
        <v>0.12293503480278423</v>
      </c>
      <c r="I2726">
        <f ca="1">Referencia_Hoy-Master_ventas[[#This Row],[Order Date]]</f>
        <v>1107</v>
      </c>
      <c r="J2726" t="str">
        <f>UPPER(Master_ventas[[#This Row],[Product Name]])</f>
        <v>SMARTWATCH</v>
      </c>
      <c r="K2726" t="str">
        <f>UPPER(Master_ventas[[#This Row],[Category]])</f>
        <v>ELECTRONICS</v>
      </c>
      <c r="L2726">
        <f>YEAR(Master_ventas[[#This Row],[Order Date]])</f>
        <v>2023</v>
      </c>
      <c r="M2726" t="str">
        <f>CONCATENATE(LEFT(Master_ventas[[#This Row],[ProdUpper]],3),RIGHT(Master_ventas[[#This Row],[Ext-Year]],2),"-",MID(Master_ventas[[#This Row],[Category]],1,1))</f>
        <v>SMA23-E</v>
      </c>
      <c r="N2726" t="str">
        <f>MID(Master_ventas[[#This Row],[ProdUpper]],1,3)</f>
        <v>SMA</v>
      </c>
      <c r="O2726" t="str">
        <f>UPPER(IF(Master_ventas[[#This Row],[Profit]]&gt;500,"High","Std"))</f>
        <v>STD</v>
      </c>
      <c r="P2726">
        <v>2725</v>
      </c>
    </row>
    <row r="2727" spans="1:16" x14ac:dyDescent="0.3">
      <c r="A2727" s="1">
        <v>45224</v>
      </c>
      <c r="B2727" t="s">
        <v>10</v>
      </c>
      <c r="C2727" t="s">
        <v>11</v>
      </c>
      <c r="D2727" t="s">
        <v>16</v>
      </c>
      <c r="E2727">
        <v>1</v>
      </c>
      <c r="F2727" s="3">
        <v>956</v>
      </c>
      <c r="G2727" s="2">
        <v>167.16</v>
      </c>
      <c r="H2727">
        <f>Master_ventas[[#This Row],[Profit]]/Master_ventas[[#This Row],[Sales]]</f>
        <v>0.17485355648535564</v>
      </c>
      <c r="I2727">
        <f ca="1">Referencia_Hoy-Master_ventas[[#This Row],[Order Date]]</f>
        <v>1099</v>
      </c>
      <c r="J2727" t="str">
        <f>UPPER(Master_ventas[[#This Row],[Product Name]])</f>
        <v>MOUSE</v>
      </c>
      <c r="K2727" t="str">
        <f>UPPER(Master_ventas[[#This Row],[Category]])</f>
        <v>ACCESSORIES</v>
      </c>
      <c r="L2727">
        <f>YEAR(Master_ventas[[#This Row],[Order Date]])</f>
        <v>2023</v>
      </c>
      <c r="M2727" t="str">
        <f>CONCATENATE(LEFT(Master_ventas[[#This Row],[ProdUpper]],3),RIGHT(Master_ventas[[#This Row],[Ext-Year]],2),"-",MID(Master_ventas[[#This Row],[Category]],1,1))</f>
        <v>MOU23-A</v>
      </c>
      <c r="N2727" t="str">
        <f>MID(Master_ventas[[#This Row],[ProdUpper]],1,3)</f>
        <v>MOU</v>
      </c>
      <c r="O2727" t="str">
        <f>UPPER(IF(Master_ventas[[#This Row],[Profit]]&gt;500,"High","Std"))</f>
        <v>STD</v>
      </c>
      <c r="P2727">
        <v>2726</v>
      </c>
    </row>
    <row r="2728" spans="1:16" x14ac:dyDescent="0.3">
      <c r="A2728" s="1">
        <v>44719</v>
      </c>
      <c r="B2728" t="s">
        <v>21</v>
      </c>
      <c r="C2728" t="s">
        <v>14</v>
      </c>
      <c r="D2728" t="s">
        <v>16</v>
      </c>
      <c r="E2728">
        <v>7</v>
      </c>
      <c r="F2728" s="3">
        <v>4438</v>
      </c>
      <c r="G2728" s="2">
        <v>770.3</v>
      </c>
      <c r="H2728">
        <f>Master_ventas[[#This Row],[Profit]]/Master_ventas[[#This Row],[Sales]]</f>
        <v>0.17356917530419105</v>
      </c>
      <c r="I2728">
        <f ca="1">Referencia_Hoy-Master_ventas[[#This Row],[Order Date]]</f>
        <v>1604</v>
      </c>
      <c r="J2728" t="str">
        <f>UPPER(Master_ventas[[#This Row],[Product Name]])</f>
        <v>SMARTPHONE</v>
      </c>
      <c r="K2728" t="str">
        <f>UPPER(Master_ventas[[#This Row],[Category]])</f>
        <v>ELECTRONICS</v>
      </c>
      <c r="L2728">
        <f>YEAR(Master_ventas[[#This Row],[Order Date]])</f>
        <v>2022</v>
      </c>
      <c r="M2728" t="str">
        <f>CONCATENATE(LEFT(Master_ventas[[#This Row],[ProdUpper]],3),RIGHT(Master_ventas[[#This Row],[Ext-Year]],2),"-",MID(Master_ventas[[#This Row],[Category]],1,1))</f>
        <v>SMA22-E</v>
      </c>
      <c r="N2728" t="str">
        <f>MID(Master_ventas[[#This Row],[ProdUpper]],1,3)</f>
        <v>SMA</v>
      </c>
      <c r="O2728" t="str">
        <f>UPPER(IF(Master_ventas[[#This Row],[Profit]]&gt;500,"High","Std"))</f>
        <v>HIGH</v>
      </c>
      <c r="P2728">
        <v>2727</v>
      </c>
    </row>
    <row r="2729" spans="1:16" x14ac:dyDescent="0.3">
      <c r="A2729" s="1">
        <v>45209</v>
      </c>
      <c r="B2729" t="s">
        <v>22</v>
      </c>
      <c r="C2729" t="s">
        <v>11</v>
      </c>
      <c r="D2729" t="s">
        <v>12</v>
      </c>
      <c r="E2729">
        <v>9</v>
      </c>
      <c r="F2729" s="3">
        <v>972</v>
      </c>
      <c r="G2729" s="2">
        <v>100</v>
      </c>
      <c r="H2729">
        <f>Master_ventas[[#This Row],[Profit]]/Master_ventas[[#This Row],[Sales]]</f>
        <v>0.102880658436214</v>
      </c>
      <c r="I2729">
        <f ca="1">Referencia_Hoy-Master_ventas[[#This Row],[Order Date]]</f>
        <v>1114</v>
      </c>
      <c r="J2729" t="str">
        <f>UPPER(Master_ventas[[#This Row],[Product Name]])</f>
        <v>KEYBOARD</v>
      </c>
      <c r="K2729" t="str">
        <f>UPPER(Master_ventas[[#This Row],[Category]])</f>
        <v>ACCESSORIES</v>
      </c>
      <c r="L2729">
        <f>YEAR(Master_ventas[[#This Row],[Order Date]])</f>
        <v>2023</v>
      </c>
      <c r="M2729" t="str">
        <f>CONCATENATE(LEFT(Master_ventas[[#This Row],[ProdUpper]],3),RIGHT(Master_ventas[[#This Row],[Ext-Year]],2),"-",MID(Master_ventas[[#This Row],[Category]],1,1))</f>
        <v>KEY23-A</v>
      </c>
      <c r="N2729" t="str">
        <f>MID(Master_ventas[[#This Row],[ProdUpper]],1,3)</f>
        <v>KEY</v>
      </c>
      <c r="O2729" t="str">
        <f>UPPER(IF(Master_ventas[[#This Row],[Profit]]&gt;500,"High","Std"))</f>
        <v>STD</v>
      </c>
      <c r="P2729">
        <v>2728</v>
      </c>
    </row>
    <row r="2730" spans="1:16" x14ac:dyDescent="0.3">
      <c r="A2730" s="1">
        <v>44806</v>
      </c>
      <c r="B2730" t="s">
        <v>22</v>
      </c>
      <c r="C2730" t="s">
        <v>11</v>
      </c>
      <c r="D2730" t="s">
        <v>16</v>
      </c>
      <c r="E2730">
        <v>2</v>
      </c>
      <c r="F2730" s="3">
        <v>1816</v>
      </c>
      <c r="G2730" s="2">
        <v>129.24</v>
      </c>
      <c r="H2730">
        <f>Master_ventas[[#This Row],[Profit]]/Master_ventas[[#This Row],[Sales]]</f>
        <v>7.1167400881057274E-2</v>
      </c>
      <c r="I2730">
        <f ca="1">Referencia_Hoy-Master_ventas[[#This Row],[Order Date]]</f>
        <v>1517</v>
      </c>
      <c r="J2730" t="str">
        <f>UPPER(Master_ventas[[#This Row],[Product Name]])</f>
        <v>KEYBOARD</v>
      </c>
      <c r="K2730" t="str">
        <f>UPPER(Master_ventas[[#This Row],[Category]])</f>
        <v>ACCESSORIES</v>
      </c>
      <c r="L2730">
        <f>YEAR(Master_ventas[[#This Row],[Order Date]])</f>
        <v>2022</v>
      </c>
      <c r="M2730" t="str">
        <f>CONCATENATE(LEFT(Master_ventas[[#This Row],[ProdUpper]],3),RIGHT(Master_ventas[[#This Row],[Ext-Year]],2),"-",MID(Master_ventas[[#This Row],[Category]],1,1))</f>
        <v>KEY22-A</v>
      </c>
      <c r="N2730" t="str">
        <f>MID(Master_ventas[[#This Row],[ProdUpper]],1,3)</f>
        <v>KEY</v>
      </c>
      <c r="O2730" t="str">
        <f>UPPER(IF(Master_ventas[[#This Row],[Profit]]&gt;500,"High","Std"))</f>
        <v>STD</v>
      </c>
      <c r="P2730">
        <v>2729</v>
      </c>
    </row>
    <row r="2731" spans="1:16" x14ac:dyDescent="0.3">
      <c r="A2731" s="1">
        <v>45041</v>
      </c>
      <c r="B2731" t="s">
        <v>20</v>
      </c>
      <c r="C2731" t="s">
        <v>11</v>
      </c>
      <c r="D2731" t="s">
        <v>12</v>
      </c>
      <c r="E2731">
        <v>4</v>
      </c>
      <c r="F2731" s="3">
        <v>596</v>
      </c>
      <c r="G2731" s="2">
        <v>105.89</v>
      </c>
      <c r="H2731">
        <f>Master_ventas[[#This Row],[Profit]]/Master_ventas[[#This Row],[Sales]]</f>
        <v>0.17766778523489932</v>
      </c>
      <c r="I2731">
        <f ca="1">Referencia_Hoy-Master_ventas[[#This Row],[Order Date]]</f>
        <v>1282</v>
      </c>
      <c r="J2731" t="str">
        <f>UPPER(Master_ventas[[#This Row],[Product Name]])</f>
        <v>MONITOR</v>
      </c>
      <c r="K2731" t="str">
        <f>UPPER(Master_ventas[[#This Row],[Category]])</f>
        <v>ACCESSORIES</v>
      </c>
      <c r="L2731">
        <f>YEAR(Master_ventas[[#This Row],[Order Date]])</f>
        <v>2023</v>
      </c>
      <c r="M2731" t="str">
        <f>CONCATENATE(LEFT(Master_ventas[[#This Row],[ProdUpper]],3),RIGHT(Master_ventas[[#This Row],[Ext-Year]],2),"-",MID(Master_ventas[[#This Row],[Category]],1,1))</f>
        <v>MON23-A</v>
      </c>
      <c r="N2731" t="str">
        <f>MID(Master_ventas[[#This Row],[ProdUpper]],1,3)</f>
        <v>MON</v>
      </c>
      <c r="O2731" t="str">
        <f>UPPER(IF(Master_ventas[[#This Row],[Profit]]&gt;500,"High","Std"))</f>
        <v>STD</v>
      </c>
      <c r="P2731">
        <v>2730</v>
      </c>
    </row>
    <row r="2732" spans="1:16" x14ac:dyDescent="0.3">
      <c r="A2732" s="1">
        <v>45375</v>
      </c>
      <c r="B2732" t="s">
        <v>10</v>
      </c>
      <c r="C2732" t="s">
        <v>11</v>
      </c>
      <c r="D2732" t="s">
        <v>12</v>
      </c>
      <c r="E2732">
        <v>9</v>
      </c>
      <c r="F2732" s="3">
        <v>1233</v>
      </c>
      <c r="G2732" s="2">
        <v>346.9</v>
      </c>
      <c r="H2732">
        <f>Master_ventas[[#This Row],[Profit]]/Master_ventas[[#This Row],[Sales]]</f>
        <v>0.28134630981346309</v>
      </c>
      <c r="I2732">
        <f ca="1">Referencia_Hoy-Master_ventas[[#This Row],[Order Date]]</f>
        <v>948</v>
      </c>
      <c r="J2732" t="str">
        <f>UPPER(Master_ventas[[#This Row],[Product Name]])</f>
        <v>MOUSE</v>
      </c>
      <c r="K2732" t="str">
        <f>UPPER(Master_ventas[[#This Row],[Category]])</f>
        <v>ACCESSORIES</v>
      </c>
      <c r="L2732">
        <f>YEAR(Master_ventas[[#This Row],[Order Date]])</f>
        <v>2024</v>
      </c>
      <c r="M2732" t="str">
        <f>CONCATENATE(LEFT(Master_ventas[[#This Row],[ProdUpper]],3),RIGHT(Master_ventas[[#This Row],[Ext-Year]],2),"-",MID(Master_ventas[[#This Row],[Category]],1,1))</f>
        <v>MOU24-A</v>
      </c>
      <c r="N2732" t="str">
        <f>MID(Master_ventas[[#This Row],[ProdUpper]],1,3)</f>
        <v>MOU</v>
      </c>
      <c r="O2732" t="str">
        <f>UPPER(IF(Master_ventas[[#This Row],[Profit]]&gt;500,"High","Std"))</f>
        <v>STD</v>
      </c>
      <c r="P2732">
        <v>2731</v>
      </c>
    </row>
    <row r="2733" spans="1:16" x14ac:dyDescent="0.3">
      <c r="A2733" s="1">
        <v>44935</v>
      </c>
      <c r="B2733" t="s">
        <v>18</v>
      </c>
      <c r="C2733" t="s">
        <v>11</v>
      </c>
      <c r="D2733" t="s">
        <v>16</v>
      </c>
      <c r="E2733">
        <v>1</v>
      </c>
      <c r="F2733" s="3">
        <v>1055</v>
      </c>
      <c r="G2733" s="2">
        <v>88.61</v>
      </c>
      <c r="H2733">
        <f>Master_ventas[[#This Row],[Profit]]/Master_ventas[[#This Row],[Sales]]</f>
        <v>8.399052132701422E-2</v>
      </c>
      <c r="I2733">
        <f ca="1">Referencia_Hoy-Master_ventas[[#This Row],[Order Date]]</f>
        <v>1388</v>
      </c>
      <c r="J2733" t="str">
        <f>UPPER(Master_ventas[[#This Row],[Product Name]])</f>
        <v>HEADPHONES</v>
      </c>
      <c r="K2733" t="str">
        <f>UPPER(Master_ventas[[#This Row],[Category]])</f>
        <v>ACCESSORIES</v>
      </c>
      <c r="L2733">
        <f>YEAR(Master_ventas[[#This Row],[Order Date]])</f>
        <v>2023</v>
      </c>
      <c r="M2733" t="str">
        <f>CONCATENATE(LEFT(Master_ventas[[#This Row],[ProdUpper]],3),RIGHT(Master_ventas[[#This Row],[Ext-Year]],2),"-",MID(Master_ventas[[#This Row],[Category]],1,1))</f>
        <v>HEA23-A</v>
      </c>
      <c r="N2733" t="str">
        <f>MID(Master_ventas[[#This Row],[ProdUpper]],1,3)</f>
        <v>HEA</v>
      </c>
      <c r="O2733" t="str">
        <f>UPPER(IF(Master_ventas[[#This Row],[Profit]]&gt;500,"High","Std"))</f>
        <v>STD</v>
      </c>
      <c r="P2733">
        <v>2732</v>
      </c>
    </row>
    <row r="2734" spans="1:16" x14ac:dyDescent="0.3">
      <c r="A2734" s="1">
        <v>44878</v>
      </c>
      <c r="B2734" t="s">
        <v>13</v>
      </c>
      <c r="C2734" t="s">
        <v>14</v>
      </c>
      <c r="D2734" t="s">
        <v>12</v>
      </c>
      <c r="E2734">
        <v>2</v>
      </c>
      <c r="F2734" s="3">
        <v>952</v>
      </c>
      <c r="G2734" s="2">
        <v>112.39</v>
      </c>
      <c r="H2734">
        <f>Master_ventas[[#This Row],[Profit]]/Master_ventas[[#This Row],[Sales]]</f>
        <v>0.11805672268907563</v>
      </c>
      <c r="I2734">
        <f ca="1">Referencia_Hoy-Master_ventas[[#This Row],[Order Date]]</f>
        <v>1445</v>
      </c>
      <c r="J2734" t="str">
        <f>UPPER(Master_ventas[[#This Row],[Product Name]])</f>
        <v>TABLET</v>
      </c>
      <c r="K2734" t="str">
        <f>UPPER(Master_ventas[[#This Row],[Category]])</f>
        <v>ELECTRONICS</v>
      </c>
      <c r="L2734">
        <f>YEAR(Master_ventas[[#This Row],[Order Date]])</f>
        <v>2022</v>
      </c>
      <c r="M2734" t="str">
        <f>CONCATENATE(LEFT(Master_ventas[[#This Row],[ProdUpper]],3),RIGHT(Master_ventas[[#This Row],[Ext-Year]],2),"-",MID(Master_ventas[[#This Row],[Category]],1,1))</f>
        <v>TAB22-E</v>
      </c>
      <c r="N2734" t="str">
        <f>MID(Master_ventas[[#This Row],[ProdUpper]],1,3)</f>
        <v>TAB</v>
      </c>
      <c r="O2734" t="str">
        <f>UPPER(IF(Master_ventas[[#This Row],[Profit]]&gt;500,"High","Std"))</f>
        <v>STD</v>
      </c>
      <c r="P2734">
        <v>2733</v>
      </c>
    </row>
    <row r="2735" spans="1:16" x14ac:dyDescent="0.3">
      <c r="A2735" s="1">
        <v>44989</v>
      </c>
      <c r="B2735" t="s">
        <v>10</v>
      </c>
      <c r="C2735" t="s">
        <v>11</v>
      </c>
      <c r="D2735" t="s">
        <v>16</v>
      </c>
      <c r="E2735">
        <v>1</v>
      </c>
      <c r="F2735" s="3">
        <v>312</v>
      </c>
      <c r="G2735" s="2">
        <v>40.47</v>
      </c>
      <c r="H2735">
        <f>Master_ventas[[#This Row],[Profit]]/Master_ventas[[#This Row],[Sales]]</f>
        <v>0.12971153846153846</v>
      </c>
      <c r="I2735">
        <f ca="1">Referencia_Hoy-Master_ventas[[#This Row],[Order Date]]</f>
        <v>1334</v>
      </c>
      <c r="J2735" t="str">
        <f>UPPER(Master_ventas[[#This Row],[Product Name]])</f>
        <v>MOUSE</v>
      </c>
      <c r="K2735" t="str">
        <f>UPPER(Master_ventas[[#This Row],[Category]])</f>
        <v>ACCESSORIES</v>
      </c>
      <c r="L2735">
        <f>YEAR(Master_ventas[[#This Row],[Order Date]])</f>
        <v>2023</v>
      </c>
      <c r="M2735" t="str">
        <f>CONCATENATE(LEFT(Master_ventas[[#This Row],[ProdUpper]],3),RIGHT(Master_ventas[[#This Row],[Ext-Year]],2),"-",MID(Master_ventas[[#This Row],[Category]],1,1))</f>
        <v>MOU23-A</v>
      </c>
      <c r="N2735" t="str">
        <f>MID(Master_ventas[[#This Row],[ProdUpper]],1,3)</f>
        <v>MOU</v>
      </c>
      <c r="O2735" t="str">
        <f>UPPER(IF(Master_ventas[[#This Row],[Profit]]&gt;500,"High","Std"))</f>
        <v>STD</v>
      </c>
      <c r="P2735">
        <v>2734</v>
      </c>
    </row>
    <row r="2736" spans="1:16" x14ac:dyDescent="0.3">
      <c r="A2736" s="1">
        <v>44604</v>
      </c>
      <c r="B2736" t="s">
        <v>13</v>
      </c>
      <c r="C2736" t="s">
        <v>14</v>
      </c>
      <c r="D2736" t="s">
        <v>15</v>
      </c>
      <c r="E2736">
        <v>2</v>
      </c>
      <c r="F2736" s="3">
        <v>294</v>
      </c>
      <c r="G2736" s="2">
        <v>35.049999999999997</v>
      </c>
      <c r="H2736">
        <f>Master_ventas[[#This Row],[Profit]]/Master_ventas[[#This Row],[Sales]]</f>
        <v>0.11921768707482992</v>
      </c>
      <c r="I2736">
        <f ca="1">Referencia_Hoy-Master_ventas[[#This Row],[Order Date]]</f>
        <v>1719</v>
      </c>
      <c r="J2736" t="str">
        <f>UPPER(Master_ventas[[#This Row],[Product Name]])</f>
        <v>TABLET</v>
      </c>
      <c r="K2736" t="str">
        <f>UPPER(Master_ventas[[#This Row],[Category]])</f>
        <v>ELECTRONICS</v>
      </c>
      <c r="L2736">
        <f>YEAR(Master_ventas[[#This Row],[Order Date]])</f>
        <v>2022</v>
      </c>
      <c r="M2736" t="str">
        <f>CONCATENATE(LEFT(Master_ventas[[#This Row],[ProdUpper]],3),RIGHT(Master_ventas[[#This Row],[Ext-Year]],2),"-",MID(Master_ventas[[#This Row],[Category]],1,1))</f>
        <v>TAB22-E</v>
      </c>
      <c r="N2736" t="str">
        <f>MID(Master_ventas[[#This Row],[ProdUpper]],1,3)</f>
        <v>TAB</v>
      </c>
      <c r="O2736" t="str">
        <f>UPPER(IF(Master_ventas[[#This Row],[Profit]]&gt;500,"High","Std"))</f>
        <v>STD</v>
      </c>
      <c r="P2736">
        <v>2735</v>
      </c>
    </row>
    <row r="2737" spans="1:16" x14ac:dyDescent="0.3">
      <c r="A2737" s="1">
        <v>44648</v>
      </c>
      <c r="B2737" t="s">
        <v>19</v>
      </c>
      <c r="C2737" t="s">
        <v>14</v>
      </c>
      <c r="D2737" t="s">
        <v>9</v>
      </c>
      <c r="E2737">
        <v>2</v>
      </c>
      <c r="F2737" s="3">
        <v>474</v>
      </c>
      <c r="G2737" s="2">
        <v>120.91</v>
      </c>
      <c r="H2737">
        <f>Master_ventas[[#This Row],[Profit]]/Master_ventas[[#This Row],[Sales]]</f>
        <v>0.25508438818565399</v>
      </c>
      <c r="I2737">
        <f ca="1">Referencia_Hoy-Master_ventas[[#This Row],[Order Date]]</f>
        <v>1675</v>
      </c>
      <c r="J2737" t="str">
        <f>UPPER(Master_ventas[[#This Row],[Product Name]])</f>
        <v>SMARTWATCH</v>
      </c>
      <c r="K2737" t="str">
        <f>UPPER(Master_ventas[[#This Row],[Category]])</f>
        <v>ELECTRONICS</v>
      </c>
      <c r="L2737">
        <f>YEAR(Master_ventas[[#This Row],[Order Date]])</f>
        <v>2022</v>
      </c>
      <c r="M2737" t="str">
        <f>CONCATENATE(LEFT(Master_ventas[[#This Row],[ProdUpper]],3),RIGHT(Master_ventas[[#This Row],[Ext-Year]],2),"-",MID(Master_ventas[[#This Row],[Category]],1,1))</f>
        <v>SMA22-E</v>
      </c>
      <c r="N2737" t="str">
        <f>MID(Master_ventas[[#This Row],[ProdUpper]],1,3)</f>
        <v>SMA</v>
      </c>
      <c r="O2737" t="str">
        <f>UPPER(IF(Master_ventas[[#This Row],[Profit]]&gt;500,"High","Std"))</f>
        <v>STD</v>
      </c>
      <c r="P2737">
        <v>2736</v>
      </c>
    </row>
    <row r="2738" spans="1:16" x14ac:dyDescent="0.3">
      <c r="A2738" s="1">
        <v>45079</v>
      </c>
      <c r="B2738" t="s">
        <v>17</v>
      </c>
      <c r="C2738" t="s">
        <v>14</v>
      </c>
      <c r="D2738" t="s">
        <v>12</v>
      </c>
      <c r="E2738">
        <v>2</v>
      </c>
      <c r="F2738" s="3">
        <v>788</v>
      </c>
      <c r="G2738" s="2">
        <v>195.15</v>
      </c>
      <c r="H2738">
        <f>Master_ventas[[#This Row],[Profit]]/Master_ventas[[#This Row],[Sales]]</f>
        <v>0.24765228426395941</v>
      </c>
      <c r="I2738">
        <f ca="1">Referencia_Hoy-Master_ventas[[#This Row],[Order Date]]</f>
        <v>1244</v>
      </c>
      <c r="J2738" t="str">
        <f>UPPER(Master_ventas[[#This Row],[Product Name]])</f>
        <v>CAMERA</v>
      </c>
      <c r="K2738" t="str">
        <f>UPPER(Master_ventas[[#This Row],[Category]])</f>
        <v>ELECTRONICS</v>
      </c>
      <c r="L2738">
        <f>YEAR(Master_ventas[[#This Row],[Order Date]])</f>
        <v>2023</v>
      </c>
      <c r="M2738" t="str">
        <f>CONCATENATE(LEFT(Master_ventas[[#This Row],[ProdUpper]],3),RIGHT(Master_ventas[[#This Row],[Ext-Year]],2),"-",MID(Master_ventas[[#This Row],[Category]],1,1))</f>
        <v>CAM23-E</v>
      </c>
      <c r="N2738" t="str">
        <f>MID(Master_ventas[[#This Row],[ProdUpper]],1,3)</f>
        <v>CAM</v>
      </c>
      <c r="O2738" t="str">
        <f>UPPER(IF(Master_ventas[[#This Row],[Profit]]&gt;500,"High","Std"))</f>
        <v>STD</v>
      </c>
      <c r="P2738">
        <v>2737</v>
      </c>
    </row>
    <row r="2739" spans="1:16" x14ac:dyDescent="0.3">
      <c r="A2739" s="1">
        <v>44696</v>
      </c>
      <c r="B2739" t="s">
        <v>10</v>
      </c>
      <c r="C2739" t="s">
        <v>11</v>
      </c>
      <c r="D2739" t="s">
        <v>9</v>
      </c>
      <c r="E2739">
        <v>8</v>
      </c>
      <c r="F2739" s="3">
        <v>2760</v>
      </c>
      <c r="G2739" s="2">
        <v>156.53</v>
      </c>
      <c r="H2739">
        <f>Master_ventas[[#This Row],[Profit]]/Master_ventas[[#This Row],[Sales]]</f>
        <v>5.6713768115942031E-2</v>
      </c>
      <c r="I2739">
        <f ca="1">Referencia_Hoy-Master_ventas[[#This Row],[Order Date]]</f>
        <v>1627</v>
      </c>
      <c r="J2739" t="str">
        <f>UPPER(Master_ventas[[#This Row],[Product Name]])</f>
        <v>MOUSE</v>
      </c>
      <c r="K2739" t="str">
        <f>UPPER(Master_ventas[[#This Row],[Category]])</f>
        <v>ACCESSORIES</v>
      </c>
      <c r="L2739">
        <f>YEAR(Master_ventas[[#This Row],[Order Date]])</f>
        <v>2022</v>
      </c>
      <c r="M2739" t="str">
        <f>CONCATENATE(LEFT(Master_ventas[[#This Row],[ProdUpper]],3),RIGHT(Master_ventas[[#This Row],[Ext-Year]],2),"-",MID(Master_ventas[[#This Row],[Category]],1,1))</f>
        <v>MOU22-A</v>
      </c>
      <c r="N2739" t="str">
        <f>MID(Master_ventas[[#This Row],[ProdUpper]],1,3)</f>
        <v>MOU</v>
      </c>
      <c r="O2739" t="str">
        <f>UPPER(IF(Master_ventas[[#This Row],[Profit]]&gt;500,"High","Std"))</f>
        <v>STD</v>
      </c>
      <c r="P2739">
        <v>2738</v>
      </c>
    </row>
    <row r="2740" spans="1:16" x14ac:dyDescent="0.3">
      <c r="A2740" s="1">
        <v>45213</v>
      </c>
      <c r="B2740" t="s">
        <v>23</v>
      </c>
      <c r="C2740" t="s">
        <v>14</v>
      </c>
      <c r="D2740" t="s">
        <v>9</v>
      </c>
      <c r="E2740">
        <v>4</v>
      </c>
      <c r="F2740" s="3">
        <v>908</v>
      </c>
      <c r="G2740" s="2">
        <v>219.79</v>
      </c>
      <c r="H2740">
        <f>Master_ventas[[#This Row],[Profit]]/Master_ventas[[#This Row],[Sales]]</f>
        <v>0.24205947136563877</v>
      </c>
      <c r="I2740">
        <f ca="1">Referencia_Hoy-Master_ventas[[#This Row],[Order Date]]</f>
        <v>1110</v>
      </c>
      <c r="J2740" t="str">
        <f>UPPER(Master_ventas[[#This Row],[Product Name]])</f>
        <v>LAPTOP</v>
      </c>
      <c r="K2740" t="str">
        <f>UPPER(Master_ventas[[#This Row],[Category]])</f>
        <v>ELECTRONICS</v>
      </c>
      <c r="L2740">
        <f>YEAR(Master_ventas[[#This Row],[Order Date]])</f>
        <v>2023</v>
      </c>
      <c r="M2740" t="str">
        <f>CONCATENATE(LEFT(Master_ventas[[#This Row],[ProdUpper]],3),RIGHT(Master_ventas[[#This Row],[Ext-Year]],2),"-",MID(Master_ventas[[#This Row],[Category]],1,1))</f>
        <v>LAP23-E</v>
      </c>
      <c r="N2740" t="str">
        <f>MID(Master_ventas[[#This Row],[ProdUpper]],1,3)</f>
        <v>LAP</v>
      </c>
      <c r="O2740" t="str">
        <f>UPPER(IF(Master_ventas[[#This Row],[Profit]]&gt;500,"High","Std"))</f>
        <v>STD</v>
      </c>
      <c r="P2740">
        <v>2739</v>
      </c>
    </row>
    <row r="2741" spans="1:16" x14ac:dyDescent="0.3">
      <c r="A2741" s="1">
        <v>44851</v>
      </c>
      <c r="B2741" t="s">
        <v>21</v>
      </c>
      <c r="C2741" t="s">
        <v>14</v>
      </c>
      <c r="D2741" t="s">
        <v>12</v>
      </c>
      <c r="E2741">
        <v>1</v>
      </c>
      <c r="F2741" s="3">
        <v>593</v>
      </c>
      <c r="G2741" s="2">
        <v>133.01</v>
      </c>
      <c r="H2741">
        <f>Master_ventas[[#This Row],[Profit]]/Master_ventas[[#This Row],[Sales]]</f>
        <v>0.22430016863406407</v>
      </c>
      <c r="I2741">
        <f ca="1">Referencia_Hoy-Master_ventas[[#This Row],[Order Date]]</f>
        <v>1472</v>
      </c>
      <c r="J2741" t="str">
        <f>UPPER(Master_ventas[[#This Row],[Product Name]])</f>
        <v>SMARTPHONE</v>
      </c>
      <c r="K2741" t="str">
        <f>UPPER(Master_ventas[[#This Row],[Category]])</f>
        <v>ELECTRONICS</v>
      </c>
      <c r="L2741">
        <f>YEAR(Master_ventas[[#This Row],[Order Date]])</f>
        <v>2022</v>
      </c>
      <c r="M2741" t="str">
        <f>CONCATENATE(LEFT(Master_ventas[[#This Row],[ProdUpper]],3),RIGHT(Master_ventas[[#This Row],[Ext-Year]],2),"-",MID(Master_ventas[[#This Row],[Category]],1,1))</f>
        <v>SMA22-E</v>
      </c>
      <c r="N2741" t="str">
        <f>MID(Master_ventas[[#This Row],[ProdUpper]],1,3)</f>
        <v>SMA</v>
      </c>
      <c r="O2741" t="str">
        <f>UPPER(IF(Master_ventas[[#This Row],[Profit]]&gt;500,"High","Std"))</f>
        <v>STD</v>
      </c>
      <c r="P2741">
        <v>2740</v>
      </c>
    </row>
    <row r="2742" spans="1:16" x14ac:dyDescent="0.3">
      <c r="A2742" s="1">
        <v>45123</v>
      </c>
      <c r="B2742" t="s">
        <v>18</v>
      </c>
      <c r="C2742" t="s">
        <v>11</v>
      </c>
      <c r="D2742" t="s">
        <v>15</v>
      </c>
      <c r="E2742">
        <v>6</v>
      </c>
      <c r="F2742" s="3">
        <v>1698</v>
      </c>
      <c r="G2742" s="2">
        <v>193.42</v>
      </c>
      <c r="H2742">
        <f>Master_ventas[[#This Row],[Profit]]/Master_ventas[[#This Row],[Sales]]</f>
        <v>0.11391048292108362</v>
      </c>
      <c r="I2742">
        <f ca="1">Referencia_Hoy-Master_ventas[[#This Row],[Order Date]]</f>
        <v>1200</v>
      </c>
      <c r="J2742" t="str">
        <f>UPPER(Master_ventas[[#This Row],[Product Name]])</f>
        <v>HEADPHONES</v>
      </c>
      <c r="K2742" t="str">
        <f>UPPER(Master_ventas[[#This Row],[Category]])</f>
        <v>ACCESSORIES</v>
      </c>
      <c r="L2742">
        <f>YEAR(Master_ventas[[#This Row],[Order Date]])</f>
        <v>2023</v>
      </c>
      <c r="M2742" t="str">
        <f>CONCATENATE(LEFT(Master_ventas[[#This Row],[ProdUpper]],3),RIGHT(Master_ventas[[#This Row],[Ext-Year]],2),"-",MID(Master_ventas[[#This Row],[Category]],1,1))</f>
        <v>HEA23-A</v>
      </c>
      <c r="N2742" t="str">
        <f>MID(Master_ventas[[#This Row],[ProdUpper]],1,3)</f>
        <v>HEA</v>
      </c>
      <c r="O2742" t="str">
        <f>UPPER(IF(Master_ventas[[#This Row],[Profit]]&gt;500,"High","Std"))</f>
        <v>STD</v>
      </c>
      <c r="P2742">
        <v>2741</v>
      </c>
    </row>
    <row r="2743" spans="1:16" x14ac:dyDescent="0.3">
      <c r="A2743" s="1">
        <v>45558</v>
      </c>
      <c r="B2743" t="s">
        <v>7</v>
      </c>
      <c r="C2743" t="s">
        <v>8</v>
      </c>
      <c r="D2743" t="s">
        <v>12</v>
      </c>
      <c r="E2743">
        <v>1</v>
      </c>
      <c r="F2743" s="3">
        <v>546</v>
      </c>
      <c r="G2743" s="2">
        <v>124.1</v>
      </c>
      <c r="H2743">
        <f>Master_ventas[[#This Row],[Profit]]/Master_ventas[[#This Row],[Sales]]</f>
        <v>0.22728937728937729</v>
      </c>
      <c r="I2743">
        <f ca="1">Referencia_Hoy-Master_ventas[[#This Row],[Order Date]]</f>
        <v>765</v>
      </c>
      <c r="J2743" t="str">
        <f>UPPER(Master_ventas[[#This Row],[Product Name]])</f>
        <v>PRINTER</v>
      </c>
      <c r="K2743" t="str">
        <f>UPPER(Master_ventas[[#This Row],[Category]])</f>
        <v>OFFICE</v>
      </c>
      <c r="L2743">
        <f>YEAR(Master_ventas[[#This Row],[Order Date]])</f>
        <v>2024</v>
      </c>
      <c r="M2743" t="str">
        <f>CONCATENATE(LEFT(Master_ventas[[#This Row],[ProdUpper]],3),RIGHT(Master_ventas[[#This Row],[Ext-Year]],2),"-",MID(Master_ventas[[#This Row],[Category]],1,1))</f>
        <v>PRI24-O</v>
      </c>
      <c r="N2743" t="str">
        <f>MID(Master_ventas[[#This Row],[ProdUpper]],1,3)</f>
        <v>PRI</v>
      </c>
      <c r="O2743" t="str">
        <f>UPPER(IF(Master_ventas[[#This Row],[Profit]]&gt;500,"High","Std"))</f>
        <v>STD</v>
      </c>
      <c r="P2743">
        <v>2742</v>
      </c>
    </row>
    <row r="2744" spans="1:16" x14ac:dyDescent="0.3">
      <c r="A2744" s="1">
        <v>44784</v>
      </c>
      <c r="B2744" t="s">
        <v>23</v>
      </c>
      <c r="C2744" t="s">
        <v>14</v>
      </c>
      <c r="D2744" t="s">
        <v>16</v>
      </c>
      <c r="E2744">
        <v>5</v>
      </c>
      <c r="F2744" s="3">
        <v>4380</v>
      </c>
      <c r="G2744" s="2">
        <v>275.83999999999997</v>
      </c>
      <c r="H2744">
        <f>Master_ventas[[#This Row],[Profit]]/Master_ventas[[#This Row],[Sales]]</f>
        <v>6.2977168949771678E-2</v>
      </c>
      <c r="I2744">
        <f ca="1">Referencia_Hoy-Master_ventas[[#This Row],[Order Date]]</f>
        <v>1539</v>
      </c>
      <c r="J2744" t="str">
        <f>UPPER(Master_ventas[[#This Row],[Product Name]])</f>
        <v>LAPTOP</v>
      </c>
      <c r="K2744" t="str">
        <f>UPPER(Master_ventas[[#This Row],[Category]])</f>
        <v>ELECTRONICS</v>
      </c>
      <c r="L2744">
        <f>YEAR(Master_ventas[[#This Row],[Order Date]])</f>
        <v>2022</v>
      </c>
      <c r="M2744" t="str">
        <f>CONCATENATE(LEFT(Master_ventas[[#This Row],[ProdUpper]],3),RIGHT(Master_ventas[[#This Row],[Ext-Year]],2),"-",MID(Master_ventas[[#This Row],[Category]],1,1))</f>
        <v>LAP22-E</v>
      </c>
      <c r="N2744" t="str">
        <f>MID(Master_ventas[[#This Row],[ProdUpper]],1,3)</f>
        <v>LAP</v>
      </c>
      <c r="O2744" t="str">
        <f>UPPER(IF(Master_ventas[[#This Row],[Profit]]&gt;500,"High","Std"))</f>
        <v>STD</v>
      </c>
      <c r="P2744">
        <v>2743</v>
      </c>
    </row>
    <row r="2745" spans="1:16" x14ac:dyDescent="0.3">
      <c r="A2745" s="1">
        <v>45088</v>
      </c>
      <c r="B2745" t="s">
        <v>17</v>
      </c>
      <c r="C2745" t="s">
        <v>14</v>
      </c>
      <c r="D2745" t="s">
        <v>16</v>
      </c>
      <c r="E2745">
        <v>4</v>
      </c>
      <c r="F2745" s="3">
        <v>2472</v>
      </c>
      <c r="G2745" s="2">
        <v>594.62</v>
      </c>
      <c r="H2745">
        <f>Master_ventas[[#This Row],[Profit]]/Master_ventas[[#This Row],[Sales]]</f>
        <v>0.240542071197411</v>
      </c>
      <c r="I2745">
        <f ca="1">Referencia_Hoy-Master_ventas[[#This Row],[Order Date]]</f>
        <v>1235</v>
      </c>
      <c r="J2745" t="str">
        <f>UPPER(Master_ventas[[#This Row],[Product Name]])</f>
        <v>CAMERA</v>
      </c>
      <c r="K2745" t="str">
        <f>UPPER(Master_ventas[[#This Row],[Category]])</f>
        <v>ELECTRONICS</v>
      </c>
      <c r="L2745">
        <f>YEAR(Master_ventas[[#This Row],[Order Date]])</f>
        <v>2023</v>
      </c>
      <c r="M2745" t="str">
        <f>CONCATENATE(LEFT(Master_ventas[[#This Row],[ProdUpper]],3),RIGHT(Master_ventas[[#This Row],[Ext-Year]],2),"-",MID(Master_ventas[[#This Row],[Category]],1,1))</f>
        <v>CAM23-E</v>
      </c>
      <c r="N2745" t="str">
        <f>MID(Master_ventas[[#This Row],[ProdUpper]],1,3)</f>
        <v>CAM</v>
      </c>
      <c r="O2745" t="str">
        <f>UPPER(IF(Master_ventas[[#This Row],[Profit]]&gt;500,"High","Std"))</f>
        <v>HIGH</v>
      </c>
      <c r="P2745">
        <v>2744</v>
      </c>
    </row>
    <row r="2746" spans="1:16" x14ac:dyDescent="0.3">
      <c r="A2746" s="1">
        <v>45383</v>
      </c>
      <c r="B2746" t="s">
        <v>21</v>
      </c>
      <c r="C2746" t="s">
        <v>14</v>
      </c>
      <c r="D2746" t="s">
        <v>12</v>
      </c>
      <c r="E2746">
        <v>4</v>
      </c>
      <c r="F2746" s="3">
        <v>1996</v>
      </c>
      <c r="G2746" s="2">
        <v>396.63</v>
      </c>
      <c r="H2746">
        <f>Master_ventas[[#This Row],[Profit]]/Master_ventas[[#This Row],[Sales]]</f>
        <v>0.19871242484969939</v>
      </c>
      <c r="I2746">
        <f ca="1">Referencia_Hoy-Master_ventas[[#This Row],[Order Date]]</f>
        <v>940</v>
      </c>
      <c r="J2746" t="str">
        <f>UPPER(Master_ventas[[#This Row],[Product Name]])</f>
        <v>SMARTPHONE</v>
      </c>
      <c r="K2746" t="str">
        <f>UPPER(Master_ventas[[#This Row],[Category]])</f>
        <v>ELECTRONICS</v>
      </c>
      <c r="L2746">
        <f>YEAR(Master_ventas[[#This Row],[Order Date]])</f>
        <v>2024</v>
      </c>
      <c r="M2746" t="str">
        <f>CONCATENATE(LEFT(Master_ventas[[#This Row],[ProdUpper]],3),RIGHT(Master_ventas[[#This Row],[Ext-Year]],2),"-",MID(Master_ventas[[#This Row],[Category]],1,1))</f>
        <v>SMA24-E</v>
      </c>
      <c r="N2746" t="str">
        <f>MID(Master_ventas[[#This Row],[ProdUpper]],1,3)</f>
        <v>SMA</v>
      </c>
      <c r="O2746" t="str">
        <f>UPPER(IF(Master_ventas[[#This Row],[Profit]]&gt;500,"High","Std"))</f>
        <v>STD</v>
      </c>
      <c r="P2746">
        <v>2745</v>
      </c>
    </row>
    <row r="2747" spans="1:16" x14ac:dyDescent="0.3">
      <c r="A2747" s="1">
        <v>45651</v>
      </c>
      <c r="B2747" t="s">
        <v>17</v>
      </c>
      <c r="C2747" t="s">
        <v>14</v>
      </c>
      <c r="D2747" t="s">
        <v>16</v>
      </c>
      <c r="E2747">
        <v>5</v>
      </c>
      <c r="F2747" s="3">
        <v>2525</v>
      </c>
      <c r="G2747" s="2">
        <v>699.74</v>
      </c>
      <c r="H2747">
        <f>Master_ventas[[#This Row],[Profit]]/Master_ventas[[#This Row],[Sales]]</f>
        <v>0.27712475247524754</v>
      </c>
      <c r="I2747">
        <f ca="1">Referencia_Hoy-Master_ventas[[#This Row],[Order Date]]</f>
        <v>672</v>
      </c>
      <c r="J2747" t="str">
        <f>UPPER(Master_ventas[[#This Row],[Product Name]])</f>
        <v>CAMERA</v>
      </c>
      <c r="K2747" t="str">
        <f>UPPER(Master_ventas[[#This Row],[Category]])</f>
        <v>ELECTRONICS</v>
      </c>
      <c r="L2747">
        <f>YEAR(Master_ventas[[#This Row],[Order Date]])</f>
        <v>2024</v>
      </c>
      <c r="M2747" t="str">
        <f>CONCATENATE(LEFT(Master_ventas[[#This Row],[ProdUpper]],3),RIGHT(Master_ventas[[#This Row],[Ext-Year]],2),"-",MID(Master_ventas[[#This Row],[Category]],1,1))</f>
        <v>CAM24-E</v>
      </c>
      <c r="N2747" t="str">
        <f>MID(Master_ventas[[#This Row],[ProdUpper]],1,3)</f>
        <v>CAM</v>
      </c>
      <c r="O2747" t="str">
        <f>UPPER(IF(Master_ventas[[#This Row],[Profit]]&gt;500,"High","Std"))</f>
        <v>HIGH</v>
      </c>
      <c r="P2747">
        <v>2746</v>
      </c>
    </row>
    <row r="2748" spans="1:16" x14ac:dyDescent="0.3">
      <c r="A2748" s="1">
        <v>44747</v>
      </c>
      <c r="B2748" t="s">
        <v>18</v>
      </c>
      <c r="C2748" t="s">
        <v>11</v>
      </c>
      <c r="D2748" t="s">
        <v>16</v>
      </c>
      <c r="E2748">
        <v>9</v>
      </c>
      <c r="F2748" s="3">
        <v>4041</v>
      </c>
      <c r="G2748" s="2">
        <v>517.23</v>
      </c>
      <c r="H2748">
        <f>Master_ventas[[#This Row],[Profit]]/Master_ventas[[#This Row],[Sales]]</f>
        <v>0.1279955456570156</v>
      </c>
      <c r="I2748">
        <f ca="1">Referencia_Hoy-Master_ventas[[#This Row],[Order Date]]</f>
        <v>1576</v>
      </c>
      <c r="J2748" t="str">
        <f>UPPER(Master_ventas[[#This Row],[Product Name]])</f>
        <v>HEADPHONES</v>
      </c>
      <c r="K2748" t="str">
        <f>UPPER(Master_ventas[[#This Row],[Category]])</f>
        <v>ACCESSORIES</v>
      </c>
      <c r="L2748">
        <f>YEAR(Master_ventas[[#This Row],[Order Date]])</f>
        <v>2022</v>
      </c>
      <c r="M2748" t="str">
        <f>CONCATENATE(LEFT(Master_ventas[[#This Row],[ProdUpper]],3),RIGHT(Master_ventas[[#This Row],[Ext-Year]],2),"-",MID(Master_ventas[[#This Row],[Category]],1,1))</f>
        <v>HEA22-A</v>
      </c>
      <c r="N2748" t="str">
        <f>MID(Master_ventas[[#This Row],[ProdUpper]],1,3)</f>
        <v>HEA</v>
      </c>
      <c r="O2748" t="str">
        <f>UPPER(IF(Master_ventas[[#This Row],[Profit]]&gt;500,"High","Std"))</f>
        <v>HIGH</v>
      </c>
      <c r="P2748">
        <v>2747</v>
      </c>
    </row>
    <row r="2749" spans="1:16" x14ac:dyDescent="0.3">
      <c r="A2749" s="1">
        <v>45489</v>
      </c>
      <c r="B2749" t="s">
        <v>22</v>
      </c>
      <c r="C2749" t="s">
        <v>11</v>
      </c>
      <c r="D2749" t="s">
        <v>15</v>
      </c>
      <c r="E2749">
        <v>3</v>
      </c>
      <c r="F2749" s="3">
        <v>858</v>
      </c>
      <c r="G2749" s="2">
        <v>246.86</v>
      </c>
      <c r="H2749">
        <f>Master_ventas[[#This Row],[Profit]]/Master_ventas[[#This Row],[Sales]]</f>
        <v>0.28771561771561771</v>
      </c>
      <c r="I2749">
        <f ca="1">Referencia_Hoy-Master_ventas[[#This Row],[Order Date]]</f>
        <v>834</v>
      </c>
      <c r="J2749" t="str">
        <f>UPPER(Master_ventas[[#This Row],[Product Name]])</f>
        <v>KEYBOARD</v>
      </c>
      <c r="K2749" t="str">
        <f>UPPER(Master_ventas[[#This Row],[Category]])</f>
        <v>ACCESSORIES</v>
      </c>
      <c r="L2749">
        <f>YEAR(Master_ventas[[#This Row],[Order Date]])</f>
        <v>2024</v>
      </c>
      <c r="M2749" t="str">
        <f>CONCATENATE(LEFT(Master_ventas[[#This Row],[ProdUpper]],3),RIGHT(Master_ventas[[#This Row],[Ext-Year]],2),"-",MID(Master_ventas[[#This Row],[Category]],1,1))</f>
        <v>KEY24-A</v>
      </c>
      <c r="N2749" t="str">
        <f>MID(Master_ventas[[#This Row],[ProdUpper]],1,3)</f>
        <v>KEY</v>
      </c>
      <c r="O2749" t="str">
        <f>UPPER(IF(Master_ventas[[#This Row],[Profit]]&gt;500,"High","Std"))</f>
        <v>STD</v>
      </c>
      <c r="P2749">
        <v>2748</v>
      </c>
    </row>
    <row r="2750" spans="1:16" x14ac:dyDescent="0.3">
      <c r="A2750" s="1">
        <v>44909</v>
      </c>
      <c r="B2750" t="s">
        <v>22</v>
      </c>
      <c r="C2750" t="s">
        <v>11</v>
      </c>
      <c r="D2750" t="s">
        <v>9</v>
      </c>
      <c r="E2750">
        <v>9</v>
      </c>
      <c r="F2750" s="3">
        <v>4221</v>
      </c>
      <c r="G2750" s="2">
        <v>1238.5999999999999</v>
      </c>
      <c r="H2750">
        <f>Master_ventas[[#This Row],[Profit]]/Master_ventas[[#This Row],[Sales]]</f>
        <v>0.29343757403458892</v>
      </c>
      <c r="I2750">
        <f ca="1">Referencia_Hoy-Master_ventas[[#This Row],[Order Date]]</f>
        <v>1414</v>
      </c>
      <c r="J2750" t="str">
        <f>UPPER(Master_ventas[[#This Row],[Product Name]])</f>
        <v>KEYBOARD</v>
      </c>
      <c r="K2750" t="str">
        <f>UPPER(Master_ventas[[#This Row],[Category]])</f>
        <v>ACCESSORIES</v>
      </c>
      <c r="L2750">
        <f>YEAR(Master_ventas[[#This Row],[Order Date]])</f>
        <v>2022</v>
      </c>
      <c r="M2750" t="str">
        <f>CONCATENATE(LEFT(Master_ventas[[#This Row],[ProdUpper]],3),RIGHT(Master_ventas[[#This Row],[Ext-Year]],2),"-",MID(Master_ventas[[#This Row],[Category]],1,1))</f>
        <v>KEY22-A</v>
      </c>
      <c r="N2750" t="str">
        <f>MID(Master_ventas[[#This Row],[ProdUpper]],1,3)</f>
        <v>KEY</v>
      </c>
      <c r="O2750" t="str">
        <f>UPPER(IF(Master_ventas[[#This Row],[Profit]]&gt;500,"High","Std"))</f>
        <v>HIGH</v>
      </c>
      <c r="P2750">
        <v>2749</v>
      </c>
    </row>
    <row r="2751" spans="1:16" x14ac:dyDescent="0.3">
      <c r="A2751" s="1">
        <v>44973</v>
      </c>
      <c r="B2751" t="s">
        <v>13</v>
      </c>
      <c r="C2751" t="s">
        <v>14</v>
      </c>
      <c r="D2751" t="s">
        <v>12</v>
      </c>
      <c r="E2751">
        <v>2</v>
      </c>
      <c r="F2751" s="3">
        <v>858</v>
      </c>
      <c r="G2751" s="2">
        <v>73.489999999999995</v>
      </c>
      <c r="H2751">
        <f>Master_ventas[[#This Row],[Profit]]/Master_ventas[[#This Row],[Sales]]</f>
        <v>8.5652680652680641E-2</v>
      </c>
      <c r="I2751">
        <f ca="1">Referencia_Hoy-Master_ventas[[#This Row],[Order Date]]</f>
        <v>1350</v>
      </c>
      <c r="J2751" t="str">
        <f>UPPER(Master_ventas[[#This Row],[Product Name]])</f>
        <v>TABLET</v>
      </c>
      <c r="K2751" t="str">
        <f>UPPER(Master_ventas[[#This Row],[Category]])</f>
        <v>ELECTRONICS</v>
      </c>
      <c r="L2751">
        <f>YEAR(Master_ventas[[#This Row],[Order Date]])</f>
        <v>2023</v>
      </c>
      <c r="M2751" t="str">
        <f>CONCATENATE(LEFT(Master_ventas[[#This Row],[ProdUpper]],3),RIGHT(Master_ventas[[#This Row],[Ext-Year]],2),"-",MID(Master_ventas[[#This Row],[Category]],1,1))</f>
        <v>TAB23-E</v>
      </c>
      <c r="N2751" t="str">
        <f>MID(Master_ventas[[#This Row],[ProdUpper]],1,3)</f>
        <v>TAB</v>
      </c>
      <c r="O2751" t="str">
        <f>UPPER(IF(Master_ventas[[#This Row],[Profit]]&gt;500,"High","Std"))</f>
        <v>STD</v>
      </c>
      <c r="P2751">
        <v>2750</v>
      </c>
    </row>
    <row r="2752" spans="1:16" x14ac:dyDescent="0.3">
      <c r="A2752" s="1">
        <v>45631</v>
      </c>
      <c r="B2752" t="s">
        <v>22</v>
      </c>
      <c r="C2752" t="s">
        <v>11</v>
      </c>
      <c r="D2752" t="s">
        <v>9</v>
      </c>
      <c r="E2752">
        <v>1</v>
      </c>
      <c r="F2752" s="3">
        <v>776</v>
      </c>
      <c r="G2752" s="2">
        <v>172.19</v>
      </c>
      <c r="H2752">
        <f>Master_ventas[[#This Row],[Profit]]/Master_ventas[[#This Row],[Sales]]</f>
        <v>0.22189432989690722</v>
      </c>
      <c r="I2752">
        <f ca="1">Referencia_Hoy-Master_ventas[[#This Row],[Order Date]]</f>
        <v>692</v>
      </c>
      <c r="J2752" t="str">
        <f>UPPER(Master_ventas[[#This Row],[Product Name]])</f>
        <v>KEYBOARD</v>
      </c>
      <c r="K2752" t="str">
        <f>UPPER(Master_ventas[[#This Row],[Category]])</f>
        <v>ACCESSORIES</v>
      </c>
      <c r="L2752">
        <f>YEAR(Master_ventas[[#This Row],[Order Date]])</f>
        <v>2024</v>
      </c>
      <c r="M2752" t="str">
        <f>CONCATENATE(LEFT(Master_ventas[[#This Row],[ProdUpper]],3),RIGHT(Master_ventas[[#This Row],[Ext-Year]],2),"-",MID(Master_ventas[[#This Row],[Category]],1,1))</f>
        <v>KEY24-A</v>
      </c>
      <c r="N2752" t="str">
        <f>MID(Master_ventas[[#This Row],[ProdUpper]],1,3)</f>
        <v>KEY</v>
      </c>
      <c r="O2752" t="str">
        <f>UPPER(IF(Master_ventas[[#This Row],[Profit]]&gt;500,"High","Std"))</f>
        <v>STD</v>
      </c>
      <c r="P2752">
        <v>2751</v>
      </c>
    </row>
    <row r="2753" spans="1:16" x14ac:dyDescent="0.3">
      <c r="A2753" s="1">
        <v>45161</v>
      </c>
      <c r="B2753" t="s">
        <v>23</v>
      </c>
      <c r="C2753" t="s">
        <v>14</v>
      </c>
      <c r="D2753" t="s">
        <v>9</v>
      </c>
      <c r="E2753">
        <v>7</v>
      </c>
      <c r="F2753" s="3">
        <v>3654</v>
      </c>
      <c r="G2753" s="2">
        <v>871.81</v>
      </c>
      <c r="H2753">
        <f>Master_ventas[[#This Row],[Profit]]/Master_ventas[[#This Row],[Sales]]</f>
        <v>0.23859058565955116</v>
      </c>
      <c r="I2753">
        <f ca="1">Referencia_Hoy-Master_ventas[[#This Row],[Order Date]]</f>
        <v>1162</v>
      </c>
      <c r="J2753" t="str">
        <f>UPPER(Master_ventas[[#This Row],[Product Name]])</f>
        <v>LAPTOP</v>
      </c>
      <c r="K2753" t="str">
        <f>UPPER(Master_ventas[[#This Row],[Category]])</f>
        <v>ELECTRONICS</v>
      </c>
      <c r="L2753">
        <f>YEAR(Master_ventas[[#This Row],[Order Date]])</f>
        <v>2023</v>
      </c>
      <c r="M2753" t="str">
        <f>CONCATENATE(LEFT(Master_ventas[[#This Row],[ProdUpper]],3),RIGHT(Master_ventas[[#This Row],[Ext-Year]],2),"-",MID(Master_ventas[[#This Row],[Category]],1,1))</f>
        <v>LAP23-E</v>
      </c>
      <c r="N2753" t="str">
        <f>MID(Master_ventas[[#This Row],[ProdUpper]],1,3)</f>
        <v>LAP</v>
      </c>
      <c r="O2753" t="str">
        <f>UPPER(IF(Master_ventas[[#This Row],[Profit]]&gt;500,"High","Std"))</f>
        <v>HIGH</v>
      </c>
      <c r="P2753">
        <v>2752</v>
      </c>
    </row>
    <row r="2754" spans="1:16" x14ac:dyDescent="0.3">
      <c r="A2754" s="1">
        <v>45336</v>
      </c>
      <c r="B2754" t="s">
        <v>18</v>
      </c>
      <c r="C2754" t="s">
        <v>11</v>
      </c>
      <c r="D2754" t="s">
        <v>12</v>
      </c>
      <c r="E2754">
        <v>3</v>
      </c>
      <c r="F2754" s="3">
        <v>384</v>
      </c>
      <c r="G2754" s="2">
        <v>45.99</v>
      </c>
      <c r="H2754">
        <f>Master_ventas[[#This Row],[Profit]]/Master_ventas[[#This Row],[Sales]]</f>
        <v>0.119765625</v>
      </c>
      <c r="I2754">
        <f ca="1">Referencia_Hoy-Master_ventas[[#This Row],[Order Date]]</f>
        <v>987</v>
      </c>
      <c r="J2754" t="str">
        <f>UPPER(Master_ventas[[#This Row],[Product Name]])</f>
        <v>HEADPHONES</v>
      </c>
      <c r="K2754" t="str">
        <f>UPPER(Master_ventas[[#This Row],[Category]])</f>
        <v>ACCESSORIES</v>
      </c>
      <c r="L2754">
        <f>YEAR(Master_ventas[[#This Row],[Order Date]])</f>
        <v>2024</v>
      </c>
      <c r="M2754" t="str">
        <f>CONCATENATE(LEFT(Master_ventas[[#This Row],[ProdUpper]],3),RIGHT(Master_ventas[[#This Row],[Ext-Year]],2),"-",MID(Master_ventas[[#This Row],[Category]],1,1))</f>
        <v>HEA24-A</v>
      </c>
      <c r="N2754" t="str">
        <f>MID(Master_ventas[[#This Row],[ProdUpper]],1,3)</f>
        <v>HEA</v>
      </c>
      <c r="O2754" t="str">
        <f>UPPER(IF(Master_ventas[[#This Row],[Profit]]&gt;500,"High","Std"))</f>
        <v>STD</v>
      </c>
      <c r="P2754">
        <v>2753</v>
      </c>
    </row>
    <row r="2755" spans="1:16" x14ac:dyDescent="0.3">
      <c r="A2755" s="1">
        <v>45185</v>
      </c>
      <c r="B2755" t="s">
        <v>7</v>
      </c>
      <c r="C2755" t="s">
        <v>8</v>
      </c>
      <c r="D2755" t="s">
        <v>16</v>
      </c>
      <c r="E2755">
        <v>5</v>
      </c>
      <c r="F2755" s="3">
        <v>535</v>
      </c>
      <c r="G2755" s="2">
        <v>43.47</v>
      </c>
      <c r="H2755">
        <f>Master_ventas[[#This Row],[Profit]]/Master_ventas[[#This Row],[Sales]]</f>
        <v>8.1252336448598125E-2</v>
      </c>
      <c r="I2755">
        <f ca="1">Referencia_Hoy-Master_ventas[[#This Row],[Order Date]]</f>
        <v>1138</v>
      </c>
      <c r="J2755" t="str">
        <f>UPPER(Master_ventas[[#This Row],[Product Name]])</f>
        <v>PRINTER</v>
      </c>
      <c r="K2755" t="str">
        <f>UPPER(Master_ventas[[#This Row],[Category]])</f>
        <v>OFFICE</v>
      </c>
      <c r="L2755">
        <f>YEAR(Master_ventas[[#This Row],[Order Date]])</f>
        <v>2023</v>
      </c>
      <c r="M2755" t="str">
        <f>CONCATENATE(LEFT(Master_ventas[[#This Row],[ProdUpper]],3),RIGHT(Master_ventas[[#This Row],[Ext-Year]],2),"-",MID(Master_ventas[[#This Row],[Category]],1,1))</f>
        <v>PRI23-O</v>
      </c>
      <c r="N2755" t="str">
        <f>MID(Master_ventas[[#This Row],[ProdUpper]],1,3)</f>
        <v>PRI</v>
      </c>
      <c r="O2755" t="str">
        <f>UPPER(IF(Master_ventas[[#This Row],[Profit]]&gt;500,"High","Std"))</f>
        <v>STD</v>
      </c>
      <c r="P2755">
        <v>2754</v>
      </c>
    </row>
    <row r="2756" spans="1:16" x14ac:dyDescent="0.3">
      <c r="A2756" s="1">
        <v>44891</v>
      </c>
      <c r="B2756" t="s">
        <v>18</v>
      </c>
      <c r="C2756" t="s">
        <v>11</v>
      </c>
      <c r="D2756" t="s">
        <v>9</v>
      </c>
      <c r="E2756">
        <v>9</v>
      </c>
      <c r="F2756" s="3">
        <v>7992</v>
      </c>
      <c r="G2756" s="2">
        <v>1979.53</v>
      </c>
      <c r="H2756">
        <f>Master_ventas[[#This Row],[Profit]]/Master_ventas[[#This Row],[Sales]]</f>
        <v>0.24768893893893892</v>
      </c>
      <c r="I2756">
        <f ca="1">Referencia_Hoy-Master_ventas[[#This Row],[Order Date]]</f>
        <v>1432</v>
      </c>
      <c r="J2756" t="str">
        <f>UPPER(Master_ventas[[#This Row],[Product Name]])</f>
        <v>HEADPHONES</v>
      </c>
      <c r="K2756" t="str">
        <f>UPPER(Master_ventas[[#This Row],[Category]])</f>
        <v>ACCESSORIES</v>
      </c>
      <c r="L2756">
        <f>YEAR(Master_ventas[[#This Row],[Order Date]])</f>
        <v>2022</v>
      </c>
      <c r="M2756" t="str">
        <f>CONCATENATE(LEFT(Master_ventas[[#This Row],[ProdUpper]],3),RIGHT(Master_ventas[[#This Row],[Ext-Year]],2),"-",MID(Master_ventas[[#This Row],[Category]],1,1))</f>
        <v>HEA22-A</v>
      </c>
      <c r="N2756" t="str">
        <f>MID(Master_ventas[[#This Row],[ProdUpper]],1,3)</f>
        <v>HEA</v>
      </c>
      <c r="O2756" t="str">
        <f>UPPER(IF(Master_ventas[[#This Row],[Profit]]&gt;500,"High","Std"))</f>
        <v>HIGH</v>
      </c>
      <c r="P2756">
        <v>2755</v>
      </c>
    </row>
    <row r="2757" spans="1:16" x14ac:dyDescent="0.3">
      <c r="A2757" s="1">
        <v>45477</v>
      </c>
      <c r="B2757" t="s">
        <v>10</v>
      </c>
      <c r="C2757" t="s">
        <v>11</v>
      </c>
      <c r="D2757" t="s">
        <v>9</v>
      </c>
      <c r="E2757">
        <v>7</v>
      </c>
      <c r="F2757" s="3">
        <v>3892</v>
      </c>
      <c r="G2757" s="2">
        <v>350.57</v>
      </c>
      <c r="H2757">
        <f>Master_ventas[[#This Row],[Profit]]/Master_ventas[[#This Row],[Sales]]</f>
        <v>9.0074511819116132E-2</v>
      </c>
      <c r="I2757">
        <f ca="1">Referencia_Hoy-Master_ventas[[#This Row],[Order Date]]</f>
        <v>846</v>
      </c>
      <c r="J2757" t="str">
        <f>UPPER(Master_ventas[[#This Row],[Product Name]])</f>
        <v>MOUSE</v>
      </c>
      <c r="K2757" t="str">
        <f>UPPER(Master_ventas[[#This Row],[Category]])</f>
        <v>ACCESSORIES</v>
      </c>
      <c r="L2757">
        <f>YEAR(Master_ventas[[#This Row],[Order Date]])</f>
        <v>2024</v>
      </c>
      <c r="M2757" t="str">
        <f>CONCATENATE(LEFT(Master_ventas[[#This Row],[ProdUpper]],3),RIGHT(Master_ventas[[#This Row],[Ext-Year]],2),"-",MID(Master_ventas[[#This Row],[Category]],1,1))</f>
        <v>MOU24-A</v>
      </c>
      <c r="N2757" t="str">
        <f>MID(Master_ventas[[#This Row],[ProdUpper]],1,3)</f>
        <v>MOU</v>
      </c>
      <c r="O2757" t="str">
        <f>UPPER(IF(Master_ventas[[#This Row],[Profit]]&gt;500,"High","Std"))</f>
        <v>STD</v>
      </c>
      <c r="P2757">
        <v>2756</v>
      </c>
    </row>
    <row r="2758" spans="1:16" x14ac:dyDescent="0.3">
      <c r="A2758" s="1">
        <v>45348</v>
      </c>
      <c r="B2758" t="s">
        <v>13</v>
      </c>
      <c r="C2758" t="s">
        <v>14</v>
      </c>
      <c r="D2758" t="s">
        <v>12</v>
      </c>
      <c r="E2758">
        <v>3</v>
      </c>
      <c r="F2758" s="3">
        <v>2637</v>
      </c>
      <c r="G2758" s="2">
        <v>468.6</v>
      </c>
      <c r="H2758">
        <f>Master_ventas[[#This Row],[Profit]]/Master_ventas[[#This Row],[Sales]]</f>
        <v>0.17770193401592721</v>
      </c>
      <c r="I2758">
        <f ca="1">Referencia_Hoy-Master_ventas[[#This Row],[Order Date]]</f>
        <v>975</v>
      </c>
      <c r="J2758" t="str">
        <f>UPPER(Master_ventas[[#This Row],[Product Name]])</f>
        <v>TABLET</v>
      </c>
      <c r="K2758" t="str">
        <f>UPPER(Master_ventas[[#This Row],[Category]])</f>
        <v>ELECTRONICS</v>
      </c>
      <c r="L2758">
        <f>YEAR(Master_ventas[[#This Row],[Order Date]])</f>
        <v>2024</v>
      </c>
      <c r="M2758" t="str">
        <f>CONCATENATE(LEFT(Master_ventas[[#This Row],[ProdUpper]],3),RIGHT(Master_ventas[[#This Row],[Ext-Year]],2),"-",MID(Master_ventas[[#This Row],[Category]],1,1))</f>
        <v>TAB24-E</v>
      </c>
      <c r="N2758" t="str">
        <f>MID(Master_ventas[[#This Row],[ProdUpper]],1,3)</f>
        <v>TAB</v>
      </c>
      <c r="O2758" t="str">
        <f>UPPER(IF(Master_ventas[[#This Row],[Profit]]&gt;500,"High","Std"))</f>
        <v>STD</v>
      </c>
      <c r="P2758">
        <v>2757</v>
      </c>
    </row>
    <row r="2759" spans="1:16" x14ac:dyDescent="0.3">
      <c r="A2759" s="1">
        <v>45334</v>
      </c>
      <c r="B2759" t="s">
        <v>10</v>
      </c>
      <c r="C2759" t="s">
        <v>11</v>
      </c>
      <c r="D2759" t="s">
        <v>15</v>
      </c>
      <c r="E2759">
        <v>8</v>
      </c>
      <c r="F2759" s="3">
        <v>8664</v>
      </c>
      <c r="G2759" s="2">
        <v>2349.6799999999998</v>
      </c>
      <c r="H2759">
        <f>Master_ventas[[#This Row],[Profit]]/Master_ventas[[#This Row],[Sales]]</f>
        <v>0.27120036934441366</v>
      </c>
      <c r="I2759">
        <f ca="1">Referencia_Hoy-Master_ventas[[#This Row],[Order Date]]</f>
        <v>989</v>
      </c>
      <c r="J2759" t="str">
        <f>UPPER(Master_ventas[[#This Row],[Product Name]])</f>
        <v>MOUSE</v>
      </c>
      <c r="K2759" t="str">
        <f>UPPER(Master_ventas[[#This Row],[Category]])</f>
        <v>ACCESSORIES</v>
      </c>
      <c r="L2759">
        <f>YEAR(Master_ventas[[#This Row],[Order Date]])</f>
        <v>2024</v>
      </c>
      <c r="M2759" t="str">
        <f>CONCATENATE(LEFT(Master_ventas[[#This Row],[ProdUpper]],3),RIGHT(Master_ventas[[#This Row],[Ext-Year]],2),"-",MID(Master_ventas[[#This Row],[Category]],1,1))</f>
        <v>MOU24-A</v>
      </c>
      <c r="N2759" t="str">
        <f>MID(Master_ventas[[#This Row],[ProdUpper]],1,3)</f>
        <v>MOU</v>
      </c>
      <c r="O2759" t="str">
        <f>UPPER(IF(Master_ventas[[#This Row],[Profit]]&gt;500,"High","Std"))</f>
        <v>HIGH</v>
      </c>
      <c r="P2759">
        <v>2758</v>
      </c>
    </row>
    <row r="2760" spans="1:16" x14ac:dyDescent="0.3">
      <c r="A2760" s="1">
        <v>45202</v>
      </c>
      <c r="B2760" t="s">
        <v>19</v>
      </c>
      <c r="C2760" t="s">
        <v>14</v>
      </c>
      <c r="D2760" t="s">
        <v>15</v>
      </c>
      <c r="E2760">
        <v>6</v>
      </c>
      <c r="F2760" s="3">
        <v>918</v>
      </c>
      <c r="G2760" s="2">
        <v>116.87</v>
      </c>
      <c r="H2760">
        <f>Master_ventas[[#This Row],[Profit]]/Master_ventas[[#This Row],[Sales]]</f>
        <v>0.12730936819172115</v>
      </c>
      <c r="I2760">
        <f ca="1">Referencia_Hoy-Master_ventas[[#This Row],[Order Date]]</f>
        <v>1121</v>
      </c>
      <c r="J2760" t="str">
        <f>UPPER(Master_ventas[[#This Row],[Product Name]])</f>
        <v>SMARTWATCH</v>
      </c>
      <c r="K2760" t="str">
        <f>UPPER(Master_ventas[[#This Row],[Category]])</f>
        <v>ELECTRONICS</v>
      </c>
      <c r="L2760">
        <f>YEAR(Master_ventas[[#This Row],[Order Date]])</f>
        <v>2023</v>
      </c>
      <c r="M2760" t="str">
        <f>CONCATENATE(LEFT(Master_ventas[[#This Row],[ProdUpper]],3),RIGHT(Master_ventas[[#This Row],[Ext-Year]],2),"-",MID(Master_ventas[[#This Row],[Category]],1,1))</f>
        <v>SMA23-E</v>
      </c>
      <c r="N2760" t="str">
        <f>MID(Master_ventas[[#This Row],[ProdUpper]],1,3)</f>
        <v>SMA</v>
      </c>
      <c r="O2760" t="str">
        <f>UPPER(IF(Master_ventas[[#This Row],[Profit]]&gt;500,"High","Std"))</f>
        <v>STD</v>
      </c>
      <c r="P2760">
        <v>2759</v>
      </c>
    </row>
    <row r="2761" spans="1:16" x14ac:dyDescent="0.3">
      <c r="A2761" s="1">
        <v>45308</v>
      </c>
      <c r="B2761" t="s">
        <v>20</v>
      </c>
      <c r="C2761" t="s">
        <v>11</v>
      </c>
      <c r="D2761" t="s">
        <v>16</v>
      </c>
      <c r="E2761">
        <v>5</v>
      </c>
      <c r="F2761" s="3">
        <v>5625</v>
      </c>
      <c r="G2761" s="2">
        <v>1006.95</v>
      </c>
      <c r="H2761">
        <f>Master_ventas[[#This Row],[Profit]]/Master_ventas[[#This Row],[Sales]]</f>
        <v>0.17901333333333333</v>
      </c>
      <c r="I2761">
        <f ca="1">Referencia_Hoy-Master_ventas[[#This Row],[Order Date]]</f>
        <v>1015</v>
      </c>
      <c r="J2761" t="str">
        <f>UPPER(Master_ventas[[#This Row],[Product Name]])</f>
        <v>MONITOR</v>
      </c>
      <c r="K2761" t="str">
        <f>UPPER(Master_ventas[[#This Row],[Category]])</f>
        <v>ACCESSORIES</v>
      </c>
      <c r="L2761">
        <f>YEAR(Master_ventas[[#This Row],[Order Date]])</f>
        <v>2024</v>
      </c>
      <c r="M2761" t="str">
        <f>CONCATENATE(LEFT(Master_ventas[[#This Row],[ProdUpper]],3),RIGHT(Master_ventas[[#This Row],[Ext-Year]],2),"-",MID(Master_ventas[[#This Row],[Category]],1,1))</f>
        <v>MON24-A</v>
      </c>
      <c r="N2761" t="str">
        <f>MID(Master_ventas[[#This Row],[ProdUpper]],1,3)</f>
        <v>MON</v>
      </c>
      <c r="O2761" t="str">
        <f>UPPER(IF(Master_ventas[[#This Row],[Profit]]&gt;500,"High","Std"))</f>
        <v>HIGH</v>
      </c>
      <c r="P2761">
        <v>2760</v>
      </c>
    </row>
    <row r="2762" spans="1:16" x14ac:dyDescent="0.3">
      <c r="A2762" s="1">
        <v>45079</v>
      </c>
      <c r="B2762" t="s">
        <v>13</v>
      </c>
      <c r="C2762" t="s">
        <v>14</v>
      </c>
      <c r="D2762" t="s">
        <v>16</v>
      </c>
      <c r="E2762">
        <v>6</v>
      </c>
      <c r="F2762" s="3">
        <v>6030</v>
      </c>
      <c r="G2762" s="2">
        <v>511.7</v>
      </c>
      <c r="H2762">
        <f>Master_ventas[[#This Row],[Profit]]/Master_ventas[[#This Row],[Sales]]</f>
        <v>8.4859038142620233E-2</v>
      </c>
      <c r="I2762">
        <f ca="1">Referencia_Hoy-Master_ventas[[#This Row],[Order Date]]</f>
        <v>1244</v>
      </c>
      <c r="J2762" t="str">
        <f>UPPER(Master_ventas[[#This Row],[Product Name]])</f>
        <v>TABLET</v>
      </c>
      <c r="K2762" t="str">
        <f>UPPER(Master_ventas[[#This Row],[Category]])</f>
        <v>ELECTRONICS</v>
      </c>
      <c r="L2762">
        <f>YEAR(Master_ventas[[#This Row],[Order Date]])</f>
        <v>2023</v>
      </c>
      <c r="M2762" t="str">
        <f>CONCATENATE(LEFT(Master_ventas[[#This Row],[ProdUpper]],3),RIGHT(Master_ventas[[#This Row],[Ext-Year]],2),"-",MID(Master_ventas[[#This Row],[Category]],1,1))</f>
        <v>TAB23-E</v>
      </c>
      <c r="N2762" t="str">
        <f>MID(Master_ventas[[#This Row],[ProdUpper]],1,3)</f>
        <v>TAB</v>
      </c>
      <c r="O2762" t="str">
        <f>UPPER(IF(Master_ventas[[#This Row],[Profit]]&gt;500,"High","Std"))</f>
        <v>HIGH</v>
      </c>
      <c r="P2762">
        <v>2761</v>
      </c>
    </row>
    <row r="2763" spans="1:16" x14ac:dyDescent="0.3">
      <c r="A2763" s="1">
        <v>44673</v>
      </c>
      <c r="B2763" t="s">
        <v>7</v>
      </c>
      <c r="C2763" t="s">
        <v>8</v>
      </c>
      <c r="D2763" t="s">
        <v>16</v>
      </c>
      <c r="E2763">
        <v>8</v>
      </c>
      <c r="F2763" s="3">
        <v>432</v>
      </c>
      <c r="G2763" s="2">
        <v>98.44</v>
      </c>
      <c r="H2763">
        <f>Master_ventas[[#This Row],[Profit]]/Master_ventas[[#This Row],[Sales]]</f>
        <v>0.22787037037037036</v>
      </c>
      <c r="I2763">
        <f ca="1">Referencia_Hoy-Master_ventas[[#This Row],[Order Date]]</f>
        <v>1650</v>
      </c>
      <c r="J2763" t="str">
        <f>UPPER(Master_ventas[[#This Row],[Product Name]])</f>
        <v>PRINTER</v>
      </c>
      <c r="K2763" t="str">
        <f>UPPER(Master_ventas[[#This Row],[Category]])</f>
        <v>OFFICE</v>
      </c>
      <c r="L2763">
        <f>YEAR(Master_ventas[[#This Row],[Order Date]])</f>
        <v>2022</v>
      </c>
      <c r="M2763" t="str">
        <f>CONCATENATE(LEFT(Master_ventas[[#This Row],[ProdUpper]],3),RIGHT(Master_ventas[[#This Row],[Ext-Year]],2),"-",MID(Master_ventas[[#This Row],[Category]],1,1))</f>
        <v>PRI22-O</v>
      </c>
      <c r="N2763" t="str">
        <f>MID(Master_ventas[[#This Row],[ProdUpper]],1,3)</f>
        <v>PRI</v>
      </c>
      <c r="O2763" t="str">
        <f>UPPER(IF(Master_ventas[[#This Row],[Profit]]&gt;500,"High","Std"))</f>
        <v>STD</v>
      </c>
      <c r="P2763">
        <v>2762</v>
      </c>
    </row>
    <row r="2764" spans="1:16" x14ac:dyDescent="0.3">
      <c r="A2764" s="1">
        <v>45343</v>
      </c>
      <c r="B2764" t="s">
        <v>23</v>
      </c>
      <c r="C2764" t="s">
        <v>14</v>
      </c>
      <c r="D2764" t="s">
        <v>15</v>
      </c>
      <c r="E2764">
        <v>6</v>
      </c>
      <c r="F2764" s="3">
        <v>1884</v>
      </c>
      <c r="G2764" s="2">
        <v>190.58</v>
      </c>
      <c r="H2764">
        <f>Master_ventas[[#This Row],[Profit]]/Master_ventas[[#This Row],[Sales]]</f>
        <v>0.10115711252653928</v>
      </c>
      <c r="I2764">
        <f ca="1">Referencia_Hoy-Master_ventas[[#This Row],[Order Date]]</f>
        <v>980</v>
      </c>
      <c r="J2764" t="str">
        <f>UPPER(Master_ventas[[#This Row],[Product Name]])</f>
        <v>LAPTOP</v>
      </c>
      <c r="K2764" t="str">
        <f>UPPER(Master_ventas[[#This Row],[Category]])</f>
        <v>ELECTRONICS</v>
      </c>
      <c r="L2764">
        <f>YEAR(Master_ventas[[#This Row],[Order Date]])</f>
        <v>2024</v>
      </c>
      <c r="M2764" t="str">
        <f>CONCATENATE(LEFT(Master_ventas[[#This Row],[ProdUpper]],3),RIGHT(Master_ventas[[#This Row],[Ext-Year]],2),"-",MID(Master_ventas[[#This Row],[Category]],1,1))</f>
        <v>LAP24-E</v>
      </c>
      <c r="N2764" t="str">
        <f>MID(Master_ventas[[#This Row],[ProdUpper]],1,3)</f>
        <v>LAP</v>
      </c>
      <c r="O2764" t="str">
        <f>UPPER(IF(Master_ventas[[#This Row],[Profit]]&gt;500,"High","Std"))</f>
        <v>STD</v>
      </c>
      <c r="P2764">
        <v>2763</v>
      </c>
    </row>
    <row r="2765" spans="1:16" x14ac:dyDescent="0.3">
      <c r="A2765" s="1">
        <v>44978</v>
      </c>
      <c r="B2765" t="s">
        <v>23</v>
      </c>
      <c r="C2765" t="s">
        <v>14</v>
      </c>
      <c r="D2765" t="s">
        <v>12</v>
      </c>
      <c r="E2765">
        <v>9</v>
      </c>
      <c r="F2765" s="3">
        <v>9225</v>
      </c>
      <c r="G2765" s="2">
        <v>2526.27</v>
      </c>
      <c r="H2765">
        <f>Master_ventas[[#This Row],[Profit]]/Master_ventas[[#This Row],[Sales]]</f>
        <v>0.27385040650406506</v>
      </c>
      <c r="I2765">
        <f ca="1">Referencia_Hoy-Master_ventas[[#This Row],[Order Date]]</f>
        <v>1345</v>
      </c>
      <c r="J2765" t="str">
        <f>UPPER(Master_ventas[[#This Row],[Product Name]])</f>
        <v>LAPTOP</v>
      </c>
      <c r="K2765" t="str">
        <f>UPPER(Master_ventas[[#This Row],[Category]])</f>
        <v>ELECTRONICS</v>
      </c>
      <c r="L2765">
        <f>YEAR(Master_ventas[[#This Row],[Order Date]])</f>
        <v>2023</v>
      </c>
      <c r="M2765" t="str">
        <f>CONCATENATE(LEFT(Master_ventas[[#This Row],[ProdUpper]],3),RIGHT(Master_ventas[[#This Row],[Ext-Year]],2),"-",MID(Master_ventas[[#This Row],[Category]],1,1))</f>
        <v>LAP23-E</v>
      </c>
      <c r="N2765" t="str">
        <f>MID(Master_ventas[[#This Row],[ProdUpper]],1,3)</f>
        <v>LAP</v>
      </c>
      <c r="O2765" t="str">
        <f>UPPER(IF(Master_ventas[[#This Row],[Profit]]&gt;500,"High","Std"))</f>
        <v>HIGH</v>
      </c>
      <c r="P2765">
        <v>2764</v>
      </c>
    </row>
    <row r="2766" spans="1:16" x14ac:dyDescent="0.3">
      <c r="A2766" s="1">
        <v>44777</v>
      </c>
      <c r="B2766" t="s">
        <v>7</v>
      </c>
      <c r="C2766" t="s">
        <v>8</v>
      </c>
      <c r="D2766" t="s">
        <v>9</v>
      </c>
      <c r="E2766">
        <v>2</v>
      </c>
      <c r="F2766" s="3">
        <v>954</v>
      </c>
      <c r="G2766" s="2">
        <v>71</v>
      </c>
      <c r="H2766">
        <f>Master_ventas[[#This Row],[Profit]]/Master_ventas[[#This Row],[Sales]]</f>
        <v>7.4423480083857449E-2</v>
      </c>
      <c r="I2766">
        <f ca="1">Referencia_Hoy-Master_ventas[[#This Row],[Order Date]]</f>
        <v>1546</v>
      </c>
      <c r="J2766" t="str">
        <f>UPPER(Master_ventas[[#This Row],[Product Name]])</f>
        <v>PRINTER</v>
      </c>
      <c r="K2766" t="str">
        <f>UPPER(Master_ventas[[#This Row],[Category]])</f>
        <v>OFFICE</v>
      </c>
      <c r="L2766">
        <f>YEAR(Master_ventas[[#This Row],[Order Date]])</f>
        <v>2022</v>
      </c>
      <c r="M2766" t="str">
        <f>CONCATENATE(LEFT(Master_ventas[[#This Row],[ProdUpper]],3),RIGHT(Master_ventas[[#This Row],[Ext-Year]],2),"-",MID(Master_ventas[[#This Row],[Category]],1,1))</f>
        <v>PRI22-O</v>
      </c>
      <c r="N2766" t="str">
        <f>MID(Master_ventas[[#This Row],[ProdUpper]],1,3)</f>
        <v>PRI</v>
      </c>
      <c r="O2766" t="str">
        <f>UPPER(IF(Master_ventas[[#This Row],[Profit]]&gt;500,"High","Std"))</f>
        <v>STD</v>
      </c>
      <c r="P2766">
        <v>2765</v>
      </c>
    </row>
    <row r="2767" spans="1:16" x14ac:dyDescent="0.3">
      <c r="A2767" s="1">
        <v>44964</v>
      </c>
      <c r="B2767" t="s">
        <v>19</v>
      </c>
      <c r="C2767" t="s">
        <v>14</v>
      </c>
      <c r="D2767" t="s">
        <v>16</v>
      </c>
      <c r="E2767">
        <v>8</v>
      </c>
      <c r="F2767" s="3">
        <v>7072</v>
      </c>
      <c r="G2767" s="2">
        <v>1983.42</v>
      </c>
      <c r="H2767">
        <f>Master_ventas[[#This Row],[Profit]]/Master_ventas[[#This Row],[Sales]]</f>
        <v>0.28046097285067872</v>
      </c>
      <c r="I2767">
        <f ca="1">Referencia_Hoy-Master_ventas[[#This Row],[Order Date]]</f>
        <v>1359</v>
      </c>
      <c r="J2767" t="str">
        <f>UPPER(Master_ventas[[#This Row],[Product Name]])</f>
        <v>SMARTWATCH</v>
      </c>
      <c r="K2767" t="str">
        <f>UPPER(Master_ventas[[#This Row],[Category]])</f>
        <v>ELECTRONICS</v>
      </c>
      <c r="L2767">
        <f>YEAR(Master_ventas[[#This Row],[Order Date]])</f>
        <v>2023</v>
      </c>
      <c r="M2767" t="str">
        <f>CONCATENATE(LEFT(Master_ventas[[#This Row],[ProdUpper]],3),RIGHT(Master_ventas[[#This Row],[Ext-Year]],2),"-",MID(Master_ventas[[#This Row],[Category]],1,1))</f>
        <v>SMA23-E</v>
      </c>
      <c r="N2767" t="str">
        <f>MID(Master_ventas[[#This Row],[ProdUpper]],1,3)</f>
        <v>SMA</v>
      </c>
      <c r="O2767" t="str">
        <f>UPPER(IF(Master_ventas[[#This Row],[Profit]]&gt;500,"High","Std"))</f>
        <v>HIGH</v>
      </c>
      <c r="P2767">
        <v>2766</v>
      </c>
    </row>
    <row r="2768" spans="1:16" x14ac:dyDescent="0.3">
      <c r="A2768" s="1">
        <v>45511</v>
      </c>
      <c r="B2768" t="s">
        <v>21</v>
      </c>
      <c r="C2768" t="s">
        <v>14</v>
      </c>
      <c r="D2768" t="s">
        <v>9</v>
      </c>
      <c r="E2768">
        <v>3</v>
      </c>
      <c r="F2768" s="3">
        <v>342</v>
      </c>
      <c r="G2768" s="2">
        <v>89.67</v>
      </c>
      <c r="H2768">
        <f>Master_ventas[[#This Row],[Profit]]/Master_ventas[[#This Row],[Sales]]</f>
        <v>0.26219298245614037</v>
      </c>
      <c r="I2768">
        <f ca="1">Referencia_Hoy-Master_ventas[[#This Row],[Order Date]]</f>
        <v>812</v>
      </c>
      <c r="J2768" t="str">
        <f>UPPER(Master_ventas[[#This Row],[Product Name]])</f>
        <v>SMARTPHONE</v>
      </c>
      <c r="K2768" t="str">
        <f>UPPER(Master_ventas[[#This Row],[Category]])</f>
        <v>ELECTRONICS</v>
      </c>
      <c r="L2768">
        <f>YEAR(Master_ventas[[#This Row],[Order Date]])</f>
        <v>2024</v>
      </c>
      <c r="M2768" t="str">
        <f>CONCATENATE(LEFT(Master_ventas[[#This Row],[ProdUpper]],3),RIGHT(Master_ventas[[#This Row],[Ext-Year]],2),"-",MID(Master_ventas[[#This Row],[Category]],1,1))</f>
        <v>SMA24-E</v>
      </c>
      <c r="N2768" t="str">
        <f>MID(Master_ventas[[#This Row],[ProdUpper]],1,3)</f>
        <v>SMA</v>
      </c>
      <c r="O2768" t="str">
        <f>UPPER(IF(Master_ventas[[#This Row],[Profit]]&gt;500,"High","Std"))</f>
        <v>STD</v>
      </c>
      <c r="P2768">
        <v>2767</v>
      </c>
    </row>
    <row r="2769" spans="1:16" x14ac:dyDescent="0.3">
      <c r="A2769" s="1">
        <v>44962</v>
      </c>
      <c r="B2769" t="s">
        <v>7</v>
      </c>
      <c r="C2769" t="s">
        <v>8</v>
      </c>
      <c r="D2769" t="s">
        <v>15</v>
      </c>
      <c r="E2769">
        <v>4</v>
      </c>
      <c r="F2769" s="3">
        <v>2440</v>
      </c>
      <c r="G2769" s="2">
        <v>410.86</v>
      </c>
      <c r="H2769">
        <f>Master_ventas[[#This Row],[Profit]]/Master_ventas[[#This Row],[Sales]]</f>
        <v>0.16838524590163936</v>
      </c>
      <c r="I2769">
        <f ca="1">Referencia_Hoy-Master_ventas[[#This Row],[Order Date]]</f>
        <v>1361</v>
      </c>
      <c r="J2769" t="str">
        <f>UPPER(Master_ventas[[#This Row],[Product Name]])</f>
        <v>PRINTER</v>
      </c>
      <c r="K2769" t="str">
        <f>UPPER(Master_ventas[[#This Row],[Category]])</f>
        <v>OFFICE</v>
      </c>
      <c r="L2769">
        <f>YEAR(Master_ventas[[#This Row],[Order Date]])</f>
        <v>2023</v>
      </c>
      <c r="M2769" t="str">
        <f>CONCATENATE(LEFT(Master_ventas[[#This Row],[ProdUpper]],3),RIGHT(Master_ventas[[#This Row],[Ext-Year]],2),"-",MID(Master_ventas[[#This Row],[Category]],1,1))</f>
        <v>PRI23-O</v>
      </c>
      <c r="N2769" t="str">
        <f>MID(Master_ventas[[#This Row],[ProdUpper]],1,3)</f>
        <v>PRI</v>
      </c>
      <c r="O2769" t="str">
        <f>UPPER(IF(Master_ventas[[#This Row],[Profit]]&gt;500,"High","Std"))</f>
        <v>STD</v>
      </c>
      <c r="P2769">
        <v>2768</v>
      </c>
    </row>
    <row r="2770" spans="1:16" x14ac:dyDescent="0.3">
      <c r="A2770" s="1">
        <v>45313</v>
      </c>
      <c r="B2770" t="s">
        <v>10</v>
      </c>
      <c r="C2770" t="s">
        <v>11</v>
      </c>
      <c r="D2770" t="s">
        <v>15</v>
      </c>
      <c r="E2770">
        <v>5</v>
      </c>
      <c r="F2770" s="3">
        <v>510</v>
      </c>
      <c r="G2770" s="2">
        <v>82.47</v>
      </c>
      <c r="H2770">
        <f>Master_ventas[[#This Row],[Profit]]/Master_ventas[[#This Row],[Sales]]</f>
        <v>0.16170588235294117</v>
      </c>
      <c r="I2770">
        <f ca="1">Referencia_Hoy-Master_ventas[[#This Row],[Order Date]]</f>
        <v>1010</v>
      </c>
      <c r="J2770" t="str">
        <f>UPPER(Master_ventas[[#This Row],[Product Name]])</f>
        <v>MOUSE</v>
      </c>
      <c r="K2770" t="str">
        <f>UPPER(Master_ventas[[#This Row],[Category]])</f>
        <v>ACCESSORIES</v>
      </c>
      <c r="L2770">
        <f>YEAR(Master_ventas[[#This Row],[Order Date]])</f>
        <v>2024</v>
      </c>
      <c r="M2770" t="str">
        <f>CONCATENATE(LEFT(Master_ventas[[#This Row],[ProdUpper]],3),RIGHT(Master_ventas[[#This Row],[Ext-Year]],2),"-",MID(Master_ventas[[#This Row],[Category]],1,1))</f>
        <v>MOU24-A</v>
      </c>
      <c r="N2770" t="str">
        <f>MID(Master_ventas[[#This Row],[ProdUpper]],1,3)</f>
        <v>MOU</v>
      </c>
      <c r="O2770" t="str">
        <f>UPPER(IF(Master_ventas[[#This Row],[Profit]]&gt;500,"High","Std"))</f>
        <v>STD</v>
      </c>
      <c r="P2770">
        <v>2769</v>
      </c>
    </row>
    <row r="2771" spans="1:16" x14ac:dyDescent="0.3">
      <c r="A2771" s="1">
        <v>45211</v>
      </c>
      <c r="B2771" t="s">
        <v>21</v>
      </c>
      <c r="C2771" t="s">
        <v>14</v>
      </c>
      <c r="D2771" t="s">
        <v>15</v>
      </c>
      <c r="E2771">
        <v>1</v>
      </c>
      <c r="F2771" s="3">
        <v>192</v>
      </c>
      <c r="G2771" s="2">
        <v>16.47</v>
      </c>
      <c r="H2771">
        <f>Master_ventas[[#This Row],[Profit]]/Master_ventas[[#This Row],[Sales]]</f>
        <v>8.5781249999999989E-2</v>
      </c>
      <c r="I2771">
        <f ca="1">Referencia_Hoy-Master_ventas[[#This Row],[Order Date]]</f>
        <v>1112</v>
      </c>
      <c r="J2771" t="str">
        <f>UPPER(Master_ventas[[#This Row],[Product Name]])</f>
        <v>SMARTPHONE</v>
      </c>
      <c r="K2771" t="str">
        <f>UPPER(Master_ventas[[#This Row],[Category]])</f>
        <v>ELECTRONICS</v>
      </c>
      <c r="L2771">
        <f>YEAR(Master_ventas[[#This Row],[Order Date]])</f>
        <v>2023</v>
      </c>
      <c r="M2771" t="str">
        <f>CONCATENATE(LEFT(Master_ventas[[#This Row],[ProdUpper]],3),RIGHT(Master_ventas[[#This Row],[Ext-Year]],2),"-",MID(Master_ventas[[#This Row],[Category]],1,1))</f>
        <v>SMA23-E</v>
      </c>
      <c r="N2771" t="str">
        <f>MID(Master_ventas[[#This Row],[ProdUpper]],1,3)</f>
        <v>SMA</v>
      </c>
      <c r="O2771" t="str">
        <f>UPPER(IF(Master_ventas[[#This Row],[Profit]]&gt;500,"High","Std"))</f>
        <v>STD</v>
      </c>
      <c r="P2771">
        <v>2770</v>
      </c>
    </row>
    <row r="2772" spans="1:16" x14ac:dyDescent="0.3">
      <c r="A2772" s="1">
        <v>45195</v>
      </c>
      <c r="B2772" t="s">
        <v>10</v>
      </c>
      <c r="C2772" t="s">
        <v>11</v>
      </c>
      <c r="D2772" t="s">
        <v>12</v>
      </c>
      <c r="E2772">
        <v>5</v>
      </c>
      <c r="F2772" s="3">
        <v>3600</v>
      </c>
      <c r="G2772" s="2">
        <v>712.3</v>
      </c>
      <c r="H2772">
        <f>Master_ventas[[#This Row],[Profit]]/Master_ventas[[#This Row],[Sales]]</f>
        <v>0.1978611111111111</v>
      </c>
      <c r="I2772">
        <f ca="1">Referencia_Hoy-Master_ventas[[#This Row],[Order Date]]</f>
        <v>1128</v>
      </c>
      <c r="J2772" t="str">
        <f>UPPER(Master_ventas[[#This Row],[Product Name]])</f>
        <v>MOUSE</v>
      </c>
      <c r="K2772" t="str">
        <f>UPPER(Master_ventas[[#This Row],[Category]])</f>
        <v>ACCESSORIES</v>
      </c>
      <c r="L2772">
        <f>YEAR(Master_ventas[[#This Row],[Order Date]])</f>
        <v>2023</v>
      </c>
      <c r="M2772" t="str">
        <f>CONCATENATE(LEFT(Master_ventas[[#This Row],[ProdUpper]],3),RIGHT(Master_ventas[[#This Row],[Ext-Year]],2),"-",MID(Master_ventas[[#This Row],[Category]],1,1))</f>
        <v>MOU23-A</v>
      </c>
      <c r="N2772" t="str">
        <f>MID(Master_ventas[[#This Row],[ProdUpper]],1,3)</f>
        <v>MOU</v>
      </c>
      <c r="O2772" t="str">
        <f>UPPER(IF(Master_ventas[[#This Row],[Profit]]&gt;500,"High","Std"))</f>
        <v>HIGH</v>
      </c>
      <c r="P2772">
        <v>2771</v>
      </c>
    </row>
    <row r="2773" spans="1:16" x14ac:dyDescent="0.3">
      <c r="A2773" s="1">
        <v>45444</v>
      </c>
      <c r="B2773" t="s">
        <v>17</v>
      </c>
      <c r="C2773" t="s">
        <v>14</v>
      </c>
      <c r="D2773" t="s">
        <v>16</v>
      </c>
      <c r="E2773">
        <v>7</v>
      </c>
      <c r="F2773" s="3">
        <v>2597</v>
      </c>
      <c r="G2773" s="2">
        <v>766.32</v>
      </c>
      <c r="H2773">
        <f>Master_ventas[[#This Row],[Profit]]/Master_ventas[[#This Row],[Sales]]</f>
        <v>0.29507893723527151</v>
      </c>
      <c r="I2773">
        <f ca="1">Referencia_Hoy-Master_ventas[[#This Row],[Order Date]]</f>
        <v>879</v>
      </c>
      <c r="J2773" t="str">
        <f>UPPER(Master_ventas[[#This Row],[Product Name]])</f>
        <v>CAMERA</v>
      </c>
      <c r="K2773" t="str">
        <f>UPPER(Master_ventas[[#This Row],[Category]])</f>
        <v>ELECTRONICS</v>
      </c>
      <c r="L2773">
        <f>YEAR(Master_ventas[[#This Row],[Order Date]])</f>
        <v>2024</v>
      </c>
      <c r="M2773" t="str">
        <f>CONCATENATE(LEFT(Master_ventas[[#This Row],[ProdUpper]],3),RIGHT(Master_ventas[[#This Row],[Ext-Year]],2),"-",MID(Master_ventas[[#This Row],[Category]],1,1))</f>
        <v>CAM24-E</v>
      </c>
      <c r="N2773" t="str">
        <f>MID(Master_ventas[[#This Row],[ProdUpper]],1,3)</f>
        <v>CAM</v>
      </c>
      <c r="O2773" t="str">
        <f>UPPER(IF(Master_ventas[[#This Row],[Profit]]&gt;500,"High","Std"))</f>
        <v>HIGH</v>
      </c>
      <c r="P2773">
        <v>2772</v>
      </c>
    </row>
    <row r="2774" spans="1:16" x14ac:dyDescent="0.3">
      <c r="A2774" s="1">
        <v>45150</v>
      </c>
      <c r="B2774" t="s">
        <v>17</v>
      </c>
      <c r="C2774" t="s">
        <v>14</v>
      </c>
      <c r="D2774" t="s">
        <v>12</v>
      </c>
      <c r="E2774">
        <v>4</v>
      </c>
      <c r="F2774" s="3">
        <v>772</v>
      </c>
      <c r="G2774" s="2">
        <v>215.62</v>
      </c>
      <c r="H2774">
        <f>Master_ventas[[#This Row],[Profit]]/Master_ventas[[#This Row],[Sales]]</f>
        <v>0.27930051813471501</v>
      </c>
      <c r="I2774">
        <f ca="1">Referencia_Hoy-Master_ventas[[#This Row],[Order Date]]</f>
        <v>1173</v>
      </c>
      <c r="J2774" t="str">
        <f>UPPER(Master_ventas[[#This Row],[Product Name]])</f>
        <v>CAMERA</v>
      </c>
      <c r="K2774" t="str">
        <f>UPPER(Master_ventas[[#This Row],[Category]])</f>
        <v>ELECTRONICS</v>
      </c>
      <c r="L2774">
        <f>YEAR(Master_ventas[[#This Row],[Order Date]])</f>
        <v>2023</v>
      </c>
      <c r="M2774" t="str">
        <f>CONCATENATE(LEFT(Master_ventas[[#This Row],[ProdUpper]],3),RIGHT(Master_ventas[[#This Row],[Ext-Year]],2),"-",MID(Master_ventas[[#This Row],[Category]],1,1))</f>
        <v>CAM23-E</v>
      </c>
      <c r="N2774" t="str">
        <f>MID(Master_ventas[[#This Row],[ProdUpper]],1,3)</f>
        <v>CAM</v>
      </c>
      <c r="O2774" t="str">
        <f>UPPER(IF(Master_ventas[[#This Row],[Profit]]&gt;500,"High","Std"))</f>
        <v>STD</v>
      </c>
      <c r="P2774">
        <v>2773</v>
      </c>
    </row>
    <row r="2775" spans="1:16" x14ac:dyDescent="0.3">
      <c r="A2775" s="1">
        <v>45144</v>
      </c>
      <c r="B2775" t="s">
        <v>10</v>
      </c>
      <c r="C2775" t="s">
        <v>11</v>
      </c>
      <c r="D2775" t="s">
        <v>16</v>
      </c>
      <c r="E2775">
        <v>2</v>
      </c>
      <c r="F2775" s="3">
        <v>646</v>
      </c>
      <c r="G2775" s="2">
        <v>180.5</v>
      </c>
      <c r="H2775">
        <f>Master_ventas[[#This Row],[Profit]]/Master_ventas[[#This Row],[Sales]]</f>
        <v>0.27941176470588236</v>
      </c>
      <c r="I2775">
        <f ca="1">Referencia_Hoy-Master_ventas[[#This Row],[Order Date]]</f>
        <v>1179</v>
      </c>
      <c r="J2775" t="str">
        <f>UPPER(Master_ventas[[#This Row],[Product Name]])</f>
        <v>MOUSE</v>
      </c>
      <c r="K2775" t="str">
        <f>UPPER(Master_ventas[[#This Row],[Category]])</f>
        <v>ACCESSORIES</v>
      </c>
      <c r="L2775">
        <f>YEAR(Master_ventas[[#This Row],[Order Date]])</f>
        <v>2023</v>
      </c>
      <c r="M2775" t="str">
        <f>CONCATENATE(LEFT(Master_ventas[[#This Row],[ProdUpper]],3),RIGHT(Master_ventas[[#This Row],[Ext-Year]],2),"-",MID(Master_ventas[[#This Row],[Category]],1,1))</f>
        <v>MOU23-A</v>
      </c>
      <c r="N2775" t="str">
        <f>MID(Master_ventas[[#This Row],[ProdUpper]],1,3)</f>
        <v>MOU</v>
      </c>
      <c r="O2775" t="str">
        <f>UPPER(IF(Master_ventas[[#This Row],[Profit]]&gt;500,"High","Std"))</f>
        <v>STD</v>
      </c>
      <c r="P2775">
        <v>2774</v>
      </c>
    </row>
    <row r="2776" spans="1:16" x14ac:dyDescent="0.3">
      <c r="A2776" s="1">
        <v>45380</v>
      </c>
      <c r="B2776" t="s">
        <v>21</v>
      </c>
      <c r="C2776" t="s">
        <v>14</v>
      </c>
      <c r="D2776" t="s">
        <v>12</v>
      </c>
      <c r="E2776">
        <v>7</v>
      </c>
      <c r="F2776" s="3">
        <v>2947</v>
      </c>
      <c r="G2776" s="2">
        <v>809.46</v>
      </c>
      <c r="H2776">
        <f>Master_ventas[[#This Row],[Profit]]/Master_ventas[[#This Row],[Sales]]</f>
        <v>0.27467254835425858</v>
      </c>
      <c r="I2776">
        <f ca="1">Referencia_Hoy-Master_ventas[[#This Row],[Order Date]]</f>
        <v>943</v>
      </c>
      <c r="J2776" t="str">
        <f>UPPER(Master_ventas[[#This Row],[Product Name]])</f>
        <v>SMARTPHONE</v>
      </c>
      <c r="K2776" t="str">
        <f>UPPER(Master_ventas[[#This Row],[Category]])</f>
        <v>ELECTRONICS</v>
      </c>
      <c r="L2776">
        <f>YEAR(Master_ventas[[#This Row],[Order Date]])</f>
        <v>2024</v>
      </c>
      <c r="M2776" t="str">
        <f>CONCATENATE(LEFT(Master_ventas[[#This Row],[ProdUpper]],3),RIGHT(Master_ventas[[#This Row],[Ext-Year]],2),"-",MID(Master_ventas[[#This Row],[Category]],1,1))</f>
        <v>SMA24-E</v>
      </c>
      <c r="N2776" t="str">
        <f>MID(Master_ventas[[#This Row],[ProdUpper]],1,3)</f>
        <v>SMA</v>
      </c>
      <c r="O2776" t="str">
        <f>UPPER(IF(Master_ventas[[#This Row],[Profit]]&gt;500,"High","Std"))</f>
        <v>HIGH</v>
      </c>
      <c r="P2776">
        <v>2775</v>
      </c>
    </row>
    <row r="2777" spans="1:16" x14ac:dyDescent="0.3">
      <c r="A2777" s="1">
        <v>44978</v>
      </c>
      <c r="B2777" t="s">
        <v>23</v>
      </c>
      <c r="C2777" t="s">
        <v>14</v>
      </c>
      <c r="D2777" t="s">
        <v>15</v>
      </c>
      <c r="E2777">
        <v>5</v>
      </c>
      <c r="F2777" s="3">
        <v>880</v>
      </c>
      <c r="G2777" s="2">
        <v>255.9</v>
      </c>
      <c r="H2777">
        <f>Master_ventas[[#This Row],[Profit]]/Master_ventas[[#This Row],[Sales]]</f>
        <v>0.29079545454545458</v>
      </c>
      <c r="I2777">
        <f ca="1">Referencia_Hoy-Master_ventas[[#This Row],[Order Date]]</f>
        <v>1345</v>
      </c>
      <c r="J2777" t="str">
        <f>UPPER(Master_ventas[[#This Row],[Product Name]])</f>
        <v>LAPTOP</v>
      </c>
      <c r="K2777" t="str">
        <f>UPPER(Master_ventas[[#This Row],[Category]])</f>
        <v>ELECTRONICS</v>
      </c>
      <c r="L2777">
        <f>YEAR(Master_ventas[[#This Row],[Order Date]])</f>
        <v>2023</v>
      </c>
      <c r="M2777" t="str">
        <f>CONCATENATE(LEFT(Master_ventas[[#This Row],[ProdUpper]],3),RIGHT(Master_ventas[[#This Row],[Ext-Year]],2),"-",MID(Master_ventas[[#This Row],[Category]],1,1))</f>
        <v>LAP23-E</v>
      </c>
      <c r="N2777" t="str">
        <f>MID(Master_ventas[[#This Row],[ProdUpper]],1,3)</f>
        <v>LAP</v>
      </c>
      <c r="O2777" t="str">
        <f>UPPER(IF(Master_ventas[[#This Row],[Profit]]&gt;500,"High","Std"))</f>
        <v>STD</v>
      </c>
      <c r="P2777">
        <v>2776</v>
      </c>
    </row>
    <row r="2778" spans="1:16" x14ac:dyDescent="0.3">
      <c r="A2778" s="1">
        <v>44603</v>
      </c>
      <c r="B2778" t="s">
        <v>17</v>
      </c>
      <c r="C2778" t="s">
        <v>14</v>
      </c>
      <c r="D2778" t="s">
        <v>16</v>
      </c>
      <c r="E2778">
        <v>3</v>
      </c>
      <c r="F2778" s="3">
        <v>1038</v>
      </c>
      <c r="G2778" s="2">
        <v>219.69</v>
      </c>
      <c r="H2778">
        <f>Master_ventas[[#This Row],[Profit]]/Master_ventas[[#This Row],[Sales]]</f>
        <v>0.21164739884393063</v>
      </c>
      <c r="I2778">
        <f ca="1">Referencia_Hoy-Master_ventas[[#This Row],[Order Date]]</f>
        <v>1720</v>
      </c>
      <c r="J2778" t="str">
        <f>UPPER(Master_ventas[[#This Row],[Product Name]])</f>
        <v>CAMERA</v>
      </c>
      <c r="K2778" t="str">
        <f>UPPER(Master_ventas[[#This Row],[Category]])</f>
        <v>ELECTRONICS</v>
      </c>
      <c r="L2778">
        <f>YEAR(Master_ventas[[#This Row],[Order Date]])</f>
        <v>2022</v>
      </c>
      <c r="M2778" t="str">
        <f>CONCATENATE(LEFT(Master_ventas[[#This Row],[ProdUpper]],3),RIGHT(Master_ventas[[#This Row],[Ext-Year]],2),"-",MID(Master_ventas[[#This Row],[Category]],1,1))</f>
        <v>CAM22-E</v>
      </c>
      <c r="N2778" t="str">
        <f>MID(Master_ventas[[#This Row],[ProdUpper]],1,3)</f>
        <v>CAM</v>
      </c>
      <c r="O2778" t="str">
        <f>UPPER(IF(Master_ventas[[#This Row],[Profit]]&gt;500,"High","Std"))</f>
        <v>STD</v>
      </c>
      <c r="P2778">
        <v>2777</v>
      </c>
    </row>
    <row r="2779" spans="1:16" x14ac:dyDescent="0.3">
      <c r="A2779" s="1">
        <v>45509</v>
      </c>
      <c r="B2779" t="s">
        <v>7</v>
      </c>
      <c r="C2779" t="s">
        <v>8</v>
      </c>
      <c r="D2779" t="s">
        <v>16</v>
      </c>
      <c r="E2779">
        <v>1</v>
      </c>
      <c r="F2779" s="3">
        <v>714</v>
      </c>
      <c r="G2779" s="2">
        <v>209.69</v>
      </c>
      <c r="H2779">
        <f>Master_ventas[[#This Row],[Profit]]/Master_ventas[[#This Row],[Sales]]</f>
        <v>0.29368347338935574</v>
      </c>
      <c r="I2779">
        <f ca="1">Referencia_Hoy-Master_ventas[[#This Row],[Order Date]]</f>
        <v>814</v>
      </c>
      <c r="J2779" t="str">
        <f>UPPER(Master_ventas[[#This Row],[Product Name]])</f>
        <v>PRINTER</v>
      </c>
      <c r="K2779" t="str">
        <f>UPPER(Master_ventas[[#This Row],[Category]])</f>
        <v>OFFICE</v>
      </c>
      <c r="L2779">
        <f>YEAR(Master_ventas[[#This Row],[Order Date]])</f>
        <v>2024</v>
      </c>
      <c r="M2779" t="str">
        <f>CONCATENATE(LEFT(Master_ventas[[#This Row],[ProdUpper]],3),RIGHT(Master_ventas[[#This Row],[Ext-Year]],2),"-",MID(Master_ventas[[#This Row],[Category]],1,1))</f>
        <v>PRI24-O</v>
      </c>
      <c r="N2779" t="str">
        <f>MID(Master_ventas[[#This Row],[ProdUpper]],1,3)</f>
        <v>PRI</v>
      </c>
      <c r="O2779" t="str">
        <f>UPPER(IF(Master_ventas[[#This Row],[Profit]]&gt;500,"High","Std"))</f>
        <v>STD</v>
      </c>
      <c r="P2779">
        <v>2778</v>
      </c>
    </row>
    <row r="2780" spans="1:16" x14ac:dyDescent="0.3">
      <c r="A2780" s="1">
        <v>45142</v>
      </c>
      <c r="B2780" t="s">
        <v>23</v>
      </c>
      <c r="C2780" t="s">
        <v>14</v>
      </c>
      <c r="D2780" t="s">
        <v>15</v>
      </c>
      <c r="E2780">
        <v>4</v>
      </c>
      <c r="F2780" s="3">
        <v>1792</v>
      </c>
      <c r="G2780" s="2">
        <v>506.56</v>
      </c>
      <c r="H2780">
        <f>Master_ventas[[#This Row],[Profit]]/Master_ventas[[#This Row],[Sales]]</f>
        <v>0.28267857142857145</v>
      </c>
      <c r="I2780">
        <f ca="1">Referencia_Hoy-Master_ventas[[#This Row],[Order Date]]</f>
        <v>1181</v>
      </c>
      <c r="J2780" t="str">
        <f>UPPER(Master_ventas[[#This Row],[Product Name]])</f>
        <v>LAPTOP</v>
      </c>
      <c r="K2780" t="str">
        <f>UPPER(Master_ventas[[#This Row],[Category]])</f>
        <v>ELECTRONICS</v>
      </c>
      <c r="L2780">
        <f>YEAR(Master_ventas[[#This Row],[Order Date]])</f>
        <v>2023</v>
      </c>
      <c r="M2780" t="str">
        <f>CONCATENATE(LEFT(Master_ventas[[#This Row],[ProdUpper]],3),RIGHT(Master_ventas[[#This Row],[Ext-Year]],2),"-",MID(Master_ventas[[#This Row],[Category]],1,1))</f>
        <v>LAP23-E</v>
      </c>
      <c r="N2780" t="str">
        <f>MID(Master_ventas[[#This Row],[ProdUpper]],1,3)</f>
        <v>LAP</v>
      </c>
      <c r="O2780" t="str">
        <f>UPPER(IF(Master_ventas[[#This Row],[Profit]]&gt;500,"High","Std"))</f>
        <v>HIGH</v>
      </c>
      <c r="P2780">
        <v>2779</v>
      </c>
    </row>
    <row r="2781" spans="1:16" x14ac:dyDescent="0.3">
      <c r="A2781" s="1">
        <v>44794</v>
      </c>
      <c r="B2781" t="s">
        <v>18</v>
      </c>
      <c r="C2781" t="s">
        <v>11</v>
      </c>
      <c r="D2781" t="s">
        <v>12</v>
      </c>
      <c r="E2781">
        <v>6</v>
      </c>
      <c r="F2781" s="3">
        <v>5874</v>
      </c>
      <c r="G2781" s="2">
        <v>1386.51</v>
      </c>
      <c r="H2781">
        <f>Master_ventas[[#This Row],[Profit]]/Master_ventas[[#This Row],[Sales]]</f>
        <v>0.23604187946884575</v>
      </c>
      <c r="I2781">
        <f ca="1">Referencia_Hoy-Master_ventas[[#This Row],[Order Date]]</f>
        <v>1529</v>
      </c>
      <c r="J2781" t="str">
        <f>UPPER(Master_ventas[[#This Row],[Product Name]])</f>
        <v>HEADPHONES</v>
      </c>
      <c r="K2781" t="str">
        <f>UPPER(Master_ventas[[#This Row],[Category]])</f>
        <v>ACCESSORIES</v>
      </c>
      <c r="L2781">
        <f>YEAR(Master_ventas[[#This Row],[Order Date]])</f>
        <v>2022</v>
      </c>
      <c r="M2781" t="str">
        <f>CONCATENATE(LEFT(Master_ventas[[#This Row],[ProdUpper]],3),RIGHT(Master_ventas[[#This Row],[Ext-Year]],2),"-",MID(Master_ventas[[#This Row],[Category]],1,1))</f>
        <v>HEA22-A</v>
      </c>
      <c r="N2781" t="str">
        <f>MID(Master_ventas[[#This Row],[ProdUpper]],1,3)</f>
        <v>HEA</v>
      </c>
      <c r="O2781" t="str">
        <f>UPPER(IF(Master_ventas[[#This Row],[Profit]]&gt;500,"High","Std"))</f>
        <v>HIGH</v>
      </c>
      <c r="P2781">
        <v>2780</v>
      </c>
    </row>
    <row r="2782" spans="1:16" x14ac:dyDescent="0.3">
      <c r="A2782" s="1">
        <v>45151</v>
      </c>
      <c r="B2782" t="s">
        <v>19</v>
      </c>
      <c r="C2782" t="s">
        <v>14</v>
      </c>
      <c r="D2782" t="s">
        <v>12</v>
      </c>
      <c r="E2782">
        <v>6</v>
      </c>
      <c r="F2782" s="3">
        <v>2496</v>
      </c>
      <c r="G2782" s="2">
        <v>332.08</v>
      </c>
      <c r="H2782">
        <f>Master_ventas[[#This Row],[Profit]]/Master_ventas[[#This Row],[Sales]]</f>
        <v>0.13304487179487179</v>
      </c>
      <c r="I2782">
        <f ca="1">Referencia_Hoy-Master_ventas[[#This Row],[Order Date]]</f>
        <v>1172</v>
      </c>
      <c r="J2782" t="str">
        <f>UPPER(Master_ventas[[#This Row],[Product Name]])</f>
        <v>SMARTWATCH</v>
      </c>
      <c r="K2782" t="str">
        <f>UPPER(Master_ventas[[#This Row],[Category]])</f>
        <v>ELECTRONICS</v>
      </c>
      <c r="L2782">
        <f>YEAR(Master_ventas[[#This Row],[Order Date]])</f>
        <v>2023</v>
      </c>
      <c r="M2782" t="str">
        <f>CONCATENATE(LEFT(Master_ventas[[#This Row],[ProdUpper]],3),RIGHT(Master_ventas[[#This Row],[Ext-Year]],2),"-",MID(Master_ventas[[#This Row],[Category]],1,1))</f>
        <v>SMA23-E</v>
      </c>
      <c r="N2782" t="str">
        <f>MID(Master_ventas[[#This Row],[ProdUpper]],1,3)</f>
        <v>SMA</v>
      </c>
      <c r="O2782" t="str">
        <f>UPPER(IF(Master_ventas[[#This Row],[Profit]]&gt;500,"High","Std"))</f>
        <v>STD</v>
      </c>
      <c r="P2782">
        <v>2781</v>
      </c>
    </row>
    <row r="2783" spans="1:16" x14ac:dyDescent="0.3">
      <c r="A2783" s="1">
        <v>45273</v>
      </c>
      <c r="B2783" t="s">
        <v>19</v>
      </c>
      <c r="C2783" t="s">
        <v>14</v>
      </c>
      <c r="D2783" t="s">
        <v>16</v>
      </c>
      <c r="E2783">
        <v>3</v>
      </c>
      <c r="F2783" s="3">
        <v>795</v>
      </c>
      <c r="G2783" s="2">
        <v>60.34</v>
      </c>
      <c r="H2783">
        <f>Master_ventas[[#This Row],[Profit]]/Master_ventas[[#This Row],[Sales]]</f>
        <v>7.5899371069182389E-2</v>
      </c>
      <c r="I2783">
        <f ca="1">Referencia_Hoy-Master_ventas[[#This Row],[Order Date]]</f>
        <v>1050</v>
      </c>
      <c r="J2783" t="str">
        <f>UPPER(Master_ventas[[#This Row],[Product Name]])</f>
        <v>SMARTWATCH</v>
      </c>
      <c r="K2783" t="str">
        <f>UPPER(Master_ventas[[#This Row],[Category]])</f>
        <v>ELECTRONICS</v>
      </c>
      <c r="L2783">
        <f>YEAR(Master_ventas[[#This Row],[Order Date]])</f>
        <v>2023</v>
      </c>
      <c r="M2783" t="str">
        <f>CONCATENATE(LEFT(Master_ventas[[#This Row],[ProdUpper]],3),RIGHT(Master_ventas[[#This Row],[Ext-Year]],2),"-",MID(Master_ventas[[#This Row],[Category]],1,1))</f>
        <v>SMA23-E</v>
      </c>
      <c r="N2783" t="str">
        <f>MID(Master_ventas[[#This Row],[ProdUpper]],1,3)</f>
        <v>SMA</v>
      </c>
      <c r="O2783" t="str">
        <f>UPPER(IF(Master_ventas[[#This Row],[Profit]]&gt;500,"High","Std"))</f>
        <v>STD</v>
      </c>
      <c r="P2783">
        <v>2782</v>
      </c>
    </row>
    <row r="2784" spans="1:16" x14ac:dyDescent="0.3">
      <c r="A2784" s="1">
        <v>44952</v>
      </c>
      <c r="B2784" t="s">
        <v>21</v>
      </c>
      <c r="C2784" t="s">
        <v>14</v>
      </c>
      <c r="D2784" t="s">
        <v>12</v>
      </c>
      <c r="E2784">
        <v>7</v>
      </c>
      <c r="F2784" s="3">
        <v>7238</v>
      </c>
      <c r="G2784" s="2">
        <v>1597.03</v>
      </c>
      <c r="H2784">
        <f>Master_ventas[[#This Row],[Profit]]/Master_ventas[[#This Row],[Sales]]</f>
        <v>0.22064520585797182</v>
      </c>
      <c r="I2784">
        <f ca="1">Referencia_Hoy-Master_ventas[[#This Row],[Order Date]]</f>
        <v>1371</v>
      </c>
      <c r="J2784" t="str">
        <f>UPPER(Master_ventas[[#This Row],[Product Name]])</f>
        <v>SMARTPHONE</v>
      </c>
      <c r="K2784" t="str">
        <f>UPPER(Master_ventas[[#This Row],[Category]])</f>
        <v>ELECTRONICS</v>
      </c>
      <c r="L2784">
        <f>YEAR(Master_ventas[[#This Row],[Order Date]])</f>
        <v>2023</v>
      </c>
      <c r="M2784" t="str">
        <f>CONCATENATE(LEFT(Master_ventas[[#This Row],[ProdUpper]],3),RIGHT(Master_ventas[[#This Row],[Ext-Year]],2),"-",MID(Master_ventas[[#This Row],[Category]],1,1))</f>
        <v>SMA23-E</v>
      </c>
      <c r="N2784" t="str">
        <f>MID(Master_ventas[[#This Row],[ProdUpper]],1,3)</f>
        <v>SMA</v>
      </c>
      <c r="O2784" t="str">
        <f>UPPER(IF(Master_ventas[[#This Row],[Profit]]&gt;500,"High","Std"))</f>
        <v>HIGH</v>
      </c>
      <c r="P2784">
        <v>2783</v>
      </c>
    </row>
    <row r="2785" spans="1:16" x14ac:dyDescent="0.3">
      <c r="A2785" s="1">
        <v>45165</v>
      </c>
      <c r="B2785" t="s">
        <v>13</v>
      </c>
      <c r="C2785" t="s">
        <v>14</v>
      </c>
      <c r="D2785" t="s">
        <v>15</v>
      </c>
      <c r="E2785">
        <v>1</v>
      </c>
      <c r="F2785" s="3">
        <v>430</v>
      </c>
      <c r="G2785" s="2">
        <v>83.33</v>
      </c>
      <c r="H2785">
        <f>Master_ventas[[#This Row],[Profit]]/Master_ventas[[#This Row],[Sales]]</f>
        <v>0.19379069767441859</v>
      </c>
      <c r="I2785">
        <f ca="1">Referencia_Hoy-Master_ventas[[#This Row],[Order Date]]</f>
        <v>1158</v>
      </c>
      <c r="J2785" t="str">
        <f>UPPER(Master_ventas[[#This Row],[Product Name]])</f>
        <v>TABLET</v>
      </c>
      <c r="K2785" t="str">
        <f>UPPER(Master_ventas[[#This Row],[Category]])</f>
        <v>ELECTRONICS</v>
      </c>
      <c r="L2785">
        <f>YEAR(Master_ventas[[#This Row],[Order Date]])</f>
        <v>2023</v>
      </c>
      <c r="M2785" t="str">
        <f>CONCATENATE(LEFT(Master_ventas[[#This Row],[ProdUpper]],3),RIGHT(Master_ventas[[#This Row],[Ext-Year]],2),"-",MID(Master_ventas[[#This Row],[Category]],1,1))</f>
        <v>TAB23-E</v>
      </c>
      <c r="N2785" t="str">
        <f>MID(Master_ventas[[#This Row],[ProdUpper]],1,3)</f>
        <v>TAB</v>
      </c>
      <c r="O2785" t="str">
        <f>UPPER(IF(Master_ventas[[#This Row],[Profit]]&gt;500,"High","Std"))</f>
        <v>STD</v>
      </c>
      <c r="P2785">
        <v>2784</v>
      </c>
    </row>
    <row r="2786" spans="1:16" x14ac:dyDescent="0.3">
      <c r="A2786" s="1">
        <v>44571</v>
      </c>
      <c r="B2786" t="s">
        <v>18</v>
      </c>
      <c r="C2786" t="s">
        <v>11</v>
      </c>
      <c r="D2786" t="s">
        <v>16</v>
      </c>
      <c r="E2786">
        <v>4</v>
      </c>
      <c r="F2786" s="3">
        <v>1728</v>
      </c>
      <c r="G2786" s="2">
        <v>239.64</v>
      </c>
      <c r="H2786">
        <f>Master_ventas[[#This Row],[Profit]]/Master_ventas[[#This Row],[Sales]]</f>
        <v>0.13868055555555556</v>
      </c>
      <c r="I2786">
        <f ca="1">Referencia_Hoy-Master_ventas[[#This Row],[Order Date]]</f>
        <v>1752</v>
      </c>
      <c r="J2786" t="str">
        <f>UPPER(Master_ventas[[#This Row],[Product Name]])</f>
        <v>HEADPHONES</v>
      </c>
      <c r="K2786" t="str">
        <f>UPPER(Master_ventas[[#This Row],[Category]])</f>
        <v>ACCESSORIES</v>
      </c>
      <c r="L2786">
        <f>YEAR(Master_ventas[[#This Row],[Order Date]])</f>
        <v>2022</v>
      </c>
      <c r="M2786" t="str">
        <f>CONCATENATE(LEFT(Master_ventas[[#This Row],[ProdUpper]],3),RIGHT(Master_ventas[[#This Row],[Ext-Year]],2),"-",MID(Master_ventas[[#This Row],[Category]],1,1))</f>
        <v>HEA22-A</v>
      </c>
      <c r="N2786" t="str">
        <f>MID(Master_ventas[[#This Row],[ProdUpper]],1,3)</f>
        <v>HEA</v>
      </c>
      <c r="O2786" t="str">
        <f>UPPER(IF(Master_ventas[[#This Row],[Profit]]&gt;500,"High","Std"))</f>
        <v>STD</v>
      </c>
      <c r="P2786">
        <v>2785</v>
      </c>
    </row>
    <row r="2787" spans="1:16" x14ac:dyDescent="0.3">
      <c r="A2787" s="1">
        <v>44658</v>
      </c>
      <c r="B2787" t="s">
        <v>20</v>
      </c>
      <c r="C2787" t="s">
        <v>11</v>
      </c>
      <c r="D2787" t="s">
        <v>15</v>
      </c>
      <c r="E2787">
        <v>3</v>
      </c>
      <c r="F2787" s="3">
        <v>1833</v>
      </c>
      <c r="G2787" s="2">
        <v>314.79000000000002</v>
      </c>
      <c r="H2787">
        <f>Master_ventas[[#This Row],[Profit]]/Master_ventas[[#This Row],[Sales]]</f>
        <v>0.17173486088379705</v>
      </c>
      <c r="I2787">
        <f ca="1">Referencia_Hoy-Master_ventas[[#This Row],[Order Date]]</f>
        <v>1665</v>
      </c>
      <c r="J2787" t="str">
        <f>UPPER(Master_ventas[[#This Row],[Product Name]])</f>
        <v>MONITOR</v>
      </c>
      <c r="K2787" t="str">
        <f>UPPER(Master_ventas[[#This Row],[Category]])</f>
        <v>ACCESSORIES</v>
      </c>
      <c r="L2787">
        <f>YEAR(Master_ventas[[#This Row],[Order Date]])</f>
        <v>2022</v>
      </c>
      <c r="M2787" t="str">
        <f>CONCATENATE(LEFT(Master_ventas[[#This Row],[ProdUpper]],3),RIGHT(Master_ventas[[#This Row],[Ext-Year]],2),"-",MID(Master_ventas[[#This Row],[Category]],1,1))</f>
        <v>MON22-A</v>
      </c>
      <c r="N2787" t="str">
        <f>MID(Master_ventas[[#This Row],[ProdUpper]],1,3)</f>
        <v>MON</v>
      </c>
      <c r="O2787" t="str">
        <f>UPPER(IF(Master_ventas[[#This Row],[Profit]]&gt;500,"High","Std"))</f>
        <v>STD</v>
      </c>
      <c r="P2787">
        <v>2786</v>
      </c>
    </row>
    <row r="2788" spans="1:16" x14ac:dyDescent="0.3">
      <c r="A2788" s="1">
        <v>45222</v>
      </c>
      <c r="B2788" t="s">
        <v>20</v>
      </c>
      <c r="C2788" t="s">
        <v>11</v>
      </c>
      <c r="D2788" t="s">
        <v>9</v>
      </c>
      <c r="E2788">
        <v>7</v>
      </c>
      <c r="F2788" s="3">
        <v>7280</v>
      </c>
      <c r="G2788" s="2">
        <v>1682.79</v>
      </c>
      <c r="H2788">
        <f>Master_ventas[[#This Row],[Profit]]/Master_ventas[[#This Row],[Sales]]</f>
        <v>0.23115247252747254</v>
      </c>
      <c r="I2788">
        <f ca="1">Referencia_Hoy-Master_ventas[[#This Row],[Order Date]]</f>
        <v>1101</v>
      </c>
      <c r="J2788" t="str">
        <f>UPPER(Master_ventas[[#This Row],[Product Name]])</f>
        <v>MONITOR</v>
      </c>
      <c r="K2788" t="str">
        <f>UPPER(Master_ventas[[#This Row],[Category]])</f>
        <v>ACCESSORIES</v>
      </c>
      <c r="L2788">
        <f>YEAR(Master_ventas[[#This Row],[Order Date]])</f>
        <v>2023</v>
      </c>
      <c r="M2788" t="str">
        <f>CONCATENATE(LEFT(Master_ventas[[#This Row],[ProdUpper]],3),RIGHT(Master_ventas[[#This Row],[Ext-Year]],2),"-",MID(Master_ventas[[#This Row],[Category]],1,1))</f>
        <v>MON23-A</v>
      </c>
      <c r="N2788" t="str">
        <f>MID(Master_ventas[[#This Row],[ProdUpper]],1,3)</f>
        <v>MON</v>
      </c>
      <c r="O2788" t="str">
        <f>UPPER(IF(Master_ventas[[#This Row],[Profit]]&gt;500,"High","Std"))</f>
        <v>HIGH</v>
      </c>
      <c r="P2788">
        <v>2787</v>
      </c>
    </row>
    <row r="2789" spans="1:16" x14ac:dyDescent="0.3">
      <c r="A2789" s="1">
        <v>45352</v>
      </c>
      <c r="B2789" t="s">
        <v>19</v>
      </c>
      <c r="C2789" t="s">
        <v>14</v>
      </c>
      <c r="D2789" t="s">
        <v>15</v>
      </c>
      <c r="E2789">
        <v>1</v>
      </c>
      <c r="F2789" s="3">
        <v>814</v>
      </c>
      <c r="G2789" s="2">
        <v>197.91</v>
      </c>
      <c r="H2789">
        <f>Master_ventas[[#This Row],[Profit]]/Master_ventas[[#This Row],[Sales]]</f>
        <v>0.24313267813267814</v>
      </c>
      <c r="I2789">
        <f ca="1">Referencia_Hoy-Master_ventas[[#This Row],[Order Date]]</f>
        <v>971</v>
      </c>
      <c r="J2789" t="str">
        <f>UPPER(Master_ventas[[#This Row],[Product Name]])</f>
        <v>SMARTWATCH</v>
      </c>
      <c r="K2789" t="str">
        <f>UPPER(Master_ventas[[#This Row],[Category]])</f>
        <v>ELECTRONICS</v>
      </c>
      <c r="L2789">
        <f>YEAR(Master_ventas[[#This Row],[Order Date]])</f>
        <v>2024</v>
      </c>
      <c r="M2789" t="str">
        <f>CONCATENATE(LEFT(Master_ventas[[#This Row],[ProdUpper]],3),RIGHT(Master_ventas[[#This Row],[Ext-Year]],2),"-",MID(Master_ventas[[#This Row],[Category]],1,1))</f>
        <v>SMA24-E</v>
      </c>
      <c r="N2789" t="str">
        <f>MID(Master_ventas[[#This Row],[ProdUpper]],1,3)</f>
        <v>SMA</v>
      </c>
      <c r="O2789" t="str">
        <f>UPPER(IF(Master_ventas[[#This Row],[Profit]]&gt;500,"High","Std"))</f>
        <v>STD</v>
      </c>
      <c r="P2789">
        <v>2788</v>
      </c>
    </row>
    <row r="2790" spans="1:16" x14ac:dyDescent="0.3">
      <c r="A2790" s="1">
        <v>44991</v>
      </c>
      <c r="B2790" t="s">
        <v>7</v>
      </c>
      <c r="C2790" t="s">
        <v>8</v>
      </c>
      <c r="D2790" t="s">
        <v>15</v>
      </c>
      <c r="E2790">
        <v>8</v>
      </c>
      <c r="F2790" s="3">
        <v>4696</v>
      </c>
      <c r="G2790" s="2">
        <v>410.03</v>
      </c>
      <c r="H2790">
        <f>Master_ventas[[#This Row],[Profit]]/Master_ventas[[#This Row],[Sales]]</f>
        <v>8.7314735945485514E-2</v>
      </c>
      <c r="I2790">
        <f ca="1">Referencia_Hoy-Master_ventas[[#This Row],[Order Date]]</f>
        <v>1332</v>
      </c>
      <c r="J2790" t="str">
        <f>UPPER(Master_ventas[[#This Row],[Product Name]])</f>
        <v>PRINTER</v>
      </c>
      <c r="K2790" t="str">
        <f>UPPER(Master_ventas[[#This Row],[Category]])</f>
        <v>OFFICE</v>
      </c>
      <c r="L2790">
        <f>YEAR(Master_ventas[[#This Row],[Order Date]])</f>
        <v>2023</v>
      </c>
      <c r="M2790" t="str">
        <f>CONCATENATE(LEFT(Master_ventas[[#This Row],[ProdUpper]],3),RIGHT(Master_ventas[[#This Row],[Ext-Year]],2),"-",MID(Master_ventas[[#This Row],[Category]],1,1))</f>
        <v>PRI23-O</v>
      </c>
      <c r="N2790" t="str">
        <f>MID(Master_ventas[[#This Row],[ProdUpper]],1,3)</f>
        <v>PRI</v>
      </c>
      <c r="O2790" t="str">
        <f>UPPER(IF(Master_ventas[[#This Row],[Profit]]&gt;500,"High","Std"))</f>
        <v>STD</v>
      </c>
      <c r="P2790">
        <v>2789</v>
      </c>
    </row>
    <row r="2791" spans="1:16" x14ac:dyDescent="0.3">
      <c r="A2791" s="1">
        <v>45134</v>
      </c>
      <c r="B2791" t="s">
        <v>10</v>
      </c>
      <c r="C2791" t="s">
        <v>11</v>
      </c>
      <c r="D2791" t="s">
        <v>15</v>
      </c>
      <c r="E2791">
        <v>5</v>
      </c>
      <c r="F2791" s="3">
        <v>1190</v>
      </c>
      <c r="G2791" s="2">
        <v>235.64</v>
      </c>
      <c r="H2791">
        <f>Master_ventas[[#This Row],[Profit]]/Master_ventas[[#This Row],[Sales]]</f>
        <v>0.19801680672268906</v>
      </c>
      <c r="I2791">
        <f ca="1">Referencia_Hoy-Master_ventas[[#This Row],[Order Date]]</f>
        <v>1189</v>
      </c>
      <c r="J2791" t="str">
        <f>UPPER(Master_ventas[[#This Row],[Product Name]])</f>
        <v>MOUSE</v>
      </c>
      <c r="K2791" t="str">
        <f>UPPER(Master_ventas[[#This Row],[Category]])</f>
        <v>ACCESSORIES</v>
      </c>
      <c r="L2791">
        <f>YEAR(Master_ventas[[#This Row],[Order Date]])</f>
        <v>2023</v>
      </c>
      <c r="M2791" t="str">
        <f>CONCATENATE(LEFT(Master_ventas[[#This Row],[ProdUpper]],3),RIGHT(Master_ventas[[#This Row],[Ext-Year]],2),"-",MID(Master_ventas[[#This Row],[Category]],1,1))</f>
        <v>MOU23-A</v>
      </c>
      <c r="N2791" t="str">
        <f>MID(Master_ventas[[#This Row],[ProdUpper]],1,3)</f>
        <v>MOU</v>
      </c>
      <c r="O2791" t="str">
        <f>UPPER(IF(Master_ventas[[#This Row],[Profit]]&gt;500,"High","Std"))</f>
        <v>STD</v>
      </c>
      <c r="P2791">
        <v>2790</v>
      </c>
    </row>
    <row r="2792" spans="1:16" x14ac:dyDescent="0.3">
      <c r="A2792" s="1">
        <v>45307</v>
      </c>
      <c r="B2792" t="s">
        <v>7</v>
      </c>
      <c r="C2792" t="s">
        <v>8</v>
      </c>
      <c r="D2792" t="s">
        <v>12</v>
      </c>
      <c r="E2792">
        <v>1</v>
      </c>
      <c r="F2792" s="3">
        <v>591</v>
      </c>
      <c r="G2792" s="2">
        <v>39.06</v>
      </c>
      <c r="H2792">
        <f>Master_ventas[[#This Row],[Profit]]/Master_ventas[[#This Row],[Sales]]</f>
        <v>6.6091370558375634E-2</v>
      </c>
      <c r="I2792">
        <f ca="1">Referencia_Hoy-Master_ventas[[#This Row],[Order Date]]</f>
        <v>1016</v>
      </c>
      <c r="J2792" t="str">
        <f>UPPER(Master_ventas[[#This Row],[Product Name]])</f>
        <v>PRINTER</v>
      </c>
      <c r="K2792" t="str">
        <f>UPPER(Master_ventas[[#This Row],[Category]])</f>
        <v>OFFICE</v>
      </c>
      <c r="L2792">
        <f>YEAR(Master_ventas[[#This Row],[Order Date]])</f>
        <v>2024</v>
      </c>
      <c r="M2792" t="str">
        <f>CONCATENATE(LEFT(Master_ventas[[#This Row],[ProdUpper]],3),RIGHT(Master_ventas[[#This Row],[Ext-Year]],2),"-",MID(Master_ventas[[#This Row],[Category]],1,1))</f>
        <v>PRI24-O</v>
      </c>
      <c r="N2792" t="str">
        <f>MID(Master_ventas[[#This Row],[ProdUpper]],1,3)</f>
        <v>PRI</v>
      </c>
      <c r="O2792" t="str">
        <f>UPPER(IF(Master_ventas[[#This Row],[Profit]]&gt;500,"High","Std"))</f>
        <v>STD</v>
      </c>
      <c r="P2792">
        <v>2791</v>
      </c>
    </row>
    <row r="2793" spans="1:16" x14ac:dyDescent="0.3">
      <c r="A2793" s="1">
        <v>45259</v>
      </c>
      <c r="B2793" t="s">
        <v>10</v>
      </c>
      <c r="C2793" t="s">
        <v>11</v>
      </c>
      <c r="D2793" t="s">
        <v>9</v>
      </c>
      <c r="E2793">
        <v>9</v>
      </c>
      <c r="F2793" s="3">
        <v>8100</v>
      </c>
      <c r="G2793" s="2">
        <v>2203.56</v>
      </c>
      <c r="H2793">
        <f>Master_ventas[[#This Row],[Profit]]/Master_ventas[[#This Row],[Sales]]</f>
        <v>0.27204444444444442</v>
      </c>
      <c r="I2793">
        <f ca="1">Referencia_Hoy-Master_ventas[[#This Row],[Order Date]]</f>
        <v>1064</v>
      </c>
      <c r="J2793" t="str">
        <f>UPPER(Master_ventas[[#This Row],[Product Name]])</f>
        <v>MOUSE</v>
      </c>
      <c r="K2793" t="str">
        <f>UPPER(Master_ventas[[#This Row],[Category]])</f>
        <v>ACCESSORIES</v>
      </c>
      <c r="L2793">
        <f>YEAR(Master_ventas[[#This Row],[Order Date]])</f>
        <v>2023</v>
      </c>
      <c r="M2793" t="str">
        <f>CONCATENATE(LEFT(Master_ventas[[#This Row],[ProdUpper]],3),RIGHT(Master_ventas[[#This Row],[Ext-Year]],2),"-",MID(Master_ventas[[#This Row],[Category]],1,1))</f>
        <v>MOU23-A</v>
      </c>
      <c r="N2793" t="str">
        <f>MID(Master_ventas[[#This Row],[ProdUpper]],1,3)</f>
        <v>MOU</v>
      </c>
      <c r="O2793" t="str">
        <f>UPPER(IF(Master_ventas[[#This Row],[Profit]]&gt;500,"High","Std"))</f>
        <v>HIGH</v>
      </c>
      <c r="P2793">
        <v>2792</v>
      </c>
    </row>
    <row r="2794" spans="1:16" x14ac:dyDescent="0.3">
      <c r="A2794" s="1">
        <v>45388</v>
      </c>
      <c r="B2794" t="s">
        <v>23</v>
      </c>
      <c r="C2794" t="s">
        <v>14</v>
      </c>
      <c r="D2794" t="s">
        <v>15</v>
      </c>
      <c r="E2794">
        <v>6</v>
      </c>
      <c r="F2794" s="3">
        <v>1500</v>
      </c>
      <c r="G2794" s="2">
        <v>183.31</v>
      </c>
      <c r="H2794">
        <f>Master_ventas[[#This Row],[Profit]]/Master_ventas[[#This Row],[Sales]]</f>
        <v>0.12220666666666667</v>
      </c>
      <c r="I2794">
        <f ca="1">Referencia_Hoy-Master_ventas[[#This Row],[Order Date]]</f>
        <v>935</v>
      </c>
      <c r="J2794" t="str">
        <f>UPPER(Master_ventas[[#This Row],[Product Name]])</f>
        <v>LAPTOP</v>
      </c>
      <c r="K2794" t="str">
        <f>UPPER(Master_ventas[[#This Row],[Category]])</f>
        <v>ELECTRONICS</v>
      </c>
      <c r="L2794">
        <f>YEAR(Master_ventas[[#This Row],[Order Date]])</f>
        <v>2024</v>
      </c>
      <c r="M2794" t="str">
        <f>CONCATENATE(LEFT(Master_ventas[[#This Row],[ProdUpper]],3),RIGHT(Master_ventas[[#This Row],[Ext-Year]],2),"-",MID(Master_ventas[[#This Row],[Category]],1,1))</f>
        <v>LAP24-E</v>
      </c>
      <c r="N2794" t="str">
        <f>MID(Master_ventas[[#This Row],[ProdUpper]],1,3)</f>
        <v>LAP</v>
      </c>
      <c r="O2794" t="str">
        <f>UPPER(IF(Master_ventas[[#This Row],[Profit]]&gt;500,"High","Std"))</f>
        <v>STD</v>
      </c>
      <c r="P2794">
        <v>2793</v>
      </c>
    </row>
    <row r="2795" spans="1:16" x14ac:dyDescent="0.3">
      <c r="A2795" s="1">
        <v>45499</v>
      </c>
      <c r="B2795" t="s">
        <v>19</v>
      </c>
      <c r="C2795" t="s">
        <v>14</v>
      </c>
      <c r="D2795" t="s">
        <v>9</v>
      </c>
      <c r="E2795">
        <v>2</v>
      </c>
      <c r="F2795" s="3">
        <v>300</v>
      </c>
      <c r="G2795" s="2">
        <v>48.69</v>
      </c>
      <c r="H2795">
        <f>Master_ventas[[#This Row],[Profit]]/Master_ventas[[#This Row],[Sales]]</f>
        <v>0.1623</v>
      </c>
      <c r="I2795">
        <f ca="1">Referencia_Hoy-Master_ventas[[#This Row],[Order Date]]</f>
        <v>824</v>
      </c>
      <c r="J2795" t="str">
        <f>UPPER(Master_ventas[[#This Row],[Product Name]])</f>
        <v>SMARTWATCH</v>
      </c>
      <c r="K2795" t="str">
        <f>UPPER(Master_ventas[[#This Row],[Category]])</f>
        <v>ELECTRONICS</v>
      </c>
      <c r="L2795">
        <f>YEAR(Master_ventas[[#This Row],[Order Date]])</f>
        <v>2024</v>
      </c>
      <c r="M2795" t="str">
        <f>CONCATENATE(LEFT(Master_ventas[[#This Row],[ProdUpper]],3),RIGHT(Master_ventas[[#This Row],[Ext-Year]],2),"-",MID(Master_ventas[[#This Row],[Category]],1,1))</f>
        <v>SMA24-E</v>
      </c>
      <c r="N2795" t="str">
        <f>MID(Master_ventas[[#This Row],[ProdUpper]],1,3)</f>
        <v>SMA</v>
      </c>
      <c r="O2795" t="str">
        <f>UPPER(IF(Master_ventas[[#This Row],[Profit]]&gt;500,"High","Std"))</f>
        <v>STD</v>
      </c>
      <c r="P2795">
        <v>2794</v>
      </c>
    </row>
    <row r="2796" spans="1:16" x14ac:dyDescent="0.3">
      <c r="A2796" s="1">
        <v>45077</v>
      </c>
      <c r="B2796" t="s">
        <v>19</v>
      </c>
      <c r="C2796" t="s">
        <v>14</v>
      </c>
      <c r="D2796" t="s">
        <v>9</v>
      </c>
      <c r="E2796">
        <v>9</v>
      </c>
      <c r="F2796" s="3">
        <v>1098</v>
      </c>
      <c r="G2796" s="2">
        <v>106.97</v>
      </c>
      <c r="H2796">
        <f>Master_ventas[[#This Row],[Profit]]/Master_ventas[[#This Row],[Sales]]</f>
        <v>9.742258652094718E-2</v>
      </c>
      <c r="I2796">
        <f ca="1">Referencia_Hoy-Master_ventas[[#This Row],[Order Date]]</f>
        <v>1246</v>
      </c>
      <c r="J2796" t="str">
        <f>UPPER(Master_ventas[[#This Row],[Product Name]])</f>
        <v>SMARTWATCH</v>
      </c>
      <c r="K2796" t="str">
        <f>UPPER(Master_ventas[[#This Row],[Category]])</f>
        <v>ELECTRONICS</v>
      </c>
      <c r="L2796">
        <f>YEAR(Master_ventas[[#This Row],[Order Date]])</f>
        <v>2023</v>
      </c>
      <c r="M2796" t="str">
        <f>CONCATENATE(LEFT(Master_ventas[[#This Row],[ProdUpper]],3),RIGHT(Master_ventas[[#This Row],[Ext-Year]],2),"-",MID(Master_ventas[[#This Row],[Category]],1,1))</f>
        <v>SMA23-E</v>
      </c>
      <c r="N2796" t="str">
        <f>MID(Master_ventas[[#This Row],[ProdUpper]],1,3)</f>
        <v>SMA</v>
      </c>
      <c r="O2796" t="str">
        <f>UPPER(IF(Master_ventas[[#This Row],[Profit]]&gt;500,"High","Std"))</f>
        <v>STD</v>
      </c>
      <c r="P2796">
        <v>2795</v>
      </c>
    </row>
    <row r="2797" spans="1:16" x14ac:dyDescent="0.3">
      <c r="A2797" s="1">
        <v>45440</v>
      </c>
      <c r="B2797" t="s">
        <v>20</v>
      </c>
      <c r="C2797" t="s">
        <v>11</v>
      </c>
      <c r="D2797" t="s">
        <v>16</v>
      </c>
      <c r="E2797">
        <v>4</v>
      </c>
      <c r="F2797" s="3">
        <v>2336</v>
      </c>
      <c r="G2797" s="2">
        <v>509.49</v>
      </c>
      <c r="H2797">
        <f>Master_ventas[[#This Row],[Profit]]/Master_ventas[[#This Row],[Sales]]</f>
        <v>0.21810359589041095</v>
      </c>
      <c r="I2797">
        <f ca="1">Referencia_Hoy-Master_ventas[[#This Row],[Order Date]]</f>
        <v>883</v>
      </c>
      <c r="J2797" t="str">
        <f>UPPER(Master_ventas[[#This Row],[Product Name]])</f>
        <v>MONITOR</v>
      </c>
      <c r="K2797" t="str">
        <f>UPPER(Master_ventas[[#This Row],[Category]])</f>
        <v>ACCESSORIES</v>
      </c>
      <c r="L2797">
        <f>YEAR(Master_ventas[[#This Row],[Order Date]])</f>
        <v>2024</v>
      </c>
      <c r="M2797" t="str">
        <f>CONCATENATE(LEFT(Master_ventas[[#This Row],[ProdUpper]],3),RIGHT(Master_ventas[[#This Row],[Ext-Year]],2),"-",MID(Master_ventas[[#This Row],[Category]],1,1))</f>
        <v>MON24-A</v>
      </c>
      <c r="N2797" t="str">
        <f>MID(Master_ventas[[#This Row],[ProdUpper]],1,3)</f>
        <v>MON</v>
      </c>
      <c r="O2797" t="str">
        <f>UPPER(IF(Master_ventas[[#This Row],[Profit]]&gt;500,"High","Std"))</f>
        <v>HIGH</v>
      </c>
      <c r="P2797">
        <v>2796</v>
      </c>
    </row>
    <row r="2798" spans="1:16" x14ac:dyDescent="0.3">
      <c r="A2798" s="1">
        <v>44839</v>
      </c>
      <c r="B2798" t="s">
        <v>17</v>
      </c>
      <c r="C2798" t="s">
        <v>14</v>
      </c>
      <c r="D2798" t="s">
        <v>9</v>
      </c>
      <c r="E2798">
        <v>5</v>
      </c>
      <c r="F2798" s="3">
        <v>410</v>
      </c>
      <c r="G2798" s="2">
        <v>40.96</v>
      </c>
      <c r="H2798">
        <f>Master_ventas[[#This Row],[Profit]]/Master_ventas[[#This Row],[Sales]]</f>
        <v>9.9902439024390249E-2</v>
      </c>
      <c r="I2798">
        <f ca="1">Referencia_Hoy-Master_ventas[[#This Row],[Order Date]]</f>
        <v>1484</v>
      </c>
      <c r="J2798" t="str">
        <f>UPPER(Master_ventas[[#This Row],[Product Name]])</f>
        <v>CAMERA</v>
      </c>
      <c r="K2798" t="str">
        <f>UPPER(Master_ventas[[#This Row],[Category]])</f>
        <v>ELECTRONICS</v>
      </c>
      <c r="L2798">
        <f>YEAR(Master_ventas[[#This Row],[Order Date]])</f>
        <v>2022</v>
      </c>
      <c r="M2798" t="str">
        <f>CONCATENATE(LEFT(Master_ventas[[#This Row],[ProdUpper]],3),RIGHT(Master_ventas[[#This Row],[Ext-Year]],2),"-",MID(Master_ventas[[#This Row],[Category]],1,1))</f>
        <v>CAM22-E</v>
      </c>
      <c r="N2798" t="str">
        <f>MID(Master_ventas[[#This Row],[ProdUpper]],1,3)</f>
        <v>CAM</v>
      </c>
      <c r="O2798" t="str">
        <f>UPPER(IF(Master_ventas[[#This Row],[Profit]]&gt;500,"High","Std"))</f>
        <v>STD</v>
      </c>
      <c r="P2798">
        <v>2797</v>
      </c>
    </row>
    <row r="2799" spans="1:16" x14ac:dyDescent="0.3">
      <c r="A2799" s="1">
        <v>45208</v>
      </c>
      <c r="B2799" t="s">
        <v>10</v>
      </c>
      <c r="C2799" t="s">
        <v>11</v>
      </c>
      <c r="D2799" t="s">
        <v>15</v>
      </c>
      <c r="E2799">
        <v>9</v>
      </c>
      <c r="F2799" s="3">
        <v>594</v>
      </c>
      <c r="G2799" s="2">
        <v>51.49</v>
      </c>
      <c r="H2799">
        <f>Master_ventas[[#This Row],[Profit]]/Master_ventas[[#This Row],[Sales]]</f>
        <v>8.6683501683501682E-2</v>
      </c>
      <c r="I2799">
        <f ca="1">Referencia_Hoy-Master_ventas[[#This Row],[Order Date]]</f>
        <v>1115</v>
      </c>
      <c r="J2799" t="str">
        <f>UPPER(Master_ventas[[#This Row],[Product Name]])</f>
        <v>MOUSE</v>
      </c>
      <c r="K2799" t="str">
        <f>UPPER(Master_ventas[[#This Row],[Category]])</f>
        <v>ACCESSORIES</v>
      </c>
      <c r="L2799">
        <f>YEAR(Master_ventas[[#This Row],[Order Date]])</f>
        <v>2023</v>
      </c>
      <c r="M2799" t="str">
        <f>CONCATENATE(LEFT(Master_ventas[[#This Row],[ProdUpper]],3),RIGHT(Master_ventas[[#This Row],[Ext-Year]],2),"-",MID(Master_ventas[[#This Row],[Category]],1,1))</f>
        <v>MOU23-A</v>
      </c>
      <c r="N2799" t="str">
        <f>MID(Master_ventas[[#This Row],[ProdUpper]],1,3)</f>
        <v>MOU</v>
      </c>
      <c r="O2799" t="str">
        <f>UPPER(IF(Master_ventas[[#This Row],[Profit]]&gt;500,"High","Std"))</f>
        <v>STD</v>
      </c>
      <c r="P2799">
        <v>2798</v>
      </c>
    </row>
    <row r="2800" spans="1:16" x14ac:dyDescent="0.3">
      <c r="A2800" s="1">
        <v>45189</v>
      </c>
      <c r="B2800" t="s">
        <v>19</v>
      </c>
      <c r="C2800" t="s">
        <v>14</v>
      </c>
      <c r="D2800" t="s">
        <v>12</v>
      </c>
      <c r="E2800">
        <v>2</v>
      </c>
      <c r="F2800" s="3">
        <v>218</v>
      </c>
      <c r="G2800" s="2">
        <v>38.93</v>
      </c>
      <c r="H2800">
        <f>Master_ventas[[#This Row],[Profit]]/Master_ventas[[#This Row],[Sales]]</f>
        <v>0.17857798165137614</v>
      </c>
      <c r="I2800">
        <f ca="1">Referencia_Hoy-Master_ventas[[#This Row],[Order Date]]</f>
        <v>1134</v>
      </c>
      <c r="J2800" t="str">
        <f>UPPER(Master_ventas[[#This Row],[Product Name]])</f>
        <v>SMARTWATCH</v>
      </c>
      <c r="K2800" t="str">
        <f>UPPER(Master_ventas[[#This Row],[Category]])</f>
        <v>ELECTRONICS</v>
      </c>
      <c r="L2800">
        <f>YEAR(Master_ventas[[#This Row],[Order Date]])</f>
        <v>2023</v>
      </c>
      <c r="M2800" t="str">
        <f>CONCATENATE(LEFT(Master_ventas[[#This Row],[ProdUpper]],3),RIGHT(Master_ventas[[#This Row],[Ext-Year]],2),"-",MID(Master_ventas[[#This Row],[Category]],1,1))</f>
        <v>SMA23-E</v>
      </c>
      <c r="N2800" t="str">
        <f>MID(Master_ventas[[#This Row],[ProdUpper]],1,3)</f>
        <v>SMA</v>
      </c>
      <c r="O2800" t="str">
        <f>UPPER(IF(Master_ventas[[#This Row],[Profit]]&gt;500,"High","Std"))</f>
        <v>STD</v>
      </c>
      <c r="P2800">
        <v>2799</v>
      </c>
    </row>
    <row r="2801" spans="1:16" x14ac:dyDescent="0.3">
      <c r="A2801" s="1">
        <v>45010</v>
      </c>
      <c r="B2801" t="s">
        <v>13</v>
      </c>
      <c r="C2801" t="s">
        <v>14</v>
      </c>
      <c r="D2801" t="s">
        <v>15</v>
      </c>
      <c r="E2801">
        <v>2</v>
      </c>
      <c r="F2801" s="3">
        <v>1298</v>
      </c>
      <c r="G2801" s="2">
        <v>123.9</v>
      </c>
      <c r="H2801">
        <f>Master_ventas[[#This Row],[Profit]]/Master_ventas[[#This Row],[Sales]]</f>
        <v>9.5454545454545459E-2</v>
      </c>
      <c r="I2801">
        <f ca="1">Referencia_Hoy-Master_ventas[[#This Row],[Order Date]]</f>
        <v>1313</v>
      </c>
      <c r="J2801" t="str">
        <f>UPPER(Master_ventas[[#This Row],[Product Name]])</f>
        <v>TABLET</v>
      </c>
      <c r="K2801" t="str">
        <f>UPPER(Master_ventas[[#This Row],[Category]])</f>
        <v>ELECTRONICS</v>
      </c>
      <c r="L2801">
        <f>YEAR(Master_ventas[[#This Row],[Order Date]])</f>
        <v>2023</v>
      </c>
      <c r="M2801" t="str">
        <f>CONCATENATE(LEFT(Master_ventas[[#This Row],[ProdUpper]],3),RIGHT(Master_ventas[[#This Row],[Ext-Year]],2),"-",MID(Master_ventas[[#This Row],[Category]],1,1))</f>
        <v>TAB23-E</v>
      </c>
      <c r="N2801" t="str">
        <f>MID(Master_ventas[[#This Row],[ProdUpper]],1,3)</f>
        <v>TAB</v>
      </c>
      <c r="O2801" t="str">
        <f>UPPER(IF(Master_ventas[[#This Row],[Profit]]&gt;500,"High","Std"))</f>
        <v>STD</v>
      </c>
      <c r="P2801">
        <v>2800</v>
      </c>
    </row>
    <row r="2802" spans="1:16" x14ac:dyDescent="0.3">
      <c r="A2802" s="1">
        <v>45379</v>
      </c>
      <c r="B2802" t="s">
        <v>13</v>
      </c>
      <c r="C2802" t="s">
        <v>14</v>
      </c>
      <c r="D2802" t="s">
        <v>9</v>
      </c>
      <c r="E2802">
        <v>5</v>
      </c>
      <c r="F2802" s="3">
        <v>895</v>
      </c>
      <c r="G2802" s="2">
        <v>180.64</v>
      </c>
      <c r="H2802">
        <f>Master_ventas[[#This Row],[Profit]]/Master_ventas[[#This Row],[Sales]]</f>
        <v>0.20183240223463686</v>
      </c>
      <c r="I2802">
        <f ca="1">Referencia_Hoy-Master_ventas[[#This Row],[Order Date]]</f>
        <v>944</v>
      </c>
      <c r="J2802" t="str">
        <f>UPPER(Master_ventas[[#This Row],[Product Name]])</f>
        <v>TABLET</v>
      </c>
      <c r="K2802" t="str">
        <f>UPPER(Master_ventas[[#This Row],[Category]])</f>
        <v>ELECTRONICS</v>
      </c>
      <c r="L2802">
        <f>YEAR(Master_ventas[[#This Row],[Order Date]])</f>
        <v>2024</v>
      </c>
      <c r="M2802" t="str">
        <f>CONCATENATE(LEFT(Master_ventas[[#This Row],[ProdUpper]],3),RIGHT(Master_ventas[[#This Row],[Ext-Year]],2),"-",MID(Master_ventas[[#This Row],[Category]],1,1))</f>
        <v>TAB24-E</v>
      </c>
      <c r="N2802" t="str">
        <f>MID(Master_ventas[[#This Row],[ProdUpper]],1,3)</f>
        <v>TAB</v>
      </c>
      <c r="O2802" t="str">
        <f>UPPER(IF(Master_ventas[[#This Row],[Profit]]&gt;500,"High","Std"))</f>
        <v>STD</v>
      </c>
      <c r="P2802">
        <v>2801</v>
      </c>
    </row>
    <row r="2803" spans="1:16" x14ac:dyDescent="0.3">
      <c r="A2803" s="1">
        <v>45138</v>
      </c>
      <c r="B2803" t="s">
        <v>22</v>
      </c>
      <c r="C2803" t="s">
        <v>11</v>
      </c>
      <c r="D2803" t="s">
        <v>16</v>
      </c>
      <c r="E2803">
        <v>4</v>
      </c>
      <c r="F2803" s="3">
        <v>2828</v>
      </c>
      <c r="G2803" s="2">
        <v>539.42999999999995</v>
      </c>
      <c r="H2803">
        <f>Master_ventas[[#This Row],[Profit]]/Master_ventas[[#This Row],[Sales]]</f>
        <v>0.19074611032531824</v>
      </c>
      <c r="I2803">
        <f ca="1">Referencia_Hoy-Master_ventas[[#This Row],[Order Date]]</f>
        <v>1185</v>
      </c>
      <c r="J2803" t="str">
        <f>UPPER(Master_ventas[[#This Row],[Product Name]])</f>
        <v>KEYBOARD</v>
      </c>
      <c r="K2803" t="str">
        <f>UPPER(Master_ventas[[#This Row],[Category]])</f>
        <v>ACCESSORIES</v>
      </c>
      <c r="L2803">
        <f>YEAR(Master_ventas[[#This Row],[Order Date]])</f>
        <v>2023</v>
      </c>
      <c r="M2803" t="str">
        <f>CONCATENATE(LEFT(Master_ventas[[#This Row],[ProdUpper]],3),RIGHT(Master_ventas[[#This Row],[Ext-Year]],2),"-",MID(Master_ventas[[#This Row],[Category]],1,1))</f>
        <v>KEY23-A</v>
      </c>
      <c r="N2803" t="str">
        <f>MID(Master_ventas[[#This Row],[ProdUpper]],1,3)</f>
        <v>KEY</v>
      </c>
      <c r="O2803" t="str">
        <f>UPPER(IF(Master_ventas[[#This Row],[Profit]]&gt;500,"High","Std"))</f>
        <v>HIGH</v>
      </c>
      <c r="P2803">
        <v>2802</v>
      </c>
    </row>
    <row r="2804" spans="1:16" x14ac:dyDescent="0.3">
      <c r="A2804" s="1">
        <v>45245</v>
      </c>
      <c r="B2804" t="s">
        <v>13</v>
      </c>
      <c r="C2804" t="s">
        <v>14</v>
      </c>
      <c r="D2804" t="s">
        <v>16</v>
      </c>
      <c r="E2804">
        <v>3</v>
      </c>
      <c r="F2804" s="3">
        <v>813</v>
      </c>
      <c r="G2804" s="2">
        <v>188.94</v>
      </c>
      <c r="H2804">
        <f>Master_ventas[[#This Row],[Profit]]/Master_ventas[[#This Row],[Sales]]</f>
        <v>0.23239852398523986</v>
      </c>
      <c r="I2804">
        <f ca="1">Referencia_Hoy-Master_ventas[[#This Row],[Order Date]]</f>
        <v>1078</v>
      </c>
      <c r="J2804" t="str">
        <f>UPPER(Master_ventas[[#This Row],[Product Name]])</f>
        <v>TABLET</v>
      </c>
      <c r="K2804" t="str">
        <f>UPPER(Master_ventas[[#This Row],[Category]])</f>
        <v>ELECTRONICS</v>
      </c>
      <c r="L2804">
        <f>YEAR(Master_ventas[[#This Row],[Order Date]])</f>
        <v>2023</v>
      </c>
      <c r="M2804" t="str">
        <f>CONCATENATE(LEFT(Master_ventas[[#This Row],[ProdUpper]],3),RIGHT(Master_ventas[[#This Row],[Ext-Year]],2),"-",MID(Master_ventas[[#This Row],[Category]],1,1))</f>
        <v>TAB23-E</v>
      </c>
      <c r="N2804" t="str">
        <f>MID(Master_ventas[[#This Row],[ProdUpper]],1,3)</f>
        <v>TAB</v>
      </c>
      <c r="O2804" t="str">
        <f>UPPER(IF(Master_ventas[[#This Row],[Profit]]&gt;500,"High","Std"))</f>
        <v>STD</v>
      </c>
      <c r="P2804">
        <v>2803</v>
      </c>
    </row>
    <row r="2805" spans="1:16" x14ac:dyDescent="0.3">
      <c r="A2805" s="1">
        <v>45462</v>
      </c>
      <c r="B2805" t="s">
        <v>20</v>
      </c>
      <c r="C2805" t="s">
        <v>11</v>
      </c>
      <c r="D2805" t="s">
        <v>16</v>
      </c>
      <c r="E2805">
        <v>4</v>
      </c>
      <c r="F2805" s="3">
        <v>1800</v>
      </c>
      <c r="G2805" s="2">
        <v>170.19</v>
      </c>
      <c r="H2805">
        <f>Master_ventas[[#This Row],[Profit]]/Master_ventas[[#This Row],[Sales]]</f>
        <v>9.4549999999999995E-2</v>
      </c>
      <c r="I2805">
        <f ca="1">Referencia_Hoy-Master_ventas[[#This Row],[Order Date]]</f>
        <v>861</v>
      </c>
      <c r="J2805" t="str">
        <f>UPPER(Master_ventas[[#This Row],[Product Name]])</f>
        <v>MONITOR</v>
      </c>
      <c r="K2805" t="str">
        <f>UPPER(Master_ventas[[#This Row],[Category]])</f>
        <v>ACCESSORIES</v>
      </c>
      <c r="L2805">
        <f>YEAR(Master_ventas[[#This Row],[Order Date]])</f>
        <v>2024</v>
      </c>
      <c r="M2805" t="str">
        <f>CONCATENATE(LEFT(Master_ventas[[#This Row],[ProdUpper]],3),RIGHT(Master_ventas[[#This Row],[Ext-Year]],2),"-",MID(Master_ventas[[#This Row],[Category]],1,1))</f>
        <v>MON24-A</v>
      </c>
      <c r="N2805" t="str">
        <f>MID(Master_ventas[[#This Row],[ProdUpper]],1,3)</f>
        <v>MON</v>
      </c>
      <c r="O2805" t="str">
        <f>UPPER(IF(Master_ventas[[#This Row],[Profit]]&gt;500,"High","Std"))</f>
        <v>STD</v>
      </c>
      <c r="P2805">
        <v>2804</v>
      </c>
    </row>
    <row r="2806" spans="1:16" x14ac:dyDescent="0.3">
      <c r="A2806" s="1">
        <v>45497</v>
      </c>
      <c r="B2806" t="s">
        <v>13</v>
      </c>
      <c r="C2806" t="s">
        <v>14</v>
      </c>
      <c r="D2806" t="s">
        <v>16</v>
      </c>
      <c r="E2806">
        <v>1</v>
      </c>
      <c r="F2806" s="3">
        <v>99</v>
      </c>
      <c r="G2806" s="2">
        <v>12.79</v>
      </c>
      <c r="H2806">
        <f>Master_ventas[[#This Row],[Profit]]/Master_ventas[[#This Row],[Sales]]</f>
        <v>0.12919191919191919</v>
      </c>
      <c r="I2806">
        <f ca="1">Referencia_Hoy-Master_ventas[[#This Row],[Order Date]]</f>
        <v>826</v>
      </c>
      <c r="J2806" t="str">
        <f>UPPER(Master_ventas[[#This Row],[Product Name]])</f>
        <v>TABLET</v>
      </c>
      <c r="K2806" t="str">
        <f>UPPER(Master_ventas[[#This Row],[Category]])</f>
        <v>ELECTRONICS</v>
      </c>
      <c r="L2806">
        <f>YEAR(Master_ventas[[#This Row],[Order Date]])</f>
        <v>2024</v>
      </c>
      <c r="M2806" t="str">
        <f>CONCATENATE(LEFT(Master_ventas[[#This Row],[ProdUpper]],3),RIGHT(Master_ventas[[#This Row],[Ext-Year]],2),"-",MID(Master_ventas[[#This Row],[Category]],1,1))</f>
        <v>TAB24-E</v>
      </c>
      <c r="N2806" t="str">
        <f>MID(Master_ventas[[#This Row],[ProdUpper]],1,3)</f>
        <v>TAB</v>
      </c>
      <c r="O2806" t="str">
        <f>UPPER(IF(Master_ventas[[#This Row],[Profit]]&gt;500,"High","Std"))</f>
        <v>STD</v>
      </c>
      <c r="P2806">
        <v>2805</v>
      </c>
    </row>
    <row r="2807" spans="1:16" x14ac:dyDescent="0.3">
      <c r="A2807" s="1">
        <v>44819</v>
      </c>
      <c r="B2807" t="s">
        <v>18</v>
      </c>
      <c r="C2807" t="s">
        <v>11</v>
      </c>
      <c r="D2807" t="s">
        <v>16</v>
      </c>
      <c r="E2807">
        <v>8</v>
      </c>
      <c r="F2807" s="3">
        <v>7576</v>
      </c>
      <c r="G2807" s="2">
        <v>1703.42</v>
      </c>
      <c r="H2807">
        <f>Master_ventas[[#This Row],[Profit]]/Master_ventas[[#This Row],[Sales]]</f>
        <v>0.22484424498416053</v>
      </c>
      <c r="I2807">
        <f ca="1">Referencia_Hoy-Master_ventas[[#This Row],[Order Date]]</f>
        <v>1504</v>
      </c>
      <c r="J2807" t="str">
        <f>UPPER(Master_ventas[[#This Row],[Product Name]])</f>
        <v>HEADPHONES</v>
      </c>
      <c r="K2807" t="str">
        <f>UPPER(Master_ventas[[#This Row],[Category]])</f>
        <v>ACCESSORIES</v>
      </c>
      <c r="L2807">
        <f>YEAR(Master_ventas[[#This Row],[Order Date]])</f>
        <v>2022</v>
      </c>
      <c r="M2807" t="str">
        <f>CONCATENATE(LEFT(Master_ventas[[#This Row],[ProdUpper]],3),RIGHT(Master_ventas[[#This Row],[Ext-Year]],2),"-",MID(Master_ventas[[#This Row],[Category]],1,1))</f>
        <v>HEA22-A</v>
      </c>
      <c r="N2807" t="str">
        <f>MID(Master_ventas[[#This Row],[ProdUpper]],1,3)</f>
        <v>HEA</v>
      </c>
      <c r="O2807" t="str">
        <f>UPPER(IF(Master_ventas[[#This Row],[Profit]]&gt;500,"High","Std"))</f>
        <v>HIGH</v>
      </c>
      <c r="P2807">
        <v>2806</v>
      </c>
    </row>
    <row r="2808" spans="1:16" x14ac:dyDescent="0.3">
      <c r="A2808" s="1">
        <v>45315</v>
      </c>
      <c r="B2808" t="s">
        <v>19</v>
      </c>
      <c r="C2808" t="s">
        <v>14</v>
      </c>
      <c r="D2808" t="s">
        <v>12</v>
      </c>
      <c r="E2808">
        <v>3</v>
      </c>
      <c r="F2808" s="3">
        <v>1317</v>
      </c>
      <c r="G2808" s="2">
        <v>71.02</v>
      </c>
      <c r="H2808">
        <f>Master_ventas[[#This Row],[Profit]]/Master_ventas[[#This Row],[Sales]]</f>
        <v>5.3925588458618071E-2</v>
      </c>
      <c r="I2808">
        <f ca="1">Referencia_Hoy-Master_ventas[[#This Row],[Order Date]]</f>
        <v>1008</v>
      </c>
      <c r="J2808" t="str">
        <f>UPPER(Master_ventas[[#This Row],[Product Name]])</f>
        <v>SMARTWATCH</v>
      </c>
      <c r="K2808" t="str">
        <f>UPPER(Master_ventas[[#This Row],[Category]])</f>
        <v>ELECTRONICS</v>
      </c>
      <c r="L2808">
        <f>YEAR(Master_ventas[[#This Row],[Order Date]])</f>
        <v>2024</v>
      </c>
      <c r="M2808" t="str">
        <f>CONCATENATE(LEFT(Master_ventas[[#This Row],[ProdUpper]],3),RIGHT(Master_ventas[[#This Row],[Ext-Year]],2),"-",MID(Master_ventas[[#This Row],[Category]],1,1))</f>
        <v>SMA24-E</v>
      </c>
      <c r="N2808" t="str">
        <f>MID(Master_ventas[[#This Row],[ProdUpper]],1,3)</f>
        <v>SMA</v>
      </c>
      <c r="O2808" t="str">
        <f>UPPER(IF(Master_ventas[[#This Row],[Profit]]&gt;500,"High","Std"))</f>
        <v>STD</v>
      </c>
      <c r="P2808">
        <v>2807</v>
      </c>
    </row>
    <row r="2809" spans="1:16" x14ac:dyDescent="0.3">
      <c r="A2809" s="1">
        <v>45372</v>
      </c>
      <c r="B2809" t="s">
        <v>19</v>
      </c>
      <c r="C2809" t="s">
        <v>14</v>
      </c>
      <c r="D2809" t="s">
        <v>16</v>
      </c>
      <c r="E2809">
        <v>3</v>
      </c>
      <c r="F2809" s="3">
        <v>957</v>
      </c>
      <c r="G2809" s="2">
        <v>120.27</v>
      </c>
      <c r="H2809">
        <f>Master_ventas[[#This Row],[Profit]]/Master_ventas[[#This Row],[Sales]]</f>
        <v>0.12567398119122256</v>
      </c>
      <c r="I2809">
        <f ca="1">Referencia_Hoy-Master_ventas[[#This Row],[Order Date]]</f>
        <v>951</v>
      </c>
      <c r="J2809" t="str">
        <f>UPPER(Master_ventas[[#This Row],[Product Name]])</f>
        <v>SMARTWATCH</v>
      </c>
      <c r="K2809" t="str">
        <f>UPPER(Master_ventas[[#This Row],[Category]])</f>
        <v>ELECTRONICS</v>
      </c>
      <c r="L2809">
        <f>YEAR(Master_ventas[[#This Row],[Order Date]])</f>
        <v>2024</v>
      </c>
      <c r="M2809" t="str">
        <f>CONCATENATE(LEFT(Master_ventas[[#This Row],[ProdUpper]],3),RIGHT(Master_ventas[[#This Row],[Ext-Year]],2),"-",MID(Master_ventas[[#This Row],[Category]],1,1))</f>
        <v>SMA24-E</v>
      </c>
      <c r="N2809" t="str">
        <f>MID(Master_ventas[[#This Row],[ProdUpper]],1,3)</f>
        <v>SMA</v>
      </c>
      <c r="O2809" t="str">
        <f>UPPER(IF(Master_ventas[[#This Row],[Profit]]&gt;500,"High","Std"))</f>
        <v>STD</v>
      </c>
      <c r="P2809">
        <v>2808</v>
      </c>
    </row>
    <row r="2810" spans="1:16" x14ac:dyDescent="0.3">
      <c r="A2810" s="1">
        <v>44578</v>
      </c>
      <c r="B2810" t="s">
        <v>10</v>
      </c>
      <c r="C2810" t="s">
        <v>11</v>
      </c>
      <c r="D2810" t="s">
        <v>15</v>
      </c>
      <c r="E2810">
        <v>4</v>
      </c>
      <c r="F2810" s="3">
        <v>1316</v>
      </c>
      <c r="G2810" s="2">
        <v>244.13</v>
      </c>
      <c r="H2810">
        <f>Master_ventas[[#This Row],[Profit]]/Master_ventas[[#This Row],[Sales]]</f>
        <v>0.18550911854103344</v>
      </c>
      <c r="I2810">
        <f ca="1">Referencia_Hoy-Master_ventas[[#This Row],[Order Date]]</f>
        <v>1745</v>
      </c>
      <c r="J2810" t="str">
        <f>UPPER(Master_ventas[[#This Row],[Product Name]])</f>
        <v>MOUSE</v>
      </c>
      <c r="K2810" t="str">
        <f>UPPER(Master_ventas[[#This Row],[Category]])</f>
        <v>ACCESSORIES</v>
      </c>
      <c r="L2810">
        <f>YEAR(Master_ventas[[#This Row],[Order Date]])</f>
        <v>2022</v>
      </c>
      <c r="M2810" t="str">
        <f>CONCATENATE(LEFT(Master_ventas[[#This Row],[ProdUpper]],3),RIGHT(Master_ventas[[#This Row],[Ext-Year]],2),"-",MID(Master_ventas[[#This Row],[Category]],1,1))</f>
        <v>MOU22-A</v>
      </c>
      <c r="N2810" t="str">
        <f>MID(Master_ventas[[#This Row],[ProdUpper]],1,3)</f>
        <v>MOU</v>
      </c>
      <c r="O2810" t="str">
        <f>UPPER(IF(Master_ventas[[#This Row],[Profit]]&gt;500,"High","Std"))</f>
        <v>STD</v>
      </c>
      <c r="P2810">
        <v>2809</v>
      </c>
    </row>
    <row r="2811" spans="1:16" x14ac:dyDescent="0.3">
      <c r="A2811" s="1">
        <v>45646</v>
      </c>
      <c r="B2811" t="s">
        <v>18</v>
      </c>
      <c r="C2811" t="s">
        <v>11</v>
      </c>
      <c r="D2811" t="s">
        <v>15</v>
      </c>
      <c r="E2811">
        <v>6</v>
      </c>
      <c r="F2811" s="3">
        <v>5346</v>
      </c>
      <c r="G2811" s="2">
        <v>351.93</v>
      </c>
      <c r="H2811">
        <f>Master_ventas[[#This Row],[Profit]]/Master_ventas[[#This Row],[Sales]]</f>
        <v>6.5830527497194161E-2</v>
      </c>
      <c r="I2811">
        <f ca="1">Referencia_Hoy-Master_ventas[[#This Row],[Order Date]]</f>
        <v>677</v>
      </c>
      <c r="J2811" t="str">
        <f>UPPER(Master_ventas[[#This Row],[Product Name]])</f>
        <v>HEADPHONES</v>
      </c>
      <c r="K2811" t="str">
        <f>UPPER(Master_ventas[[#This Row],[Category]])</f>
        <v>ACCESSORIES</v>
      </c>
      <c r="L2811">
        <f>YEAR(Master_ventas[[#This Row],[Order Date]])</f>
        <v>2024</v>
      </c>
      <c r="M2811" t="str">
        <f>CONCATENATE(LEFT(Master_ventas[[#This Row],[ProdUpper]],3),RIGHT(Master_ventas[[#This Row],[Ext-Year]],2),"-",MID(Master_ventas[[#This Row],[Category]],1,1))</f>
        <v>HEA24-A</v>
      </c>
      <c r="N2811" t="str">
        <f>MID(Master_ventas[[#This Row],[ProdUpper]],1,3)</f>
        <v>HEA</v>
      </c>
      <c r="O2811" t="str">
        <f>UPPER(IF(Master_ventas[[#This Row],[Profit]]&gt;500,"High","Std"))</f>
        <v>STD</v>
      </c>
      <c r="P2811">
        <v>2810</v>
      </c>
    </row>
    <row r="2812" spans="1:16" x14ac:dyDescent="0.3">
      <c r="A2812" s="1">
        <v>44992</v>
      </c>
      <c r="B2812" t="s">
        <v>21</v>
      </c>
      <c r="C2812" t="s">
        <v>14</v>
      </c>
      <c r="D2812" t="s">
        <v>12</v>
      </c>
      <c r="E2812">
        <v>1</v>
      </c>
      <c r="F2812" s="3">
        <v>464</v>
      </c>
      <c r="G2812" s="2">
        <v>66.260000000000005</v>
      </c>
      <c r="H2812">
        <f>Master_ventas[[#This Row],[Profit]]/Master_ventas[[#This Row],[Sales]]</f>
        <v>0.14280172413793105</v>
      </c>
      <c r="I2812">
        <f ca="1">Referencia_Hoy-Master_ventas[[#This Row],[Order Date]]</f>
        <v>1331</v>
      </c>
      <c r="J2812" t="str">
        <f>UPPER(Master_ventas[[#This Row],[Product Name]])</f>
        <v>SMARTPHONE</v>
      </c>
      <c r="K2812" t="str">
        <f>UPPER(Master_ventas[[#This Row],[Category]])</f>
        <v>ELECTRONICS</v>
      </c>
      <c r="L2812">
        <f>YEAR(Master_ventas[[#This Row],[Order Date]])</f>
        <v>2023</v>
      </c>
      <c r="M2812" t="str">
        <f>CONCATENATE(LEFT(Master_ventas[[#This Row],[ProdUpper]],3),RIGHT(Master_ventas[[#This Row],[Ext-Year]],2),"-",MID(Master_ventas[[#This Row],[Category]],1,1))</f>
        <v>SMA23-E</v>
      </c>
      <c r="N2812" t="str">
        <f>MID(Master_ventas[[#This Row],[ProdUpper]],1,3)</f>
        <v>SMA</v>
      </c>
      <c r="O2812" t="str">
        <f>UPPER(IF(Master_ventas[[#This Row],[Profit]]&gt;500,"High","Std"))</f>
        <v>STD</v>
      </c>
      <c r="P2812">
        <v>2811</v>
      </c>
    </row>
    <row r="2813" spans="1:16" x14ac:dyDescent="0.3">
      <c r="A2813" s="1">
        <v>44832</v>
      </c>
      <c r="B2813" t="s">
        <v>22</v>
      </c>
      <c r="C2813" t="s">
        <v>11</v>
      </c>
      <c r="D2813" t="s">
        <v>9</v>
      </c>
      <c r="E2813">
        <v>7</v>
      </c>
      <c r="F2813" s="3">
        <v>3752</v>
      </c>
      <c r="G2813" s="2">
        <v>835.34</v>
      </c>
      <c r="H2813">
        <f>Master_ventas[[#This Row],[Profit]]/Master_ventas[[#This Row],[Sales]]</f>
        <v>0.22263859275053305</v>
      </c>
      <c r="I2813">
        <f ca="1">Referencia_Hoy-Master_ventas[[#This Row],[Order Date]]</f>
        <v>1491</v>
      </c>
      <c r="J2813" t="str">
        <f>UPPER(Master_ventas[[#This Row],[Product Name]])</f>
        <v>KEYBOARD</v>
      </c>
      <c r="K2813" t="str">
        <f>UPPER(Master_ventas[[#This Row],[Category]])</f>
        <v>ACCESSORIES</v>
      </c>
      <c r="L2813">
        <f>YEAR(Master_ventas[[#This Row],[Order Date]])</f>
        <v>2022</v>
      </c>
      <c r="M2813" t="str">
        <f>CONCATENATE(LEFT(Master_ventas[[#This Row],[ProdUpper]],3),RIGHT(Master_ventas[[#This Row],[Ext-Year]],2),"-",MID(Master_ventas[[#This Row],[Category]],1,1))</f>
        <v>KEY22-A</v>
      </c>
      <c r="N2813" t="str">
        <f>MID(Master_ventas[[#This Row],[ProdUpper]],1,3)</f>
        <v>KEY</v>
      </c>
      <c r="O2813" t="str">
        <f>UPPER(IF(Master_ventas[[#This Row],[Profit]]&gt;500,"High","Std"))</f>
        <v>HIGH</v>
      </c>
      <c r="P2813">
        <v>2812</v>
      </c>
    </row>
    <row r="2814" spans="1:16" x14ac:dyDescent="0.3">
      <c r="A2814" s="1">
        <v>45474</v>
      </c>
      <c r="B2814" t="s">
        <v>22</v>
      </c>
      <c r="C2814" t="s">
        <v>11</v>
      </c>
      <c r="D2814" t="s">
        <v>16</v>
      </c>
      <c r="E2814">
        <v>6</v>
      </c>
      <c r="F2814" s="3">
        <v>1962</v>
      </c>
      <c r="G2814" s="2">
        <v>301.57</v>
      </c>
      <c r="H2814">
        <f>Master_ventas[[#This Row],[Profit]]/Master_ventas[[#This Row],[Sales]]</f>
        <v>0.15370540265035679</v>
      </c>
      <c r="I2814">
        <f ca="1">Referencia_Hoy-Master_ventas[[#This Row],[Order Date]]</f>
        <v>849</v>
      </c>
      <c r="J2814" t="str">
        <f>UPPER(Master_ventas[[#This Row],[Product Name]])</f>
        <v>KEYBOARD</v>
      </c>
      <c r="K2814" t="str">
        <f>UPPER(Master_ventas[[#This Row],[Category]])</f>
        <v>ACCESSORIES</v>
      </c>
      <c r="L2814">
        <f>YEAR(Master_ventas[[#This Row],[Order Date]])</f>
        <v>2024</v>
      </c>
      <c r="M2814" t="str">
        <f>CONCATENATE(LEFT(Master_ventas[[#This Row],[ProdUpper]],3),RIGHT(Master_ventas[[#This Row],[Ext-Year]],2),"-",MID(Master_ventas[[#This Row],[Category]],1,1))</f>
        <v>KEY24-A</v>
      </c>
      <c r="N2814" t="str">
        <f>MID(Master_ventas[[#This Row],[ProdUpper]],1,3)</f>
        <v>KEY</v>
      </c>
      <c r="O2814" t="str">
        <f>UPPER(IF(Master_ventas[[#This Row],[Profit]]&gt;500,"High","Std"))</f>
        <v>STD</v>
      </c>
      <c r="P2814">
        <v>2813</v>
      </c>
    </row>
    <row r="2815" spans="1:16" x14ac:dyDescent="0.3">
      <c r="A2815" s="1">
        <v>45623</v>
      </c>
      <c r="B2815" t="s">
        <v>21</v>
      </c>
      <c r="C2815" t="s">
        <v>14</v>
      </c>
      <c r="D2815" t="s">
        <v>15</v>
      </c>
      <c r="E2815">
        <v>6</v>
      </c>
      <c r="F2815" s="3">
        <v>2310</v>
      </c>
      <c r="G2815" s="2">
        <v>202.98</v>
      </c>
      <c r="H2815">
        <f>Master_ventas[[#This Row],[Profit]]/Master_ventas[[#This Row],[Sales]]</f>
        <v>8.7870129870129862E-2</v>
      </c>
      <c r="I2815">
        <f ca="1">Referencia_Hoy-Master_ventas[[#This Row],[Order Date]]</f>
        <v>700</v>
      </c>
      <c r="J2815" t="str">
        <f>UPPER(Master_ventas[[#This Row],[Product Name]])</f>
        <v>SMARTPHONE</v>
      </c>
      <c r="K2815" t="str">
        <f>UPPER(Master_ventas[[#This Row],[Category]])</f>
        <v>ELECTRONICS</v>
      </c>
      <c r="L2815">
        <f>YEAR(Master_ventas[[#This Row],[Order Date]])</f>
        <v>2024</v>
      </c>
      <c r="M2815" t="str">
        <f>CONCATENATE(LEFT(Master_ventas[[#This Row],[ProdUpper]],3),RIGHT(Master_ventas[[#This Row],[Ext-Year]],2),"-",MID(Master_ventas[[#This Row],[Category]],1,1))</f>
        <v>SMA24-E</v>
      </c>
      <c r="N2815" t="str">
        <f>MID(Master_ventas[[#This Row],[ProdUpper]],1,3)</f>
        <v>SMA</v>
      </c>
      <c r="O2815" t="str">
        <f>UPPER(IF(Master_ventas[[#This Row],[Profit]]&gt;500,"High","Std"))</f>
        <v>STD</v>
      </c>
      <c r="P2815">
        <v>2814</v>
      </c>
    </row>
    <row r="2816" spans="1:16" x14ac:dyDescent="0.3">
      <c r="A2816" s="1">
        <v>44986</v>
      </c>
      <c r="B2816" t="s">
        <v>13</v>
      </c>
      <c r="C2816" t="s">
        <v>14</v>
      </c>
      <c r="D2816" t="s">
        <v>12</v>
      </c>
      <c r="E2816">
        <v>4</v>
      </c>
      <c r="F2816" s="3">
        <v>3028</v>
      </c>
      <c r="G2816" s="2">
        <v>685.23</v>
      </c>
      <c r="H2816">
        <f>Master_ventas[[#This Row],[Profit]]/Master_ventas[[#This Row],[Sales]]</f>
        <v>0.22629788639365919</v>
      </c>
      <c r="I2816">
        <f ca="1">Referencia_Hoy-Master_ventas[[#This Row],[Order Date]]</f>
        <v>1337</v>
      </c>
      <c r="J2816" t="str">
        <f>UPPER(Master_ventas[[#This Row],[Product Name]])</f>
        <v>TABLET</v>
      </c>
      <c r="K2816" t="str">
        <f>UPPER(Master_ventas[[#This Row],[Category]])</f>
        <v>ELECTRONICS</v>
      </c>
      <c r="L2816">
        <f>YEAR(Master_ventas[[#This Row],[Order Date]])</f>
        <v>2023</v>
      </c>
      <c r="M2816" t="str">
        <f>CONCATENATE(LEFT(Master_ventas[[#This Row],[ProdUpper]],3),RIGHT(Master_ventas[[#This Row],[Ext-Year]],2),"-",MID(Master_ventas[[#This Row],[Category]],1,1))</f>
        <v>TAB23-E</v>
      </c>
      <c r="N2816" t="str">
        <f>MID(Master_ventas[[#This Row],[ProdUpper]],1,3)</f>
        <v>TAB</v>
      </c>
      <c r="O2816" t="str">
        <f>UPPER(IF(Master_ventas[[#This Row],[Profit]]&gt;500,"High","Std"))</f>
        <v>HIGH</v>
      </c>
      <c r="P2816">
        <v>2815</v>
      </c>
    </row>
    <row r="2817" spans="1:16" x14ac:dyDescent="0.3">
      <c r="A2817" s="1">
        <v>45129</v>
      </c>
      <c r="B2817" t="s">
        <v>20</v>
      </c>
      <c r="C2817" t="s">
        <v>11</v>
      </c>
      <c r="D2817" t="s">
        <v>9</v>
      </c>
      <c r="E2817">
        <v>3</v>
      </c>
      <c r="F2817" s="3">
        <v>2994</v>
      </c>
      <c r="G2817" s="2">
        <v>877.92</v>
      </c>
      <c r="H2817">
        <f>Master_ventas[[#This Row],[Profit]]/Master_ventas[[#This Row],[Sales]]</f>
        <v>0.29322645290581162</v>
      </c>
      <c r="I2817">
        <f ca="1">Referencia_Hoy-Master_ventas[[#This Row],[Order Date]]</f>
        <v>1194</v>
      </c>
      <c r="J2817" t="str">
        <f>UPPER(Master_ventas[[#This Row],[Product Name]])</f>
        <v>MONITOR</v>
      </c>
      <c r="K2817" t="str">
        <f>UPPER(Master_ventas[[#This Row],[Category]])</f>
        <v>ACCESSORIES</v>
      </c>
      <c r="L2817">
        <f>YEAR(Master_ventas[[#This Row],[Order Date]])</f>
        <v>2023</v>
      </c>
      <c r="M2817" t="str">
        <f>CONCATENATE(LEFT(Master_ventas[[#This Row],[ProdUpper]],3),RIGHT(Master_ventas[[#This Row],[Ext-Year]],2),"-",MID(Master_ventas[[#This Row],[Category]],1,1))</f>
        <v>MON23-A</v>
      </c>
      <c r="N2817" t="str">
        <f>MID(Master_ventas[[#This Row],[ProdUpper]],1,3)</f>
        <v>MON</v>
      </c>
      <c r="O2817" t="str">
        <f>UPPER(IF(Master_ventas[[#This Row],[Profit]]&gt;500,"High","Std"))</f>
        <v>HIGH</v>
      </c>
      <c r="P2817">
        <v>2816</v>
      </c>
    </row>
    <row r="2818" spans="1:16" x14ac:dyDescent="0.3">
      <c r="A2818" s="1">
        <v>45461</v>
      </c>
      <c r="B2818" t="s">
        <v>13</v>
      </c>
      <c r="C2818" t="s">
        <v>14</v>
      </c>
      <c r="D2818" t="s">
        <v>15</v>
      </c>
      <c r="E2818">
        <v>3</v>
      </c>
      <c r="F2818" s="3">
        <v>3393</v>
      </c>
      <c r="G2818" s="2">
        <v>313.45</v>
      </c>
      <c r="H2818">
        <f>Master_ventas[[#This Row],[Profit]]/Master_ventas[[#This Row],[Sales]]</f>
        <v>9.2381373415856172E-2</v>
      </c>
      <c r="I2818">
        <f ca="1">Referencia_Hoy-Master_ventas[[#This Row],[Order Date]]</f>
        <v>862</v>
      </c>
      <c r="J2818" t="str">
        <f>UPPER(Master_ventas[[#This Row],[Product Name]])</f>
        <v>TABLET</v>
      </c>
      <c r="K2818" t="str">
        <f>UPPER(Master_ventas[[#This Row],[Category]])</f>
        <v>ELECTRONICS</v>
      </c>
      <c r="L2818">
        <f>YEAR(Master_ventas[[#This Row],[Order Date]])</f>
        <v>2024</v>
      </c>
      <c r="M2818" t="str">
        <f>CONCATENATE(LEFT(Master_ventas[[#This Row],[ProdUpper]],3),RIGHT(Master_ventas[[#This Row],[Ext-Year]],2),"-",MID(Master_ventas[[#This Row],[Category]],1,1))</f>
        <v>TAB24-E</v>
      </c>
      <c r="N2818" t="str">
        <f>MID(Master_ventas[[#This Row],[ProdUpper]],1,3)</f>
        <v>TAB</v>
      </c>
      <c r="O2818" t="str">
        <f>UPPER(IF(Master_ventas[[#This Row],[Profit]]&gt;500,"High","Std"))</f>
        <v>STD</v>
      </c>
      <c r="P2818">
        <v>2817</v>
      </c>
    </row>
    <row r="2819" spans="1:16" x14ac:dyDescent="0.3">
      <c r="A2819" s="1">
        <v>45604</v>
      </c>
      <c r="B2819" t="s">
        <v>17</v>
      </c>
      <c r="C2819" t="s">
        <v>14</v>
      </c>
      <c r="D2819" t="s">
        <v>9</v>
      </c>
      <c r="E2819">
        <v>3</v>
      </c>
      <c r="F2819" s="3">
        <v>1209</v>
      </c>
      <c r="G2819" s="2">
        <v>320.61</v>
      </c>
      <c r="H2819">
        <f>Master_ventas[[#This Row],[Profit]]/Master_ventas[[#This Row],[Sales]]</f>
        <v>0.26518610421836231</v>
      </c>
      <c r="I2819">
        <f ca="1">Referencia_Hoy-Master_ventas[[#This Row],[Order Date]]</f>
        <v>719</v>
      </c>
      <c r="J2819" t="str">
        <f>UPPER(Master_ventas[[#This Row],[Product Name]])</f>
        <v>CAMERA</v>
      </c>
      <c r="K2819" t="str">
        <f>UPPER(Master_ventas[[#This Row],[Category]])</f>
        <v>ELECTRONICS</v>
      </c>
      <c r="L2819">
        <f>YEAR(Master_ventas[[#This Row],[Order Date]])</f>
        <v>2024</v>
      </c>
      <c r="M2819" t="str">
        <f>CONCATENATE(LEFT(Master_ventas[[#This Row],[ProdUpper]],3),RIGHT(Master_ventas[[#This Row],[Ext-Year]],2),"-",MID(Master_ventas[[#This Row],[Category]],1,1))</f>
        <v>CAM24-E</v>
      </c>
      <c r="N2819" t="str">
        <f>MID(Master_ventas[[#This Row],[ProdUpper]],1,3)</f>
        <v>CAM</v>
      </c>
      <c r="O2819" t="str">
        <f>UPPER(IF(Master_ventas[[#This Row],[Profit]]&gt;500,"High","Std"))</f>
        <v>STD</v>
      </c>
      <c r="P2819">
        <v>2818</v>
      </c>
    </row>
    <row r="2820" spans="1:16" x14ac:dyDescent="0.3">
      <c r="A2820" s="1">
        <v>44883</v>
      </c>
      <c r="B2820" t="s">
        <v>22</v>
      </c>
      <c r="C2820" t="s">
        <v>11</v>
      </c>
      <c r="D2820" t="s">
        <v>12</v>
      </c>
      <c r="E2820">
        <v>8</v>
      </c>
      <c r="F2820" s="3">
        <v>5784</v>
      </c>
      <c r="G2820" s="2">
        <v>1276.57</v>
      </c>
      <c r="H2820">
        <f>Master_ventas[[#This Row],[Profit]]/Master_ventas[[#This Row],[Sales]]</f>
        <v>0.22070712309820192</v>
      </c>
      <c r="I2820">
        <f ca="1">Referencia_Hoy-Master_ventas[[#This Row],[Order Date]]</f>
        <v>1440</v>
      </c>
      <c r="J2820" t="str">
        <f>UPPER(Master_ventas[[#This Row],[Product Name]])</f>
        <v>KEYBOARD</v>
      </c>
      <c r="K2820" t="str">
        <f>UPPER(Master_ventas[[#This Row],[Category]])</f>
        <v>ACCESSORIES</v>
      </c>
      <c r="L2820">
        <f>YEAR(Master_ventas[[#This Row],[Order Date]])</f>
        <v>2022</v>
      </c>
      <c r="M2820" t="str">
        <f>CONCATENATE(LEFT(Master_ventas[[#This Row],[ProdUpper]],3),RIGHT(Master_ventas[[#This Row],[Ext-Year]],2),"-",MID(Master_ventas[[#This Row],[Category]],1,1))</f>
        <v>KEY22-A</v>
      </c>
      <c r="N2820" t="str">
        <f>MID(Master_ventas[[#This Row],[ProdUpper]],1,3)</f>
        <v>KEY</v>
      </c>
      <c r="O2820" t="str">
        <f>UPPER(IF(Master_ventas[[#This Row],[Profit]]&gt;500,"High","Std"))</f>
        <v>HIGH</v>
      </c>
      <c r="P2820">
        <v>2819</v>
      </c>
    </row>
    <row r="2821" spans="1:16" x14ac:dyDescent="0.3">
      <c r="A2821" s="1">
        <v>44630</v>
      </c>
      <c r="B2821" t="s">
        <v>23</v>
      </c>
      <c r="C2821" t="s">
        <v>14</v>
      </c>
      <c r="D2821" t="s">
        <v>16</v>
      </c>
      <c r="E2821">
        <v>9</v>
      </c>
      <c r="F2821" s="3">
        <v>3078</v>
      </c>
      <c r="G2821" s="2">
        <v>285.05</v>
      </c>
      <c r="H2821">
        <f>Master_ventas[[#This Row],[Profit]]/Master_ventas[[#This Row],[Sales]]</f>
        <v>9.260883690708252E-2</v>
      </c>
      <c r="I2821">
        <f ca="1">Referencia_Hoy-Master_ventas[[#This Row],[Order Date]]</f>
        <v>1693</v>
      </c>
      <c r="J2821" t="str">
        <f>UPPER(Master_ventas[[#This Row],[Product Name]])</f>
        <v>LAPTOP</v>
      </c>
      <c r="K2821" t="str">
        <f>UPPER(Master_ventas[[#This Row],[Category]])</f>
        <v>ELECTRONICS</v>
      </c>
      <c r="L2821">
        <f>YEAR(Master_ventas[[#This Row],[Order Date]])</f>
        <v>2022</v>
      </c>
      <c r="M2821" t="str">
        <f>CONCATENATE(LEFT(Master_ventas[[#This Row],[ProdUpper]],3),RIGHT(Master_ventas[[#This Row],[Ext-Year]],2),"-",MID(Master_ventas[[#This Row],[Category]],1,1))</f>
        <v>LAP22-E</v>
      </c>
      <c r="N2821" t="str">
        <f>MID(Master_ventas[[#This Row],[ProdUpper]],1,3)</f>
        <v>LAP</v>
      </c>
      <c r="O2821" t="str">
        <f>UPPER(IF(Master_ventas[[#This Row],[Profit]]&gt;500,"High","Std"))</f>
        <v>STD</v>
      </c>
      <c r="P2821">
        <v>2820</v>
      </c>
    </row>
    <row r="2822" spans="1:16" x14ac:dyDescent="0.3">
      <c r="A2822" s="1">
        <v>45309</v>
      </c>
      <c r="B2822" t="s">
        <v>7</v>
      </c>
      <c r="C2822" t="s">
        <v>8</v>
      </c>
      <c r="D2822" t="s">
        <v>15</v>
      </c>
      <c r="E2822">
        <v>4</v>
      </c>
      <c r="F2822" s="3">
        <v>2464</v>
      </c>
      <c r="G2822" s="2">
        <v>602.29999999999995</v>
      </c>
      <c r="H2822">
        <f>Master_ventas[[#This Row],[Profit]]/Master_ventas[[#This Row],[Sales]]</f>
        <v>0.24443993506493505</v>
      </c>
      <c r="I2822">
        <f ca="1">Referencia_Hoy-Master_ventas[[#This Row],[Order Date]]</f>
        <v>1014</v>
      </c>
      <c r="J2822" t="str">
        <f>UPPER(Master_ventas[[#This Row],[Product Name]])</f>
        <v>PRINTER</v>
      </c>
      <c r="K2822" t="str">
        <f>UPPER(Master_ventas[[#This Row],[Category]])</f>
        <v>OFFICE</v>
      </c>
      <c r="L2822">
        <f>YEAR(Master_ventas[[#This Row],[Order Date]])</f>
        <v>2024</v>
      </c>
      <c r="M2822" t="str">
        <f>CONCATENATE(LEFT(Master_ventas[[#This Row],[ProdUpper]],3),RIGHT(Master_ventas[[#This Row],[Ext-Year]],2),"-",MID(Master_ventas[[#This Row],[Category]],1,1))</f>
        <v>PRI24-O</v>
      </c>
      <c r="N2822" t="str">
        <f>MID(Master_ventas[[#This Row],[ProdUpper]],1,3)</f>
        <v>PRI</v>
      </c>
      <c r="O2822" t="str">
        <f>UPPER(IF(Master_ventas[[#This Row],[Profit]]&gt;500,"High","Std"))</f>
        <v>HIGH</v>
      </c>
      <c r="P2822">
        <v>2821</v>
      </c>
    </row>
    <row r="2823" spans="1:16" x14ac:dyDescent="0.3">
      <c r="A2823" s="1">
        <v>45640</v>
      </c>
      <c r="B2823" t="s">
        <v>17</v>
      </c>
      <c r="C2823" t="s">
        <v>14</v>
      </c>
      <c r="D2823" t="s">
        <v>16</v>
      </c>
      <c r="E2823">
        <v>5</v>
      </c>
      <c r="F2823" s="3">
        <v>2445</v>
      </c>
      <c r="G2823" s="2">
        <v>146.6</v>
      </c>
      <c r="H2823">
        <f>Master_ventas[[#This Row],[Profit]]/Master_ventas[[#This Row],[Sales]]</f>
        <v>5.9959100204498975E-2</v>
      </c>
      <c r="I2823">
        <f ca="1">Referencia_Hoy-Master_ventas[[#This Row],[Order Date]]</f>
        <v>683</v>
      </c>
      <c r="J2823" t="str">
        <f>UPPER(Master_ventas[[#This Row],[Product Name]])</f>
        <v>CAMERA</v>
      </c>
      <c r="K2823" t="str">
        <f>UPPER(Master_ventas[[#This Row],[Category]])</f>
        <v>ELECTRONICS</v>
      </c>
      <c r="L2823">
        <f>YEAR(Master_ventas[[#This Row],[Order Date]])</f>
        <v>2024</v>
      </c>
      <c r="M2823" t="str">
        <f>CONCATENATE(LEFT(Master_ventas[[#This Row],[ProdUpper]],3),RIGHT(Master_ventas[[#This Row],[Ext-Year]],2),"-",MID(Master_ventas[[#This Row],[Category]],1,1))</f>
        <v>CAM24-E</v>
      </c>
      <c r="N2823" t="str">
        <f>MID(Master_ventas[[#This Row],[ProdUpper]],1,3)</f>
        <v>CAM</v>
      </c>
      <c r="O2823" t="str">
        <f>UPPER(IF(Master_ventas[[#This Row],[Profit]]&gt;500,"High","Std"))</f>
        <v>STD</v>
      </c>
      <c r="P2823">
        <v>2822</v>
      </c>
    </row>
    <row r="2824" spans="1:16" x14ac:dyDescent="0.3">
      <c r="A2824" s="1">
        <v>44981</v>
      </c>
      <c r="B2824" t="s">
        <v>22</v>
      </c>
      <c r="C2824" t="s">
        <v>11</v>
      </c>
      <c r="D2824" t="s">
        <v>9</v>
      </c>
      <c r="E2824">
        <v>8</v>
      </c>
      <c r="F2824" s="3">
        <v>5312</v>
      </c>
      <c r="G2824" s="2">
        <v>841.13</v>
      </c>
      <c r="H2824">
        <f>Master_ventas[[#This Row],[Profit]]/Master_ventas[[#This Row],[Sales]]</f>
        <v>0.15834525602409638</v>
      </c>
      <c r="I2824">
        <f ca="1">Referencia_Hoy-Master_ventas[[#This Row],[Order Date]]</f>
        <v>1342</v>
      </c>
      <c r="J2824" t="str">
        <f>UPPER(Master_ventas[[#This Row],[Product Name]])</f>
        <v>KEYBOARD</v>
      </c>
      <c r="K2824" t="str">
        <f>UPPER(Master_ventas[[#This Row],[Category]])</f>
        <v>ACCESSORIES</v>
      </c>
      <c r="L2824">
        <f>YEAR(Master_ventas[[#This Row],[Order Date]])</f>
        <v>2023</v>
      </c>
      <c r="M2824" t="str">
        <f>CONCATENATE(LEFT(Master_ventas[[#This Row],[ProdUpper]],3),RIGHT(Master_ventas[[#This Row],[Ext-Year]],2),"-",MID(Master_ventas[[#This Row],[Category]],1,1))</f>
        <v>KEY23-A</v>
      </c>
      <c r="N2824" t="str">
        <f>MID(Master_ventas[[#This Row],[ProdUpper]],1,3)</f>
        <v>KEY</v>
      </c>
      <c r="O2824" t="str">
        <f>UPPER(IF(Master_ventas[[#This Row],[Profit]]&gt;500,"High","Std"))</f>
        <v>HIGH</v>
      </c>
      <c r="P2824">
        <v>2823</v>
      </c>
    </row>
    <row r="2825" spans="1:16" x14ac:dyDescent="0.3">
      <c r="A2825" s="1">
        <v>44651</v>
      </c>
      <c r="B2825" t="s">
        <v>22</v>
      </c>
      <c r="C2825" t="s">
        <v>11</v>
      </c>
      <c r="D2825" t="s">
        <v>15</v>
      </c>
      <c r="E2825">
        <v>1</v>
      </c>
      <c r="F2825" s="3">
        <v>657</v>
      </c>
      <c r="G2825" s="2">
        <v>101.85</v>
      </c>
      <c r="H2825">
        <f>Master_ventas[[#This Row],[Profit]]/Master_ventas[[#This Row],[Sales]]</f>
        <v>0.15502283105022829</v>
      </c>
      <c r="I2825">
        <f ca="1">Referencia_Hoy-Master_ventas[[#This Row],[Order Date]]</f>
        <v>1672</v>
      </c>
      <c r="J2825" t="str">
        <f>UPPER(Master_ventas[[#This Row],[Product Name]])</f>
        <v>KEYBOARD</v>
      </c>
      <c r="K2825" t="str">
        <f>UPPER(Master_ventas[[#This Row],[Category]])</f>
        <v>ACCESSORIES</v>
      </c>
      <c r="L2825">
        <f>YEAR(Master_ventas[[#This Row],[Order Date]])</f>
        <v>2022</v>
      </c>
      <c r="M2825" t="str">
        <f>CONCATENATE(LEFT(Master_ventas[[#This Row],[ProdUpper]],3),RIGHT(Master_ventas[[#This Row],[Ext-Year]],2),"-",MID(Master_ventas[[#This Row],[Category]],1,1))</f>
        <v>KEY22-A</v>
      </c>
      <c r="N2825" t="str">
        <f>MID(Master_ventas[[#This Row],[ProdUpper]],1,3)</f>
        <v>KEY</v>
      </c>
      <c r="O2825" t="str">
        <f>UPPER(IF(Master_ventas[[#This Row],[Profit]]&gt;500,"High","Std"))</f>
        <v>STD</v>
      </c>
      <c r="P2825">
        <v>2824</v>
      </c>
    </row>
    <row r="2826" spans="1:16" x14ac:dyDescent="0.3">
      <c r="A2826" s="1">
        <v>45429</v>
      </c>
      <c r="B2826" t="s">
        <v>22</v>
      </c>
      <c r="C2826" t="s">
        <v>11</v>
      </c>
      <c r="D2826" t="s">
        <v>15</v>
      </c>
      <c r="E2826">
        <v>3</v>
      </c>
      <c r="F2826" s="3">
        <v>2580</v>
      </c>
      <c r="G2826" s="2">
        <v>173.89</v>
      </c>
      <c r="H2826">
        <f>Master_ventas[[#This Row],[Profit]]/Master_ventas[[#This Row],[Sales]]</f>
        <v>6.7399224806201544E-2</v>
      </c>
      <c r="I2826">
        <f ca="1">Referencia_Hoy-Master_ventas[[#This Row],[Order Date]]</f>
        <v>894</v>
      </c>
      <c r="J2826" t="str">
        <f>UPPER(Master_ventas[[#This Row],[Product Name]])</f>
        <v>KEYBOARD</v>
      </c>
      <c r="K2826" t="str">
        <f>UPPER(Master_ventas[[#This Row],[Category]])</f>
        <v>ACCESSORIES</v>
      </c>
      <c r="L2826">
        <f>YEAR(Master_ventas[[#This Row],[Order Date]])</f>
        <v>2024</v>
      </c>
      <c r="M2826" t="str">
        <f>CONCATENATE(LEFT(Master_ventas[[#This Row],[ProdUpper]],3),RIGHT(Master_ventas[[#This Row],[Ext-Year]],2),"-",MID(Master_ventas[[#This Row],[Category]],1,1))</f>
        <v>KEY24-A</v>
      </c>
      <c r="N2826" t="str">
        <f>MID(Master_ventas[[#This Row],[ProdUpper]],1,3)</f>
        <v>KEY</v>
      </c>
      <c r="O2826" t="str">
        <f>UPPER(IF(Master_ventas[[#This Row],[Profit]]&gt;500,"High","Std"))</f>
        <v>STD</v>
      </c>
      <c r="P2826">
        <v>2825</v>
      </c>
    </row>
    <row r="2827" spans="1:16" x14ac:dyDescent="0.3">
      <c r="A2827" s="1">
        <v>44839</v>
      </c>
      <c r="B2827" t="s">
        <v>23</v>
      </c>
      <c r="C2827" t="s">
        <v>14</v>
      </c>
      <c r="D2827" t="s">
        <v>12</v>
      </c>
      <c r="E2827">
        <v>8</v>
      </c>
      <c r="F2827" s="3">
        <v>4624</v>
      </c>
      <c r="G2827" s="2">
        <v>893.74</v>
      </c>
      <c r="H2827">
        <f>Master_ventas[[#This Row],[Profit]]/Master_ventas[[#This Row],[Sales]]</f>
        <v>0.19328287197231833</v>
      </c>
      <c r="I2827">
        <f ca="1">Referencia_Hoy-Master_ventas[[#This Row],[Order Date]]</f>
        <v>1484</v>
      </c>
      <c r="J2827" t="str">
        <f>UPPER(Master_ventas[[#This Row],[Product Name]])</f>
        <v>LAPTOP</v>
      </c>
      <c r="K2827" t="str">
        <f>UPPER(Master_ventas[[#This Row],[Category]])</f>
        <v>ELECTRONICS</v>
      </c>
      <c r="L2827">
        <f>YEAR(Master_ventas[[#This Row],[Order Date]])</f>
        <v>2022</v>
      </c>
      <c r="M2827" t="str">
        <f>CONCATENATE(LEFT(Master_ventas[[#This Row],[ProdUpper]],3),RIGHT(Master_ventas[[#This Row],[Ext-Year]],2),"-",MID(Master_ventas[[#This Row],[Category]],1,1))</f>
        <v>LAP22-E</v>
      </c>
      <c r="N2827" t="str">
        <f>MID(Master_ventas[[#This Row],[ProdUpper]],1,3)</f>
        <v>LAP</v>
      </c>
      <c r="O2827" t="str">
        <f>UPPER(IF(Master_ventas[[#This Row],[Profit]]&gt;500,"High","Std"))</f>
        <v>HIGH</v>
      </c>
      <c r="P2827">
        <v>2826</v>
      </c>
    </row>
    <row r="2828" spans="1:16" x14ac:dyDescent="0.3">
      <c r="A2828" s="1">
        <v>45252</v>
      </c>
      <c r="B2828" t="s">
        <v>19</v>
      </c>
      <c r="C2828" t="s">
        <v>14</v>
      </c>
      <c r="D2828" t="s">
        <v>9</v>
      </c>
      <c r="E2828">
        <v>2</v>
      </c>
      <c r="F2828" s="3">
        <v>1258</v>
      </c>
      <c r="G2828" s="2">
        <v>146.69999999999999</v>
      </c>
      <c r="H2828">
        <f>Master_ventas[[#This Row],[Profit]]/Master_ventas[[#This Row],[Sales]]</f>
        <v>0.11661367249602543</v>
      </c>
      <c r="I2828">
        <f ca="1">Referencia_Hoy-Master_ventas[[#This Row],[Order Date]]</f>
        <v>1071</v>
      </c>
      <c r="J2828" t="str">
        <f>UPPER(Master_ventas[[#This Row],[Product Name]])</f>
        <v>SMARTWATCH</v>
      </c>
      <c r="K2828" t="str">
        <f>UPPER(Master_ventas[[#This Row],[Category]])</f>
        <v>ELECTRONICS</v>
      </c>
      <c r="L2828">
        <f>YEAR(Master_ventas[[#This Row],[Order Date]])</f>
        <v>2023</v>
      </c>
      <c r="M2828" t="str">
        <f>CONCATENATE(LEFT(Master_ventas[[#This Row],[ProdUpper]],3),RIGHT(Master_ventas[[#This Row],[Ext-Year]],2),"-",MID(Master_ventas[[#This Row],[Category]],1,1))</f>
        <v>SMA23-E</v>
      </c>
      <c r="N2828" t="str">
        <f>MID(Master_ventas[[#This Row],[ProdUpper]],1,3)</f>
        <v>SMA</v>
      </c>
      <c r="O2828" t="str">
        <f>UPPER(IF(Master_ventas[[#This Row],[Profit]]&gt;500,"High","Std"))</f>
        <v>STD</v>
      </c>
      <c r="P2828">
        <v>2827</v>
      </c>
    </row>
    <row r="2829" spans="1:16" x14ac:dyDescent="0.3">
      <c r="A2829" s="1">
        <v>45501</v>
      </c>
      <c r="B2829" t="s">
        <v>17</v>
      </c>
      <c r="C2829" t="s">
        <v>14</v>
      </c>
      <c r="D2829" t="s">
        <v>12</v>
      </c>
      <c r="E2829">
        <v>7</v>
      </c>
      <c r="F2829" s="3">
        <v>6468</v>
      </c>
      <c r="G2829" s="2">
        <v>398.23</v>
      </c>
      <c r="H2829">
        <f>Master_ventas[[#This Row],[Profit]]/Master_ventas[[#This Row],[Sales]]</f>
        <v>6.1569264069264072E-2</v>
      </c>
      <c r="I2829">
        <f ca="1">Referencia_Hoy-Master_ventas[[#This Row],[Order Date]]</f>
        <v>822</v>
      </c>
      <c r="J2829" t="str">
        <f>UPPER(Master_ventas[[#This Row],[Product Name]])</f>
        <v>CAMERA</v>
      </c>
      <c r="K2829" t="str">
        <f>UPPER(Master_ventas[[#This Row],[Category]])</f>
        <v>ELECTRONICS</v>
      </c>
      <c r="L2829">
        <f>YEAR(Master_ventas[[#This Row],[Order Date]])</f>
        <v>2024</v>
      </c>
      <c r="M2829" t="str">
        <f>CONCATENATE(LEFT(Master_ventas[[#This Row],[ProdUpper]],3),RIGHT(Master_ventas[[#This Row],[Ext-Year]],2),"-",MID(Master_ventas[[#This Row],[Category]],1,1))</f>
        <v>CAM24-E</v>
      </c>
      <c r="N2829" t="str">
        <f>MID(Master_ventas[[#This Row],[ProdUpper]],1,3)</f>
        <v>CAM</v>
      </c>
      <c r="O2829" t="str">
        <f>UPPER(IF(Master_ventas[[#This Row],[Profit]]&gt;500,"High","Std"))</f>
        <v>STD</v>
      </c>
      <c r="P2829">
        <v>2828</v>
      </c>
    </row>
    <row r="2830" spans="1:16" x14ac:dyDescent="0.3">
      <c r="A2830" s="1">
        <v>45070</v>
      </c>
      <c r="B2830" t="s">
        <v>20</v>
      </c>
      <c r="C2830" t="s">
        <v>11</v>
      </c>
      <c r="D2830" t="s">
        <v>16</v>
      </c>
      <c r="E2830">
        <v>3</v>
      </c>
      <c r="F2830" s="3">
        <v>1359</v>
      </c>
      <c r="G2830" s="2">
        <v>152.85</v>
      </c>
      <c r="H2830">
        <f>Master_ventas[[#This Row],[Profit]]/Master_ventas[[#This Row],[Sales]]</f>
        <v>0.11247240618101545</v>
      </c>
      <c r="I2830">
        <f ca="1">Referencia_Hoy-Master_ventas[[#This Row],[Order Date]]</f>
        <v>1253</v>
      </c>
      <c r="J2830" t="str">
        <f>UPPER(Master_ventas[[#This Row],[Product Name]])</f>
        <v>MONITOR</v>
      </c>
      <c r="K2830" t="str">
        <f>UPPER(Master_ventas[[#This Row],[Category]])</f>
        <v>ACCESSORIES</v>
      </c>
      <c r="L2830">
        <f>YEAR(Master_ventas[[#This Row],[Order Date]])</f>
        <v>2023</v>
      </c>
      <c r="M2830" t="str">
        <f>CONCATENATE(LEFT(Master_ventas[[#This Row],[ProdUpper]],3),RIGHT(Master_ventas[[#This Row],[Ext-Year]],2),"-",MID(Master_ventas[[#This Row],[Category]],1,1))</f>
        <v>MON23-A</v>
      </c>
      <c r="N2830" t="str">
        <f>MID(Master_ventas[[#This Row],[ProdUpper]],1,3)</f>
        <v>MON</v>
      </c>
      <c r="O2830" t="str">
        <f>UPPER(IF(Master_ventas[[#This Row],[Profit]]&gt;500,"High","Std"))</f>
        <v>STD</v>
      </c>
      <c r="P2830">
        <v>2829</v>
      </c>
    </row>
    <row r="2831" spans="1:16" x14ac:dyDescent="0.3">
      <c r="A2831" s="1">
        <v>45624</v>
      </c>
      <c r="B2831" t="s">
        <v>23</v>
      </c>
      <c r="C2831" t="s">
        <v>14</v>
      </c>
      <c r="D2831" t="s">
        <v>9</v>
      </c>
      <c r="E2831">
        <v>1</v>
      </c>
      <c r="F2831" s="3">
        <v>104</v>
      </c>
      <c r="G2831" s="2">
        <v>18.670000000000002</v>
      </c>
      <c r="H2831">
        <f>Master_ventas[[#This Row],[Profit]]/Master_ventas[[#This Row],[Sales]]</f>
        <v>0.17951923076923079</v>
      </c>
      <c r="I2831">
        <f ca="1">Referencia_Hoy-Master_ventas[[#This Row],[Order Date]]</f>
        <v>699</v>
      </c>
      <c r="J2831" t="str">
        <f>UPPER(Master_ventas[[#This Row],[Product Name]])</f>
        <v>LAPTOP</v>
      </c>
      <c r="K2831" t="str">
        <f>UPPER(Master_ventas[[#This Row],[Category]])</f>
        <v>ELECTRONICS</v>
      </c>
      <c r="L2831">
        <f>YEAR(Master_ventas[[#This Row],[Order Date]])</f>
        <v>2024</v>
      </c>
      <c r="M2831" t="str">
        <f>CONCATENATE(LEFT(Master_ventas[[#This Row],[ProdUpper]],3),RIGHT(Master_ventas[[#This Row],[Ext-Year]],2),"-",MID(Master_ventas[[#This Row],[Category]],1,1))</f>
        <v>LAP24-E</v>
      </c>
      <c r="N2831" t="str">
        <f>MID(Master_ventas[[#This Row],[ProdUpper]],1,3)</f>
        <v>LAP</v>
      </c>
      <c r="O2831" t="str">
        <f>UPPER(IF(Master_ventas[[#This Row],[Profit]]&gt;500,"High","Std"))</f>
        <v>STD</v>
      </c>
      <c r="P2831">
        <v>2830</v>
      </c>
    </row>
    <row r="2832" spans="1:16" x14ac:dyDescent="0.3">
      <c r="A2832" s="1">
        <v>44986</v>
      </c>
      <c r="B2832" t="s">
        <v>18</v>
      </c>
      <c r="C2832" t="s">
        <v>11</v>
      </c>
      <c r="D2832" t="s">
        <v>15</v>
      </c>
      <c r="E2832">
        <v>3</v>
      </c>
      <c r="F2832" s="3">
        <v>1785</v>
      </c>
      <c r="G2832" s="2">
        <v>93.17</v>
      </c>
      <c r="H2832">
        <f>Master_ventas[[#This Row],[Profit]]/Master_ventas[[#This Row],[Sales]]</f>
        <v>5.2196078431372549E-2</v>
      </c>
      <c r="I2832">
        <f ca="1">Referencia_Hoy-Master_ventas[[#This Row],[Order Date]]</f>
        <v>1337</v>
      </c>
      <c r="J2832" t="str">
        <f>UPPER(Master_ventas[[#This Row],[Product Name]])</f>
        <v>HEADPHONES</v>
      </c>
      <c r="K2832" t="str">
        <f>UPPER(Master_ventas[[#This Row],[Category]])</f>
        <v>ACCESSORIES</v>
      </c>
      <c r="L2832">
        <f>YEAR(Master_ventas[[#This Row],[Order Date]])</f>
        <v>2023</v>
      </c>
      <c r="M2832" t="str">
        <f>CONCATENATE(LEFT(Master_ventas[[#This Row],[ProdUpper]],3),RIGHT(Master_ventas[[#This Row],[Ext-Year]],2),"-",MID(Master_ventas[[#This Row],[Category]],1,1))</f>
        <v>HEA23-A</v>
      </c>
      <c r="N2832" t="str">
        <f>MID(Master_ventas[[#This Row],[ProdUpper]],1,3)</f>
        <v>HEA</v>
      </c>
      <c r="O2832" t="str">
        <f>UPPER(IF(Master_ventas[[#This Row],[Profit]]&gt;500,"High","Std"))</f>
        <v>STD</v>
      </c>
      <c r="P2832">
        <v>2831</v>
      </c>
    </row>
    <row r="2833" spans="1:16" x14ac:dyDescent="0.3">
      <c r="A2833" s="1">
        <v>44716</v>
      </c>
      <c r="B2833" t="s">
        <v>20</v>
      </c>
      <c r="C2833" t="s">
        <v>11</v>
      </c>
      <c r="D2833" t="s">
        <v>9</v>
      </c>
      <c r="E2833">
        <v>8</v>
      </c>
      <c r="F2833" s="3">
        <v>7728</v>
      </c>
      <c r="G2833" s="2">
        <v>1748.26</v>
      </c>
      <c r="H2833">
        <f>Master_ventas[[#This Row],[Profit]]/Master_ventas[[#This Row],[Sales]]</f>
        <v>0.22622412008281573</v>
      </c>
      <c r="I2833">
        <f ca="1">Referencia_Hoy-Master_ventas[[#This Row],[Order Date]]</f>
        <v>1607</v>
      </c>
      <c r="J2833" t="str">
        <f>UPPER(Master_ventas[[#This Row],[Product Name]])</f>
        <v>MONITOR</v>
      </c>
      <c r="K2833" t="str">
        <f>UPPER(Master_ventas[[#This Row],[Category]])</f>
        <v>ACCESSORIES</v>
      </c>
      <c r="L2833">
        <f>YEAR(Master_ventas[[#This Row],[Order Date]])</f>
        <v>2022</v>
      </c>
      <c r="M2833" t="str">
        <f>CONCATENATE(LEFT(Master_ventas[[#This Row],[ProdUpper]],3),RIGHT(Master_ventas[[#This Row],[Ext-Year]],2),"-",MID(Master_ventas[[#This Row],[Category]],1,1))</f>
        <v>MON22-A</v>
      </c>
      <c r="N2833" t="str">
        <f>MID(Master_ventas[[#This Row],[ProdUpper]],1,3)</f>
        <v>MON</v>
      </c>
      <c r="O2833" t="str">
        <f>UPPER(IF(Master_ventas[[#This Row],[Profit]]&gt;500,"High","Std"))</f>
        <v>HIGH</v>
      </c>
      <c r="P2833">
        <v>2832</v>
      </c>
    </row>
    <row r="2834" spans="1:16" x14ac:dyDescent="0.3">
      <c r="A2834" s="1">
        <v>45073</v>
      </c>
      <c r="B2834" t="s">
        <v>21</v>
      </c>
      <c r="C2834" t="s">
        <v>14</v>
      </c>
      <c r="D2834" t="s">
        <v>16</v>
      </c>
      <c r="E2834">
        <v>6</v>
      </c>
      <c r="F2834" s="3">
        <v>4188</v>
      </c>
      <c r="G2834" s="2">
        <v>1231.1600000000001</v>
      </c>
      <c r="H2834">
        <f>Master_ventas[[#This Row],[Profit]]/Master_ventas[[#This Row],[Sales]]</f>
        <v>0.29397325692454634</v>
      </c>
      <c r="I2834">
        <f ca="1">Referencia_Hoy-Master_ventas[[#This Row],[Order Date]]</f>
        <v>1250</v>
      </c>
      <c r="J2834" t="str">
        <f>UPPER(Master_ventas[[#This Row],[Product Name]])</f>
        <v>SMARTPHONE</v>
      </c>
      <c r="K2834" t="str">
        <f>UPPER(Master_ventas[[#This Row],[Category]])</f>
        <v>ELECTRONICS</v>
      </c>
      <c r="L2834">
        <f>YEAR(Master_ventas[[#This Row],[Order Date]])</f>
        <v>2023</v>
      </c>
      <c r="M2834" t="str">
        <f>CONCATENATE(LEFT(Master_ventas[[#This Row],[ProdUpper]],3),RIGHT(Master_ventas[[#This Row],[Ext-Year]],2),"-",MID(Master_ventas[[#This Row],[Category]],1,1))</f>
        <v>SMA23-E</v>
      </c>
      <c r="N2834" t="str">
        <f>MID(Master_ventas[[#This Row],[ProdUpper]],1,3)</f>
        <v>SMA</v>
      </c>
      <c r="O2834" t="str">
        <f>UPPER(IF(Master_ventas[[#This Row],[Profit]]&gt;500,"High","Std"))</f>
        <v>HIGH</v>
      </c>
      <c r="P2834">
        <v>2833</v>
      </c>
    </row>
    <row r="2835" spans="1:16" x14ac:dyDescent="0.3">
      <c r="A2835" s="1">
        <v>44737</v>
      </c>
      <c r="B2835" t="s">
        <v>19</v>
      </c>
      <c r="C2835" t="s">
        <v>14</v>
      </c>
      <c r="D2835" t="s">
        <v>15</v>
      </c>
      <c r="E2835">
        <v>8</v>
      </c>
      <c r="F2835" s="3">
        <v>3520</v>
      </c>
      <c r="G2835" s="2">
        <v>359.84</v>
      </c>
      <c r="H2835">
        <f>Master_ventas[[#This Row],[Profit]]/Master_ventas[[#This Row],[Sales]]</f>
        <v>0.10222727272727272</v>
      </c>
      <c r="I2835">
        <f ca="1">Referencia_Hoy-Master_ventas[[#This Row],[Order Date]]</f>
        <v>1586</v>
      </c>
      <c r="J2835" t="str">
        <f>UPPER(Master_ventas[[#This Row],[Product Name]])</f>
        <v>SMARTWATCH</v>
      </c>
      <c r="K2835" t="str">
        <f>UPPER(Master_ventas[[#This Row],[Category]])</f>
        <v>ELECTRONICS</v>
      </c>
      <c r="L2835">
        <f>YEAR(Master_ventas[[#This Row],[Order Date]])</f>
        <v>2022</v>
      </c>
      <c r="M2835" t="str">
        <f>CONCATENATE(LEFT(Master_ventas[[#This Row],[ProdUpper]],3),RIGHT(Master_ventas[[#This Row],[Ext-Year]],2),"-",MID(Master_ventas[[#This Row],[Category]],1,1))</f>
        <v>SMA22-E</v>
      </c>
      <c r="N2835" t="str">
        <f>MID(Master_ventas[[#This Row],[ProdUpper]],1,3)</f>
        <v>SMA</v>
      </c>
      <c r="O2835" t="str">
        <f>UPPER(IF(Master_ventas[[#This Row],[Profit]]&gt;500,"High","Std"))</f>
        <v>STD</v>
      </c>
      <c r="P2835">
        <v>2834</v>
      </c>
    </row>
    <row r="2836" spans="1:16" x14ac:dyDescent="0.3">
      <c r="A2836" s="1">
        <v>45150</v>
      </c>
      <c r="B2836" t="s">
        <v>17</v>
      </c>
      <c r="C2836" t="s">
        <v>14</v>
      </c>
      <c r="D2836" t="s">
        <v>12</v>
      </c>
      <c r="E2836">
        <v>3</v>
      </c>
      <c r="F2836" s="3">
        <v>2280</v>
      </c>
      <c r="G2836" s="2">
        <v>365.17</v>
      </c>
      <c r="H2836">
        <f>Master_ventas[[#This Row],[Profit]]/Master_ventas[[#This Row],[Sales]]</f>
        <v>0.16016228070175439</v>
      </c>
      <c r="I2836">
        <f ca="1">Referencia_Hoy-Master_ventas[[#This Row],[Order Date]]</f>
        <v>1173</v>
      </c>
      <c r="J2836" t="str">
        <f>UPPER(Master_ventas[[#This Row],[Product Name]])</f>
        <v>CAMERA</v>
      </c>
      <c r="K2836" t="str">
        <f>UPPER(Master_ventas[[#This Row],[Category]])</f>
        <v>ELECTRONICS</v>
      </c>
      <c r="L2836">
        <f>YEAR(Master_ventas[[#This Row],[Order Date]])</f>
        <v>2023</v>
      </c>
      <c r="M2836" t="str">
        <f>CONCATENATE(LEFT(Master_ventas[[#This Row],[ProdUpper]],3),RIGHT(Master_ventas[[#This Row],[Ext-Year]],2),"-",MID(Master_ventas[[#This Row],[Category]],1,1))</f>
        <v>CAM23-E</v>
      </c>
      <c r="N2836" t="str">
        <f>MID(Master_ventas[[#This Row],[ProdUpper]],1,3)</f>
        <v>CAM</v>
      </c>
      <c r="O2836" t="str">
        <f>UPPER(IF(Master_ventas[[#This Row],[Profit]]&gt;500,"High","Std"))</f>
        <v>STD</v>
      </c>
      <c r="P2836">
        <v>2835</v>
      </c>
    </row>
    <row r="2837" spans="1:16" x14ac:dyDescent="0.3">
      <c r="A2837" s="1">
        <v>45482</v>
      </c>
      <c r="B2837" t="s">
        <v>7</v>
      </c>
      <c r="C2837" t="s">
        <v>8</v>
      </c>
      <c r="D2837" t="s">
        <v>9</v>
      </c>
      <c r="E2837">
        <v>9</v>
      </c>
      <c r="F2837" s="3">
        <v>2484</v>
      </c>
      <c r="G2837" s="2">
        <v>655.54</v>
      </c>
      <c r="H2837">
        <f>Master_ventas[[#This Row],[Profit]]/Master_ventas[[#This Row],[Sales]]</f>
        <v>0.26390499194847017</v>
      </c>
      <c r="I2837">
        <f ca="1">Referencia_Hoy-Master_ventas[[#This Row],[Order Date]]</f>
        <v>841</v>
      </c>
      <c r="J2837" t="str">
        <f>UPPER(Master_ventas[[#This Row],[Product Name]])</f>
        <v>PRINTER</v>
      </c>
      <c r="K2837" t="str">
        <f>UPPER(Master_ventas[[#This Row],[Category]])</f>
        <v>OFFICE</v>
      </c>
      <c r="L2837">
        <f>YEAR(Master_ventas[[#This Row],[Order Date]])</f>
        <v>2024</v>
      </c>
      <c r="M2837" t="str">
        <f>CONCATENATE(LEFT(Master_ventas[[#This Row],[ProdUpper]],3),RIGHT(Master_ventas[[#This Row],[Ext-Year]],2),"-",MID(Master_ventas[[#This Row],[Category]],1,1))</f>
        <v>PRI24-O</v>
      </c>
      <c r="N2837" t="str">
        <f>MID(Master_ventas[[#This Row],[ProdUpper]],1,3)</f>
        <v>PRI</v>
      </c>
      <c r="O2837" t="str">
        <f>UPPER(IF(Master_ventas[[#This Row],[Profit]]&gt;500,"High","Std"))</f>
        <v>HIGH</v>
      </c>
      <c r="P2837">
        <v>2836</v>
      </c>
    </row>
    <row r="2838" spans="1:16" x14ac:dyDescent="0.3">
      <c r="A2838" s="1">
        <v>45399</v>
      </c>
      <c r="B2838" t="s">
        <v>13</v>
      </c>
      <c r="C2838" t="s">
        <v>14</v>
      </c>
      <c r="D2838" t="s">
        <v>16</v>
      </c>
      <c r="E2838">
        <v>3</v>
      </c>
      <c r="F2838" s="3">
        <v>1248</v>
      </c>
      <c r="G2838" s="2">
        <v>348.19</v>
      </c>
      <c r="H2838">
        <f>Master_ventas[[#This Row],[Profit]]/Master_ventas[[#This Row],[Sales]]</f>
        <v>0.27899839743589744</v>
      </c>
      <c r="I2838">
        <f ca="1">Referencia_Hoy-Master_ventas[[#This Row],[Order Date]]</f>
        <v>924</v>
      </c>
      <c r="J2838" t="str">
        <f>UPPER(Master_ventas[[#This Row],[Product Name]])</f>
        <v>TABLET</v>
      </c>
      <c r="K2838" t="str">
        <f>UPPER(Master_ventas[[#This Row],[Category]])</f>
        <v>ELECTRONICS</v>
      </c>
      <c r="L2838">
        <f>YEAR(Master_ventas[[#This Row],[Order Date]])</f>
        <v>2024</v>
      </c>
      <c r="M2838" t="str">
        <f>CONCATENATE(LEFT(Master_ventas[[#This Row],[ProdUpper]],3),RIGHT(Master_ventas[[#This Row],[Ext-Year]],2),"-",MID(Master_ventas[[#This Row],[Category]],1,1))</f>
        <v>TAB24-E</v>
      </c>
      <c r="N2838" t="str">
        <f>MID(Master_ventas[[#This Row],[ProdUpper]],1,3)</f>
        <v>TAB</v>
      </c>
      <c r="O2838" t="str">
        <f>UPPER(IF(Master_ventas[[#This Row],[Profit]]&gt;500,"High","Std"))</f>
        <v>STD</v>
      </c>
      <c r="P2838">
        <v>2837</v>
      </c>
    </row>
    <row r="2839" spans="1:16" x14ac:dyDescent="0.3">
      <c r="A2839" s="1">
        <v>45272</v>
      </c>
      <c r="B2839" t="s">
        <v>19</v>
      </c>
      <c r="C2839" t="s">
        <v>14</v>
      </c>
      <c r="D2839" t="s">
        <v>16</v>
      </c>
      <c r="E2839">
        <v>2</v>
      </c>
      <c r="F2839" s="3">
        <v>850</v>
      </c>
      <c r="G2839" s="2">
        <v>59.92</v>
      </c>
      <c r="H2839">
        <f>Master_ventas[[#This Row],[Profit]]/Master_ventas[[#This Row],[Sales]]</f>
        <v>7.0494117647058832E-2</v>
      </c>
      <c r="I2839">
        <f ca="1">Referencia_Hoy-Master_ventas[[#This Row],[Order Date]]</f>
        <v>1051</v>
      </c>
      <c r="J2839" t="str">
        <f>UPPER(Master_ventas[[#This Row],[Product Name]])</f>
        <v>SMARTWATCH</v>
      </c>
      <c r="K2839" t="str">
        <f>UPPER(Master_ventas[[#This Row],[Category]])</f>
        <v>ELECTRONICS</v>
      </c>
      <c r="L2839">
        <f>YEAR(Master_ventas[[#This Row],[Order Date]])</f>
        <v>2023</v>
      </c>
      <c r="M2839" t="str">
        <f>CONCATENATE(LEFT(Master_ventas[[#This Row],[ProdUpper]],3),RIGHT(Master_ventas[[#This Row],[Ext-Year]],2),"-",MID(Master_ventas[[#This Row],[Category]],1,1))</f>
        <v>SMA23-E</v>
      </c>
      <c r="N2839" t="str">
        <f>MID(Master_ventas[[#This Row],[ProdUpper]],1,3)</f>
        <v>SMA</v>
      </c>
      <c r="O2839" t="str">
        <f>UPPER(IF(Master_ventas[[#This Row],[Profit]]&gt;500,"High","Std"))</f>
        <v>STD</v>
      </c>
      <c r="P2839">
        <v>2838</v>
      </c>
    </row>
    <row r="2840" spans="1:16" x14ac:dyDescent="0.3">
      <c r="A2840" s="1">
        <v>44568</v>
      </c>
      <c r="B2840" t="s">
        <v>7</v>
      </c>
      <c r="C2840" t="s">
        <v>8</v>
      </c>
      <c r="D2840" t="s">
        <v>12</v>
      </c>
      <c r="E2840">
        <v>4</v>
      </c>
      <c r="F2840" s="3">
        <v>1412</v>
      </c>
      <c r="G2840" s="2">
        <v>150.13</v>
      </c>
      <c r="H2840">
        <f>Master_ventas[[#This Row],[Profit]]/Master_ventas[[#This Row],[Sales]]</f>
        <v>0.10632436260623229</v>
      </c>
      <c r="I2840">
        <f ca="1">Referencia_Hoy-Master_ventas[[#This Row],[Order Date]]</f>
        <v>1755</v>
      </c>
      <c r="J2840" t="str">
        <f>UPPER(Master_ventas[[#This Row],[Product Name]])</f>
        <v>PRINTER</v>
      </c>
      <c r="K2840" t="str">
        <f>UPPER(Master_ventas[[#This Row],[Category]])</f>
        <v>OFFICE</v>
      </c>
      <c r="L2840">
        <f>YEAR(Master_ventas[[#This Row],[Order Date]])</f>
        <v>2022</v>
      </c>
      <c r="M2840" t="str">
        <f>CONCATENATE(LEFT(Master_ventas[[#This Row],[ProdUpper]],3),RIGHT(Master_ventas[[#This Row],[Ext-Year]],2),"-",MID(Master_ventas[[#This Row],[Category]],1,1))</f>
        <v>PRI22-O</v>
      </c>
      <c r="N2840" t="str">
        <f>MID(Master_ventas[[#This Row],[ProdUpper]],1,3)</f>
        <v>PRI</v>
      </c>
      <c r="O2840" t="str">
        <f>UPPER(IF(Master_ventas[[#This Row],[Profit]]&gt;500,"High","Std"))</f>
        <v>STD</v>
      </c>
      <c r="P2840">
        <v>2839</v>
      </c>
    </row>
    <row r="2841" spans="1:16" x14ac:dyDescent="0.3">
      <c r="A2841" s="1">
        <v>44711</v>
      </c>
      <c r="B2841" t="s">
        <v>18</v>
      </c>
      <c r="C2841" t="s">
        <v>11</v>
      </c>
      <c r="D2841" t="s">
        <v>9</v>
      </c>
      <c r="E2841">
        <v>1</v>
      </c>
      <c r="F2841" s="3">
        <v>465</v>
      </c>
      <c r="G2841" s="2">
        <v>26.5</v>
      </c>
      <c r="H2841">
        <f>Master_ventas[[#This Row],[Profit]]/Master_ventas[[#This Row],[Sales]]</f>
        <v>5.6989247311827959E-2</v>
      </c>
      <c r="I2841">
        <f ca="1">Referencia_Hoy-Master_ventas[[#This Row],[Order Date]]</f>
        <v>1612</v>
      </c>
      <c r="J2841" t="str">
        <f>UPPER(Master_ventas[[#This Row],[Product Name]])</f>
        <v>HEADPHONES</v>
      </c>
      <c r="K2841" t="str">
        <f>UPPER(Master_ventas[[#This Row],[Category]])</f>
        <v>ACCESSORIES</v>
      </c>
      <c r="L2841">
        <f>YEAR(Master_ventas[[#This Row],[Order Date]])</f>
        <v>2022</v>
      </c>
      <c r="M2841" t="str">
        <f>CONCATENATE(LEFT(Master_ventas[[#This Row],[ProdUpper]],3),RIGHT(Master_ventas[[#This Row],[Ext-Year]],2),"-",MID(Master_ventas[[#This Row],[Category]],1,1))</f>
        <v>HEA22-A</v>
      </c>
      <c r="N2841" t="str">
        <f>MID(Master_ventas[[#This Row],[ProdUpper]],1,3)</f>
        <v>HEA</v>
      </c>
      <c r="O2841" t="str">
        <f>UPPER(IF(Master_ventas[[#This Row],[Profit]]&gt;500,"High","Std"))</f>
        <v>STD</v>
      </c>
      <c r="P2841">
        <v>2840</v>
      </c>
    </row>
    <row r="2842" spans="1:16" x14ac:dyDescent="0.3">
      <c r="A2842" s="1">
        <v>45440</v>
      </c>
      <c r="B2842" t="s">
        <v>7</v>
      </c>
      <c r="C2842" t="s">
        <v>8</v>
      </c>
      <c r="D2842" t="s">
        <v>16</v>
      </c>
      <c r="E2842">
        <v>1</v>
      </c>
      <c r="F2842" s="3">
        <v>293</v>
      </c>
      <c r="G2842" s="2">
        <v>29.58</v>
      </c>
      <c r="H2842">
        <f>Master_ventas[[#This Row],[Profit]]/Master_ventas[[#This Row],[Sales]]</f>
        <v>0.1009556313993174</v>
      </c>
      <c r="I2842">
        <f ca="1">Referencia_Hoy-Master_ventas[[#This Row],[Order Date]]</f>
        <v>883</v>
      </c>
      <c r="J2842" t="str">
        <f>UPPER(Master_ventas[[#This Row],[Product Name]])</f>
        <v>PRINTER</v>
      </c>
      <c r="K2842" t="str">
        <f>UPPER(Master_ventas[[#This Row],[Category]])</f>
        <v>OFFICE</v>
      </c>
      <c r="L2842">
        <f>YEAR(Master_ventas[[#This Row],[Order Date]])</f>
        <v>2024</v>
      </c>
      <c r="M2842" t="str">
        <f>CONCATENATE(LEFT(Master_ventas[[#This Row],[ProdUpper]],3),RIGHT(Master_ventas[[#This Row],[Ext-Year]],2),"-",MID(Master_ventas[[#This Row],[Category]],1,1))</f>
        <v>PRI24-O</v>
      </c>
      <c r="N2842" t="str">
        <f>MID(Master_ventas[[#This Row],[ProdUpper]],1,3)</f>
        <v>PRI</v>
      </c>
      <c r="O2842" t="str">
        <f>UPPER(IF(Master_ventas[[#This Row],[Profit]]&gt;500,"High","Std"))</f>
        <v>STD</v>
      </c>
      <c r="P2842">
        <v>2841</v>
      </c>
    </row>
    <row r="2843" spans="1:16" x14ac:dyDescent="0.3">
      <c r="A2843" s="1">
        <v>44562</v>
      </c>
      <c r="B2843" t="s">
        <v>13</v>
      </c>
      <c r="C2843" t="s">
        <v>14</v>
      </c>
      <c r="D2843" t="s">
        <v>9</v>
      </c>
      <c r="E2843">
        <v>9</v>
      </c>
      <c r="F2843" s="3">
        <v>9234</v>
      </c>
      <c r="G2843" s="2">
        <v>2523.67</v>
      </c>
      <c r="H2843">
        <f>Master_ventas[[#This Row],[Profit]]/Master_ventas[[#This Row],[Sales]]</f>
        <v>0.2733019276586528</v>
      </c>
      <c r="I2843">
        <f ca="1">Referencia_Hoy-Master_ventas[[#This Row],[Order Date]]</f>
        <v>1761</v>
      </c>
      <c r="J2843" t="str">
        <f>UPPER(Master_ventas[[#This Row],[Product Name]])</f>
        <v>TABLET</v>
      </c>
      <c r="K2843" t="str">
        <f>UPPER(Master_ventas[[#This Row],[Category]])</f>
        <v>ELECTRONICS</v>
      </c>
      <c r="L2843">
        <f>YEAR(Master_ventas[[#This Row],[Order Date]])</f>
        <v>2022</v>
      </c>
      <c r="M2843" t="str">
        <f>CONCATENATE(LEFT(Master_ventas[[#This Row],[ProdUpper]],3),RIGHT(Master_ventas[[#This Row],[Ext-Year]],2),"-",MID(Master_ventas[[#This Row],[Category]],1,1))</f>
        <v>TAB22-E</v>
      </c>
      <c r="N2843" t="str">
        <f>MID(Master_ventas[[#This Row],[ProdUpper]],1,3)</f>
        <v>TAB</v>
      </c>
      <c r="O2843" t="str">
        <f>UPPER(IF(Master_ventas[[#This Row],[Profit]]&gt;500,"High","Std"))</f>
        <v>HIGH</v>
      </c>
      <c r="P2843">
        <v>2842</v>
      </c>
    </row>
    <row r="2844" spans="1:16" x14ac:dyDescent="0.3">
      <c r="A2844" s="1">
        <v>44896</v>
      </c>
      <c r="B2844" t="s">
        <v>13</v>
      </c>
      <c r="C2844" t="s">
        <v>14</v>
      </c>
      <c r="D2844" t="s">
        <v>9</v>
      </c>
      <c r="E2844">
        <v>2</v>
      </c>
      <c r="F2844" s="3">
        <v>1298</v>
      </c>
      <c r="G2844" s="2">
        <v>239.45</v>
      </c>
      <c r="H2844">
        <f>Master_ventas[[#This Row],[Profit]]/Master_ventas[[#This Row],[Sales]]</f>
        <v>0.18447611710323575</v>
      </c>
      <c r="I2844">
        <f ca="1">Referencia_Hoy-Master_ventas[[#This Row],[Order Date]]</f>
        <v>1427</v>
      </c>
      <c r="J2844" t="str">
        <f>UPPER(Master_ventas[[#This Row],[Product Name]])</f>
        <v>TABLET</v>
      </c>
      <c r="K2844" t="str">
        <f>UPPER(Master_ventas[[#This Row],[Category]])</f>
        <v>ELECTRONICS</v>
      </c>
      <c r="L2844">
        <f>YEAR(Master_ventas[[#This Row],[Order Date]])</f>
        <v>2022</v>
      </c>
      <c r="M2844" t="str">
        <f>CONCATENATE(LEFT(Master_ventas[[#This Row],[ProdUpper]],3),RIGHT(Master_ventas[[#This Row],[Ext-Year]],2),"-",MID(Master_ventas[[#This Row],[Category]],1,1))</f>
        <v>TAB22-E</v>
      </c>
      <c r="N2844" t="str">
        <f>MID(Master_ventas[[#This Row],[ProdUpper]],1,3)</f>
        <v>TAB</v>
      </c>
      <c r="O2844" t="str">
        <f>UPPER(IF(Master_ventas[[#This Row],[Profit]]&gt;500,"High","Std"))</f>
        <v>STD</v>
      </c>
      <c r="P2844">
        <v>2843</v>
      </c>
    </row>
    <row r="2845" spans="1:16" x14ac:dyDescent="0.3">
      <c r="A2845" s="1">
        <v>45511</v>
      </c>
      <c r="B2845" t="s">
        <v>7</v>
      </c>
      <c r="C2845" t="s">
        <v>8</v>
      </c>
      <c r="D2845" t="s">
        <v>12</v>
      </c>
      <c r="E2845">
        <v>9</v>
      </c>
      <c r="F2845" s="3">
        <v>9477</v>
      </c>
      <c r="G2845" s="2">
        <v>2443.62</v>
      </c>
      <c r="H2845">
        <f>Master_ventas[[#This Row],[Profit]]/Master_ventas[[#This Row],[Sales]]</f>
        <v>0.25784742006964229</v>
      </c>
      <c r="I2845">
        <f ca="1">Referencia_Hoy-Master_ventas[[#This Row],[Order Date]]</f>
        <v>812</v>
      </c>
      <c r="J2845" t="str">
        <f>UPPER(Master_ventas[[#This Row],[Product Name]])</f>
        <v>PRINTER</v>
      </c>
      <c r="K2845" t="str">
        <f>UPPER(Master_ventas[[#This Row],[Category]])</f>
        <v>OFFICE</v>
      </c>
      <c r="L2845">
        <f>YEAR(Master_ventas[[#This Row],[Order Date]])</f>
        <v>2024</v>
      </c>
      <c r="M2845" t="str">
        <f>CONCATENATE(LEFT(Master_ventas[[#This Row],[ProdUpper]],3),RIGHT(Master_ventas[[#This Row],[Ext-Year]],2),"-",MID(Master_ventas[[#This Row],[Category]],1,1))</f>
        <v>PRI24-O</v>
      </c>
      <c r="N2845" t="str">
        <f>MID(Master_ventas[[#This Row],[ProdUpper]],1,3)</f>
        <v>PRI</v>
      </c>
      <c r="O2845" t="str">
        <f>UPPER(IF(Master_ventas[[#This Row],[Profit]]&gt;500,"High","Std"))</f>
        <v>HIGH</v>
      </c>
      <c r="P2845">
        <v>2844</v>
      </c>
    </row>
    <row r="2846" spans="1:16" x14ac:dyDescent="0.3">
      <c r="A2846" s="1">
        <v>45441</v>
      </c>
      <c r="B2846" t="s">
        <v>7</v>
      </c>
      <c r="C2846" t="s">
        <v>8</v>
      </c>
      <c r="D2846" t="s">
        <v>15</v>
      </c>
      <c r="E2846">
        <v>7</v>
      </c>
      <c r="F2846" s="3">
        <v>6713</v>
      </c>
      <c r="G2846" s="2">
        <v>457.99</v>
      </c>
      <c r="H2846">
        <f>Master_ventas[[#This Row],[Profit]]/Master_ventas[[#This Row],[Sales]]</f>
        <v>6.8224340831223002E-2</v>
      </c>
      <c r="I2846">
        <f ca="1">Referencia_Hoy-Master_ventas[[#This Row],[Order Date]]</f>
        <v>882</v>
      </c>
      <c r="J2846" t="str">
        <f>UPPER(Master_ventas[[#This Row],[Product Name]])</f>
        <v>PRINTER</v>
      </c>
      <c r="K2846" t="str">
        <f>UPPER(Master_ventas[[#This Row],[Category]])</f>
        <v>OFFICE</v>
      </c>
      <c r="L2846">
        <f>YEAR(Master_ventas[[#This Row],[Order Date]])</f>
        <v>2024</v>
      </c>
      <c r="M2846" t="str">
        <f>CONCATENATE(LEFT(Master_ventas[[#This Row],[ProdUpper]],3),RIGHT(Master_ventas[[#This Row],[Ext-Year]],2),"-",MID(Master_ventas[[#This Row],[Category]],1,1))</f>
        <v>PRI24-O</v>
      </c>
      <c r="N2846" t="str">
        <f>MID(Master_ventas[[#This Row],[ProdUpper]],1,3)</f>
        <v>PRI</v>
      </c>
      <c r="O2846" t="str">
        <f>UPPER(IF(Master_ventas[[#This Row],[Profit]]&gt;500,"High","Std"))</f>
        <v>STD</v>
      </c>
      <c r="P2846">
        <v>2845</v>
      </c>
    </row>
    <row r="2847" spans="1:16" x14ac:dyDescent="0.3">
      <c r="A2847" s="1">
        <v>44676</v>
      </c>
      <c r="B2847" t="s">
        <v>23</v>
      </c>
      <c r="C2847" t="s">
        <v>14</v>
      </c>
      <c r="D2847" t="s">
        <v>15</v>
      </c>
      <c r="E2847">
        <v>5</v>
      </c>
      <c r="F2847" s="3">
        <v>5700</v>
      </c>
      <c r="G2847" s="2">
        <v>999.26</v>
      </c>
      <c r="H2847">
        <f>Master_ventas[[#This Row],[Profit]]/Master_ventas[[#This Row],[Sales]]</f>
        <v>0.17530877192982455</v>
      </c>
      <c r="I2847">
        <f ca="1">Referencia_Hoy-Master_ventas[[#This Row],[Order Date]]</f>
        <v>1647</v>
      </c>
      <c r="J2847" t="str">
        <f>UPPER(Master_ventas[[#This Row],[Product Name]])</f>
        <v>LAPTOP</v>
      </c>
      <c r="K2847" t="str">
        <f>UPPER(Master_ventas[[#This Row],[Category]])</f>
        <v>ELECTRONICS</v>
      </c>
      <c r="L2847">
        <f>YEAR(Master_ventas[[#This Row],[Order Date]])</f>
        <v>2022</v>
      </c>
      <c r="M2847" t="str">
        <f>CONCATENATE(LEFT(Master_ventas[[#This Row],[ProdUpper]],3),RIGHT(Master_ventas[[#This Row],[Ext-Year]],2),"-",MID(Master_ventas[[#This Row],[Category]],1,1))</f>
        <v>LAP22-E</v>
      </c>
      <c r="N2847" t="str">
        <f>MID(Master_ventas[[#This Row],[ProdUpper]],1,3)</f>
        <v>LAP</v>
      </c>
      <c r="O2847" t="str">
        <f>UPPER(IF(Master_ventas[[#This Row],[Profit]]&gt;500,"High","Std"))</f>
        <v>HIGH</v>
      </c>
      <c r="P2847">
        <v>2846</v>
      </c>
    </row>
    <row r="2848" spans="1:16" x14ac:dyDescent="0.3">
      <c r="A2848" s="1">
        <v>45502</v>
      </c>
      <c r="B2848" t="s">
        <v>17</v>
      </c>
      <c r="C2848" t="s">
        <v>14</v>
      </c>
      <c r="D2848" t="s">
        <v>16</v>
      </c>
      <c r="E2848">
        <v>6</v>
      </c>
      <c r="F2848" s="3">
        <v>4146</v>
      </c>
      <c r="G2848" s="2">
        <v>700.46</v>
      </c>
      <c r="H2848">
        <f>Master_ventas[[#This Row],[Profit]]/Master_ventas[[#This Row],[Sales]]</f>
        <v>0.16894838398456344</v>
      </c>
      <c r="I2848">
        <f ca="1">Referencia_Hoy-Master_ventas[[#This Row],[Order Date]]</f>
        <v>821</v>
      </c>
      <c r="J2848" t="str">
        <f>UPPER(Master_ventas[[#This Row],[Product Name]])</f>
        <v>CAMERA</v>
      </c>
      <c r="K2848" t="str">
        <f>UPPER(Master_ventas[[#This Row],[Category]])</f>
        <v>ELECTRONICS</v>
      </c>
      <c r="L2848">
        <f>YEAR(Master_ventas[[#This Row],[Order Date]])</f>
        <v>2024</v>
      </c>
      <c r="M2848" t="str">
        <f>CONCATENATE(LEFT(Master_ventas[[#This Row],[ProdUpper]],3),RIGHT(Master_ventas[[#This Row],[Ext-Year]],2),"-",MID(Master_ventas[[#This Row],[Category]],1,1))</f>
        <v>CAM24-E</v>
      </c>
      <c r="N2848" t="str">
        <f>MID(Master_ventas[[#This Row],[ProdUpper]],1,3)</f>
        <v>CAM</v>
      </c>
      <c r="O2848" t="str">
        <f>UPPER(IF(Master_ventas[[#This Row],[Profit]]&gt;500,"High","Std"))</f>
        <v>HIGH</v>
      </c>
      <c r="P2848">
        <v>2847</v>
      </c>
    </row>
    <row r="2849" spans="1:16" x14ac:dyDescent="0.3">
      <c r="A2849" s="1">
        <v>45210</v>
      </c>
      <c r="B2849" t="s">
        <v>13</v>
      </c>
      <c r="C2849" t="s">
        <v>14</v>
      </c>
      <c r="D2849" t="s">
        <v>9</v>
      </c>
      <c r="E2849">
        <v>8</v>
      </c>
      <c r="F2849" s="3">
        <v>6968</v>
      </c>
      <c r="G2849" s="2">
        <v>704.55</v>
      </c>
      <c r="H2849">
        <f>Master_ventas[[#This Row],[Profit]]/Master_ventas[[#This Row],[Sales]]</f>
        <v>0.10111222732491389</v>
      </c>
      <c r="I2849">
        <f ca="1">Referencia_Hoy-Master_ventas[[#This Row],[Order Date]]</f>
        <v>1113</v>
      </c>
      <c r="J2849" t="str">
        <f>UPPER(Master_ventas[[#This Row],[Product Name]])</f>
        <v>TABLET</v>
      </c>
      <c r="K2849" t="str">
        <f>UPPER(Master_ventas[[#This Row],[Category]])</f>
        <v>ELECTRONICS</v>
      </c>
      <c r="L2849">
        <f>YEAR(Master_ventas[[#This Row],[Order Date]])</f>
        <v>2023</v>
      </c>
      <c r="M2849" t="str">
        <f>CONCATENATE(LEFT(Master_ventas[[#This Row],[ProdUpper]],3),RIGHT(Master_ventas[[#This Row],[Ext-Year]],2),"-",MID(Master_ventas[[#This Row],[Category]],1,1))</f>
        <v>TAB23-E</v>
      </c>
      <c r="N2849" t="str">
        <f>MID(Master_ventas[[#This Row],[ProdUpper]],1,3)</f>
        <v>TAB</v>
      </c>
      <c r="O2849" t="str">
        <f>UPPER(IF(Master_ventas[[#This Row],[Profit]]&gt;500,"High","Std"))</f>
        <v>HIGH</v>
      </c>
      <c r="P2849">
        <v>2848</v>
      </c>
    </row>
    <row r="2850" spans="1:16" x14ac:dyDescent="0.3">
      <c r="A2850" s="1">
        <v>45544</v>
      </c>
      <c r="B2850" t="s">
        <v>17</v>
      </c>
      <c r="C2850" t="s">
        <v>14</v>
      </c>
      <c r="D2850" t="s">
        <v>12</v>
      </c>
      <c r="E2850">
        <v>2</v>
      </c>
      <c r="F2850" s="3">
        <v>1054</v>
      </c>
      <c r="G2850" s="2">
        <v>243.5</v>
      </c>
      <c r="H2850">
        <f>Master_ventas[[#This Row],[Profit]]/Master_ventas[[#This Row],[Sales]]</f>
        <v>0.2310246679316888</v>
      </c>
      <c r="I2850">
        <f ca="1">Referencia_Hoy-Master_ventas[[#This Row],[Order Date]]</f>
        <v>779</v>
      </c>
      <c r="J2850" t="str">
        <f>UPPER(Master_ventas[[#This Row],[Product Name]])</f>
        <v>CAMERA</v>
      </c>
      <c r="K2850" t="str">
        <f>UPPER(Master_ventas[[#This Row],[Category]])</f>
        <v>ELECTRONICS</v>
      </c>
      <c r="L2850">
        <f>YEAR(Master_ventas[[#This Row],[Order Date]])</f>
        <v>2024</v>
      </c>
      <c r="M2850" t="str">
        <f>CONCATENATE(LEFT(Master_ventas[[#This Row],[ProdUpper]],3),RIGHT(Master_ventas[[#This Row],[Ext-Year]],2),"-",MID(Master_ventas[[#This Row],[Category]],1,1))</f>
        <v>CAM24-E</v>
      </c>
      <c r="N2850" t="str">
        <f>MID(Master_ventas[[#This Row],[ProdUpper]],1,3)</f>
        <v>CAM</v>
      </c>
      <c r="O2850" t="str">
        <f>UPPER(IF(Master_ventas[[#This Row],[Profit]]&gt;500,"High","Std"))</f>
        <v>STD</v>
      </c>
      <c r="P2850">
        <v>2849</v>
      </c>
    </row>
    <row r="2851" spans="1:16" x14ac:dyDescent="0.3">
      <c r="A2851" s="1">
        <v>44635</v>
      </c>
      <c r="B2851" t="s">
        <v>22</v>
      </c>
      <c r="C2851" t="s">
        <v>11</v>
      </c>
      <c r="D2851" t="s">
        <v>16</v>
      </c>
      <c r="E2851">
        <v>3</v>
      </c>
      <c r="F2851" s="3">
        <v>1983</v>
      </c>
      <c r="G2851" s="2">
        <v>453.09</v>
      </c>
      <c r="H2851">
        <f>Master_ventas[[#This Row],[Profit]]/Master_ventas[[#This Row],[Sales]]</f>
        <v>0.22848714069591528</v>
      </c>
      <c r="I2851">
        <f ca="1">Referencia_Hoy-Master_ventas[[#This Row],[Order Date]]</f>
        <v>1688</v>
      </c>
      <c r="J2851" t="str">
        <f>UPPER(Master_ventas[[#This Row],[Product Name]])</f>
        <v>KEYBOARD</v>
      </c>
      <c r="K2851" t="str">
        <f>UPPER(Master_ventas[[#This Row],[Category]])</f>
        <v>ACCESSORIES</v>
      </c>
      <c r="L2851">
        <f>YEAR(Master_ventas[[#This Row],[Order Date]])</f>
        <v>2022</v>
      </c>
      <c r="M2851" t="str">
        <f>CONCATENATE(LEFT(Master_ventas[[#This Row],[ProdUpper]],3),RIGHT(Master_ventas[[#This Row],[Ext-Year]],2),"-",MID(Master_ventas[[#This Row],[Category]],1,1))</f>
        <v>KEY22-A</v>
      </c>
      <c r="N2851" t="str">
        <f>MID(Master_ventas[[#This Row],[ProdUpper]],1,3)</f>
        <v>KEY</v>
      </c>
      <c r="O2851" t="str">
        <f>UPPER(IF(Master_ventas[[#This Row],[Profit]]&gt;500,"High","Std"))</f>
        <v>STD</v>
      </c>
      <c r="P2851">
        <v>2850</v>
      </c>
    </row>
    <row r="2852" spans="1:16" x14ac:dyDescent="0.3">
      <c r="A2852" s="1">
        <v>45225</v>
      </c>
      <c r="B2852" t="s">
        <v>22</v>
      </c>
      <c r="C2852" t="s">
        <v>11</v>
      </c>
      <c r="D2852" t="s">
        <v>15</v>
      </c>
      <c r="E2852">
        <v>5</v>
      </c>
      <c r="F2852" s="3">
        <v>875</v>
      </c>
      <c r="G2852" s="2">
        <v>70.72</v>
      </c>
      <c r="H2852">
        <f>Master_ventas[[#This Row],[Profit]]/Master_ventas[[#This Row],[Sales]]</f>
        <v>8.0822857142857141E-2</v>
      </c>
      <c r="I2852">
        <f ca="1">Referencia_Hoy-Master_ventas[[#This Row],[Order Date]]</f>
        <v>1098</v>
      </c>
      <c r="J2852" t="str">
        <f>UPPER(Master_ventas[[#This Row],[Product Name]])</f>
        <v>KEYBOARD</v>
      </c>
      <c r="K2852" t="str">
        <f>UPPER(Master_ventas[[#This Row],[Category]])</f>
        <v>ACCESSORIES</v>
      </c>
      <c r="L2852">
        <f>YEAR(Master_ventas[[#This Row],[Order Date]])</f>
        <v>2023</v>
      </c>
      <c r="M2852" t="str">
        <f>CONCATENATE(LEFT(Master_ventas[[#This Row],[ProdUpper]],3),RIGHT(Master_ventas[[#This Row],[Ext-Year]],2),"-",MID(Master_ventas[[#This Row],[Category]],1,1))</f>
        <v>KEY23-A</v>
      </c>
      <c r="N2852" t="str">
        <f>MID(Master_ventas[[#This Row],[ProdUpper]],1,3)</f>
        <v>KEY</v>
      </c>
      <c r="O2852" t="str">
        <f>UPPER(IF(Master_ventas[[#This Row],[Profit]]&gt;500,"High","Std"))</f>
        <v>STD</v>
      </c>
      <c r="P2852">
        <v>2851</v>
      </c>
    </row>
    <row r="2853" spans="1:16" x14ac:dyDescent="0.3">
      <c r="A2853" s="1">
        <v>45194</v>
      </c>
      <c r="B2853" t="s">
        <v>7</v>
      </c>
      <c r="C2853" t="s">
        <v>8</v>
      </c>
      <c r="D2853" t="s">
        <v>9</v>
      </c>
      <c r="E2853">
        <v>2</v>
      </c>
      <c r="F2853" s="3">
        <v>268</v>
      </c>
      <c r="G2853" s="2">
        <v>63.01</v>
      </c>
      <c r="H2853">
        <f>Master_ventas[[#This Row],[Profit]]/Master_ventas[[#This Row],[Sales]]</f>
        <v>0.23511194029850746</v>
      </c>
      <c r="I2853">
        <f ca="1">Referencia_Hoy-Master_ventas[[#This Row],[Order Date]]</f>
        <v>1129</v>
      </c>
      <c r="J2853" t="str">
        <f>UPPER(Master_ventas[[#This Row],[Product Name]])</f>
        <v>PRINTER</v>
      </c>
      <c r="K2853" t="str">
        <f>UPPER(Master_ventas[[#This Row],[Category]])</f>
        <v>OFFICE</v>
      </c>
      <c r="L2853">
        <f>YEAR(Master_ventas[[#This Row],[Order Date]])</f>
        <v>2023</v>
      </c>
      <c r="M2853" t="str">
        <f>CONCATENATE(LEFT(Master_ventas[[#This Row],[ProdUpper]],3),RIGHT(Master_ventas[[#This Row],[Ext-Year]],2),"-",MID(Master_ventas[[#This Row],[Category]],1,1))</f>
        <v>PRI23-O</v>
      </c>
      <c r="N2853" t="str">
        <f>MID(Master_ventas[[#This Row],[ProdUpper]],1,3)</f>
        <v>PRI</v>
      </c>
      <c r="O2853" t="str">
        <f>UPPER(IF(Master_ventas[[#This Row],[Profit]]&gt;500,"High","Std"))</f>
        <v>STD</v>
      </c>
      <c r="P2853">
        <v>2852</v>
      </c>
    </row>
    <row r="2854" spans="1:16" x14ac:dyDescent="0.3">
      <c r="A2854" s="1">
        <v>45490</v>
      </c>
      <c r="B2854" t="s">
        <v>18</v>
      </c>
      <c r="C2854" t="s">
        <v>11</v>
      </c>
      <c r="D2854" t="s">
        <v>16</v>
      </c>
      <c r="E2854">
        <v>6</v>
      </c>
      <c r="F2854" s="3">
        <v>5370</v>
      </c>
      <c r="G2854" s="2">
        <v>1045.0999999999999</v>
      </c>
      <c r="H2854">
        <f>Master_ventas[[#This Row],[Profit]]/Master_ventas[[#This Row],[Sales]]</f>
        <v>0.19461824953445064</v>
      </c>
      <c r="I2854">
        <f ca="1">Referencia_Hoy-Master_ventas[[#This Row],[Order Date]]</f>
        <v>833</v>
      </c>
      <c r="J2854" t="str">
        <f>UPPER(Master_ventas[[#This Row],[Product Name]])</f>
        <v>HEADPHONES</v>
      </c>
      <c r="K2854" t="str">
        <f>UPPER(Master_ventas[[#This Row],[Category]])</f>
        <v>ACCESSORIES</v>
      </c>
      <c r="L2854">
        <f>YEAR(Master_ventas[[#This Row],[Order Date]])</f>
        <v>2024</v>
      </c>
      <c r="M2854" t="str">
        <f>CONCATENATE(LEFT(Master_ventas[[#This Row],[ProdUpper]],3),RIGHT(Master_ventas[[#This Row],[Ext-Year]],2),"-",MID(Master_ventas[[#This Row],[Category]],1,1))</f>
        <v>HEA24-A</v>
      </c>
      <c r="N2854" t="str">
        <f>MID(Master_ventas[[#This Row],[ProdUpper]],1,3)</f>
        <v>HEA</v>
      </c>
      <c r="O2854" t="str">
        <f>UPPER(IF(Master_ventas[[#This Row],[Profit]]&gt;500,"High","Std"))</f>
        <v>HIGH</v>
      </c>
      <c r="P2854">
        <v>2853</v>
      </c>
    </row>
    <row r="2855" spans="1:16" x14ac:dyDescent="0.3">
      <c r="A2855" s="1">
        <v>45301</v>
      </c>
      <c r="B2855" t="s">
        <v>20</v>
      </c>
      <c r="C2855" t="s">
        <v>11</v>
      </c>
      <c r="D2855" t="s">
        <v>16</v>
      </c>
      <c r="E2855">
        <v>8</v>
      </c>
      <c r="F2855" s="3">
        <v>3624</v>
      </c>
      <c r="G2855" s="2">
        <v>1071.43</v>
      </c>
      <c r="H2855">
        <f>Master_ventas[[#This Row],[Profit]]/Master_ventas[[#This Row],[Sales]]</f>
        <v>0.29564845474613688</v>
      </c>
      <c r="I2855">
        <f ca="1">Referencia_Hoy-Master_ventas[[#This Row],[Order Date]]</f>
        <v>1022</v>
      </c>
      <c r="J2855" t="str">
        <f>UPPER(Master_ventas[[#This Row],[Product Name]])</f>
        <v>MONITOR</v>
      </c>
      <c r="K2855" t="str">
        <f>UPPER(Master_ventas[[#This Row],[Category]])</f>
        <v>ACCESSORIES</v>
      </c>
      <c r="L2855">
        <f>YEAR(Master_ventas[[#This Row],[Order Date]])</f>
        <v>2024</v>
      </c>
      <c r="M2855" t="str">
        <f>CONCATENATE(LEFT(Master_ventas[[#This Row],[ProdUpper]],3),RIGHT(Master_ventas[[#This Row],[Ext-Year]],2),"-",MID(Master_ventas[[#This Row],[Category]],1,1))</f>
        <v>MON24-A</v>
      </c>
      <c r="N2855" t="str">
        <f>MID(Master_ventas[[#This Row],[ProdUpper]],1,3)</f>
        <v>MON</v>
      </c>
      <c r="O2855" t="str">
        <f>UPPER(IF(Master_ventas[[#This Row],[Profit]]&gt;500,"High","Std"))</f>
        <v>HIGH</v>
      </c>
      <c r="P2855">
        <v>2854</v>
      </c>
    </row>
    <row r="2856" spans="1:16" x14ac:dyDescent="0.3">
      <c r="A2856" s="1">
        <v>45557</v>
      </c>
      <c r="B2856" t="s">
        <v>19</v>
      </c>
      <c r="C2856" t="s">
        <v>14</v>
      </c>
      <c r="D2856" t="s">
        <v>16</v>
      </c>
      <c r="E2856">
        <v>4</v>
      </c>
      <c r="F2856" s="3">
        <v>1932</v>
      </c>
      <c r="G2856" s="2">
        <v>301.16000000000003</v>
      </c>
      <c r="H2856">
        <f>Master_ventas[[#This Row],[Profit]]/Master_ventas[[#This Row],[Sales]]</f>
        <v>0.15587991718426503</v>
      </c>
      <c r="I2856">
        <f ca="1">Referencia_Hoy-Master_ventas[[#This Row],[Order Date]]</f>
        <v>766</v>
      </c>
      <c r="J2856" t="str">
        <f>UPPER(Master_ventas[[#This Row],[Product Name]])</f>
        <v>SMARTWATCH</v>
      </c>
      <c r="K2856" t="str">
        <f>UPPER(Master_ventas[[#This Row],[Category]])</f>
        <v>ELECTRONICS</v>
      </c>
      <c r="L2856">
        <f>YEAR(Master_ventas[[#This Row],[Order Date]])</f>
        <v>2024</v>
      </c>
      <c r="M2856" t="str">
        <f>CONCATENATE(LEFT(Master_ventas[[#This Row],[ProdUpper]],3),RIGHT(Master_ventas[[#This Row],[Ext-Year]],2),"-",MID(Master_ventas[[#This Row],[Category]],1,1))</f>
        <v>SMA24-E</v>
      </c>
      <c r="N2856" t="str">
        <f>MID(Master_ventas[[#This Row],[ProdUpper]],1,3)</f>
        <v>SMA</v>
      </c>
      <c r="O2856" t="str">
        <f>UPPER(IF(Master_ventas[[#This Row],[Profit]]&gt;500,"High","Std"))</f>
        <v>STD</v>
      </c>
      <c r="P2856">
        <v>2855</v>
      </c>
    </row>
    <row r="2857" spans="1:16" x14ac:dyDescent="0.3">
      <c r="A2857" s="1">
        <v>44809</v>
      </c>
      <c r="B2857" t="s">
        <v>21</v>
      </c>
      <c r="C2857" t="s">
        <v>14</v>
      </c>
      <c r="D2857" t="s">
        <v>9</v>
      </c>
      <c r="E2857">
        <v>7</v>
      </c>
      <c r="F2857" s="3">
        <v>6020</v>
      </c>
      <c r="G2857" s="2">
        <v>384.74</v>
      </c>
      <c r="H2857">
        <f>Master_ventas[[#This Row],[Profit]]/Master_ventas[[#This Row],[Sales]]</f>
        <v>6.3910299003322263E-2</v>
      </c>
      <c r="I2857">
        <f ca="1">Referencia_Hoy-Master_ventas[[#This Row],[Order Date]]</f>
        <v>1514</v>
      </c>
      <c r="J2857" t="str">
        <f>UPPER(Master_ventas[[#This Row],[Product Name]])</f>
        <v>SMARTPHONE</v>
      </c>
      <c r="K2857" t="str">
        <f>UPPER(Master_ventas[[#This Row],[Category]])</f>
        <v>ELECTRONICS</v>
      </c>
      <c r="L2857">
        <f>YEAR(Master_ventas[[#This Row],[Order Date]])</f>
        <v>2022</v>
      </c>
      <c r="M2857" t="str">
        <f>CONCATENATE(LEFT(Master_ventas[[#This Row],[ProdUpper]],3),RIGHT(Master_ventas[[#This Row],[Ext-Year]],2),"-",MID(Master_ventas[[#This Row],[Category]],1,1))</f>
        <v>SMA22-E</v>
      </c>
      <c r="N2857" t="str">
        <f>MID(Master_ventas[[#This Row],[ProdUpper]],1,3)</f>
        <v>SMA</v>
      </c>
      <c r="O2857" t="str">
        <f>UPPER(IF(Master_ventas[[#This Row],[Profit]]&gt;500,"High","Std"))</f>
        <v>STD</v>
      </c>
      <c r="P2857">
        <v>2856</v>
      </c>
    </row>
    <row r="2858" spans="1:16" x14ac:dyDescent="0.3">
      <c r="A2858" s="1">
        <v>45414</v>
      </c>
      <c r="B2858" t="s">
        <v>18</v>
      </c>
      <c r="C2858" t="s">
        <v>11</v>
      </c>
      <c r="D2858" t="s">
        <v>12</v>
      </c>
      <c r="E2858">
        <v>5</v>
      </c>
      <c r="F2858" s="3">
        <v>1775</v>
      </c>
      <c r="G2858" s="2">
        <v>234.67</v>
      </c>
      <c r="H2858">
        <f>Master_ventas[[#This Row],[Profit]]/Master_ventas[[#This Row],[Sales]]</f>
        <v>0.13220845070422535</v>
      </c>
      <c r="I2858">
        <f ca="1">Referencia_Hoy-Master_ventas[[#This Row],[Order Date]]</f>
        <v>909</v>
      </c>
      <c r="J2858" t="str">
        <f>UPPER(Master_ventas[[#This Row],[Product Name]])</f>
        <v>HEADPHONES</v>
      </c>
      <c r="K2858" t="str">
        <f>UPPER(Master_ventas[[#This Row],[Category]])</f>
        <v>ACCESSORIES</v>
      </c>
      <c r="L2858">
        <f>YEAR(Master_ventas[[#This Row],[Order Date]])</f>
        <v>2024</v>
      </c>
      <c r="M2858" t="str">
        <f>CONCATENATE(LEFT(Master_ventas[[#This Row],[ProdUpper]],3),RIGHT(Master_ventas[[#This Row],[Ext-Year]],2),"-",MID(Master_ventas[[#This Row],[Category]],1,1))</f>
        <v>HEA24-A</v>
      </c>
      <c r="N2858" t="str">
        <f>MID(Master_ventas[[#This Row],[ProdUpper]],1,3)</f>
        <v>HEA</v>
      </c>
      <c r="O2858" t="str">
        <f>UPPER(IF(Master_ventas[[#This Row],[Profit]]&gt;500,"High","Std"))</f>
        <v>STD</v>
      </c>
      <c r="P2858">
        <v>2857</v>
      </c>
    </row>
    <row r="2859" spans="1:16" x14ac:dyDescent="0.3">
      <c r="A2859" s="1">
        <v>44994</v>
      </c>
      <c r="B2859" t="s">
        <v>19</v>
      </c>
      <c r="C2859" t="s">
        <v>14</v>
      </c>
      <c r="D2859" t="s">
        <v>16</v>
      </c>
      <c r="E2859">
        <v>3</v>
      </c>
      <c r="F2859" s="3">
        <v>1488</v>
      </c>
      <c r="G2859" s="2">
        <v>382.09</v>
      </c>
      <c r="H2859">
        <f>Master_ventas[[#This Row],[Profit]]/Master_ventas[[#This Row],[Sales]]</f>
        <v>0.25678091397849462</v>
      </c>
      <c r="I2859">
        <f ca="1">Referencia_Hoy-Master_ventas[[#This Row],[Order Date]]</f>
        <v>1329</v>
      </c>
      <c r="J2859" t="str">
        <f>UPPER(Master_ventas[[#This Row],[Product Name]])</f>
        <v>SMARTWATCH</v>
      </c>
      <c r="K2859" t="str">
        <f>UPPER(Master_ventas[[#This Row],[Category]])</f>
        <v>ELECTRONICS</v>
      </c>
      <c r="L2859">
        <f>YEAR(Master_ventas[[#This Row],[Order Date]])</f>
        <v>2023</v>
      </c>
      <c r="M2859" t="str">
        <f>CONCATENATE(LEFT(Master_ventas[[#This Row],[ProdUpper]],3),RIGHT(Master_ventas[[#This Row],[Ext-Year]],2),"-",MID(Master_ventas[[#This Row],[Category]],1,1))</f>
        <v>SMA23-E</v>
      </c>
      <c r="N2859" t="str">
        <f>MID(Master_ventas[[#This Row],[ProdUpper]],1,3)</f>
        <v>SMA</v>
      </c>
      <c r="O2859" t="str">
        <f>UPPER(IF(Master_ventas[[#This Row],[Profit]]&gt;500,"High","Std"))</f>
        <v>STD</v>
      </c>
      <c r="P2859">
        <v>2858</v>
      </c>
    </row>
    <row r="2860" spans="1:16" x14ac:dyDescent="0.3">
      <c r="A2860" s="1">
        <v>45556</v>
      </c>
      <c r="B2860" t="s">
        <v>22</v>
      </c>
      <c r="C2860" t="s">
        <v>11</v>
      </c>
      <c r="D2860" t="s">
        <v>12</v>
      </c>
      <c r="E2860">
        <v>6</v>
      </c>
      <c r="F2860" s="3">
        <v>6720</v>
      </c>
      <c r="G2860" s="2">
        <v>1113.56</v>
      </c>
      <c r="H2860">
        <f>Master_ventas[[#This Row],[Profit]]/Master_ventas[[#This Row],[Sales]]</f>
        <v>0.16570833333333332</v>
      </c>
      <c r="I2860">
        <f ca="1">Referencia_Hoy-Master_ventas[[#This Row],[Order Date]]</f>
        <v>767</v>
      </c>
      <c r="J2860" t="str">
        <f>UPPER(Master_ventas[[#This Row],[Product Name]])</f>
        <v>KEYBOARD</v>
      </c>
      <c r="K2860" t="str">
        <f>UPPER(Master_ventas[[#This Row],[Category]])</f>
        <v>ACCESSORIES</v>
      </c>
      <c r="L2860">
        <f>YEAR(Master_ventas[[#This Row],[Order Date]])</f>
        <v>2024</v>
      </c>
      <c r="M2860" t="str">
        <f>CONCATENATE(LEFT(Master_ventas[[#This Row],[ProdUpper]],3),RIGHT(Master_ventas[[#This Row],[Ext-Year]],2),"-",MID(Master_ventas[[#This Row],[Category]],1,1))</f>
        <v>KEY24-A</v>
      </c>
      <c r="N2860" t="str">
        <f>MID(Master_ventas[[#This Row],[ProdUpper]],1,3)</f>
        <v>KEY</v>
      </c>
      <c r="O2860" t="str">
        <f>UPPER(IF(Master_ventas[[#This Row],[Profit]]&gt;500,"High","Std"))</f>
        <v>HIGH</v>
      </c>
      <c r="P2860">
        <v>2859</v>
      </c>
    </row>
    <row r="2861" spans="1:16" x14ac:dyDescent="0.3">
      <c r="A2861" s="1">
        <v>44657</v>
      </c>
      <c r="B2861" t="s">
        <v>10</v>
      </c>
      <c r="C2861" t="s">
        <v>11</v>
      </c>
      <c r="D2861" t="s">
        <v>12</v>
      </c>
      <c r="E2861">
        <v>7</v>
      </c>
      <c r="F2861" s="3">
        <v>5047</v>
      </c>
      <c r="G2861" s="2">
        <v>1356.23</v>
      </c>
      <c r="H2861">
        <f>Master_ventas[[#This Row],[Profit]]/Master_ventas[[#This Row],[Sales]]</f>
        <v>0.26872003170200121</v>
      </c>
      <c r="I2861">
        <f ca="1">Referencia_Hoy-Master_ventas[[#This Row],[Order Date]]</f>
        <v>1666</v>
      </c>
      <c r="J2861" t="str">
        <f>UPPER(Master_ventas[[#This Row],[Product Name]])</f>
        <v>MOUSE</v>
      </c>
      <c r="K2861" t="str">
        <f>UPPER(Master_ventas[[#This Row],[Category]])</f>
        <v>ACCESSORIES</v>
      </c>
      <c r="L2861">
        <f>YEAR(Master_ventas[[#This Row],[Order Date]])</f>
        <v>2022</v>
      </c>
      <c r="M2861" t="str">
        <f>CONCATENATE(LEFT(Master_ventas[[#This Row],[ProdUpper]],3),RIGHT(Master_ventas[[#This Row],[Ext-Year]],2),"-",MID(Master_ventas[[#This Row],[Category]],1,1))</f>
        <v>MOU22-A</v>
      </c>
      <c r="N2861" t="str">
        <f>MID(Master_ventas[[#This Row],[ProdUpper]],1,3)</f>
        <v>MOU</v>
      </c>
      <c r="O2861" t="str">
        <f>UPPER(IF(Master_ventas[[#This Row],[Profit]]&gt;500,"High","Std"))</f>
        <v>HIGH</v>
      </c>
      <c r="P2861">
        <v>2860</v>
      </c>
    </row>
    <row r="2862" spans="1:16" x14ac:dyDescent="0.3">
      <c r="A2862" s="1">
        <v>44627</v>
      </c>
      <c r="B2862" t="s">
        <v>13</v>
      </c>
      <c r="C2862" t="s">
        <v>14</v>
      </c>
      <c r="D2862" t="s">
        <v>12</v>
      </c>
      <c r="E2862">
        <v>5</v>
      </c>
      <c r="F2862" s="3">
        <v>3735</v>
      </c>
      <c r="G2862" s="2">
        <v>957.13</v>
      </c>
      <c r="H2862">
        <f>Master_ventas[[#This Row],[Profit]]/Master_ventas[[#This Row],[Sales]]</f>
        <v>0.25625970548862115</v>
      </c>
      <c r="I2862">
        <f ca="1">Referencia_Hoy-Master_ventas[[#This Row],[Order Date]]</f>
        <v>1696</v>
      </c>
      <c r="J2862" t="str">
        <f>UPPER(Master_ventas[[#This Row],[Product Name]])</f>
        <v>TABLET</v>
      </c>
      <c r="K2862" t="str">
        <f>UPPER(Master_ventas[[#This Row],[Category]])</f>
        <v>ELECTRONICS</v>
      </c>
      <c r="L2862">
        <f>YEAR(Master_ventas[[#This Row],[Order Date]])</f>
        <v>2022</v>
      </c>
      <c r="M2862" t="str">
        <f>CONCATENATE(LEFT(Master_ventas[[#This Row],[ProdUpper]],3),RIGHT(Master_ventas[[#This Row],[Ext-Year]],2),"-",MID(Master_ventas[[#This Row],[Category]],1,1))</f>
        <v>TAB22-E</v>
      </c>
      <c r="N2862" t="str">
        <f>MID(Master_ventas[[#This Row],[ProdUpper]],1,3)</f>
        <v>TAB</v>
      </c>
      <c r="O2862" t="str">
        <f>UPPER(IF(Master_ventas[[#This Row],[Profit]]&gt;500,"High","Std"))</f>
        <v>HIGH</v>
      </c>
      <c r="P2862">
        <v>2861</v>
      </c>
    </row>
    <row r="2863" spans="1:16" x14ac:dyDescent="0.3">
      <c r="A2863" s="1">
        <v>45348</v>
      </c>
      <c r="B2863" t="s">
        <v>22</v>
      </c>
      <c r="C2863" t="s">
        <v>11</v>
      </c>
      <c r="D2863" t="s">
        <v>12</v>
      </c>
      <c r="E2863">
        <v>5</v>
      </c>
      <c r="F2863" s="3">
        <v>1250</v>
      </c>
      <c r="G2863" s="2">
        <v>120.74</v>
      </c>
      <c r="H2863">
        <f>Master_ventas[[#This Row],[Profit]]/Master_ventas[[#This Row],[Sales]]</f>
        <v>9.6591999999999997E-2</v>
      </c>
      <c r="I2863">
        <f ca="1">Referencia_Hoy-Master_ventas[[#This Row],[Order Date]]</f>
        <v>975</v>
      </c>
      <c r="J2863" t="str">
        <f>UPPER(Master_ventas[[#This Row],[Product Name]])</f>
        <v>KEYBOARD</v>
      </c>
      <c r="K2863" t="str">
        <f>UPPER(Master_ventas[[#This Row],[Category]])</f>
        <v>ACCESSORIES</v>
      </c>
      <c r="L2863">
        <f>YEAR(Master_ventas[[#This Row],[Order Date]])</f>
        <v>2024</v>
      </c>
      <c r="M2863" t="str">
        <f>CONCATENATE(LEFT(Master_ventas[[#This Row],[ProdUpper]],3),RIGHT(Master_ventas[[#This Row],[Ext-Year]],2),"-",MID(Master_ventas[[#This Row],[Category]],1,1))</f>
        <v>KEY24-A</v>
      </c>
      <c r="N2863" t="str">
        <f>MID(Master_ventas[[#This Row],[ProdUpper]],1,3)</f>
        <v>KEY</v>
      </c>
      <c r="O2863" t="str">
        <f>UPPER(IF(Master_ventas[[#This Row],[Profit]]&gt;500,"High","Std"))</f>
        <v>STD</v>
      </c>
      <c r="P2863">
        <v>2862</v>
      </c>
    </row>
    <row r="2864" spans="1:16" x14ac:dyDescent="0.3">
      <c r="A2864" s="1">
        <v>44572</v>
      </c>
      <c r="B2864" t="s">
        <v>13</v>
      </c>
      <c r="C2864" t="s">
        <v>14</v>
      </c>
      <c r="D2864" t="s">
        <v>9</v>
      </c>
      <c r="E2864">
        <v>7</v>
      </c>
      <c r="F2864" s="3">
        <v>2751</v>
      </c>
      <c r="G2864" s="2">
        <v>548.04999999999995</v>
      </c>
      <c r="H2864">
        <f>Master_ventas[[#This Row],[Profit]]/Master_ventas[[#This Row],[Sales]]</f>
        <v>0.19921846601235912</v>
      </c>
      <c r="I2864">
        <f ca="1">Referencia_Hoy-Master_ventas[[#This Row],[Order Date]]</f>
        <v>1751</v>
      </c>
      <c r="J2864" t="str">
        <f>UPPER(Master_ventas[[#This Row],[Product Name]])</f>
        <v>TABLET</v>
      </c>
      <c r="K2864" t="str">
        <f>UPPER(Master_ventas[[#This Row],[Category]])</f>
        <v>ELECTRONICS</v>
      </c>
      <c r="L2864">
        <f>YEAR(Master_ventas[[#This Row],[Order Date]])</f>
        <v>2022</v>
      </c>
      <c r="M2864" t="str">
        <f>CONCATENATE(LEFT(Master_ventas[[#This Row],[ProdUpper]],3),RIGHT(Master_ventas[[#This Row],[Ext-Year]],2),"-",MID(Master_ventas[[#This Row],[Category]],1,1))</f>
        <v>TAB22-E</v>
      </c>
      <c r="N2864" t="str">
        <f>MID(Master_ventas[[#This Row],[ProdUpper]],1,3)</f>
        <v>TAB</v>
      </c>
      <c r="O2864" t="str">
        <f>UPPER(IF(Master_ventas[[#This Row],[Profit]]&gt;500,"High","Std"))</f>
        <v>HIGH</v>
      </c>
      <c r="P2864">
        <v>2863</v>
      </c>
    </row>
    <row r="2865" spans="1:16" x14ac:dyDescent="0.3">
      <c r="A2865" s="1">
        <v>45121</v>
      </c>
      <c r="B2865" t="s">
        <v>23</v>
      </c>
      <c r="C2865" t="s">
        <v>14</v>
      </c>
      <c r="D2865" t="s">
        <v>12</v>
      </c>
      <c r="E2865">
        <v>9</v>
      </c>
      <c r="F2865" s="3">
        <v>468</v>
      </c>
      <c r="G2865" s="2">
        <v>58.98</v>
      </c>
      <c r="H2865">
        <f>Master_ventas[[#This Row],[Profit]]/Master_ventas[[#This Row],[Sales]]</f>
        <v>0.12602564102564101</v>
      </c>
      <c r="I2865">
        <f ca="1">Referencia_Hoy-Master_ventas[[#This Row],[Order Date]]</f>
        <v>1202</v>
      </c>
      <c r="J2865" t="str">
        <f>UPPER(Master_ventas[[#This Row],[Product Name]])</f>
        <v>LAPTOP</v>
      </c>
      <c r="K2865" t="str">
        <f>UPPER(Master_ventas[[#This Row],[Category]])</f>
        <v>ELECTRONICS</v>
      </c>
      <c r="L2865">
        <f>YEAR(Master_ventas[[#This Row],[Order Date]])</f>
        <v>2023</v>
      </c>
      <c r="M2865" t="str">
        <f>CONCATENATE(LEFT(Master_ventas[[#This Row],[ProdUpper]],3),RIGHT(Master_ventas[[#This Row],[Ext-Year]],2),"-",MID(Master_ventas[[#This Row],[Category]],1,1))</f>
        <v>LAP23-E</v>
      </c>
      <c r="N2865" t="str">
        <f>MID(Master_ventas[[#This Row],[ProdUpper]],1,3)</f>
        <v>LAP</v>
      </c>
      <c r="O2865" t="str">
        <f>UPPER(IF(Master_ventas[[#This Row],[Profit]]&gt;500,"High","Std"))</f>
        <v>STD</v>
      </c>
      <c r="P2865">
        <v>2864</v>
      </c>
    </row>
    <row r="2866" spans="1:16" x14ac:dyDescent="0.3">
      <c r="A2866" s="1">
        <v>45113</v>
      </c>
      <c r="B2866" t="s">
        <v>7</v>
      </c>
      <c r="C2866" t="s">
        <v>8</v>
      </c>
      <c r="D2866" t="s">
        <v>9</v>
      </c>
      <c r="E2866">
        <v>4</v>
      </c>
      <c r="F2866" s="3">
        <v>632</v>
      </c>
      <c r="G2866" s="2">
        <v>114.82</v>
      </c>
      <c r="H2866">
        <f>Master_ventas[[#This Row],[Profit]]/Master_ventas[[#This Row],[Sales]]</f>
        <v>0.1816772151898734</v>
      </c>
      <c r="I2866">
        <f ca="1">Referencia_Hoy-Master_ventas[[#This Row],[Order Date]]</f>
        <v>1210</v>
      </c>
      <c r="J2866" t="str">
        <f>UPPER(Master_ventas[[#This Row],[Product Name]])</f>
        <v>PRINTER</v>
      </c>
      <c r="K2866" t="str">
        <f>UPPER(Master_ventas[[#This Row],[Category]])</f>
        <v>OFFICE</v>
      </c>
      <c r="L2866">
        <f>YEAR(Master_ventas[[#This Row],[Order Date]])</f>
        <v>2023</v>
      </c>
      <c r="M2866" t="str">
        <f>CONCATENATE(LEFT(Master_ventas[[#This Row],[ProdUpper]],3),RIGHT(Master_ventas[[#This Row],[Ext-Year]],2),"-",MID(Master_ventas[[#This Row],[Category]],1,1))</f>
        <v>PRI23-O</v>
      </c>
      <c r="N2866" t="str">
        <f>MID(Master_ventas[[#This Row],[ProdUpper]],1,3)</f>
        <v>PRI</v>
      </c>
      <c r="O2866" t="str">
        <f>UPPER(IF(Master_ventas[[#This Row],[Profit]]&gt;500,"High","Std"))</f>
        <v>STD</v>
      </c>
      <c r="P2866">
        <v>2865</v>
      </c>
    </row>
    <row r="2867" spans="1:16" x14ac:dyDescent="0.3">
      <c r="A2867" s="1">
        <v>44819</v>
      </c>
      <c r="B2867" t="s">
        <v>22</v>
      </c>
      <c r="C2867" t="s">
        <v>11</v>
      </c>
      <c r="D2867" t="s">
        <v>15</v>
      </c>
      <c r="E2867">
        <v>7</v>
      </c>
      <c r="F2867" s="3">
        <v>798</v>
      </c>
      <c r="G2867" s="2">
        <v>219.2</v>
      </c>
      <c r="H2867">
        <f>Master_ventas[[#This Row],[Profit]]/Master_ventas[[#This Row],[Sales]]</f>
        <v>0.27468671679197992</v>
      </c>
      <c r="I2867">
        <f ca="1">Referencia_Hoy-Master_ventas[[#This Row],[Order Date]]</f>
        <v>1504</v>
      </c>
      <c r="J2867" t="str">
        <f>UPPER(Master_ventas[[#This Row],[Product Name]])</f>
        <v>KEYBOARD</v>
      </c>
      <c r="K2867" t="str">
        <f>UPPER(Master_ventas[[#This Row],[Category]])</f>
        <v>ACCESSORIES</v>
      </c>
      <c r="L2867">
        <f>YEAR(Master_ventas[[#This Row],[Order Date]])</f>
        <v>2022</v>
      </c>
      <c r="M2867" t="str">
        <f>CONCATENATE(LEFT(Master_ventas[[#This Row],[ProdUpper]],3),RIGHT(Master_ventas[[#This Row],[Ext-Year]],2),"-",MID(Master_ventas[[#This Row],[Category]],1,1))</f>
        <v>KEY22-A</v>
      </c>
      <c r="N2867" t="str">
        <f>MID(Master_ventas[[#This Row],[ProdUpper]],1,3)</f>
        <v>KEY</v>
      </c>
      <c r="O2867" t="str">
        <f>UPPER(IF(Master_ventas[[#This Row],[Profit]]&gt;500,"High","Std"))</f>
        <v>STD</v>
      </c>
      <c r="P2867">
        <v>2866</v>
      </c>
    </row>
    <row r="2868" spans="1:16" x14ac:dyDescent="0.3">
      <c r="A2868" s="1">
        <v>44589</v>
      </c>
      <c r="B2868" t="s">
        <v>19</v>
      </c>
      <c r="C2868" t="s">
        <v>14</v>
      </c>
      <c r="D2868" t="s">
        <v>15</v>
      </c>
      <c r="E2868">
        <v>5</v>
      </c>
      <c r="F2868" s="3">
        <v>1295</v>
      </c>
      <c r="G2868" s="2">
        <v>104.26</v>
      </c>
      <c r="H2868">
        <f>Master_ventas[[#This Row],[Profit]]/Master_ventas[[#This Row],[Sales]]</f>
        <v>8.0509652509652516E-2</v>
      </c>
      <c r="I2868">
        <f ca="1">Referencia_Hoy-Master_ventas[[#This Row],[Order Date]]</f>
        <v>1734</v>
      </c>
      <c r="J2868" t="str">
        <f>UPPER(Master_ventas[[#This Row],[Product Name]])</f>
        <v>SMARTWATCH</v>
      </c>
      <c r="K2868" t="str">
        <f>UPPER(Master_ventas[[#This Row],[Category]])</f>
        <v>ELECTRONICS</v>
      </c>
      <c r="L2868">
        <f>YEAR(Master_ventas[[#This Row],[Order Date]])</f>
        <v>2022</v>
      </c>
      <c r="M2868" t="str">
        <f>CONCATENATE(LEFT(Master_ventas[[#This Row],[ProdUpper]],3),RIGHT(Master_ventas[[#This Row],[Ext-Year]],2),"-",MID(Master_ventas[[#This Row],[Category]],1,1))</f>
        <v>SMA22-E</v>
      </c>
      <c r="N2868" t="str">
        <f>MID(Master_ventas[[#This Row],[ProdUpper]],1,3)</f>
        <v>SMA</v>
      </c>
      <c r="O2868" t="str">
        <f>UPPER(IF(Master_ventas[[#This Row],[Profit]]&gt;500,"High","Std"))</f>
        <v>STD</v>
      </c>
      <c r="P2868">
        <v>2867</v>
      </c>
    </row>
    <row r="2869" spans="1:16" x14ac:dyDescent="0.3">
      <c r="A2869" s="1">
        <v>45636</v>
      </c>
      <c r="B2869" t="s">
        <v>17</v>
      </c>
      <c r="C2869" t="s">
        <v>14</v>
      </c>
      <c r="D2869" t="s">
        <v>16</v>
      </c>
      <c r="E2869">
        <v>4</v>
      </c>
      <c r="F2869" s="3">
        <v>3360</v>
      </c>
      <c r="G2869" s="2">
        <v>540.38</v>
      </c>
      <c r="H2869">
        <f>Master_ventas[[#This Row],[Profit]]/Master_ventas[[#This Row],[Sales]]</f>
        <v>0.16082738095238094</v>
      </c>
      <c r="I2869">
        <f ca="1">Referencia_Hoy-Master_ventas[[#This Row],[Order Date]]</f>
        <v>687</v>
      </c>
      <c r="J2869" t="str">
        <f>UPPER(Master_ventas[[#This Row],[Product Name]])</f>
        <v>CAMERA</v>
      </c>
      <c r="K2869" t="str">
        <f>UPPER(Master_ventas[[#This Row],[Category]])</f>
        <v>ELECTRONICS</v>
      </c>
      <c r="L2869">
        <f>YEAR(Master_ventas[[#This Row],[Order Date]])</f>
        <v>2024</v>
      </c>
      <c r="M2869" t="str">
        <f>CONCATENATE(LEFT(Master_ventas[[#This Row],[ProdUpper]],3),RIGHT(Master_ventas[[#This Row],[Ext-Year]],2),"-",MID(Master_ventas[[#This Row],[Category]],1,1))</f>
        <v>CAM24-E</v>
      </c>
      <c r="N2869" t="str">
        <f>MID(Master_ventas[[#This Row],[ProdUpper]],1,3)</f>
        <v>CAM</v>
      </c>
      <c r="O2869" t="str">
        <f>UPPER(IF(Master_ventas[[#This Row],[Profit]]&gt;500,"High","Std"))</f>
        <v>HIGH</v>
      </c>
      <c r="P2869">
        <v>2868</v>
      </c>
    </row>
    <row r="2870" spans="1:16" x14ac:dyDescent="0.3">
      <c r="A2870" s="1">
        <v>45088</v>
      </c>
      <c r="B2870" t="s">
        <v>17</v>
      </c>
      <c r="C2870" t="s">
        <v>14</v>
      </c>
      <c r="D2870" t="s">
        <v>9</v>
      </c>
      <c r="E2870">
        <v>5</v>
      </c>
      <c r="F2870" s="3">
        <v>995</v>
      </c>
      <c r="G2870" s="2">
        <v>206.95</v>
      </c>
      <c r="H2870">
        <f>Master_ventas[[#This Row],[Profit]]/Master_ventas[[#This Row],[Sales]]</f>
        <v>0.20798994974874371</v>
      </c>
      <c r="I2870">
        <f ca="1">Referencia_Hoy-Master_ventas[[#This Row],[Order Date]]</f>
        <v>1235</v>
      </c>
      <c r="J2870" t="str">
        <f>UPPER(Master_ventas[[#This Row],[Product Name]])</f>
        <v>CAMERA</v>
      </c>
      <c r="K2870" t="str">
        <f>UPPER(Master_ventas[[#This Row],[Category]])</f>
        <v>ELECTRONICS</v>
      </c>
      <c r="L2870">
        <f>YEAR(Master_ventas[[#This Row],[Order Date]])</f>
        <v>2023</v>
      </c>
      <c r="M2870" t="str">
        <f>CONCATENATE(LEFT(Master_ventas[[#This Row],[ProdUpper]],3),RIGHT(Master_ventas[[#This Row],[Ext-Year]],2),"-",MID(Master_ventas[[#This Row],[Category]],1,1))</f>
        <v>CAM23-E</v>
      </c>
      <c r="N2870" t="str">
        <f>MID(Master_ventas[[#This Row],[ProdUpper]],1,3)</f>
        <v>CAM</v>
      </c>
      <c r="O2870" t="str">
        <f>UPPER(IF(Master_ventas[[#This Row],[Profit]]&gt;500,"High","Std"))</f>
        <v>STD</v>
      </c>
      <c r="P2870">
        <v>2869</v>
      </c>
    </row>
    <row r="2871" spans="1:16" x14ac:dyDescent="0.3">
      <c r="A2871" s="1">
        <v>45646</v>
      </c>
      <c r="B2871" t="s">
        <v>19</v>
      </c>
      <c r="C2871" t="s">
        <v>14</v>
      </c>
      <c r="D2871" t="s">
        <v>12</v>
      </c>
      <c r="E2871">
        <v>5</v>
      </c>
      <c r="F2871" s="3">
        <v>550</v>
      </c>
      <c r="G2871" s="2">
        <v>28.72</v>
      </c>
      <c r="H2871">
        <f>Master_ventas[[#This Row],[Profit]]/Master_ventas[[#This Row],[Sales]]</f>
        <v>5.2218181818181816E-2</v>
      </c>
      <c r="I2871">
        <f ca="1">Referencia_Hoy-Master_ventas[[#This Row],[Order Date]]</f>
        <v>677</v>
      </c>
      <c r="J2871" t="str">
        <f>UPPER(Master_ventas[[#This Row],[Product Name]])</f>
        <v>SMARTWATCH</v>
      </c>
      <c r="K2871" t="str">
        <f>UPPER(Master_ventas[[#This Row],[Category]])</f>
        <v>ELECTRONICS</v>
      </c>
      <c r="L2871">
        <f>YEAR(Master_ventas[[#This Row],[Order Date]])</f>
        <v>2024</v>
      </c>
      <c r="M2871" t="str">
        <f>CONCATENATE(LEFT(Master_ventas[[#This Row],[ProdUpper]],3),RIGHT(Master_ventas[[#This Row],[Ext-Year]],2),"-",MID(Master_ventas[[#This Row],[Category]],1,1))</f>
        <v>SMA24-E</v>
      </c>
      <c r="N2871" t="str">
        <f>MID(Master_ventas[[#This Row],[ProdUpper]],1,3)</f>
        <v>SMA</v>
      </c>
      <c r="O2871" t="str">
        <f>UPPER(IF(Master_ventas[[#This Row],[Profit]]&gt;500,"High","Std"))</f>
        <v>STD</v>
      </c>
      <c r="P2871">
        <v>2870</v>
      </c>
    </row>
    <row r="2872" spans="1:16" x14ac:dyDescent="0.3">
      <c r="A2872" s="1">
        <v>44984</v>
      </c>
      <c r="B2872" t="s">
        <v>20</v>
      </c>
      <c r="C2872" t="s">
        <v>11</v>
      </c>
      <c r="D2872" t="s">
        <v>16</v>
      </c>
      <c r="E2872">
        <v>8</v>
      </c>
      <c r="F2872" s="3">
        <v>5384</v>
      </c>
      <c r="G2872" s="2">
        <v>724.8</v>
      </c>
      <c r="H2872">
        <f>Master_ventas[[#This Row],[Profit]]/Master_ventas[[#This Row],[Sales]]</f>
        <v>0.13462109955423476</v>
      </c>
      <c r="I2872">
        <f ca="1">Referencia_Hoy-Master_ventas[[#This Row],[Order Date]]</f>
        <v>1339</v>
      </c>
      <c r="J2872" t="str">
        <f>UPPER(Master_ventas[[#This Row],[Product Name]])</f>
        <v>MONITOR</v>
      </c>
      <c r="K2872" t="str">
        <f>UPPER(Master_ventas[[#This Row],[Category]])</f>
        <v>ACCESSORIES</v>
      </c>
      <c r="L2872">
        <f>YEAR(Master_ventas[[#This Row],[Order Date]])</f>
        <v>2023</v>
      </c>
      <c r="M2872" t="str">
        <f>CONCATENATE(LEFT(Master_ventas[[#This Row],[ProdUpper]],3),RIGHT(Master_ventas[[#This Row],[Ext-Year]],2),"-",MID(Master_ventas[[#This Row],[Category]],1,1))</f>
        <v>MON23-A</v>
      </c>
      <c r="N2872" t="str">
        <f>MID(Master_ventas[[#This Row],[ProdUpper]],1,3)</f>
        <v>MON</v>
      </c>
      <c r="O2872" t="str">
        <f>UPPER(IF(Master_ventas[[#This Row],[Profit]]&gt;500,"High","Std"))</f>
        <v>HIGH</v>
      </c>
      <c r="P2872">
        <v>2871</v>
      </c>
    </row>
    <row r="2873" spans="1:16" x14ac:dyDescent="0.3">
      <c r="A2873" s="1">
        <v>45249</v>
      </c>
      <c r="B2873" t="s">
        <v>7</v>
      </c>
      <c r="C2873" t="s">
        <v>8</v>
      </c>
      <c r="D2873" t="s">
        <v>12</v>
      </c>
      <c r="E2873">
        <v>3</v>
      </c>
      <c r="F2873" s="3">
        <v>3534</v>
      </c>
      <c r="G2873" s="2">
        <v>489.06</v>
      </c>
      <c r="H2873">
        <f>Master_ventas[[#This Row],[Profit]]/Master_ventas[[#This Row],[Sales]]</f>
        <v>0.13838709677419356</v>
      </c>
      <c r="I2873">
        <f ca="1">Referencia_Hoy-Master_ventas[[#This Row],[Order Date]]</f>
        <v>1074</v>
      </c>
      <c r="J2873" t="str">
        <f>UPPER(Master_ventas[[#This Row],[Product Name]])</f>
        <v>PRINTER</v>
      </c>
      <c r="K2873" t="str">
        <f>UPPER(Master_ventas[[#This Row],[Category]])</f>
        <v>OFFICE</v>
      </c>
      <c r="L2873">
        <f>YEAR(Master_ventas[[#This Row],[Order Date]])</f>
        <v>2023</v>
      </c>
      <c r="M2873" t="str">
        <f>CONCATENATE(LEFT(Master_ventas[[#This Row],[ProdUpper]],3),RIGHT(Master_ventas[[#This Row],[Ext-Year]],2),"-",MID(Master_ventas[[#This Row],[Category]],1,1))</f>
        <v>PRI23-O</v>
      </c>
      <c r="N2873" t="str">
        <f>MID(Master_ventas[[#This Row],[ProdUpper]],1,3)</f>
        <v>PRI</v>
      </c>
      <c r="O2873" t="str">
        <f>UPPER(IF(Master_ventas[[#This Row],[Profit]]&gt;500,"High","Std"))</f>
        <v>STD</v>
      </c>
      <c r="P2873">
        <v>2872</v>
      </c>
    </row>
    <row r="2874" spans="1:16" x14ac:dyDescent="0.3">
      <c r="A2874" s="1">
        <v>45342</v>
      </c>
      <c r="B2874" t="s">
        <v>21</v>
      </c>
      <c r="C2874" t="s">
        <v>14</v>
      </c>
      <c r="D2874" t="s">
        <v>16</v>
      </c>
      <c r="E2874">
        <v>9</v>
      </c>
      <c r="F2874" s="3">
        <v>6813</v>
      </c>
      <c r="G2874" s="2">
        <v>890.05</v>
      </c>
      <c r="H2874">
        <f>Master_ventas[[#This Row],[Profit]]/Master_ventas[[#This Row],[Sales]]</f>
        <v>0.1306399530309702</v>
      </c>
      <c r="I2874">
        <f ca="1">Referencia_Hoy-Master_ventas[[#This Row],[Order Date]]</f>
        <v>981</v>
      </c>
      <c r="J2874" t="str">
        <f>UPPER(Master_ventas[[#This Row],[Product Name]])</f>
        <v>SMARTPHONE</v>
      </c>
      <c r="K2874" t="str">
        <f>UPPER(Master_ventas[[#This Row],[Category]])</f>
        <v>ELECTRONICS</v>
      </c>
      <c r="L2874">
        <f>YEAR(Master_ventas[[#This Row],[Order Date]])</f>
        <v>2024</v>
      </c>
      <c r="M2874" t="str">
        <f>CONCATENATE(LEFT(Master_ventas[[#This Row],[ProdUpper]],3),RIGHT(Master_ventas[[#This Row],[Ext-Year]],2),"-",MID(Master_ventas[[#This Row],[Category]],1,1))</f>
        <v>SMA24-E</v>
      </c>
      <c r="N2874" t="str">
        <f>MID(Master_ventas[[#This Row],[ProdUpper]],1,3)</f>
        <v>SMA</v>
      </c>
      <c r="O2874" t="str">
        <f>UPPER(IF(Master_ventas[[#This Row],[Profit]]&gt;500,"High","Std"))</f>
        <v>HIGH</v>
      </c>
      <c r="P2874">
        <v>2873</v>
      </c>
    </row>
    <row r="2875" spans="1:16" x14ac:dyDescent="0.3">
      <c r="A2875" s="1">
        <v>45257</v>
      </c>
      <c r="B2875" t="s">
        <v>19</v>
      </c>
      <c r="C2875" t="s">
        <v>14</v>
      </c>
      <c r="D2875" t="s">
        <v>12</v>
      </c>
      <c r="E2875">
        <v>6</v>
      </c>
      <c r="F2875" s="3">
        <v>5508</v>
      </c>
      <c r="G2875" s="2">
        <v>1632.37</v>
      </c>
      <c r="H2875">
        <f>Master_ventas[[#This Row],[Profit]]/Master_ventas[[#This Row],[Sales]]</f>
        <v>0.29636347131445168</v>
      </c>
      <c r="I2875">
        <f ca="1">Referencia_Hoy-Master_ventas[[#This Row],[Order Date]]</f>
        <v>1066</v>
      </c>
      <c r="J2875" t="str">
        <f>UPPER(Master_ventas[[#This Row],[Product Name]])</f>
        <v>SMARTWATCH</v>
      </c>
      <c r="K2875" t="str">
        <f>UPPER(Master_ventas[[#This Row],[Category]])</f>
        <v>ELECTRONICS</v>
      </c>
      <c r="L2875">
        <f>YEAR(Master_ventas[[#This Row],[Order Date]])</f>
        <v>2023</v>
      </c>
      <c r="M2875" t="str">
        <f>CONCATENATE(LEFT(Master_ventas[[#This Row],[ProdUpper]],3),RIGHT(Master_ventas[[#This Row],[Ext-Year]],2),"-",MID(Master_ventas[[#This Row],[Category]],1,1))</f>
        <v>SMA23-E</v>
      </c>
      <c r="N2875" t="str">
        <f>MID(Master_ventas[[#This Row],[ProdUpper]],1,3)</f>
        <v>SMA</v>
      </c>
      <c r="O2875" t="str">
        <f>UPPER(IF(Master_ventas[[#This Row],[Profit]]&gt;500,"High","Std"))</f>
        <v>HIGH</v>
      </c>
      <c r="P2875">
        <v>2874</v>
      </c>
    </row>
    <row r="2876" spans="1:16" x14ac:dyDescent="0.3">
      <c r="A2876" s="1">
        <v>44588</v>
      </c>
      <c r="B2876" t="s">
        <v>18</v>
      </c>
      <c r="C2876" t="s">
        <v>11</v>
      </c>
      <c r="D2876" t="s">
        <v>12</v>
      </c>
      <c r="E2876">
        <v>1</v>
      </c>
      <c r="F2876" s="3">
        <v>966</v>
      </c>
      <c r="G2876" s="2">
        <v>202.53</v>
      </c>
      <c r="H2876">
        <f>Master_ventas[[#This Row],[Profit]]/Master_ventas[[#This Row],[Sales]]</f>
        <v>0.2096583850931677</v>
      </c>
      <c r="I2876">
        <f ca="1">Referencia_Hoy-Master_ventas[[#This Row],[Order Date]]</f>
        <v>1735</v>
      </c>
      <c r="J2876" t="str">
        <f>UPPER(Master_ventas[[#This Row],[Product Name]])</f>
        <v>HEADPHONES</v>
      </c>
      <c r="K2876" t="str">
        <f>UPPER(Master_ventas[[#This Row],[Category]])</f>
        <v>ACCESSORIES</v>
      </c>
      <c r="L2876">
        <f>YEAR(Master_ventas[[#This Row],[Order Date]])</f>
        <v>2022</v>
      </c>
      <c r="M2876" t="str">
        <f>CONCATENATE(LEFT(Master_ventas[[#This Row],[ProdUpper]],3),RIGHT(Master_ventas[[#This Row],[Ext-Year]],2),"-",MID(Master_ventas[[#This Row],[Category]],1,1))</f>
        <v>HEA22-A</v>
      </c>
      <c r="N2876" t="str">
        <f>MID(Master_ventas[[#This Row],[ProdUpper]],1,3)</f>
        <v>HEA</v>
      </c>
      <c r="O2876" t="str">
        <f>UPPER(IF(Master_ventas[[#This Row],[Profit]]&gt;500,"High","Std"))</f>
        <v>STD</v>
      </c>
      <c r="P2876">
        <v>2875</v>
      </c>
    </row>
    <row r="2877" spans="1:16" x14ac:dyDescent="0.3">
      <c r="A2877" s="1">
        <v>45477</v>
      </c>
      <c r="B2877" t="s">
        <v>10</v>
      </c>
      <c r="C2877" t="s">
        <v>11</v>
      </c>
      <c r="D2877" t="s">
        <v>15</v>
      </c>
      <c r="E2877">
        <v>4</v>
      </c>
      <c r="F2877" s="3">
        <v>460</v>
      </c>
      <c r="G2877" s="2">
        <v>92.24</v>
      </c>
      <c r="H2877">
        <f>Master_ventas[[#This Row],[Profit]]/Master_ventas[[#This Row],[Sales]]</f>
        <v>0.20052173913043478</v>
      </c>
      <c r="I2877">
        <f ca="1">Referencia_Hoy-Master_ventas[[#This Row],[Order Date]]</f>
        <v>846</v>
      </c>
      <c r="J2877" t="str">
        <f>UPPER(Master_ventas[[#This Row],[Product Name]])</f>
        <v>MOUSE</v>
      </c>
      <c r="K2877" t="str">
        <f>UPPER(Master_ventas[[#This Row],[Category]])</f>
        <v>ACCESSORIES</v>
      </c>
      <c r="L2877">
        <f>YEAR(Master_ventas[[#This Row],[Order Date]])</f>
        <v>2024</v>
      </c>
      <c r="M2877" t="str">
        <f>CONCATENATE(LEFT(Master_ventas[[#This Row],[ProdUpper]],3),RIGHT(Master_ventas[[#This Row],[Ext-Year]],2),"-",MID(Master_ventas[[#This Row],[Category]],1,1))</f>
        <v>MOU24-A</v>
      </c>
      <c r="N2877" t="str">
        <f>MID(Master_ventas[[#This Row],[ProdUpper]],1,3)</f>
        <v>MOU</v>
      </c>
      <c r="O2877" t="str">
        <f>UPPER(IF(Master_ventas[[#This Row],[Profit]]&gt;500,"High","Std"))</f>
        <v>STD</v>
      </c>
      <c r="P2877">
        <v>2876</v>
      </c>
    </row>
    <row r="2878" spans="1:16" x14ac:dyDescent="0.3">
      <c r="A2878" s="1">
        <v>45103</v>
      </c>
      <c r="B2878" t="s">
        <v>21</v>
      </c>
      <c r="C2878" t="s">
        <v>14</v>
      </c>
      <c r="D2878" t="s">
        <v>9</v>
      </c>
      <c r="E2878">
        <v>6</v>
      </c>
      <c r="F2878" s="3">
        <v>7026</v>
      </c>
      <c r="G2878" s="2">
        <v>459.4</v>
      </c>
      <c r="H2878">
        <f>Master_ventas[[#This Row],[Profit]]/Master_ventas[[#This Row],[Sales]]</f>
        <v>6.5385710219185877E-2</v>
      </c>
      <c r="I2878">
        <f ca="1">Referencia_Hoy-Master_ventas[[#This Row],[Order Date]]</f>
        <v>1220</v>
      </c>
      <c r="J2878" t="str">
        <f>UPPER(Master_ventas[[#This Row],[Product Name]])</f>
        <v>SMARTPHONE</v>
      </c>
      <c r="K2878" t="str">
        <f>UPPER(Master_ventas[[#This Row],[Category]])</f>
        <v>ELECTRONICS</v>
      </c>
      <c r="L2878">
        <f>YEAR(Master_ventas[[#This Row],[Order Date]])</f>
        <v>2023</v>
      </c>
      <c r="M2878" t="str">
        <f>CONCATENATE(LEFT(Master_ventas[[#This Row],[ProdUpper]],3),RIGHT(Master_ventas[[#This Row],[Ext-Year]],2),"-",MID(Master_ventas[[#This Row],[Category]],1,1))</f>
        <v>SMA23-E</v>
      </c>
      <c r="N2878" t="str">
        <f>MID(Master_ventas[[#This Row],[ProdUpper]],1,3)</f>
        <v>SMA</v>
      </c>
      <c r="O2878" t="str">
        <f>UPPER(IF(Master_ventas[[#This Row],[Profit]]&gt;500,"High","Std"))</f>
        <v>STD</v>
      </c>
      <c r="P2878">
        <v>2877</v>
      </c>
    </row>
    <row r="2879" spans="1:16" x14ac:dyDescent="0.3">
      <c r="A2879" s="1">
        <v>45436</v>
      </c>
      <c r="B2879" t="s">
        <v>21</v>
      </c>
      <c r="C2879" t="s">
        <v>14</v>
      </c>
      <c r="D2879" t="s">
        <v>15</v>
      </c>
      <c r="E2879">
        <v>5</v>
      </c>
      <c r="F2879" s="3">
        <v>910</v>
      </c>
      <c r="G2879" s="2">
        <v>116.47</v>
      </c>
      <c r="H2879">
        <f>Master_ventas[[#This Row],[Profit]]/Master_ventas[[#This Row],[Sales]]</f>
        <v>0.127989010989011</v>
      </c>
      <c r="I2879">
        <f ca="1">Referencia_Hoy-Master_ventas[[#This Row],[Order Date]]</f>
        <v>887</v>
      </c>
      <c r="J2879" t="str">
        <f>UPPER(Master_ventas[[#This Row],[Product Name]])</f>
        <v>SMARTPHONE</v>
      </c>
      <c r="K2879" t="str">
        <f>UPPER(Master_ventas[[#This Row],[Category]])</f>
        <v>ELECTRONICS</v>
      </c>
      <c r="L2879">
        <f>YEAR(Master_ventas[[#This Row],[Order Date]])</f>
        <v>2024</v>
      </c>
      <c r="M2879" t="str">
        <f>CONCATENATE(LEFT(Master_ventas[[#This Row],[ProdUpper]],3),RIGHT(Master_ventas[[#This Row],[Ext-Year]],2),"-",MID(Master_ventas[[#This Row],[Category]],1,1))</f>
        <v>SMA24-E</v>
      </c>
      <c r="N2879" t="str">
        <f>MID(Master_ventas[[#This Row],[ProdUpper]],1,3)</f>
        <v>SMA</v>
      </c>
      <c r="O2879" t="str">
        <f>UPPER(IF(Master_ventas[[#This Row],[Profit]]&gt;500,"High","Std"))</f>
        <v>STD</v>
      </c>
      <c r="P2879">
        <v>2878</v>
      </c>
    </row>
    <row r="2880" spans="1:16" x14ac:dyDescent="0.3">
      <c r="A2880" s="1">
        <v>44795</v>
      </c>
      <c r="B2880" t="s">
        <v>20</v>
      </c>
      <c r="C2880" t="s">
        <v>11</v>
      </c>
      <c r="D2880" t="s">
        <v>16</v>
      </c>
      <c r="E2880">
        <v>9</v>
      </c>
      <c r="F2880" s="3">
        <v>5796</v>
      </c>
      <c r="G2880" s="2">
        <v>1729.18</v>
      </c>
      <c r="H2880">
        <f>Master_ventas[[#This Row],[Profit]]/Master_ventas[[#This Row],[Sales]]</f>
        <v>0.29834023464458248</v>
      </c>
      <c r="I2880">
        <f ca="1">Referencia_Hoy-Master_ventas[[#This Row],[Order Date]]</f>
        <v>1528</v>
      </c>
      <c r="J2880" t="str">
        <f>UPPER(Master_ventas[[#This Row],[Product Name]])</f>
        <v>MONITOR</v>
      </c>
      <c r="K2880" t="str">
        <f>UPPER(Master_ventas[[#This Row],[Category]])</f>
        <v>ACCESSORIES</v>
      </c>
      <c r="L2880">
        <f>YEAR(Master_ventas[[#This Row],[Order Date]])</f>
        <v>2022</v>
      </c>
      <c r="M2880" t="str">
        <f>CONCATENATE(LEFT(Master_ventas[[#This Row],[ProdUpper]],3),RIGHT(Master_ventas[[#This Row],[Ext-Year]],2),"-",MID(Master_ventas[[#This Row],[Category]],1,1))</f>
        <v>MON22-A</v>
      </c>
      <c r="N2880" t="str">
        <f>MID(Master_ventas[[#This Row],[ProdUpper]],1,3)</f>
        <v>MON</v>
      </c>
      <c r="O2880" t="str">
        <f>UPPER(IF(Master_ventas[[#This Row],[Profit]]&gt;500,"High","Std"))</f>
        <v>HIGH</v>
      </c>
      <c r="P2880">
        <v>2879</v>
      </c>
    </row>
    <row r="2881" spans="1:16" x14ac:dyDescent="0.3">
      <c r="A2881" s="1">
        <v>44832</v>
      </c>
      <c r="B2881" t="s">
        <v>20</v>
      </c>
      <c r="C2881" t="s">
        <v>11</v>
      </c>
      <c r="D2881" t="s">
        <v>9</v>
      </c>
      <c r="E2881">
        <v>3</v>
      </c>
      <c r="F2881" s="3">
        <v>1050</v>
      </c>
      <c r="G2881" s="2">
        <v>292.64</v>
      </c>
      <c r="H2881">
        <f>Master_ventas[[#This Row],[Profit]]/Master_ventas[[#This Row],[Sales]]</f>
        <v>0.2787047619047619</v>
      </c>
      <c r="I2881">
        <f ca="1">Referencia_Hoy-Master_ventas[[#This Row],[Order Date]]</f>
        <v>1491</v>
      </c>
      <c r="J2881" t="str">
        <f>UPPER(Master_ventas[[#This Row],[Product Name]])</f>
        <v>MONITOR</v>
      </c>
      <c r="K2881" t="str">
        <f>UPPER(Master_ventas[[#This Row],[Category]])</f>
        <v>ACCESSORIES</v>
      </c>
      <c r="L2881">
        <f>YEAR(Master_ventas[[#This Row],[Order Date]])</f>
        <v>2022</v>
      </c>
      <c r="M2881" t="str">
        <f>CONCATENATE(LEFT(Master_ventas[[#This Row],[ProdUpper]],3),RIGHT(Master_ventas[[#This Row],[Ext-Year]],2),"-",MID(Master_ventas[[#This Row],[Category]],1,1))</f>
        <v>MON22-A</v>
      </c>
      <c r="N2881" t="str">
        <f>MID(Master_ventas[[#This Row],[ProdUpper]],1,3)</f>
        <v>MON</v>
      </c>
      <c r="O2881" t="str">
        <f>UPPER(IF(Master_ventas[[#This Row],[Profit]]&gt;500,"High","Std"))</f>
        <v>STD</v>
      </c>
      <c r="P2881">
        <v>2880</v>
      </c>
    </row>
    <row r="2882" spans="1:16" x14ac:dyDescent="0.3">
      <c r="A2882" s="1">
        <v>45440</v>
      </c>
      <c r="B2882" t="s">
        <v>10</v>
      </c>
      <c r="C2882" t="s">
        <v>11</v>
      </c>
      <c r="D2882" t="s">
        <v>16</v>
      </c>
      <c r="E2882">
        <v>1</v>
      </c>
      <c r="F2882" s="3">
        <v>1043</v>
      </c>
      <c r="G2882" s="2">
        <v>151.13</v>
      </c>
      <c r="H2882">
        <f>Master_ventas[[#This Row],[Profit]]/Master_ventas[[#This Row],[Sales]]</f>
        <v>0.1448993288590604</v>
      </c>
      <c r="I2882">
        <f ca="1">Referencia_Hoy-Master_ventas[[#This Row],[Order Date]]</f>
        <v>883</v>
      </c>
      <c r="J2882" t="str">
        <f>UPPER(Master_ventas[[#This Row],[Product Name]])</f>
        <v>MOUSE</v>
      </c>
      <c r="K2882" t="str">
        <f>UPPER(Master_ventas[[#This Row],[Category]])</f>
        <v>ACCESSORIES</v>
      </c>
      <c r="L2882">
        <f>YEAR(Master_ventas[[#This Row],[Order Date]])</f>
        <v>2024</v>
      </c>
      <c r="M2882" t="str">
        <f>CONCATENATE(LEFT(Master_ventas[[#This Row],[ProdUpper]],3),RIGHT(Master_ventas[[#This Row],[Ext-Year]],2),"-",MID(Master_ventas[[#This Row],[Category]],1,1))</f>
        <v>MOU24-A</v>
      </c>
      <c r="N2882" t="str">
        <f>MID(Master_ventas[[#This Row],[ProdUpper]],1,3)</f>
        <v>MOU</v>
      </c>
      <c r="O2882" t="str">
        <f>UPPER(IF(Master_ventas[[#This Row],[Profit]]&gt;500,"High","Std"))</f>
        <v>STD</v>
      </c>
      <c r="P2882">
        <v>2881</v>
      </c>
    </row>
    <row r="2883" spans="1:16" x14ac:dyDescent="0.3">
      <c r="A2883" s="1">
        <v>44842</v>
      </c>
      <c r="B2883" t="s">
        <v>7</v>
      </c>
      <c r="C2883" t="s">
        <v>8</v>
      </c>
      <c r="D2883" t="s">
        <v>15</v>
      </c>
      <c r="E2883">
        <v>3</v>
      </c>
      <c r="F2883" s="3">
        <v>3330</v>
      </c>
      <c r="G2883" s="2">
        <v>503.85</v>
      </c>
      <c r="H2883">
        <f>Master_ventas[[#This Row],[Profit]]/Master_ventas[[#This Row],[Sales]]</f>
        <v>0.15130630630630632</v>
      </c>
      <c r="I2883">
        <f ca="1">Referencia_Hoy-Master_ventas[[#This Row],[Order Date]]</f>
        <v>1481</v>
      </c>
      <c r="J2883" t="str">
        <f>UPPER(Master_ventas[[#This Row],[Product Name]])</f>
        <v>PRINTER</v>
      </c>
      <c r="K2883" t="str">
        <f>UPPER(Master_ventas[[#This Row],[Category]])</f>
        <v>OFFICE</v>
      </c>
      <c r="L2883">
        <f>YEAR(Master_ventas[[#This Row],[Order Date]])</f>
        <v>2022</v>
      </c>
      <c r="M2883" t="str">
        <f>CONCATENATE(LEFT(Master_ventas[[#This Row],[ProdUpper]],3),RIGHT(Master_ventas[[#This Row],[Ext-Year]],2),"-",MID(Master_ventas[[#This Row],[Category]],1,1))</f>
        <v>PRI22-O</v>
      </c>
      <c r="N2883" t="str">
        <f>MID(Master_ventas[[#This Row],[ProdUpper]],1,3)</f>
        <v>PRI</v>
      </c>
      <c r="O2883" t="str">
        <f>UPPER(IF(Master_ventas[[#This Row],[Profit]]&gt;500,"High","Std"))</f>
        <v>HIGH</v>
      </c>
      <c r="P2883">
        <v>2882</v>
      </c>
    </row>
    <row r="2884" spans="1:16" x14ac:dyDescent="0.3">
      <c r="A2884" s="1">
        <v>44580</v>
      </c>
      <c r="B2884" t="s">
        <v>10</v>
      </c>
      <c r="C2884" t="s">
        <v>11</v>
      </c>
      <c r="D2884" t="s">
        <v>12</v>
      </c>
      <c r="E2884">
        <v>8</v>
      </c>
      <c r="F2884" s="3">
        <v>1896</v>
      </c>
      <c r="G2884" s="2">
        <v>448.53</v>
      </c>
      <c r="H2884">
        <f>Master_ventas[[#This Row],[Profit]]/Master_ventas[[#This Row],[Sales]]</f>
        <v>0.23656645569620252</v>
      </c>
      <c r="I2884">
        <f ca="1">Referencia_Hoy-Master_ventas[[#This Row],[Order Date]]</f>
        <v>1743</v>
      </c>
      <c r="J2884" t="str">
        <f>UPPER(Master_ventas[[#This Row],[Product Name]])</f>
        <v>MOUSE</v>
      </c>
      <c r="K2884" t="str">
        <f>UPPER(Master_ventas[[#This Row],[Category]])</f>
        <v>ACCESSORIES</v>
      </c>
      <c r="L2884">
        <f>YEAR(Master_ventas[[#This Row],[Order Date]])</f>
        <v>2022</v>
      </c>
      <c r="M2884" t="str">
        <f>CONCATENATE(LEFT(Master_ventas[[#This Row],[ProdUpper]],3),RIGHT(Master_ventas[[#This Row],[Ext-Year]],2),"-",MID(Master_ventas[[#This Row],[Category]],1,1))</f>
        <v>MOU22-A</v>
      </c>
      <c r="N2884" t="str">
        <f>MID(Master_ventas[[#This Row],[ProdUpper]],1,3)</f>
        <v>MOU</v>
      </c>
      <c r="O2884" t="str">
        <f>UPPER(IF(Master_ventas[[#This Row],[Profit]]&gt;500,"High","Std"))</f>
        <v>STD</v>
      </c>
      <c r="P2884">
        <v>2883</v>
      </c>
    </row>
    <row r="2885" spans="1:16" x14ac:dyDescent="0.3">
      <c r="A2885" s="1">
        <v>45045</v>
      </c>
      <c r="B2885" t="s">
        <v>17</v>
      </c>
      <c r="C2885" t="s">
        <v>14</v>
      </c>
      <c r="D2885" t="s">
        <v>16</v>
      </c>
      <c r="E2885">
        <v>5</v>
      </c>
      <c r="F2885" s="3">
        <v>5170</v>
      </c>
      <c r="G2885" s="2">
        <v>1248.6600000000001</v>
      </c>
      <c r="H2885">
        <f>Master_ventas[[#This Row],[Profit]]/Master_ventas[[#This Row],[Sales]]</f>
        <v>0.2415203094777563</v>
      </c>
      <c r="I2885">
        <f ca="1">Referencia_Hoy-Master_ventas[[#This Row],[Order Date]]</f>
        <v>1278</v>
      </c>
      <c r="J2885" t="str">
        <f>UPPER(Master_ventas[[#This Row],[Product Name]])</f>
        <v>CAMERA</v>
      </c>
      <c r="K2885" t="str">
        <f>UPPER(Master_ventas[[#This Row],[Category]])</f>
        <v>ELECTRONICS</v>
      </c>
      <c r="L2885">
        <f>YEAR(Master_ventas[[#This Row],[Order Date]])</f>
        <v>2023</v>
      </c>
      <c r="M2885" t="str">
        <f>CONCATENATE(LEFT(Master_ventas[[#This Row],[ProdUpper]],3),RIGHT(Master_ventas[[#This Row],[Ext-Year]],2),"-",MID(Master_ventas[[#This Row],[Category]],1,1))</f>
        <v>CAM23-E</v>
      </c>
      <c r="N2885" t="str">
        <f>MID(Master_ventas[[#This Row],[ProdUpper]],1,3)</f>
        <v>CAM</v>
      </c>
      <c r="O2885" t="str">
        <f>UPPER(IF(Master_ventas[[#This Row],[Profit]]&gt;500,"High","Std"))</f>
        <v>HIGH</v>
      </c>
      <c r="P2885">
        <v>2884</v>
      </c>
    </row>
    <row r="2886" spans="1:16" x14ac:dyDescent="0.3">
      <c r="A2886" s="1">
        <v>45040</v>
      </c>
      <c r="B2886" t="s">
        <v>7</v>
      </c>
      <c r="C2886" t="s">
        <v>8</v>
      </c>
      <c r="D2886" t="s">
        <v>9</v>
      </c>
      <c r="E2886">
        <v>2</v>
      </c>
      <c r="F2886" s="3">
        <v>466</v>
      </c>
      <c r="G2886" s="2">
        <v>25.04</v>
      </c>
      <c r="H2886">
        <f>Master_ventas[[#This Row],[Profit]]/Master_ventas[[#This Row],[Sales]]</f>
        <v>5.3733905579399138E-2</v>
      </c>
      <c r="I2886">
        <f ca="1">Referencia_Hoy-Master_ventas[[#This Row],[Order Date]]</f>
        <v>1283</v>
      </c>
      <c r="J2886" t="str">
        <f>UPPER(Master_ventas[[#This Row],[Product Name]])</f>
        <v>PRINTER</v>
      </c>
      <c r="K2886" t="str">
        <f>UPPER(Master_ventas[[#This Row],[Category]])</f>
        <v>OFFICE</v>
      </c>
      <c r="L2886">
        <f>YEAR(Master_ventas[[#This Row],[Order Date]])</f>
        <v>2023</v>
      </c>
      <c r="M2886" t="str">
        <f>CONCATENATE(LEFT(Master_ventas[[#This Row],[ProdUpper]],3),RIGHT(Master_ventas[[#This Row],[Ext-Year]],2),"-",MID(Master_ventas[[#This Row],[Category]],1,1))</f>
        <v>PRI23-O</v>
      </c>
      <c r="N2886" t="str">
        <f>MID(Master_ventas[[#This Row],[ProdUpper]],1,3)</f>
        <v>PRI</v>
      </c>
      <c r="O2886" t="str">
        <f>UPPER(IF(Master_ventas[[#This Row],[Profit]]&gt;500,"High","Std"))</f>
        <v>STD</v>
      </c>
      <c r="P2886">
        <v>2885</v>
      </c>
    </row>
    <row r="2887" spans="1:16" x14ac:dyDescent="0.3">
      <c r="A2887" s="1">
        <v>45092</v>
      </c>
      <c r="B2887" t="s">
        <v>10</v>
      </c>
      <c r="C2887" t="s">
        <v>11</v>
      </c>
      <c r="D2887" t="s">
        <v>9</v>
      </c>
      <c r="E2887">
        <v>8</v>
      </c>
      <c r="F2887" s="3">
        <v>6032</v>
      </c>
      <c r="G2887" s="2">
        <v>1636.61</v>
      </c>
      <c r="H2887">
        <f>Master_ventas[[#This Row],[Profit]]/Master_ventas[[#This Row],[Sales]]</f>
        <v>0.27132128647214854</v>
      </c>
      <c r="I2887">
        <f ca="1">Referencia_Hoy-Master_ventas[[#This Row],[Order Date]]</f>
        <v>1231</v>
      </c>
      <c r="J2887" t="str">
        <f>UPPER(Master_ventas[[#This Row],[Product Name]])</f>
        <v>MOUSE</v>
      </c>
      <c r="K2887" t="str">
        <f>UPPER(Master_ventas[[#This Row],[Category]])</f>
        <v>ACCESSORIES</v>
      </c>
      <c r="L2887">
        <f>YEAR(Master_ventas[[#This Row],[Order Date]])</f>
        <v>2023</v>
      </c>
      <c r="M2887" t="str">
        <f>CONCATENATE(LEFT(Master_ventas[[#This Row],[ProdUpper]],3),RIGHT(Master_ventas[[#This Row],[Ext-Year]],2),"-",MID(Master_ventas[[#This Row],[Category]],1,1))</f>
        <v>MOU23-A</v>
      </c>
      <c r="N2887" t="str">
        <f>MID(Master_ventas[[#This Row],[ProdUpper]],1,3)</f>
        <v>MOU</v>
      </c>
      <c r="O2887" t="str">
        <f>UPPER(IF(Master_ventas[[#This Row],[Profit]]&gt;500,"High","Std"))</f>
        <v>HIGH</v>
      </c>
      <c r="P2887">
        <v>2886</v>
      </c>
    </row>
    <row r="2888" spans="1:16" x14ac:dyDescent="0.3">
      <c r="A2888" s="1">
        <v>45007</v>
      </c>
      <c r="B2888" t="s">
        <v>17</v>
      </c>
      <c r="C2888" t="s">
        <v>14</v>
      </c>
      <c r="D2888" t="s">
        <v>15</v>
      </c>
      <c r="E2888">
        <v>1</v>
      </c>
      <c r="F2888" s="3">
        <v>1084</v>
      </c>
      <c r="G2888" s="2">
        <v>103.06</v>
      </c>
      <c r="H2888">
        <f>Master_ventas[[#This Row],[Profit]]/Master_ventas[[#This Row],[Sales]]</f>
        <v>9.5073800738007377E-2</v>
      </c>
      <c r="I2888">
        <f ca="1">Referencia_Hoy-Master_ventas[[#This Row],[Order Date]]</f>
        <v>1316</v>
      </c>
      <c r="J2888" t="str">
        <f>UPPER(Master_ventas[[#This Row],[Product Name]])</f>
        <v>CAMERA</v>
      </c>
      <c r="K2888" t="str">
        <f>UPPER(Master_ventas[[#This Row],[Category]])</f>
        <v>ELECTRONICS</v>
      </c>
      <c r="L2888">
        <f>YEAR(Master_ventas[[#This Row],[Order Date]])</f>
        <v>2023</v>
      </c>
      <c r="M2888" t="str">
        <f>CONCATENATE(LEFT(Master_ventas[[#This Row],[ProdUpper]],3),RIGHT(Master_ventas[[#This Row],[Ext-Year]],2),"-",MID(Master_ventas[[#This Row],[Category]],1,1))</f>
        <v>CAM23-E</v>
      </c>
      <c r="N2888" t="str">
        <f>MID(Master_ventas[[#This Row],[ProdUpper]],1,3)</f>
        <v>CAM</v>
      </c>
      <c r="O2888" t="str">
        <f>UPPER(IF(Master_ventas[[#This Row],[Profit]]&gt;500,"High","Std"))</f>
        <v>STD</v>
      </c>
      <c r="P2888">
        <v>2887</v>
      </c>
    </row>
    <row r="2889" spans="1:16" x14ac:dyDescent="0.3">
      <c r="A2889" s="1">
        <v>45189</v>
      </c>
      <c r="B2889" t="s">
        <v>22</v>
      </c>
      <c r="C2889" t="s">
        <v>11</v>
      </c>
      <c r="D2889" t="s">
        <v>9</v>
      </c>
      <c r="E2889">
        <v>2</v>
      </c>
      <c r="F2889" s="3">
        <v>490</v>
      </c>
      <c r="G2889" s="2">
        <v>45.34</v>
      </c>
      <c r="H2889">
        <f>Master_ventas[[#This Row],[Profit]]/Master_ventas[[#This Row],[Sales]]</f>
        <v>9.2530612244897961E-2</v>
      </c>
      <c r="I2889">
        <f ca="1">Referencia_Hoy-Master_ventas[[#This Row],[Order Date]]</f>
        <v>1134</v>
      </c>
      <c r="J2889" t="str">
        <f>UPPER(Master_ventas[[#This Row],[Product Name]])</f>
        <v>KEYBOARD</v>
      </c>
      <c r="K2889" t="str">
        <f>UPPER(Master_ventas[[#This Row],[Category]])</f>
        <v>ACCESSORIES</v>
      </c>
      <c r="L2889">
        <f>YEAR(Master_ventas[[#This Row],[Order Date]])</f>
        <v>2023</v>
      </c>
      <c r="M2889" t="str">
        <f>CONCATENATE(LEFT(Master_ventas[[#This Row],[ProdUpper]],3),RIGHT(Master_ventas[[#This Row],[Ext-Year]],2),"-",MID(Master_ventas[[#This Row],[Category]],1,1))</f>
        <v>KEY23-A</v>
      </c>
      <c r="N2889" t="str">
        <f>MID(Master_ventas[[#This Row],[ProdUpper]],1,3)</f>
        <v>KEY</v>
      </c>
      <c r="O2889" t="str">
        <f>UPPER(IF(Master_ventas[[#This Row],[Profit]]&gt;500,"High","Std"))</f>
        <v>STD</v>
      </c>
      <c r="P2889">
        <v>2888</v>
      </c>
    </row>
    <row r="2890" spans="1:16" x14ac:dyDescent="0.3">
      <c r="A2890" s="1">
        <v>44742</v>
      </c>
      <c r="B2890" t="s">
        <v>20</v>
      </c>
      <c r="C2890" t="s">
        <v>11</v>
      </c>
      <c r="D2890" t="s">
        <v>9</v>
      </c>
      <c r="E2890">
        <v>6</v>
      </c>
      <c r="F2890" s="3">
        <v>558</v>
      </c>
      <c r="G2890" s="2">
        <v>57.01</v>
      </c>
      <c r="H2890">
        <f>Master_ventas[[#This Row],[Profit]]/Master_ventas[[#This Row],[Sales]]</f>
        <v>0.10216845878136201</v>
      </c>
      <c r="I2890">
        <f ca="1">Referencia_Hoy-Master_ventas[[#This Row],[Order Date]]</f>
        <v>1581</v>
      </c>
      <c r="J2890" t="str">
        <f>UPPER(Master_ventas[[#This Row],[Product Name]])</f>
        <v>MONITOR</v>
      </c>
      <c r="K2890" t="str">
        <f>UPPER(Master_ventas[[#This Row],[Category]])</f>
        <v>ACCESSORIES</v>
      </c>
      <c r="L2890">
        <f>YEAR(Master_ventas[[#This Row],[Order Date]])</f>
        <v>2022</v>
      </c>
      <c r="M2890" t="str">
        <f>CONCATENATE(LEFT(Master_ventas[[#This Row],[ProdUpper]],3),RIGHT(Master_ventas[[#This Row],[Ext-Year]],2),"-",MID(Master_ventas[[#This Row],[Category]],1,1))</f>
        <v>MON22-A</v>
      </c>
      <c r="N2890" t="str">
        <f>MID(Master_ventas[[#This Row],[ProdUpper]],1,3)</f>
        <v>MON</v>
      </c>
      <c r="O2890" t="str">
        <f>UPPER(IF(Master_ventas[[#This Row],[Profit]]&gt;500,"High","Std"))</f>
        <v>STD</v>
      </c>
      <c r="P2890">
        <v>2889</v>
      </c>
    </row>
    <row r="2891" spans="1:16" x14ac:dyDescent="0.3">
      <c r="A2891" s="1">
        <v>45340</v>
      </c>
      <c r="B2891" t="s">
        <v>20</v>
      </c>
      <c r="C2891" t="s">
        <v>11</v>
      </c>
      <c r="D2891" t="s">
        <v>12</v>
      </c>
      <c r="E2891">
        <v>4</v>
      </c>
      <c r="F2891" s="3">
        <v>4024</v>
      </c>
      <c r="G2891" s="2">
        <v>787.06</v>
      </c>
      <c r="H2891">
        <f>Master_ventas[[#This Row],[Profit]]/Master_ventas[[#This Row],[Sales]]</f>
        <v>0.1955914512922465</v>
      </c>
      <c r="I2891">
        <f ca="1">Referencia_Hoy-Master_ventas[[#This Row],[Order Date]]</f>
        <v>983</v>
      </c>
      <c r="J2891" t="str">
        <f>UPPER(Master_ventas[[#This Row],[Product Name]])</f>
        <v>MONITOR</v>
      </c>
      <c r="K2891" t="str">
        <f>UPPER(Master_ventas[[#This Row],[Category]])</f>
        <v>ACCESSORIES</v>
      </c>
      <c r="L2891">
        <f>YEAR(Master_ventas[[#This Row],[Order Date]])</f>
        <v>2024</v>
      </c>
      <c r="M2891" t="str">
        <f>CONCATENATE(LEFT(Master_ventas[[#This Row],[ProdUpper]],3),RIGHT(Master_ventas[[#This Row],[Ext-Year]],2),"-",MID(Master_ventas[[#This Row],[Category]],1,1))</f>
        <v>MON24-A</v>
      </c>
      <c r="N2891" t="str">
        <f>MID(Master_ventas[[#This Row],[ProdUpper]],1,3)</f>
        <v>MON</v>
      </c>
      <c r="O2891" t="str">
        <f>UPPER(IF(Master_ventas[[#This Row],[Profit]]&gt;500,"High","Std"))</f>
        <v>HIGH</v>
      </c>
      <c r="P2891">
        <v>2890</v>
      </c>
    </row>
    <row r="2892" spans="1:16" x14ac:dyDescent="0.3">
      <c r="A2892" s="1">
        <v>44959</v>
      </c>
      <c r="B2892" t="s">
        <v>10</v>
      </c>
      <c r="C2892" t="s">
        <v>11</v>
      </c>
      <c r="D2892" t="s">
        <v>12</v>
      </c>
      <c r="E2892">
        <v>4</v>
      </c>
      <c r="F2892" s="3">
        <v>1560</v>
      </c>
      <c r="G2892" s="2">
        <v>461.15</v>
      </c>
      <c r="H2892">
        <f>Master_ventas[[#This Row],[Profit]]/Master_ventas[[#This Row],[Sales]]</f>
        <v>0.29560897435897432</v>
      </c>
      <c r="I2892">
        <f ca="1">Referencia_Hoy-Master_ventas[[#This Row],[Order Date]]</f>
        <v>1364</v>
      </c>
      <c r="J2892" t="str">
        <f>UPPER(Master_ventas[[#This Row],[Product Name]])</f>
        <v>MOUSE</v>
      </c>
      <c r="K2892" t="str">
        <f>UPPER(Master_ventas[[#This Row],[Category]])</f>
        <v>ACCESSORIES</v>
      </c>
      <c r="L2892">
        <f>YEAR(Master_ventas[[#This Row],[Order Date]])</f>
        <v>2023</v>
      </c>
      <c r="M2892" t="str">
        <f>CONCATENATE(LEFT(Master_ventas[[#This Row],[ProdUpper]],3),RIGHT(Master_ventas[[#This Row],[Ext-Year]],2),"-",MID(Master_ventas[[#This Row],[Category]],1,1))</f>
        <v>MOU23-A</v>
      </c>
      <c r="N2892" t="str">
        <f>MID(Master_ventas[[#This Row],[ProdUpper]],1,3)</f>
        <v>MOU</v>
      </c>
      <c r="O2892" t="str">
        <f>UPPER(IF(Master_ventas[[#This Row],[Profit]]&gt;500,"High","Std"))</f>
        <v>STD</v>
      </c>
      <c r="P2892">
        <v>2891</v>
      </c>
    </row>
    <row r="2893" spans="1:16" x14ac:dyDescent="0.3">
      <c r="A2893" s="1">
        <v>45359</v>
      </c>
      <c r="B2893" t="s">
        <v>23</v>
      </c>
      <c r="C2893" t="s">
        <v>14</v>
      </c>
      <c r="D2893" t="s">
        <v>9</v>
      </c>
      <c r="E2893">
        <v>1</v>
      </c>
      <c r="F2893" s="3">
        <v>126</v>
      </c>
      <c r="G2893" s="2">
        <v>26.62</v>
      </c>
      <c r="H2893">
        <f>Master_ventas[[#This Row],[Profit]]/Master_ventas[[#This Row],[Sales]]</f>
        <v>0.21126984126984127</v>
      </c>
      <c r="I2893">
        <f ca="1">Referencia_Hoy-Master_ventas[[#This Row],[Order Date]]</f>
        <v>964</v>
      </c>
      <c r="J2893" t="str">
        <f>UPPER(Master_ventas[[#This Row],[Product Name]])</f>
        <v>LAPTOP</v>
      </c>
      <c r="K2893" t="str">
        <f>UPPER(Master_ventas[[#This Row],[Category]])</f>
        <v>ELECTRONICS</v>
      </c>
      <c r="L2893">
        <f>YEAR(Master_ventas[[#This Row],[Order Date]])</f>
        <v>2024</v>
      </c>
      <c r="M2893" t="str">
        <f>CONCATENATE(LEFT(Master_ventas[[#This Row],[ProdUpper]],3),RIGHT(Master_ventas[[#This Row],[Ext-Year]],2),"-",MID(Master_ventas[[#This Row],[Category]],1,1))</f>
        <v>LAP24-E</v>
      </c>
      <c r="N2893" t="str">
        <f>MID(Master_ventas[[#This Row],[ProdUpper]],1,3)</f>
        <v>LAP</v>
      </c>
      <c r="O2893" t="str">
        <f>UPPER(IF(Master_ventas[[#This Row],[Profit]]&gt;500,"High","Std"))</f>
        <v>STD</v>
      </c>
      <c r="P2893">
        <v>2892</v>
      </c>
    </row>
    <row r="2894" spans="1:16" x14ac:dyDescent="0.3">
      <c r="A2894" s="1">
        <v>45207</v>
      </c>
      <c r="B2894" t="s">
        <v>10</v>
      </c>
      <c r="C2894" t="s">
        <v>11</v>
      </c>
      <c r="D2894" t="s">
        <v>15</v>
      </c>
      <c r="E2894">
        <v>7</v>
      </c>
      <c r="F2894" s="3">
        <v>4921</v>
      </c>
      <c r="G2894" s="2">
        <v>827.87</v>
      </c>
      <c r="H2894">
        <f>Master_ventas[[#This Row],[Profit]]/Master_ventas[[#This Row],[Sales]]</f>
        <v>0.16823206665311929</v>
      </c>
      <c r="I2894">
        <f ca="1">Referencia_Hoy-Master_ventas[[#This Row],[Order Date]]</f>
        <v>1116</v>
      </c>
      <c r="J2894" t="str">
        <f>UPPER(Master_ventas[[#This Row],[Product Name]])</f>
        <v>MOUSE</v>
      </c>
      <c r="K2894" t="str">
        <f>UPPER(Master_ventas[[#This Row],[Category]])</f>
        <v>ACCESSORIES</v>
      </c>
      <c r="L2894">
        <f>YEAR(Master_ventas[[#This Row],[Order Date]])</f>
        <v>2023</v>
      </c>
      <c r="M2894" t="str">
        <f>CONCATENATE(LEFT(Master_ventas[[#This Row],[ProdUpper]],3),RIGHT(Master_ventas[[#This Row],[Ext-Year]],2),"-",MID(Master_ventas[[#This Row],[Category]],1,1))</f>
        <v>MOU23-A</v>
      </c>
      <c r="N2894" t="str">
        <f>MID(Master_ventas[[#This Row],[ProdUpper]],1,3)</f>
        <v>MOU</v>
      </c>
      <c r="O2894" t="str">
        <f>UPPER(IF(Master_ventas[[#This Row],[Profit]]&gt;500,"High","Std"))</f>
        <v>HIGH</v>
      </c>
      <c r="P2894">
        <v>2893</v>
      </c>
    </row>
    <row r="2895" spans="1:16" x14ac:dyDescent="0.3">
      <c r="A2895" s="1">
        <v>45209</v>
      </c>
      <c r="B2895" t="s">
        <v>18</v>
      </c>
      <c r="C2895" t="s">
        <v>11</v>
      </c>
      <c r="D2895" t="s">
        <v>16</v>
      </c>
      <c r="E2895">
        <v>5</v>
      </c>
      <c r="F2895" s="3">
        <v>2665</v>
      </c>
      <c r="G2895" s="2">
        <v>532.76</v>
      </c>
      <c r="H2895">
        <f>Master_ventas[[#This Row],[Profit]]/Master_ventas[[#This Row],[Sales]]</f>
        <v>0.19990994371482176</v>
      </c>
      <c r="I2895">
        <f ca="1">Referencia_Hoy-Master_ventas[[#This Row],[Order Date]]</f>
        <v>1114</v>
      </c>
      <c r="J2895" t="str">
        <f>UPPER(Master_ventas[[#This Row],[Product Name]])</f>
        <v>HEADPHONES</v>
      </c>
      <c r="K2895" t="str">
        <f>UPPER(Master_ventas[[#This Row],[Category]])</f>
        <v>ACCESSORIES</v>
      </c>
      <c r="L2895">
        <f>YEAR(Master_ventas[[#This Row],[Order Date]])</f>
        <v>2023</v>
      </c>
      <c r="M2895" t="str">
        <f>CONCATENATE(LEFT(Master_ventas[[#This Row],[ProdUpper]],3),RIGHT(Master_ventas[[#This Row],[Ext-Year]],2),"-",MID(Master_ventas[[#This Row],[Category]],1,1))</f>
        <v>HEA23-A</v>
      </c>
      <c r="N2895" t="str">
        <f>MID(Master_ventas[[#This Row],[ProdUpper]],1,3)</f>
        <v>HEA</v>
      </c>
      <c r="O2895" t="str">
        <f>UPPER(IF(Master_ventas[[#This Row],[Profit]]&gt;500,"High","Std"))</f>
        <v>HIGH</v>
      </c>
      <c r="P2895">
        <v>2894</v>
      </c>
    </row>
    <row r="2896" spans="1:16" x14ac:dyDescent="0.3">
      <c r="A2896" s="1">
        <v>45021</v>
      </c>
      <c r="B2896" t="s">
        <v>18</v>
      </c>
      <c r="C2896" t="s">
        <v>11</v>
      </c>
      <c r="D2896" t="s">
        <v>15</v>
      </c>
      <c r="E2896">
        <v>4</v>
      </c>
      <c r="F2896" s="3">
        <v>200</v>
      </c>
      <c r="G2896" s="2">
        <v>58.42</v>
      </c>
      <c r="H2896">
        <f>Master_ventas[[#This Row],[Profit]]/Master_ventas[[#This Row],[Sales]]</f>
        <v>0.29210000000000003</v>
      </c>
      <c r="I2896">
        <f ca="1">Referencia_Hoy-Master_ventas[[#This Row],[Order Date]]</f>
        <v>1302</v>
      </c>
      <c r="J2896" t="str">
        <f>UPPER(Master_ventas[[#This Row],[Product Name]])</f>
        <v>HEADPHONES</v>
      </c>
      <c r="K2896" t="str">
        <f>UPPER(Master_ventas[[#This Row],[Category]])</f>
        <v>ACCESSORIES</v>
      </c>
      <c r="L2896">
        <f>YEAR(Master_ventas[[#This Row],[Order Date]])</f>
        <v>2023</v>
      </c>
      <c r="M2896" t="str">
        <f>CONCATENATE(LEFT(Master_ventas[[#This Row],[ProdUpper]],3),RIGHT(Master_ventas[[#This Row],[Ext-Year]],2),"-",MID(Master_ventas[[#This Row],[Category]],1,1))</f>
        <v>HEA23-A</v>
      </c>
      <c r="N2896" t="str">
        <f>MID(Master_ventas[[#This Row],[ProdUpper]],1,3)</f>
        <v>HEA</v>
      </c>
      <c r="O2896" t="str">
        <f>UPPER(IF(Master_ventas[[#This Row],[Profit]]&gt;500,"High","Std"))</f>
        <v>STD</v>
      </c>
      <c r="P2896">
        <v>2895</v>
      </c>
    </row>
    <row r="2897" spans="1:16" x14ac:dyDescent="0.3">
      <c r="A2897" s="1">
        <v>45505</v>
      </c>
      <c r="B2897" t="s">
        <v>19</v>
      </c>
      <c r="C2897" t="s">
        <v>14</v>
      </c>
      <c r="D2897" t="s">
        <v>12</v>
      </c>
      <c r="E2897">
        <v>2</v>
      </c>
      <c r="F2897" s="3">
        <v>186</v>
      </c>
      <c r="G2897" s="2">
        <v>32.479999999999997</v>
      </c>
      <c r="H2897">
        <f>Master_ventas[[#This Row],[Profit]]/Master_ventas[[#This Row],[Sales]]</f>
        <v>0.17462365591397846</v>
      </c>
      <c r="I2897">
        <f ca="1">Referencia_Hoy-Master_ventas[[#This Row],[Order Date]]</f>
        <v>818</v>
      </c>
      <c r="J2897" t="str">
        <f>UPPER(Master_ventas[[#This Row],[Product Name]])</f>
        <v>SMARTWATCH</v>
      </c>
      <c r="K2897" t="str">
        <f>UPPER(Master_ventas[[#This Row],[Category]])</f>
        <v>ELECTRONICS</v>
      </c>
      <c r="L2897">
        <f>YEAR(Master_ventas[[#This Row],[Order Date]])</f>
        <v>2024</v>
      </c>
      <c r="M2897" t="str">
        <f>CONCATENATE(LEFT(Master_ventas[[#This Row],[ProdUpper]],3),RIGHT(Master_ventas[[#This Row],[Ext-Year]],2),"-",MID(Master_ventas[[#This Row],[Category]],1,1))</f>
        <v>SMA24-E</v>
      </c>
      <c r="N2897" t="str">
        <f>MID(Master_ventas[[#This Row],[ProdUpper]],1,3)</f>
        <v>SMA</v>
      </c>
      <c r="O2897" t="str">
        <f>UPPER(IF(Master_ventas[[#This Row],[Profit]]&gt;500,"High","Std"))</f>
        <v>STD</v>
      </c>
      <c r="P2897">
        <v>2896</v>
      </c>
    </row>
    <row r="2898" spans="1:16" x14ac:dyDescent="0.3">
      <c r="A2898" s="1">
        <v>45577</v>
      </c>
      <c r="B2898" t="s">
        <v>20</v>
      </c>
      <c r="C2898" t="s">
        <v>11</v>
      </c>
      <c r="D2898" t="s">
        <v>15</v>
      </c>
      <c r="E2898">
        <v>8</v>
      </c>
      <c r="F2898" s="3">
        <v>5456</v>
      </c>
      <c r="G2898" s="2">
        <v>898.06</v>
      </c>
      <c r="H2898">
        <f>Master_ventas[[#This Row],[Profit]]/Master_ventas[[#This Row],[Sales]]</f>
        <v>0.16460043988269793</v>
      </c>
      <c r="I2898">
        <f ca="1">Referencia_Hoy-Master_ventas[[#This Row],[Order Date]]</f>
        <v>746</v>
      </c>
      <c r="J2898" t="str">
        <f>UPPER(Master_ventas[[#This Row],[Product Name]])</f>
        <v>MONITOR</v>
      </c>
      <c r="K2898" t="str">
        <f>UPPER(Master_ventas[[#This Row],[Category]])</f>
        <v>ACCESSORIES</v>
      </c>
      <c r="L2898">
        <f>YEAR(Master_ventas[[#This Row],[Order Date]])</f>
        <v>2024</v>
      </c>
      <c r="M2898" t="str">
        <f>CONCATENATE(LEFT(Master_ventas[[#This Row],[ProdUpper]],3),RIGHT(Master_ventas[[#This Row],[Ext-Year]],2),"-",MID(Master_ventas[[#This Row],[Category]],1,1))</f>
        <v>MON24-A</v>
      </c>
      <c r="N2898" t="str">
        <f>MID(Master_ventas[[#This Row],[ProdUpper]],1,3)</f>
        <v>MON</v>
      </c>
      <c r="O2898" t="str">
        <f>UPPER(IF(Master_ventas[[#This Row],[Profit]]&gt;500,"High","Std"))</f>
        <v>HIGH</v>
      </c>
      <c r="P2898">
        <v>2897</v>
      </c>
    </row>
    <row r="2899" spans="1:16" x14ac:dyDescent="0.3">
      <c r="A2899" s="1">
        <v>44771</v>
      </c>
      <c r="B2899" t="s">
        <v>19</v>
      </c>
      <c r="C2899" t="s">
        <v>14</v>
      </c>
      <c r="D2899" t="s">
        <v>16</v>
      </c>
      <c r="E2899">
        <v>9</v>
      </c>
      <c r="F2899" s="3">
        <v>3321</v>
      </c>
      <c r="G2899" s="2">
        <v>540.66999999999996</v>
      </c>
      <c r="H2899">
        <f>Master_ventas[[#This Row],[Profit]]/Master_ventas[[#This Row],[Sales]]</f>
        <v>0.1628033724781692</v>
      </c>
      <c r="I2899">
        <f ca="1">Referencia_Hoy-Master_ventas[[#This Row],[Order Date]]</f>
        <v>1552</v>
      </c>
      <c r="J2899" t="str">
        <f>UPPER(Master_ventas[[#This Row],[Product Name]])</f>
        <v>SMARTWATCH</v>
      </c>
      <c r="K2899" t="str">
        <f>UPPER(Master_ventas[[#This Row],[Category]])</f>
        <v>ELECTRONICS</v>
      </c>
      <c r="L2899">
        <f>YEAR(Master_ventas[[#This Row],[Order Date]])</f>
        <v>2022</v>
      </c>
      <c r="M2899" t="str">
        <f>CONCATENATE(LEFT(Master_ventas[[#This Row],[ProdUpper]],3),RIGHT(Master_ventas[[#This Row],[Ext-Year]],2),"-",MID(Master_ventas[[#This Row],[Category]],1,1))</f>
        <v>SMA22-E</v>
      </c>
      <c r="N2899" t="str">
        <f>MID(Master_ventas[[#This Row],[ProdUpper]],1,3)</f>
        <v>SMA</v>
      </c>
      <c r="O2899" t="str">
        <f>UPPER(IF(Master_ventas[[#This Row],[Profit]]&gt;500,"High","Std"))</f>
        <v>HIGH</v>
      </c>
      <c r="P2899">
        <v>2898</v>
      </c>
    </row>
    <row r="2900" spans="1:16" x14ac:dyDescent="0.3">
      <c r="A2900" s="1">
        <v>45335</v>
      </c>
      <c r="B2900" t="s">
        <v>18</v>
      </c>
      <c r="C2900" t="s">
        <v>11</v>
      </c>
      <c r="D2900" t="s">
        <v>9</v>
      </c>
      <c r="E2900">
        <v>7</v>
      </c>
      <c r="F2900" s="3">
        <v>3766</v>
      </c>
      <c r="G2900" s="2">
        <v>914.49</v>
      </c>
      <c r="H2900">
        <f>Master_ventas[[#This Row],[Profit]]/Master_ventas[[#This Row],[Sales]]</f>
        <v>0.24282793414763676</v>
      </c>
      <c r="I2900">
        <f ca="1">Referencia_Hoy-Master_ventas[[#This Row],[Order Date]]</f>
        <v>988</v>
      </c>
      <c r="J2900" t="str">
        <f>UPPER(Master_ventas[[#This Row],[Product Name]])</f>
        <v>HEADPHONES</v>
      </c>
      <c r="K2900" t="str">
        <f>UPPER(Master_ventas[[#This Row],[Category]])</f>
        <v>ACCESSORIES</v>
      </c>
      <c r="L2900">
        <f>YEAR(Master_ventas[[#This Row],[Order Date]])</f>
        <v>2024</v>
      </c>
      <c r="M2900" t="str">
        <f>CONCATENATE(LEFT(Master_ventas[[#This Row],[ProdUpper]],3),RIGHT(Master_ventas[[#This Row],[Ext-Year]],2),"-",MID(Master_ventas[[#This Row],[Category]],1,1))</f>
        <v>HEA24-A</v>
      </c>
      <c r="N2900" t="str">
        <f>MID(Master_ventas[[#This Row],[ProdUpper]],1,3)</f>
        <v>HEA</v>
      </c>
      <c r="O2900" t="str">
        <f>UPPER(IF(Master_ventas[[#This Row],[Profit]]&gt;500,"High","Std"))</f>
        <v>HIGH</v>
      </c>
      <c r="P2900">
        <v>2899</v>
      </c>
    </row>
    <row r="2901" spans="1:16" x14ac:dyDescent="0.3">
      <c r="A2901" s="1">
        <v>44688</v>
      </c>
      <c r="B2901" t="s">
        <v>22</v>
      </c>
      <c r="C2901" t="s">
        <v>11</v>
      </c>
      <c r="D2901" t="s">
        <v>16</v>
      </c>
      <c r="E2901">
        <v>6</v>
      </c>
      <c r="F2901" s="3">
        <v>3150</v>
      </c>
      <c r="G2901" s="2">
        <v>498.63</v>
      </c>
      <c r="H2901">
        <f>Master_ventas[[#This Row],[Profit]]/Master_ventas[[#This Row],[Sales]]</f>
        <v>0.1582952380952381</v>
      </c>
      <c r="I2901">
        <f ca="1">Referencia_Hoy-Master_ventas[[#This Row],[Order Date]]</f>
        <v>1635</v>
      </c>
      <c r="J2901" t="str">
        <f>UPPER(Master_ventas[[#This Row],[Product Name]])</f>
        <v>KEYBOARD</v>
      </c>
      <c r="K2901" t="str">
        <f>UPPER(Master_ventas[[#This Row],[Category]])</f>
        <v>ACCESSORIES</v>
      </c>
      <c r="L2901">
        <f>YEAR(Master_ventas[[#This Row],[Order Date]])</f>
        <v>2022</v>
      </c>
      <c r="M2901" t="str">
        <f>CONCATENATE(LEFT(Master_ventas[[#This Row],[ProdUpper]],3),RIGHT(Master_ventas[[#This Row],[Ext-Year]],2),"-",MID(Master_ventas[[#This Row],[Category]],1,1))</f>
        <v>KEY22-A</v>
      </c>
      <c r="N2901" t="str">
        <f>MID(Master_ventas[[#This Row],[ProdUpper]],1,3)</f>
        <v>KEY</v>
      </c>
      <c r="O2901" t="str">
        <f>UPPER(IF(Master_ventas[[#This Row],[Profit]]&gt;500,"High","Std"))</f>
        <v>STD</v>
      </c>
      <c r="P2901">
        <v>2900</v>
      </c>
    </row>
    <row r="2902" spans="1:16" x14ac:dyDescent="0.3">
      <c r="A2902" s="1">
        <v>44700</v>
      </c>
      <c r="B2902" t="s">
        <v>23</v>
      </c>
      <c r="C2902" t="s">
        <v>14</v>
      </c>
      <c r="D2902" t="s">
        <v>12</v>
      </c>
      <c r="E2902">
        <v>2</v>
      </c>
      <c r="F2902" s="3">
        <v>646</v>
      </c>
      <c r="G2902" s="2">
        <v>110.13</v>
      </c>
      <c r="H2902">
        <f>Master_ventas[[#This Row],[Profit]]/Master_ventas[[#This Row],[Sales]]</f>
        <v>0.1704798761609907</v>
      </c>
      <c r="I2902">
        <f ca="1">Referencia_Hoy-Master_ventas[[#This Row],[Order Date]]</f>
        <v>1623</v>
      </c>
      <c r="J2902" t="str">
        <f>UPPER(Master_ventas[[#This Row],[Product Name]])</f>
        <v>LAPTOP</v>
      </c>
      <c r="K2902" t="str">
        <f>UPPER(Master_ventas[[#This Row],[Category]])</f>
        <v>ELECTRONICS</v>
      </c>
      <c r="L2902">
        <f>YEAR(Master_ventas[[#This Row],[Order Date]])</f>
        <v>2022</v>
      </c>
      <c r="M2902" t="str">
        <f>CONCATENATE(LEFT(Master_ventas[[#This Row],[ProdUpper]],3),RIGHT(Master_ventas[[#This Row],[Ext-Year]],2),"-",MID(Master_ventas[[#This Row],[Category]],1,1))</f>
        <v>LAP22-E</v>
      </c>
      <c r="N2902" t="str">
        <f>MID(Master_ventas[[#This Row],[ProdUpper]],1,3)</f>
        <v>LAP</v>
      </c>
      <c r="O2902" t="str">
        <f>UPPER(IF(Master_ventas[[#This Row],[Profit]]&gt;500,"High","Std"))</f>
        <v>STD</v>
      </c>
      <c r="P2902">
        <v>2901</v>
      </c>
    </row>
    <row r="2903" spans="1:16" x14ac:dyDescent="0.3">
      <c r="A2903" s="1">
        <v>44785</v>
      </c>
      <c r="B2903" t="s">
        <v>21</v>
      </c>
      <c r="C2903" t="s">
        <v>14</v>
      </c>
      <c r="D2903" t="s">
        <v>15</v>
      </c>
      <c r="E2903">
        <v>5</v>
      </c>
      <c r="F2903" s="3">
        <v>2665</v>
      </c>
      <c r="G2903" s="2">
        <v>369.73</v>
      </c>
      <c r="H2903">
        <f>Master_ventas[[#This Row],[Profit]]/Master_ventas[[#This Row],[Sales]]</f>
        <v>0.13873545966228892</v>
      </c>
      <c r="I2903">
        <f ca="1">Referencia_Hoy-Master_ventas[[#This Row],[Order Date]]</f>
        <v>1538</v>
      </c>
      <c r="J2903" t="str">
        <f>UPPER(Master_ventas[[#This Row],[Product Name]])</f>
        <v>SMARTPHONE</v>
      </c>
      <c r="K2903" t="str">
        <f>UPPER(Master_ventas[[#This Row],[Category]])</f>
        <v>ELECTRONICS</v>
      </c>
      <c r="L2903">
        <f>YEAR(Master_ventas[[#This Row],[Order Date]])</f>
        <v>2022</v>
      </c>
      <c r="M2903" t="str">
        <f>CONCATENATE(LEFT(Master_ventas[[#This Row],[ProdUpper]],3),RIGHT(Master_ventas[[#This Row],[Ext-Year]],2),"-",MID(Master_ventas[[#This Row],[Category]],1,1))</f>
        <v>SMA22-E</v>
      </c>
      <c r="N2903" t="str">
        <f>MID(Master_ventas[[#This Row],[ProdUpper]],1,3)</f>
        <v>SMA</v>
      </c>
      <c r="O2903" t="str">
        <f>UPPER(IF(Master_ventas[[#This Row],[Profit]]&gt;500,"High","Std"))</f>
        <v>STD</v>
      </c>
      <c r="P2903">
        <v>2902</v>
      </c>
    </row>
    <row r="2904" spans="1:16" x14ac:dyDescent="0.3">
      <c r="A2904" s="1">
        <v>45212</v>
      </c>
      <c r="B2904" t="s">
        <v>19</v>
      </c>
      <c r="C2904" t="s">
        <v>14</v>
      </c>
      <c r="D2904" t="s">
        <v>9</v>
      </c>
      <c r="E2904">
        <v>9</v>
      </c>
      <c r="F2904" s="3">
        <v>1467</v>
      </c>
      <c r="G2904" s="2">
        <v>384.22</v>
      </c>
      <c r="H2904">
        <f>Master_ventas[[#This Row],[Profit]]/Master_ventas[[#This Row],[Sales]]</f>
        <v>0.26190865712338107</v>
      </c>
      <c r="I2904">
        <f ca="1">Referencia_Hoy-Master_ventas[[#This Row],[Order Date]]</f>
        <v>1111</v>
      </c>
      <c r="J2904" t="str">
        <f>UPPER(Master_ventas[[#This Row],[Product Name]])</f>
        <v>SMARTWATCH</v>
      </c>
      <c r="K2904" t="str">
        <f>UPPER(Master_ventas[[#This Row],[Category]])</f>
        <v>ELECTRONICS</v>
      </c>
      <c r="L2904">
        <f>YEAR(Master_ventas[[#This Row],[Order Date]])</f>
        <v>2023</v>
      </c>
      <c r="M2904" t="str">
        <f>CONCATENATE(LEFT(Master_ventas[[#This Row],[ProdUpper]],3),RIGHT(Master_ventas[[#This Row],[Ext-Year]],2),"-",MID(Master_ventas[[#This Row],[Category]],1,1))</f>
        <v>SMA23-E</v>
      </c>
      <c r="N2904" t="str">
        <f>MID(Master_ventas[[#This Row],[ProdUpper]],1,3)</f>
        <v>SMA</v>
      </c>
      <c r="O2904" t="str">
        <f>UPPER(IF(Master_ventas[[#This Row],[Profit]]&gt;500,"High","Std"))</f>
        <v>STD</v>
      </c>
      <c r="P2904">
        <v>2903</v>
      </c>
    </row>
    <row r="2905" spans="1:16" x14ac:dyDescent="0.3">
      <c r="A2905" s="1">
        <v>45478</v>
      </c>
      <c r="B2905" t="s">
        <v>13</v>
      </c>
      <c r="C2905" t="s">
        <v>14</v>
      </c>
      <c r="D2905" t="s">
        <v>9</v>
      </c>
      <c r="E2905">
        <v>7</v>
      </c>
      <c r="F2905" s="3">
        <v>4620</v>
      </c>
      <c r="G2905" s="2">
        <v>990.79</v>
      </c>
      <c r="H2905">
        <f>Master_ventas[[#This Row],[Profit]]/Master_ventas[[#This Row],[Sales]]</f>
        <v>0.21445670995670996</v>
      </c>
      <c r="I2905">
        <f ca="1">Referencia_Hoy-Master_ventas[[#This Row],[Order Date]]</f>
        <v>845</v>
      </c>
      <c r="J2905" t="str">
        <f>UPPER(Master_ventas[[#This Row],[Product Name]])</f>
        <v>TABLET</v>
      </c>
      <c r="K2905" t="str">
        <f>UPPER(Master_ventas[[#This Row],[Category]])</f>
        <v>ELECTRONICS</v>
      </c>
      <c r="L2905">
        <f>YEAR(Master_ventas[[#This Row],[Order Date]])</f>
        <v>2024</v>
      </c>
      <c r="M2905" t="str">
        <f>CONCATENATE(LEFT(Master_ventas[[#This Row],[ProdUpper]],3),RIGHT(Master_ventas[[#This Row],[Ext-Year]],2),"-",MID(Master_ventas[[#This Row],[Category]],1,1))</f>
        <v>TAB24-E</v>
      </c>
      <c r="N2905" t="str">
        <f>MID(Master_ventas[[#This Row],[ProdUpper]],1,3)</f>
        <v>TAB</v>
      </c>
      <c r="O2905" t="str">
        <f>UPPER(IF(Master_ventas[[#This Row],[Profit]]&gt;500,"High","Std"))</f>
        <v>HIGH</v>
      </c>
      <c r="P2905">
        <v>2904</v>
      </c>
    </row>
    <row r="2906" spans="1:16" x14ac:dyDescent="0.3">
      <c r="A2906" s="1">
        <v>45002</v>
      </c>
      <c r="B2906" t="s">
        <v>13</v>
      </c>
      <c r="C2906" t="s">
        <v>14</v>
      </c>
      <c r="D2906" t="s">
        <v>16</v>
      </c>
      <c r="E2906">
        <v>8</v>
      </c>
      <c r="F2906" s="3">
        <v>1184</v>
      </c>
      <c r="G2906" s="2">
        <v>148.69</v>
      </c>
      <c r="H2906">
        <f>Master_ventas[[#This Row],[Profit]]/Master_ventas[[#This Row],[Sales]]</f>
        <v>0.12558277027027026</v>
      </c>
      <c r="I2906">
        <f ca="1">Referencia_Hoy-Master_ventas[[#This Row],[Order Date]]</f>
        <v>1321</v>
      </c>
      <c r="J2906" t="str">
        <f>UPPER(Master_ventas[[#This Row],[Product Name]])</f>
        <v>TABLET</v>
      </c>
      <c r="K2906" t="str">
        <f>UPPER(Master_ventas[[#This Row],[Category]])</f>
        <v>ELECTRONICS</v>
      </c>
      <c r="L2906">
        <f>YEAR(Master_ventas[[#This Row],[Order Date]])</f>
        <v>2023</v>
      </c>
      <c r="M2906" t="str">
        <f>CONCATENATE(LEFT(Master_ventas[[#This Row],[ProdUpper]],3),RIGHT(Master_ventas[[#This Row],[Ext-Year]],2),"-",MID(Master_ventas[[#This Row],[Category]],1,1))</f>
        <v>TAB23-E</v>
      </c>
      <c r="N2906" t="str">
        <f>MID(Master_ventas[[#This Row],[ProdUpper]],1,3)</f>
        <v>TAB</v>
      </c>
      <c r="O2906" t="str">
        <f>UPPER(IF(Master_ventas[[#This Row],[Profit]]&gt;500,"High","Std"))</f>
        <v>STD</v>
      </c>
      <c r="P2906">
        <v>2905</v>
      </c>
    </row>
    <row r="2907" spans="1:16" x14ac:dyDescent="0.3">
      <c r="A2907" s="1">
        <v>45231</v>
      </c>
      <c r="B2907" t="s">
        <v>17</v>
      </c>
      <c r="C2907" t="s">
        <v>14</v>
      </c>
      <c r="D2907" t="s">
        <v>12</v>
      </c>
      <c r="E2907">
        <v>1</v>
      </c>
      <c r="F2907" s="3">
        <v>113</v>
      </c>
      <c r="G2907" s="2">
        <v>20.07</v>
      </c>
      <c r="H2907">
        <f>Master_ventas[[#This Row],[Profit]]/Master_ventas[[#This Row],[Sales]]</f>
        <v>0.17761061946902656</v>
      </c>
      <c r="I2907">
        <f ca="1">Referencia_Hoy-Master_ventas[[#This Row],[Order Date]]</f>
        <v>1092</v>
      </c>
      <c r="J2907" t="str">
        <f>UPPER(Master_ventas[[#This Row],[Product Name]])</f>
        <v>CAMERA</v>
      </c>
      <c r="K2907" t="str">
        <f>UPPER(Master_ventas[[#This Row],[Category]])</f>
        <v>ELECTRONICS</v>
      </c>
      <c r="L2907">
        <f>YEAR(Master_ventas[[#This Row],[Order Date]])</f>
        <v>2023</v>
      </c>
      <c r="M2907" t="str">
        <f>CONCATENATE(LEFT(Master_ventas[[#This Row],[ProdUpper]],3),RIGHT(Master_ventas[[#This Row],[Ext-Year]],2),"-",MID(Master_ventas[[#This Row],[Category]],1,1))</f>
        <v>CAM23-E</v>
      </c>
      <c r="N2907" t="str">
        <f>MID(Master_ventas[[#This Row],[ProdUpper]],1,3)</f>
        <v>CAM</v>
      </c>
      <c r="O2907" t="str">
        <f>UPPER(IF(Master_ventas[[#This Row],[Profit]]&gt;500,"High","Std"))</f>
        <v>STD</v>
      </c>
      <c r="P2907">
        <v>2906</v>
      </c>
    </row>
    <row r="2908" spans="1:16" x14ac:dyDescent="0.3">
      <c r="A2908" s="1">
        <v>45567</v>
      </c>
      <c r="B2908" t="s">
        <v>7</v>
      </c>
      <c r="C2908" t="s">
        <v>8</v>
      </c>
      <c r="D2908" t="s">
        <v>12</v>
      </c>
      <c r="E2908">
        <v>8</v>
      </c>
      <c r="F2908" s="3">
        <v>3336</v>
      </c>
      <c r="G2908" s="2">
        <v>492.76</v>
      </c>
      <c r="H2908">
        <f>Master_ventas[[#This Row],[Profit]]/Master_ventas[[#This Row],[Sales]]</f>
        <v>0.14770983213429256</v>
      </c>
      <c r="I2908">
        <f ca="1">Referencia_Hoy-Master_ventas[[#This Row],[Order Date]]</f>
        <v>756</v>
      </c>
      <c r="J2908" t="str">
        <f>UPPER(Master_ventas[[#This Row],[Product Name]])</f>
        <v>PRINTER</v>
      </c>
      <c r="K2908" t="str">
        <f>UPPER(Master_ventas[[#This Row],[Category]])</f>
        <v>OFFICE</v>
      </c>
      <c r="L2908">
        <f>YEAR(Master_ventas[[#This Row],[Order Date]])</f>
        <v>2024</v>
      </c>
      <c r="M2908" t="str">
        <f>CONCATENATE(LEFT(Master_ventas[[#This Row],[ProdUpper]],3),RIGHT(Master_ventas[[#This Row],[Ext-Year]],2),"-",MID(Master_ventas[[#This Row],[Category]],1,1))</f>
        <v>PRI24-O</v>
      </c>
      <c r="N2908" t="str">
        <f>MID(Master_ventas[[#This Row],[ProdUpper]],1,3)</f>
        <v>PRI</v>
      </c>
      <c r="O2908" t="str">
        <f>UPPER(IF(Master_ventas[[#This Row],[Profit]]&gt;500,"High","Std"))</f>
        <v>STD</v>
      </c>
      <c r="P2908">
        <v>2907</v>
      </c>
    </row>
    <row r="2909" spans="1:16" x14ac:dyDescent="0.3">
      <c r="A2909" s="1">
        <v>45025</v>
      </c>
      <c r="B2909" t="s">
        <v>21</v>
      </c>
      <c r="C2909" t="s">
        <v>14</v>
      </c>
      <c r="D2909" t="s">
        <v>15</v>
      </c>
      <c r="E2909">
        <v>4</v>
      </c>
      <c r="F2909" s="3">
        <v>4224</v>
      </c>
      <c r="G2909" s="2">
        <v>477.33</v>
      </c>
      <c r="H2909">
        <f>Master_ventas[[#This Row],[Profit]]/Master_ventas[[#This Row],[Sales]]</f>
        <v>0.11300426136363637</v>
      </c>
      <c r="I2909">
        <f ca="1">Referencia_Hoy-Master_ventas[[#This Row],[Order Date]]</f>
        <v>1298</v>
      </c>
      <c r="J2909" t="str">
        <f>UPPER(Master_ventas[[#This Row],[Product Name]])</f>
        <v>SMARTPHONE</v>
      </c>
      <c r="K2909" t="str">
        <f>UPPER(Master_ventas[[#This Row],[Category]])</f>
        <v>ELECTRONICS</v>
      </c>
      <c r="L2909">
        <f>YEAR(Master_ventas[[#This Row],[Order Date]])</f>
        <v>2023</v>
      </c>
      <c r="M2909" t="str">
        <f>CONCATENATE(LEFT(Master_ventas[[#This Row],[ProdUpper]],3),RIGHT(Master_ventas[[#This Row],[Ext-Year]],2),"-",MID(Master_ventas[[#This Row],[Category]],1,1))</f>
        <v>SMA23-E</v>
      </c>
      <c r="N2909" t="str">
        <f>MID(Master_ventas[[#This Row],[ProdUpper]],1,3)</f>
        <v>SMA</v>
      </c>
      <c r="O2909" t="str">
        <f>UPPER(IF(Master_ventas[[#This Row],[Profit]]&gt;500,"High","Std"))</f>
        <v>STD</v>
      </c>
      <c r="P2909">
        <v>2908</v>
      </c>
    </row>
    <row r="2910" spans="1:16" x14ac:dyDescent="0.3">
      <c r="A2910" s="1">
        <v>44751</v>
      </c>
      <c r="B2910" t="s">
        <v>18</v>
      </c>
      <c r="C2910" t="s">
        <v>11</v>
      </c>
      <c r="D2910" t="s">
        <v>9</v>
      </c>
      <c r="E2910">
        <v>3</v>
      </c>
      <c r="F2910" s="3">
        <v>1098</v>
      </c>
      <c r="G2910" s="2">
        <v>144.24</v>
      </c>
      <c r="H2910">
        <f>Master_ventas[[#This Row],[Profit]]/Master_ventas[[#This Row],[Sales]]</f>
        <v>0.13136612021857924</v>
      </c>
      <c r="I2910">
        <f ca="1">Referencia_Hoy-Master_ventas[[#This Row],[Order Date]]</f>
        <v>1572</v>
      </c>
      <c r="J2910" t="str">
        <f>UPPER(Master_ventas[[#This Row],[Product Name]])</f>
        <v>HEADPHONES</v>
      </c>
      <c r="K2910" t="str">
        <f>UPPER(Master_ventas[[#This Row],[Category]])</f>
        <v>ACCESSORIES</v>
      </c>
      <c r="L2910">
        <f>YEAR(Master_ventas[[#This Row],[Order Date]])</f>
        <v>2022</v>
      </c>
      <c r="M2910" t="str">
        <f>CONCATENATE(LEFT(Master_ventas[[#This Row],[ProdUpper]],3),RIGHT(Master_ventas[[#This Row],[Ext-Year]],2),"-",MID(Master_ventas[[#This Row],[Category]],1,1))</f>
        <v>HEA22-A</v>
      </c>
      <c r="N2910" t="str">
        <f>MID(Master_ventas[[#This Row],[ProdUpper]],1,3)</f>
        <v>HEA</v>
      </c>
      <c r="O2910" t="str">
        <f>UPPER(IF(Master_ventas[[#This Row],[Profit]]&gt;500,"High","Std"))</f>
        <v>STD</v>
      </c>
      <c r="P2910">
        <v>2909</v>
      </c>
    </row>
    <row r="2911" spans="1:16" x14ac:dyDescent="0.3">
      <c r="A2911" s="1">
        <v>45361</v>
      </c>
      <c r="B2911" t="s">
        <v>17</v>
      </c>
      <c r="C2911" t="s">
        <v>14</v>
      </c>
      <c r="D2911" t="s">
        <v>15</v>
      </c>
      <c r="E2911">
        <v>8</v>
      </c>
      <c r="F2911" s="3">
        <v>4400</v>
      </c>
      <c r="G2911" s="2">
        <v>351.82</v>
      </c>
      <c r="H2911">
        <f>Master_ventas[[#This Row],[Profit]]/Master_ventas[[#This Row],[Sales]]</f>
        <v>7.995909090909091E-2</v>
      </c>
      <c r="I2911">
        <f ca="1">Referencia_Hoy-Master_ventas[[#This Row],[Order Date]]</f>
        <v>962</v>
      </c>
      <c r="J2911" t="str">
        <f>UPPER(Master_ventas[[#This Row],[Product Name]])</f>
        <v>CAMERA</v>
      </c>
      <c r="K2911" t="str">
        <f>UPPER(Master_ventas[[#This Row],[Category]])</f>
        <v>ELECTRONICS</v>
      </c>
      <c r="L2911">
        <f>YEAR(Master_ventas[[#This Row],[Order Date]])</f>
        <v>2024</v>
      </c>
      <c r="M2911" t="str">
        <f>CONCATENATE(LEFT(Master_ventas[[#This Row],[ProdUpper]],3),RIGHT(Master_ventas[[#This Row],[Ext-Year]],2),"-",MID(Master_ventas[[#This Row],[Category]],1,1))</f>
        <v>CAM24-E</v>
      </c>
      <c r="N2911" t="str">
        <f>MID(Master_ventas[[#This Row],[ProdUpper]],1,3)</f>
        <v>CAM</v>
      </c>
      <c r="O2911" t="str">
        <f>UPPER(IF(Master_ventas[[#This Row],[Profit]]&gt;500,"High","Std"))</f>
        <v>STD</v>
      </c>
      <c r="P2911">
        <v>2910</v>
      </c>
    </row>
    <row r="2912" spans="1:16" x14ac:dyDescent="0.3">
      <c r="A2912" s="1">
        <v>44689</v>
      </c>
      <c r="B2912" t="s">
        <v>7</v>
      </c>
      <c r="C2912" t="s">
        <v>8</v>
      </c>
      <c r="D2912" t="s">
        <v>9</v>
      </c>
      <c r="E2912">
        <v>8</v>
      </c>
      <c r="F2912" s="3">
        <v>5616</v>
      </c>
      <c r="G2912" s="2">
        <v>723.42</v>
      </c>
      <c r="H2912">
        <f>Master_ventas[[#This Row],[Profit]]/Master_ventas[[#This Row],[Sales]]</f>
        <v>0.12881410256410256</v>
      </c>
      <c r="I2912">
        <f ca="1">Referencia_Hoy-Master_ventas[[#This Row],[Order Date]]</f>
        <v>1634</v>
      </c>
      <c r="J2912" t="str">
        <f>UPPER(Master_ventas[[#This Row],[Product Name]])</f>
        <v>PRINTER</v>
      </c>
      <c r="K2912" t="str">
        <f>UPPER(Master_ventas[[#This Row],[Category]])</f>
        <v>OFFICE</v>
      </c>
      <c r="L2912">
        <f>YEAR(Master_ventas[[#This Row],[Order Date]])</f>
        <v>2022</v>
      </c>
      <c r="M2912" t="str">
        <f>CONCATENATE(LEFT(Master_ventas[[#This Row],[ProdUpper]],3),RIGHT(Master_ventas[[#This Row],[Ext-Year]],2),"-",MID(Master_ventas[[#This Row],[Category]],1,1))</f>
        <v>PRI22-O</v>
      </c>
      <c r="N2912" t="str">
        <f>MID(Master_ventas[[#This Row],[ProdUpper]],1,3)</f>
        <v>PRI</v>
      </c>
      <c r="O2912" t="str">
        <f>UPPER(IF(Master_ventas[[#This Row],[Profit]]&gt;500,"High","Std"))</f>
        <v>HIGH</v>
      </c>
      <c r="P2912">
        <v>2911</v>
      </c>
    </row>
    <row r="2913" spans="1:16" x14ac:dyDescent="0.3">
      <c r="A2913" s="1">
        <v>45353</v>
      </c>
      <c r="B2913" t="s">
        <v>7</v>
      </c>
      <c r="C2913" t="s">
        <v>8</v>
      </c>
      <c r="D2913" t="s">
        <v>9</v>
      </c>
      <c r="E2913">
        <v>7</v>
      </c>
      <c r="F2913" s="3">
        <v>4676</v>
      </c>
      <c r="G2913" s="2">
        <v>520.38</v>
      </c>
      <c r="H2913">
        <f>Master_ventas[[#This Row],[Profit]]/Master_ventas[[#This Row],[Sales]]</f>
        <v>0.11128742514970059</v>
      </c>
      <c r="I2913">
        <f ca="1">Referencia_Hoy-Master_ventas[[#This Row],[Order Date]]</f>
        <v>970</v>
      </c>
      <c r="J2913" t="str">
        <f>UPPER(Master_ventas[[#This Row],[Product Name]])</f>
        <v>PRINTER</v>
      </c>
      <c r="K2913" t="str">
        <f>UPPER(Master_ventas[[#This Row],[Category]])</f>
        <v>OFFICE</v>
      </c>
      <c r="L2913">
        <f>YEAR(Master_ventas[[#This Row],[Order Date]])</f>
        <v>2024</v>
      </c>
      <c r="M2913" t="str">
        <f>CONCATENATE(LEFT(Master_ventas[[#This Row],[ProdUpper]],3),RIGHT(Master_ventas[[#This Row],[Ext-Year]],2),"-",MID(Master_ventas[[#This Row],[Category]],1,1))</f>
        <v>PRI24-O</v>
      </c>
      <c r="N2913" t="str">
        <f>MID(Master_ventas[[#This Row],[ProdUpper]],1,3)</f>
        <v>PRI</v>
      </c>
      <c r="O2913" t="str">
        <f>UPPER(IF(Master_ventas[[#This Row],[Profit]]&gt;500,"High","Std"))</f>
        <v>HIGH</v>
      </c>
      <c r="P2913">
        <v>2912</v>
      </c>
    </row>
    <row r="2914" spans="1:16" x14ac:dyDescent="0.3">
      <c r="A2914" s="1">
        <v>44761</v>
      </c>
      <c r="B2914" t="s">
        <v>19</v>
      </c>
      <c r="C2914" t="s">
        <v>14</v>
      </c>
      <c r="D2914" t="s">
        <v>9</v>
      </c>
      <c r="E2914">
        <v>2</v>
      </c>
      <c r="F2914" s="3">
        <v>2370</v>
      </c>
      <c r="G2914" s="2">
        <v>641.23</v>
      </c>
      <c r="H2914">
        <f>Master_ventas[[#This Row],[Profit]]/Master_ventas[[#This Row],[Sales]]</f>
        <v>0.27056118143459917</v>
      </c>
      <c r="I2914">
        <f ca="1">Referencia_Hoy-Master_ventas[[#This Row],[Order Date]]</f>
        <v>1562</v>
      </c>
      <c r="J2914" t="str">
        <f>UPPER(Master_ventas[[#This Row],[Product Name]])</f>
        <v>SMARTWATCH</v>
      </c>
      <c r="K2914" t="str">
        <f>UPPER(Master_ventas[[#This Row],[Category]])</f>
        <v>ELECTRONICS</v>
      </c>
      <c r="L2914">
        <f>YEAR(Master_ventas[[#This Row],[Order Date]])</f>
        <v>2022</v>
      </c>
      <c r="M2914" t="str">
        <f>CONCATENATE(LEFT(Master_ventas[[#This Row],[ProdUpper]],3),RIGHT(Master_ventas[[#This Row],[Ext-Year]],2),"-",MID(Master_ventas[[#This Row],[Category]],1,1))</f>
        <v>SMA22-E</v>
      </c>
      <c r="N2914" t="str">
        <f>MID(Master_ventas[[#This Row],[ProdUpper]],1,3)</f>
        <v>SMA</v>
      </c>
      <c r="O2914" t="str">
        <f>UPPER(IF(Master_ventas[[#This Row],[Profit]]&gt;500,"High","Std"))</f>
        <v>HIGH</v>
      </c>
      <c r="P2914">
        <v>2913</v>
      </c>
    </row>
    <row r="2915" spans="1:16" x14ac:dyDescent="0.3">
      <c r="A2915" s="1">
        <v>44950</v>
      </c>
      <c r="B2915" t="s">
        <v>10</v>
      </c>
      <c r="C2915" t="s">
        <v>11</v>
      </c>
      <c r="D2915" t="s">
        <v>16</v>
      </c>
      <c r="E2915">
        <v>7</v>
      </c>
      <c r="F2915" s="3">
        <v>4487</v>
      </c>
      <c r="G2915" s="2">
        <v>688.76</v>
      </c>
      <c r="H2915">
        <f>Master_ventas[[#This Row],[Profit]]/Master_ventas[[#This Row],[Sales]]</f>
        <v>0.15350122576331623</v>
      </c>
      <c r="I2915">
        <f ca="1">Referencia_Hoy-Master_ventas[[#This Row],[Order Date]]</f>
        <v>1373</v>
      </c>
      <c r="J2915" t="str">
        <f>UPPER(Master_ventas[[#This Row],[Product Name]])</f>
        <v>MOUSE</v>
      </c>
      <c r="K2915" t="str">
        <f>UPPER(Master_ventas[[#This Row],[Category]])</f>
        <v>ACCESSORIES</v>
      </c>
      <c r="L2915">
        <f>YEAR(Master_ventas[[#This Row],[Order Date]])</f>
        <v>2023</v>
      </c>
      <c r="M2915" t="str">
        <f>CONCATENATE(LEFT(Master_ventas[[#This Row],[ProdUpper]],3),RIGHT(Master_ventas[[#This Row],[Ext-Year]],2),"-",MID(Master_ventas[[#This Row],[Category]],1,1))</f>
        <v>MOU23-A</v>
      </c>
      <c r="N2915" t="str">
        <f>MID(Master_ventas[[#This Row],[ProdUpper]],1,3)</f>
        <v>MOU</v>
      </c>
      <c r="O2915" t="str">
        <f>UPPER(IF(Master_ventas[[#This Row],[Profit]]&gt;500,"High","Std"))</f>
        <v>HIGH</v>
      </c>
      <c r="P2915">
        <v>2914</v>
      </c>
    </row>
    <row r="2916" spans="1:16" x14ac:dyDescent="0.3">
      <c r="A2916" s="1">
        <v>45566</v>
      </c>
      <c r="B2916" t="s">
        <v>17</v>
      </c>
      <c r="C2916" t="s">
        <v>14</v>
      </c>
      <c r="D2916" t="s">
        <v>9</v>
      </c>
      <c r="E2916">
        <v>6</v>
      </c>
      <c r="F2916" s="3">
        <v>6384</v>
      </c>
      <c r="G2916" s="2">
        <v>1754.15</v>
      </c>
      <c r="H2916">
        <f>Master_ventas[[#This Row],[Profit]]/Master_ventas[[#This Row],[Sales]]</f>
        <v>0.27477286967418546</v>
      </c>
      <c r="I2916">
        <f ca="1">Referencia_Hoy-Master_ventas[[#This Row],[Order Date]]</f>
        <v>757</v>
      </c>
      <c r="J2916" t="str">
        <f>UPPER(Master_ventas[[#This Row],[Product Name]])</f>
        <v>CAMERA</v>
      </c>
      <c r="K2916" t="str">
        <f>UPPER(Master_ventas[[#This Row],[Category]])</f>
        <v>ELECTRONICS</v>
      </c>
      <c r="L2916">
        <f>YEAR(Master_ventas[[#This Row],[Order Date]])</f>
        <v>2024</v>
      </c>
      <c r="M2916" t="str">
        <f>CONCATENATE(LEFT(Master_ventas[[#This Row],[ProdUpper]],3),RIGHT(Master_ventas[[#This Row],[Ext-Year]],2),"-",MID(Master_ventas[[#This Row],[Category]],1,1))</f>
        <v>CAM24-E</v>
      </c>
      <c r="N2916" t="str">
        <f>MID(Master_ventas[[#This Row],[ProdUpper]],1,3)</f>
        <v>CAM</v>
      </c>
      <c r="O2916" t="str">
        <f>UPPER(IF(Master_ventas[[#This Row],[Profit]]&gt;500,"High","Std"))</f>
        <v>HIGH</v>
      </c>
      <c r="P2916">
        <v>2915</v>
      </c>
    </row>
    <row r="2917" spans="1:16" x14ac:dyDescent="0.3">
      <c r="A2917" s="1">
        <v>45015</v>
      </c>
      <c r="B2917" t="s">
        <v>22</v>
      </c>
      <c r="C2917" t="s">
        <v>11</v>
      </c>
      <c r="D2917" t="s">
        <v>15</v>
      </c>
      <c r="E2917">
        <v>8</v>
      </c>
      <c r="F2917" s="3">
        <v>2960</v>
      </c>
      <c r="G2917" s="2">
        <v>878.11</v>
      </c>
      <c r="H2917">
        <f>Master_ventas[[#This Row],[Profit]]/Master_ventas[[#This Row],[Sales]]</f>
        <v>0.2966587837837838</v>
      </c>
      <c r="I2917">
        <f ca="1">Referencia_Hoy-Master_ventas[[#This Row],[Order Date]]</f>
        <v>1308</v>
      </c>
      <c r="J2917" t="str">
        <f>UPPER(Master_ventas[[#This Row],[Product Name]])</f>
        <v>KEYBOARD</v>
      </c>
      <c r="K2917" t="str">
        <f>UPPER(Master_ventas[[#This Row],[Category]])</f>
        <v>ACCESSORIES</v>
      </c>
      <c r="L2917">
        <f>YEAR(Master_ventas[[#This Row],[Order Date]])</f>
        <v>2023</v>
      </c>
      <c r="M2917" t="str">
        <f>CONCATENATE(LEFT(Master_ventas[[#This Row],[ProdUpper]],3),RIGHT(Master_ventas[[#This Row],[Ext-Year]],2),"-",MID(Master_ventas[[#This Row],[Category]],1,1))</f>
        <v>KEY23-A</v>
      </c>
      <c r="N2917" t="str">
        <f>MID(Master_ventas[[#This Row],[ProdUpper]],1,3)</f>
        <v>KEY</v>
      </c>
      <c r="O2917" t="str">
        <f>UPPER(IF(Master_ventas[[#This Row],[Profit]]&gt;500,"High","Std"))</f>
        <v>HIGH</v>
      </c>
      <c r="P2917">
        <v>2916</v>
      </c>
    </row>
    <row r="2918" spans="1:16" x14ac:dyDescent="0.3">
      <c r="A2918" s="1">
        <v>44644</v>
      </c>
      <c r="B2918" t="s">
        <v>19</v>
      </c>
      <c r="C2918" t="s">
        <v>14</v>
      </c>
      <c r="D2918" t="s">
        <v>12</v>
      </c>
      <c r="E2918">
        <v>1</v>
      </c>
      <c r="F2918" s="3">
        <v>897</v>
      </c>
      <c r="G2918" s="2">
        <v>250.78</v>
      </c>
      <c r="H2918">
        <f>Master_ventas[[#This Row],[Profit]]/Master_ventas[[#This Row],[Sales]]</f>
        <v>0.27957636566332217</v>
      </c>
      <c r="I2918">
        <f ca="1">Referencia_Hoy-Master_ventas[[#This Row],[Order Date]]</f>
        <v>1679</v>
      </c>
      <c r="J2918" t="str">
        <f>UPPER(Master_ventas[[#This Row],[Product Name]])</f>
        <v>SMARTWATCH</v>
      </c>
      <c r="K2918" t="str">
        <f>UPPER(Master_ventas[[#This Row],[Category]])</f>
        <v>ELECTRONICS</v>
      </c>
      <c r="L2918">
        <f>YEAR(Master_ventas[[#This Row],[Order Date]])</f>
        <v>2022</v>
      </c>
      <c r="M2918" t="str">
        <f>CONCATENATE(LEFT(Master_ventas[[#This Row],[ProdUpper]],3),RIGHT(Master_ventas[[#This Row],[Ext-Year]],2),"-",MID(Master_ventas[[#This Row],[Category]],1,1))</f>
        <v>SMA22-E</v>
      </c>
      <c r="N2918" t="str">
        <f>MID(Master_ventas[[#This Row],[ProdUpper]],1,3)</f>
        <v>SMA</v>
      </c>
      <c r="O2918" t="str">
        <f>UPPER(IF(Master_ventas[[#This Row],[Profit]]&gt;500,"High","Std"))</f>
        <v>STD</v>
      </c>
      <c r="P2918">
        <v>2917</v>
      </c>
    </row>
    <row r="2919" spans="1:16" x14ac:dyDescent="0.3">
      <c r="A2919" s="1">
        <v>45010</v>
      </c>
      <c r="B2919" t="s">
        <v>21</v>
      </c>
      <c r="C2919" t="s">
        <v>14</v>
      </c>
      <c r="D2919" t="s">
        <v>12</v>
      </c>
      <c r="E2919">
        <v>2</v>
      </c>
      <c r="F2919" s="3">
        <v>1178</v>
      </c>
      <c r="G2919" s="2">
        <v>120.51</v>
      </c>
      <c r="H2919">
        <f>Master_ventas[[#This Row],[Profit]]/Master_ventas[[#This Row],[Sales]]</f>
        <v>0.10230050933786078</v>
      </c>
      <c r="I2919">
        <f ca="1">Referencia_Hoy-Master_ventas[[#This Row],[Order Date]]</f>
        <v>1313</v>
      </c>
      <c r="J2919" t="str">
        <f>UPPER(Master_ventas[[#This Row],[Product Name]])</f>
        <v>SMARTPHONE</v>
      </c>
      <c r="K2919" t="str">
        <f>UPPER(Master_ventas[[#This Row],[Category]])</f>
        <v>ELECTRONICS</v>
      </c>
      <c r="L2919">
        <f>YEAR(Master_ventas[[#This Row],[Order Date]])</f>
        <v>2023</v>
      </c>
      <c r="M2919" t="str">
        <f>CONCATENATE(LEFT(Master_ventas[[#This Row],[ProdUpper]],3),RIGHT(Master_ventas[[#This Row],[Ext-Year]],2),"-",MID(Master_ventas[[#This Row],[Category]],1,1))</f>
        <v>SMA23-E</v>
      </c>
      <c r="N2919" t="str">
        <f>MID(Master_ventas[[#This Row],[ProdUpper]],1,3)</f>
        <v>SMA</v>
      </c>
      <c r="O2919" t="str">
        <f>UPPER(IF(Master_ventas[[#This Row],[Profit]]&gt;500,"High","Std"))</f>
        <v>STD</v>
      </c>
      <c r="P2919">
        <v>2918</v>
      </c>
    </row>
    <row r="2920" spans="1:16" x14ac:dyDescent="0.3">
      <c r="A2920" s="1">
        <v>44946</v>
      </c>
      <c r="B2920" t="s">
        <v>19</v>
      </c>
      <c r="C2920" t="s">
        <v>14</v>
      </c>
      <c r="D2920" t="s">
        <v>12</v>
      </c>
      <c r="E2920">
        <v>2</v>
      </c>
      <c r="F2920" s="3">
        <v>1026</v>
      </c>
      <c r="G2920" s="2">
        <v>64.510000000000005</v>
      </c>
      <c r="H2920">
        <f>Master_ventas[[#This Row],[Profit]]/Master_ventas[[#This Row],[Sales]]</f>
        <v>6.2875243664717348E-2</v>
      </c>
      <c r="I2920">
        <f ca="1">Referencia_Hoy-Master_ventas[[#This Row],[Order Date]]</f>
        <v>1377</v>
      </c>
      <c r="J2920" t="str">
        <f>UPPER(Master_ventas[[#This Row],[Product Name]])</f>
        <v>SMARTWATCH</v>
      </c>
      <c r="K2920" t="str">
        <f>UPPER(Master_ventas[[#This Row],[Category]])</f>
        <v>ELECTRONICS</v>
      </c>
      <c r="L2920">
        <f>YEAR(Master_ventas[[#This Row],[Order Date]])</f>
        <v>2023</v>
      </c>
      <c r="M2920" t="str">
        <f>CONCATENATE(LEFT(Master_ventas[[#This Row],[ProdUpper]],3),RIGHT(Master_ventas[[#This Row],[Ext-Year]],2),"-",MID(Master_ventas[[#This Row],[Category]],1,1))</f>
        <v>SMA23-E</v>
      </c>
      <c r="N2920" t="str">
        <f>MID(Master_ventas[[#This Row],[ProdUpper]],1,3)</f>
        <v>SMA</v>
      </c>
      <c r="O2920" t="str">
        <f>UPPER(IF(Master_ventas[[#This Row],[Profit]]&gt;500,"High","Std"))</f>
        <v>STD</v>
      </c>
      <c r="P2920">
        <v>2919</v>
      </c>
    </row>
    <row r="2921" spans="1:16" x14ac:dyDescent="0.3">
      <c r="A2921" s="1">
        <v>44703</v>
      </c>
      <c r="B2921" t="s">
        <v>7</v>
      </c>
      <c r="C2921" t="s">
        <v>8</v>
      </c>
      <c r="D2921" t="s">
        <v>15</v>
      </c>
      <c r="E2921">
        <v>1</v>
      </c>
      <c r="F2921" s="3">
        <v>1148</v>
      </c>
      <c r="G2921" s="2">
        <v>89.04</v>
      </c>
      <c r="H2921">
        <f>Master_ventas[[#This Row],[Profit]]/Master_ventas[[#This Row],[Sales]]</f>
        <v>7.7560975609756097E-2</v>
      </c>
      <c r="I2921">
        <f ca="1">Referencia_Hoy-Master_ventas[[#This Row],[Order Date]]</f>
        <v>1620</v>
      </c>
      <c r="J2921" t="str">
        <f>UPPER(Master_ventas[[#This Row],[Product Name]])</f>
        <v>PRINTER</v>
      </c>
      <c r="K2921" t="str">
        <f>UPPER(Master_ventas[[#This Row],[Category]])</f>
        <v>OFFICE</v>
      </c>
      <c r="L2921">
        <f>YEAR(Master_ventas[[#This Row],[Order Date]])</f>
        <v>2022</v>
      </c>
      <c r="M2921" t="str">
        <f>CONCATENATE(LEFT(Master_ventas[[#This Row],[ProdUpper]],3),RIGHT(Master_ventas[[#This Row],[Ext-Year]],2),"-",MID(Master_ventas[[#This Row],[Category]],1,1))</f>
        <v>PRI22-O</v>
      </c>
      <c r="N2921" t="str">
        <f>MID(Master_ventas[[#This Row],[ProdUpper]],1,3)</f>
        <v>PRI</v>
      </c>
      <c r="O2921" t="str">
        <f>UPPER(IF(Master_ventas[[#This Row],[Profit]]&gt;500,"High","Std"))</f>
        <v>STD</v>
      </c>
      <c r="P2921">
        <v>2920</v>
      </c>
    </row>
    <row r="2922" spans="1:16" x14ac:dyDescent="0.3">
      <c r="A2922" s="1">
        <v>44972</v>
      </c>
      <c r="B2922" t="s">
        <v>7</v>
      </c>
      <c r="C2922" t="s">
        <v>8</v>
      </c>
      <c r="D2922" t="s">
        <v>16</v>
      </c>
      <c r="E2922">
        <v>7</v>
      </c>
      <c r="F2922" s="3">
        <v>3185</v>
      </c>
      <c r="G2922" s="2">
        <v>765.41</v>
      </c>
      <c r="H2922">
        <f>Master_ventas[[#This Row],[Profit]]/Master_ventas[[#This Row],[Sales]]</f>
        <v>0.24031711145996859</v>
      </c>
      <c r="I2922">
        <f ca="1">Referencia_Hoy-Master_ventas[[#This Row],[Order Date]]</f>
        <v>1351</v>
      </c>
      <c r="J2922" t="str">
        <f>UPPER(Master_ventas[[#This Row],[Product Name]])</f>
        <v>PRINTER</v>
      </c>
      <c r="K2922" t="str">
        <f>UPPER(Master_ventas[[#This Row],[Category]])</f>
        <v>OFFICE</v>
      </c>
      <c r="L2922">
        <f>YEAR(Master_ventas[[#This Row],[Order Date]])</f>
        <v>2023</v>
      </c>
      <c r="M2922" t="str">
        <f>CONCATENATE(LEFT(Master_ventas[[#This Row],[ProdUpper]],3),RIGHT(Master_ventas[[#This Row],[Ext-Year]],2),"-",MID(Master_ventas[[#This Row],[Category]],1,1))</f>
        <v>PRI23-O</v>
      </c>
      <c r="N2922" t="str">
        <f>MID(Master_ventas[[#This Row],[ProdUpper]],1,3)</f>
        <v>PRI</v>
      </c>
      <c r="O2922" t="str">
        <f>UPPER(IF(Master_ventas[[#This Row],[Profit]]&gt;500,"High","Std"))</f>
        <v>HIGH</v>
      </c>
      <c r="P2922">
        <v>2921</v>
      </c>
    </row>
    <row r="2923" spans="1:16" x14ac:dyDescent="0.3">
      <c r="A2923" s="1">
        <v>44623</v>
      </c>
      <c r="B2923" t="s">
        <v>21</v>
      </c>
      <c r="C2923" t="s">
        <v>14</v>
      </c>
      <c r="D2923" t="s">
        <v>12</v>
      </c>
      <c r="E2923">
        <v>7</v>
      </c>
      <c r="F2923" s="3">
        <v>5180</v>
      </c>
      <c r="G2923" s="2">
        <v>463.35</v>
      </c>
      <c r="H2923">
        <f>Master_ventas[[#This Row],[Profit]]/Master_ventas[[#This Row],[Sales]]</f>
        <v>8.9449806949806948E-2</v>
      </c>
      <c r="I2923">
        <f ca="1">Referencia_Hoy-Master_ventas[[#This Row],[Order Date]]</f>
        <v>1700</v>
      </c>
      <c r="J2923" t="str">
        <f>UPPER(Master_ventas[[#This Row],[Product Name]])</f>
        <v>SMARTPHONE</v>
      </c>
      <c r="K2923" t="str">
        <f>UPPER(Master_ventas[[#This Row],[Category]])</f>
        <v>ELECTRONICS</v>
      </c>
      <c r="L2923">
        <f>YEAR(Master_ventas[[#This Row],[Order Date]])</f>
        <v>2022</v>
      </c>
      <c r="M2923" t="str">
        <f>CONCATENATE(LEFT(Master_ventas[[#This Row],[ProdUpper]],3),RIGHT(Master_ventas[[#This Row],[Ext-Year]],2),"-",MID(Master_ventas[[#This Row],[Category]],1,1))</f>
        <v>SMA22-E</v>
      </c>
      <c r="N2923" t="str">
        <f>MID(Master_ventas[[#This Row],[ProdUpper]],1,3)</f>
        <v>SMA</v>
      </c>
      <c r="O2923" t="str">
        <f>UPPER(IF(Master_ventas[[#This Row],[Profit]]&gt;500,"High","Std"))</f>
        <v>STD</v>
      </c>
      <c r="P2923">
        <v>2922</v>
      </c>
    </row>
    <row r="2924" spans="1:16" x14ac:dyDescent="0.3">
      <c r="A2924" s="1">
        <v>44867</v>
      </c>
      <c r="B2924" t="s">
        <v>18</v>
      </c>
      <c r="C2924" t="s">
        <v>11</v>
      </c>
      <c r="D2924" t="s">
        <v>15</v>
      </c>
      <c r="E2924">
        <v>5</v>
      </c>
      <c r="F2924" s="3">
        <v>2025</v>
      </c>
      <c r="G2924" s="2">
        <v>295.13</v>
      </c>
      <c r="H2924">
        <f>Master_ventas[[#This Row],[Profit]]/Master_ventas[[#This Row],[Sales]]</f>
        <v>0.14574320987654321</v>
      </c>
      <c r="I2924">
        <f ca="1">Referencia_Hoy-Master_ventas[[#This Row],[Order Date]]</f>
        <v>1456</v>
      </c>
      <c r="J2924" t="str">
        <f>UPPER(Master_ventas[[#This Row],[Product Name]])</f>
        <v>HEADPHONES</v>
      </c>
      <c r="K2924" t="str">
        <f>UPPER(Master_ventas[[#This Row],[Category]])</f>
        <v>ACCESSORIES</v>
      </c>
      <c r="L2924">
        <f>YEAR(Master_ventas[[#This Row],[Order Date]])</f>
        <v>2022</v>
      </c>
      <c r="M2924" t="str">
        <f>CONCATENATE(LEFT(Master_ventas[[#This Row],[ProdUpper]],3),RIGHT(Master_ventas[[#This Row],[Ext-Year]],2),"-",MID(Master_ventas[[#This Row],[Category]],1,1))</f>
        <v>HEA22-A</v>
      </c>
      <c r="N2924" t="str">
        <f>MID(Master_ventas[[#This Row],[ProdUpper]],1,3)</f>
        <v>HEA</v>
      </c>
      <c r="O2924" t="str">
        <f>UPPER(IF(Master_ventas[[#This Row],[Profit]]&gt;500,"High","Std"))</f>
        <v>STD</v>
      </c>
      <c r="P2924">
        <v>2923</v>
      </c>
    </row>
    <row r="2925" spans="1:16" x14ac:dyDescent="0.3">
      <c r="A2925" s="1">
        <v>45650</v>
      </c>
      <c r="B2925" t="s">
        <v>13</v>
      </c>
      <c r="C2925" t="s">
        <v>14</v>
      </c>
      <c r="D2925" t="s">
        <v>9</v>
      </c>
      <c r="E2925">
        <v>9</v>
      </c>
      <c r="F2925" s="3">
        <v>1359</v>
      </c>
      <c r="G2925" s="2">
        <v>187.72</v>
      </c>
      <c r="H2925">
        <f>Master_ventas[[#This Row],[Profit]]/Master_ventas[[#This Row],[Sales]]</f>
        <v>0.13813097866077997</v>
      </c>
      <c r="I2925">
        <f ca="1">Referencia_Hoy-Master_ventas[[#This Row],[Order Date]]</f>
        <v>673</v>
      </c>
      <c r="J2925" t="str">
        <f>UPPER(Master_ventas[[#This Row],[Product Name]])</f>
        <v>TABLET</v>
      </c>
      <c r="K2925" t="str">
        <f>UPPER(Master_ventas[[#This Row],[Category]])</f>
        <v>ELECTRONICS</v>
      </c>
      <c r="L2925">
        <f>YEAR(Master_ventas[[#This Row],[Order Date]])</f>
        <v>2024</v>
      </c>
      <c r="M2925" t="str">
        <f>CONCATENATE(LEFT(Master_ventas[[#This Row],[ProdUpper]],3),RIGHT(Master_ventas[[#This Row],[Ext-Year]],2),"-",MID(Master_ventas[[#This Row],[Category]],1,1))</f>
        <v>TAB24-E</v>
      </c>
      <c r="N2925" t="str">
        <f>MID(Master_ventas[[#This Row],[ProdUpper]],1,3)</f>
        <v>TAB</v>
      </c>
      <c r="O2925" t="str">
        <f>UPPER(IF(Master_ventas[[#This Row],[Profit]]&gt;500,"High","Std"))</f>
        <v>STD</v>
      </c>
      <c r="P2925">
        <v>2924</v>
      </c>
    </row>
    <row r="2926" spans="1:16" x14ac:dyDescent="0.3">
      <c r="A2926" s="1">
        <v>45015</v>
      </c>
      <c r="B2926" t="s">
        <v>17</v>
      </c>
      <c r="C2926" t="s">
        <v>14</v>
      </c>
      <c r="D2926" t="s">
        <v>15</v>
      </c>
      <c r="E2926">
        <v>4</v>
      </c>
      <c r="F2926" s="3">
        <v>1836</v>
      </c>
      <c r="G2926" s="2">
        <v>462.52</v>
      </c>
      <c r="H2926">
        <f>Master_ventas[[#This Row],[Profit]]/Master_ventas[[#This Row],[Sales]]</f>
        <v>0.25191721132897604</v>
      </c>
      <c r="I2926">
        <f ca="1">Referencia_Hoy-Master_ventas[[#This Row],[Order Date]]</f>
        <v>1308</v>
      </c>
      <c r="J2926" t="str">
        <f>UPPER(Master_ventas[[#This Row],[Product Name]])</f>
        <v>CAMERA</v>
      </c>
      <c r="K2926" t="str">
        <f>UPPER(Master_ventas[[#This Row],[Category]])</f>
        <v>ELECTRONICS</v>
      </c>
      <c r="L2926">
        <f>YEAR(Master_ventas[[#This Row],[Order Date]])</f>
        <v>2023</v>
      </c>
      <c r="M2926" t="str">
        <f>CONCATENATE(LEFT(Master_ventas[[#This Row],[ProdUpper]],3),RIGHT(Master_ventas[[#This Row],[Ext-Year]],2),"-",MID(Master_ventas[[#This Row],[Category]],1,1))</f>
        <v>CAM23-E</v>
      </c>
      <c r="N2926" t="str">
        <f>MID(Master_ventas[[#This Row],[ProdUpper]],1,3)</f>
        <v>CAM</v>
      </c>
      <c r="O2926" t="str">
        <f>UPPER(IF(Master_ventas[[#This Row],[Profit]]&gt;500,"High","Std"))</f>
        <v>STD</v>
      </c>
      <c r="P2926">
        <v>2925</v>
      </c>
    </row>
    <row r="2927" spans="1:16" x14ac:dyDescent="0.3">
      <c r="A2927" s="1">
        <v>44898</v>
      </c>
      <c r="B2927" t="s">
        <v>13</v>
      </c>
      <c r="C2927" t="s">
        <v>14</v>
      </c>
      <c r="D2927" t="s">
        <v>16</v>
      </c>
      <c r="E2927">
        <v>2</v>
      </c>
      <c r="F2927" s="3">
        <v>702</v>
      </c>
      <c r="G2927" s="2">
        <v>112.04</v>
      </c>
      <c r="H2927">
        <f>Master_ventas[[#This Row],[Profit]]/Master_ventas[[#This Row],[Sales]]</f>
        <v>0.15960113960113961</v>
      </c>
      <c r="I2927">
        <f ca="1">Referencia_Hoy-Master_ventas[[#This Row],[Order Date]]</f>
        <v>1425</v>
      </c>
      <c r="J2927" t="str">
        <f>UPPER(Master_ventas[[#This Row],[Product Name]])</f>
        <v>TABLET</v>
      </c>
      <c r="K2927" t="str">
        <f>UPPER(Master_ventas[[#This Row],[Category]])</f>
        <v>ELECTRONICS</v>
      </c>
      <c r="L2927">
        <f>YEAR(Master_ventas[[#This Row],[Order Date]])</f>
        <v>2022</v>
      </c>
      <c r="M2927" t="str">
        <f>CONCATENATE(LEFT(Master_ventas[[#This Row],[ProdUpper]],3),RIGHT(Master_ventas[[#This Row],[Ext-Year]],2),"-",MID(Master_ventas[[#This Row],[Category]],1,1))</f>
        <v>TAB22-E</v>
      </c>
      <c r="N2927" t="str">
        <f>MID(Master_ventas[[#This Row],[ProdUpper]],1,3)</f>
        <v>TAB</v>
      </c>
      <c r="O2927" t="str">
        <f>UPPER(IF(Master_ventas[[#This Row],[Profit]]&gt;500,"High","Std"))</f>
        <v>STD</v>
      </c>
      <c r="P2927">
        <v>2926</v>
      </c>
    </row>
    <row r="2928" spans="1:16" x14ac:dyDescent="0.3">
      <c r="A2928" s="1">
        <v>45633</v>
      </c>
      <c r="B2928" t="s">
        <v>21</v>
      </c>
      <c r="C2928" t="s">
        <v>14</v>
      </c>
      <c r="D2928" t="s">
        <v>16</v>
      </c>
      <c r="E2928">
        <v>8</v>
      </c>
      <c r="F2928" s="3">
        <v>6576</v>
      </c>
      <c r="G2928" s="2">
        <v>1337.38</v>
      </c>
      <c r="H2928">
        <f>Master_ventas[[#This Row],[Profit]]/Master_ventas[[#This Row],[Sales]]</f>
        <v>0.20337287104622873</v>
      </c>
      <c r="I2928">
        <f ca="1">Referencia_Hoy-Master_ventas[[#This Row],[Order Date]]</f>
        <v>690</v>
      </c>
      <c r="J2928" t="str">
        <f>UPPER(Master_ventas[[#This Row],[Product Name]])</f>
        <v>SMARTPHONE</v>
      </c>
      <c r="K2928" t="str">
        <f>UPPER(Master_ventas[[#This Row],[Category]])</f>
        <v>ELECTRONICS</v>
      </c>
      <c r="L2928">
        <f>YEAR(Master_ventas[[#This Row],[Order Date]])</f>
        <v>2024</v>
      </c>
      <c r="M2928" t="str">
        <f>CONCATENATE(LEFT(Master_ventas[[#This Row],[ProdUpper]],3),RIGHT(Master_ventas[[#This Row],[Ext-Year]],2),"-",MID(Master_ventas[[#This Row],[Category]],1,1))</f>
        <v>SMA24-E</v>
      </c>
      <c r="N2928" t="str">
        <f>MID(Master_ventas[[#This Row],[ProdUpper]],1,3)</f>
        <v>SMA</v>
      </c>
      <c r="O2928" t="str">
        <f>UPPER(IF(Master_ventas[[#This Row],[Profit]]&gt;500,"High","Std"))</f>
        <v>HIGH</v>
      </c>
      <c r="P2928">
        <v>2927</v>
      </c>
    </row>
    <row r="2929" spans="1:16" x14ac:dyDescent="0.3">
      <c r="A2929" s="1">
        <v>45358</v>
      </c>
      <c r="B2929" t="s">
        <v>19</v>
      </c>
      <c r="C2929" t="s">
        <v>14</v>
      </c>
      <c r="D2929" t="s">
        <v>16</v>
      </c>
      <c r="E2929">
        <v>2</v>
      </c>
      <c r="F2929" s="3">
        <v>1428</v>
      </c>
      <c r="G2929" s="2">
        <v>398.24</v>
      </c>
      <c r="H2929">
        <f>Master_ventas[[#This Row],[Profit]]/Master_ventas[[#This Row],[Sales]]</f>
        <v>0.27887955182072832</v>
      </c>
      <c r="I2929">
        <f ca="1">Referencia_Hoy-Master_ventas[[#This Row],[Order Date]]</f>
        <v>965</v>
      </c>
      <c r="J2929" t="str">
        <f>UPPER(Master_ventas[[#This Row],[Product Name]])</f>
        <v>SMARTWATCH</v>
      </c>
      <c r="K2929" t="str">
        <f>UPPER(Master_ventas[[#This Row],[Category]])</f>
        <v>ELECTRONICS</v>
      </c>
      <c r="L2929">
        <f>YEAR(Master_ventas[[#This Row],[Order Date]])</f>
        <v>2024</v>
      </c>
      <c r="M2929" t="str">
        <f>CONCATENATE(LEFT(Master_ventas[[#This Row],[ProdUpper]],3),RIGHT(Master_ventas[[#This Row],[Ext-Year]],2),"-",MID(Master_ventas[[#This Row],[Category]],1,1))</f>
        <v>SMA24-E</v>
      </c>
      <c r="N2929" t="str">
        <f>MID(Master_ventas[[#This Row],[ProdUpper]],1,3)</f>
        <v>SMA</v>
      </c>
      <c r="O2929" t="str">
        <f>UPPER(IF(Master_ventas[[#This Row],[Profit]]&gt;500,"High","Std"))</f>
        <v>STD</v>
      </c>
      <c r="P2929">
        <v>2928</v>
      </c>
    </row>
    <row r="2930" spans="1:16" x14ac:dyDescent="0.3">
      <c r="A2930" s="1">
        <v>44934</v>
      </c>
      <c r="B2930" t="s">
        <v>17</v>
      </c>
      <c r="C2930" t="s">
        <v>14</v>
      </c>
      <c r="D2930" t="s">
        <v>9</v>
      </c>
      <c r="E2930">
        <v>7</v>
      </c>
      <c r="F2930" s="3">
        <v>6853</v>
      </c>
      <c r="G2930" s="2">
        <v>1259.03</v>
      </c>
      <c r="H2930">
        <f>Master_ventas[[#This Row],[Profit]]/Master_ventas[[#This Row],[Sales]]</f>
        <v>0.18371953888807821</v>
      </c>
      <c r="I2930">
        <f ca="1">Referencia_Hoy-Master_ventas[[#This Row],[Order Date]]</f>
        <v>1389</v>
      </c>
      <c r="J2930" t="str">
        <f>UPPER(Master_ventas[[#This Row],[Product Name]])</f>
        <v>CAMERA</v>
      </c>
      <c r="K2930" t="str">
        <f>UPPER(Master_ventas[[#This Row],[Category]])</f>
        <v>ELECTRONICS</v>
      </c>
      <c r="L2930">
        <f>YEAR(Master_ventas[[#This Row],[Order Date]])</f>
        <v>2023</v>
      </c>
      <c r="M2930" t="str">
        <f>CONCATENATE(LEFT(Master_ventas[[#This Row],[ProdUpper]],3),RIGHT(Master_ventas[[#This Row],[Ext-Year]],2),"-",MID(Master_ventas[[#This Row],[Category]],1,1))</f>
        <v>CAM23-E</v>
      </c>
      <c r="N2930" t="str">
        <f>MID(Master_ventas[[#This Row],[ProdUpper]],1,3)</f>
        <v>CAM</v>
      </c>
      <c r="O2930" t="str">
        <f>UPPER(IF(Master_ventas[[#This Row],[Profit]]&gt;500,"High","Std"))</f>
        <v>HIGH</v>
      </c>
      <c r="P2930">
        <v>2929</v>
      </c>
    </row>
    <row r="2931" spans="1:16" x14ac:dyDescent="0.3">
      <c r="A2931" s="1">
        <v>44697</v>
      </c>
      <c r="B2931" t="s">
        <v>17</v>
      </c>
      <c r="C2931" t="s">
        <v>14</v>
      </c>
      <c r="D2931" t="s">
        <v>16</v>
      </c>
      <c r="E2931">
        <v>2</v>
      </c>
      <c r="F2931" s="3">
        <v>1492</v>
      </c>
      <c r="G2931" s="2">
        <v>276.56</v>
      </c>
      <c r="H2931">
        <f>Master_ventas[[#This Row],[Profit]]/Master_ventas[[#This Row],[Sales]]</f>
        <v>0.18536193029490616</v>
      </c>
      <c r="I2931">
        <f ca="1">Referencia_Hoy-Master_ventas[[#This Row],[Order Date]]</f>
        <v>1626</v>
      </c>
      <c r="J2931" t="str">
        <f>UPPER(Master_ventas[[#This Row],[Product Name]])</f>
        <v>CAMERA</v>
      </c>
      <c r="K2931" t="str">
        <f>UPPER(Master_ventas[[#This Row],[Category]])</f>
        <v>ELECTRONICS</v>
      </c>
      <c r="L2931">
        <f>YEAR(Master_ventas[[#This Row],[Order Date]])</f>
        <v>2022</v>
      </c>
      <c r="M2931" t="str">
        <f>CONCATENATE(LEFT(Master_ventas[[#This Row],[ProdUpper]],3),RIGHT(Master_ventas[[#This Row],[Ext-Year]],2),"-",MID(Master_ventas[[#This Row],[Category]],1,1))</f>
        <v>CAM22-E</v>
      </c>
      <c r="N2931" t="str">
        <f>MID(Master_ventas[[#This Row],[ProdUpper]],1,3)</f>
        <v>CAM</v>
      </c>
      <c r="O2931" t="str">
        <f>UPPER(IF(Master_ventas[[#This Row],[Profit]]&gt;500,"High","Std"))</f>
        <v>STD</v>
      </c>
      <c r="P2931">
        <v>2930</v>
      </c>
    </row>
    <row r="2932" spans="1:16" x14ac:dyDescent="0.3">
      <c r="A2932" s="1">
        <v>45411</v>
      </c>
      <c r="B2932" t="s">
        <v>7</v>
      </c>
      <c r="C2932" t="s">
        <v>8</v>
      </c>
      <c r="D2932" t="s">
        <v>9</v>
      </c>
      <c r="E2932">
        <v>6</v>
      </c>
      <c r="F2932" s="3">
        <v>1938</v>
      </c>
      <c r="G2932" s="2">
        <v>146.72999999999999</v>
      </c>
      <c r="H2932">
        <f>Master_ventas[[#This Row],[Profit]]/Master_ventas[[#This Row],[Sales]]</f>
        <v>7.5712074303405569E-2</v>
      </c>
      <c r="I2932">
        <f ca="1">Referencia_Hoy-Master_ventas[[#This Row],[Order Date]]</f>
        <v>912</v>
      </c>
      <c r="J2932" t="str">
        <f>UPPER(Master_ventas[[#This Row],[Product Name]])</f>
        <v>PRINTER</v>
      </c>
      <c r="K2932" t="str">
        <f>UPPER(Master_ventas[[#This Row],[Category]])</f>
        <v>OFFICE</v>
      </c>
      <c r="L2932">
        <f>YEAR(Master_ventas[[#This Row],[Order Date]])</f>
        <v>2024</v>
      </c>
      <c r="M2932" t="str">
        <f>CONCATENATE(LEFT(Master_ventas[[#This Row],[ProdUpper]],3),RIGHT(Master_ventas[[#This Row],[Ext-Year]],2),"-",MID(Master_ventas[[#This Row],[Category]],1,1))</f>
        <v>PRI24-O</v>
      </c>
      <c r="N2932" t="str">
        <f>MID(Master_ventas[[#This Row],[ProdUpper]],1,3)</f>
        <v>PRI</v>
      </c>
      <c r="O2932" t="str">
        <f>UPPER(IF(Master_ventas[[#This Row],[Profit]]&gt;500,"High","Std"))</f>
        <v>STD</v>
      </c>
      <c r="P2932">
        <v>2931</v>
      </c>
    </row>
    <row r="2933" spans="1:16" x14ac:dyDescent="0.3">
      <c r="A2933" s="1">
        <v>44934</v>
      </c>
      <c r="B2933" t="s">
        <v>17</v>
      </c>
      <c r="C2933" t="s">
        <v>14</v>
      </c>
      <c r="D2933" t="s">
        <v>15</v>
      </c>
      <c r="E2933">
        <v>5</v>
      </c>
      <c r="F2933" s="3">
        <v>905</v>
      </c>
      <c r="G2933" s="2">
        <v>70.91</v>
      </c>
      <c r="H2933">
        <f>Master_ventas[[#This Row],[Profit]]/Master_ventas[[#This Row],[Sales]]</f>
        <v>7.8353591160220989E-2</v>
      </c>
      <c r="I2933">
        <f ca="1">Referencia_Hoy-Master_ventas[[#This Row],[Order Date]]</f>
        <v>1389</v>
      </c>
      <c r="J2933" t="str">
        <f>UPPER(Master_ventas[[#This Row],[Product Name]])</f>
        <v>CAMERA</v>
      </c>
      <c r="K2933" t="str">
        <f>UPPER(Master_ventas[[#This Row],[Category]])</f>
        <v>ELECTRONICS</v>
      </c>
      <c r="L2933">
        <f>YEAR(Master_ventas[[#This Row],[Order Date]])</f>
        <v>2023</v>
      </c>
      <c r="M2933" t="str">
        <f>CONCATENATE(LEFT(Master_ventas[[#This Row],[ProdUpper]],3),RIGHT(Master_ventas[[#This Row],[Ext-Year]],2),"-",MID(Master_ventas[[#This Row],[Category]],1,1))</f>
        <v>CAM23-E</v>
      </c>
      <c r="N2933" t="str">
        <f>MID(Master_ventas[[#This Row],[ProdUpper]],1,3)</f>
        <v>CAM</v>
      </c>
      <c r="O2933" t="str">
        <f>UPPER(IF(Master_ventas[[#This Row],[Profit]]&gt;500,"High","Std"))</f>
        <v>STD</v>
      </c>
      <c r="P2933">
        <v>2932</v>
      </c>
    </row>
    <row r="2934" spans="1:16" x14ac:dyDescent="0.3">
      <c r="A2934" s="1">
        <v>44617</v>
      </c>
      <c r="B2934" t="s">
        <v>7</v>
      </c>
      <c r="C2934" t="s">
        <v>8</v>
      </c>
      <c r="D2934" t="s">
        <v>9</v>
      </c>
      <c r="E2934">
        <v>3</v>
      </c>
      <c r="F2934" s="3">
        <v>2571</v>
      </c>
      <c r="G2934" s="2">
        <v>510.01</v>
      </c>
      <c r="H2934">
        <f>Master_ventas[[#This Row],[Profit]]/Master_ventas[[#This Row],[Sales]]</f>
        <v>0.19837028393621159</v>
      </c>
      <c r="I2934">
        <f ca="1">Referencia_Hoy-Master_ventas[[#This Row],[Order Date]]</f>
        <v>1706</v>
      </c>
      <c r="J2934" t="str">
        <f>UPPER(Master_ventas[[#This Row],[Product Name]])</f>
        <v>PRINTER</v>
      </c>
      <c r="K2934" t="str">
        <f>UPPER(Master_ventas[[#This Row],[Category]])</f>
        <v>OFFICE</v>
      </c>
      <c r="L2934">
        <f>YEAR(Master_ventas[[#This Row],[Order Date]])</f>
        <v>2022</v>
      </c>
      <c r="M2934" t="str">
        <f>CONCATENATE(LEFT(Master_ventas[[#This Row],[ProdUpper]],3),RIGHT(Master_ventas[[#This Row],[Ext-Year]],2),"-",MID(Master_ventas[[#This Row],[Category]],1,1))</f>
        <v>PRI22-O</v>
      </c>
      <c r="N2934" t="str">
        <f>MID(Master_ventas[[#This Row],[ProdUpper]],1,3)</f>
        <v>PRI</v>
      </c>
      <c r="O2934" t="str">
        <f>UPPER(IF(Master_ventas[[#This Row],[Profit]]&gt;500,"High","Std"))</f>
        <v>HIGH</v>
      </c>
      <c r="P2934">
        <v>2933</v>
      </c>
    </row>
    <row r="2935" spans="1:16" x14ac:dyDescent="0.3">
      <c r="A2935" s="1">
        <v>45390</v>
      </c>
      <c r="B2935" t="s">
        <v>13</v>
      </c>
      <c r="C2935" t="s">
        <v>14</v>
      </c>
      <c r="D2935" t="s">
        <v>16</v>
      </c>
      <c r="E2935">
        <v>4</v>
      </c>
      <c r="F2935" s="3">
        <v>1500</v>
      </c>
      <c r="G2935" s="2">
        <v>127.81</v>
      </c>
      <c r="H2935">
        <f>Master_ventas[[#This Row],[Profit]]/Master_ventas[[#This Row],[Sales]]</f>
        <v>8.5206666666666667E-2</v>
      </c>
      <c r="I2935">
        <f ca="1">Referencia_Hoy-Master_ventas[[#This Row],[Order Date]]</f>
        <v>933</v>
      </c>
      <c r="J2935" t="str">
        <f>UPPER(Master_ventas[[#This Row],[Product Name]])</f>
        <v>TABLET</v>
      </c>
      <c r="K2935" t="str">
        <f>UPPER(Master_ventas[[#This Row],[Category]])</f>
        <v>ELECTRONICS</v>
      </c>
      <c r="L2935">
        <f>YEAR(Master_ventas[[#This Row],[Order Date]])</f>
        <v>2024</v>
      </c>
      <c r="M2935" t="str">
        <f>CONCATENATE(LEFT(Master_ventas[[#This Row],[ProdUpper]],3),RIGHT(Master_ventas[[#This Row],[Ext-Year]],2),"-",MID(Master_ventas[[#This Row],[Category]],1,1))</f>
        <v>TAB24-E</v>
      </c>
      <c r="N2935" t="str">
        <f>MID(Master_ventas[[#This Row],[ProdUpper]],1,3)</f>
        <v>TAB</v>
      </c>
      <c r="O2935" t="str">
        <f>UPPER(IF(Master_ventas[[#This Row],[Profit]]&gt;500,"High","Std"))</f>
        <v>STD</v>
      </c>
      <c r="P2935">
        <v>2934</v>
      </c>
    </row>
    <row r="2936" spans="1:16" x14ac:dyDescent="0.3">
      <c r="A2936" s="1">
        <v>45002</v>
      </c>
      <c r="B2936" t="s">
        <v>19</v>
      </c>
      <c r="C2936" t="s">
        <v>14</v>
      </c>
      <c r="D2936" t="s">
        <v>15</v>
      </c>
      <c r="E2936">
        <v>9</v>
      </c>
      <c r="F2936" s="3">
        <v>8712</v>
      </c>
      <c r="G2936" s="2">
        <v>1034.27</v>
      </c>
      <c r="H2936">
        <f>Master_ventas[[#This Row],[Profit]]/Master_ventas[[#This Row],[Sales]]</f>
        <v>0.11871786042240587</v>
      </c>
      <c r="I2936">
        <f ca="1">Referencia_Hoy-Master_ventas[[#This Row],[Order Date]]</f>
        <v>1321</v>
      </c>
      <c r="J2936" t="str">
        <f>UPPER(Master_ventas[[#This Row],[Product Name]])</f>
        <v>SMARTWATCH</v>
      </c>
      <c r="K2936" t="str">
        <f>UPPER(Master_ventas[[#This Row],[Category]])</f>
        <v>ELECTRONICS</v>
      </c>
      <c r="L2936">
        <f>YEAR(Master_ventas[[#This Row],[Order Date]])</f>
        <v>2023</v>
      </c>
      <c r="M2936" t="str">
        <f>CONCATENATE(LEFT(Master_ventas[[#This Row],[ProdUpper]],3),RIGHT(Master_ventas[[#This Row],[Ext-Year]],2),"-",MID(Master_ventas[[#This Row],[Category]],1,1))</f>
        <v>SMA23-E</v>
      </c>
      <c r="N2936" t="str">
        <f>MID(Master_ventas[[#This Row],[ProdUpper]],1,3)</f>
        <v>SMA</v>
      </c>
      <c r="O2936" t="str">
        <f>UPPER(IF(Master_ventas[[#This Row],[Profit]]&gt;500,"High","Std"))</f>
        <v>HIGH</v>
      </c>
      <c r="P2936">
        <v>2935</v>
      </c>
    </row>
    <row r="2937" spans="1:16" x14ac:dyDescent="0.3">
      <c r="A2937" s="1">
        <v>45496</v>
      </c>
      <c r="B2937" t="s">
        <v>20</v>
      </c>
      <c r="C2937" t="s">
        <v>11</v>
      </c>
      <c r="D2937" t="s">
        <v>12</v>
      </c>
      <c r="E2937">
        <v>4</v>
      </c>
      <c r="F2937" s="3">
        <v>1308</v>
      </c>
      <c r="G2937" s="2">
        <v>368.28</v>
      </c>
      <c r="H2937">
        <f>Master_ventas[[#This Row],[Profit]]/Master_ventas[[#This Row],[Sales]]</f>
        <v>0.2815596330275229</v>
      </c>
      <c r="I2937">
        <f ca="1">Referencia_Hoy-Master_ventas[[#This Row],[Order Date]]</f>
        <v>827</v>
      </c>
      <c r="J2937" t="str">
        <f>UPPER(Master_ventas[[#This Row],[Product Name]])</f>
        <v>MONITOR</v>
      </c>
      <c r="K2937" t="str">
        <f>UPPER(Master_ventas[[#This Row],[Category]])</f>
        <v>ACCESSORIES</v>
      </c>
      <c r="L2937">
        <f>YEAR(Master_ventas[[#This Row],[Order Date]])</f>
        <v>2024</v>
      </c>
      <c r="M2937" t="str">
        <f>CONCATENATE(LEFT(Master_ventas[[#This Row],[ProdUpper]],3),RIGHT(Master_ventas[[#This Row],[Ext-Year]],2),"-",MID(Master_ventas[[#This Row],[Category]],1,1))</f>
        <v>MON24-A</v>
      </c>
      <c r="N2937" t="str">
        <f>MID(Master_ventas[[#This Row],[ProdUpper]],1,3)</f>
        <v>MON</v>
      </c>
      <c r="O2937" t="str">
        <f>UPPER(IF(Master_ventas[[#This Row],[Profit]]&gt;500,"High","Std"))</f>
        <v>STD</v>
      </c>
      <c r="P2937">
        <v>2936</v>
      </c>
    </row>
    <row r="2938" spans="1:16" x14ac:dyDescent="0.3">
      <c r="A2938" s="1">
        <v>45357</v>
      </c>
      <c r="B2938" t="s">
        <v>21</v>
      </c>
      <c r="C2938" t="s">
        <v>14</v>
      </c>
      <c r="D2938" t="s">
        <v>15</v>
      </c>
      <c r="E2938">
        <v>4</v>
      </c>
      <c r="F2938" s="3">
        <v>2648</v>
      </c>
      <c r="G2938" s="2">
        <v>707.32</v>
      </c>
      <c r="H2938">
        <f>Master_ventas[[#This Row],[Profit]]/Master_ventas[[#This Row],[Sales]]</f>
        <v>0.26711480362537765</v>
      </c>
      <c r="I2938">
        <f ca="1">Referencia_Hoy-Master_ventas[[#This Row],[Order Date]]</f>
        <v>966</v>
      </c>
      <c r="J2938" t="str">
        <f>UPPER(Master_ventas[[#This Row],[Product Name]])</f>
        <v>SMARTPHONE</v>
      </c>
      <c r="K2938" t="str">
        <f>UPPER(Master_ventas[[#This Row],[Category]])</f>
        <v>ELECTRONICS</v>
      </c>
      <c r="L2938">
        <f>YEAR(Master_ventas[[#This Row],[Order Date]])</f>
        <v>2024</v>
      </c>
      <c r="M2938" t="str">
        <f>CONCATENATE(LEFT(Master_ventas[[#This Row],[ProdUpper]],3),RIGHT(Master_ventas[[#This Row],[Ext-Year]],2),"-",MID(Master_ventas[[#This Row],[Category]],1,1))</f>
        <v>SMA24-E</v>
      </c>
      <c r="N2938" t="str">
        <f>MID(Master_ventas[[#This Row],[ProdUpper]],1,3)</f>
        <v>SMA</v>
      </c>
      <c r="O2938" t="str">
        <f>UPPER(IF(Master_ventas[[#This Row],[Profit]]&gt;500,"High","Std"))</f>
        <v>HIGH</v>
      </c>
      <c r="P2938">
        <v>2937</v>
      </c>
    </row>
    <row r="2939" spans="1:16" x14ac:dyDescent="0.3">
      <c r="A2939" s="1">
        <v>44638</v>
      </c>
      <c r="B2939" t="s">
        <v>17</v>
      </c>
      <c r="C2939" t="s">
        <v>14</v>
      </c>
      <c r="D2939" t="s">
        <v>15</v>
      </c>
      <c r="E2939">
        <v>9</v>
      </c>
      <c r="F2939" s="3">
        <v>9810</v>
      </c>
      <c r="G2939" s="2">
        <v>1666.96</v>
      </c>
      <c r="H2939">
        <f>Master_ventas[[#This Row],[Profit]]/Master_ventas[[#This Row],[Sales]]</f>
        <v>0.16992456676860346</v>
      </c>
      <c r="I2939">
        <f ca="1">Referencia_Hoy-Master_ventas[[#This Row],[Order Date]]</f>
        <v>1685</v>
      </c>
      <c r="J2939" t="str">
        <f>UPPER(Master_ventas[[#This Row],[Product Name]])</f>
        <v>CAMERA</v>
      </c>
      <c r="K2939" t="str">
        <f>UPPER(Master_ventas[[#This Row],[Category]])</f>
        <v>ELECTRONICS</v>
      </c>
      <c r="L2939">
        <f>YEAR(Master_ventas[[#This Row],[Order Date]])</f>
        <v>2022</v>
      </c>
      <c r="M2939" t="str">
        <f>CONCATENATE(LEFT(Master_ventas[[#This Row],[ProdUpper]],3),RIGHT(Master_ventas[[#This Row],[Ext-Year]],2),"-",MID(Master_ventas[[#This Row],[Category]],1,1))</f>
        <v>CAM22-E</v>
      </c>
      <c r="N2939" t="str">
        <f>MID(Master_ventas[[#This Row],[ProdUpper]],1,3)</f>
        <v>CAM</v>
      </c>
      <c r="O2939" t="str">
        <f>UPPER(IF(Master_ventas[[#This Row],[Profit]]&gt;500,"High","Std"))</f>
        <v>HIGH</v>
      </c>
      <c r="P2939">
        <v>2938</v>
      </c>
    </row>
    <row r="2940" spans="1:16" x14ac:dyDescent="0.3">
      <c r="A2940" s="1">
        <v>45415</v>
      </c>
      <c r="B2940" t="s">
        <v>18</v>
      </c>
      <c r="C2940" t="s">
        <v>11</v>
      </c>
      <c r="D2940" t="s">
        <v>9</v>
      </c>
      <c r="E2940">
        <v>3</v>
      </c>
      <c r="F2940" s="3">
        <v>3291</v>
      </c>
      <c r="G2940" s="2">
        <v>274.10000000000002</v>
      </c>
      <c r="H2940">
        <f>Master_ventas[[#This Row],[Profit]]/Master_ventas[[#This Row],[Sales]]</f>
        <v>8.3287754481920398E-2</v>
      </c>
      <c r="I2940">
        <f ca="1">Referencia_Hoy-Master_ventas[[#This Row],[Order Date]]</f>
        <v>908</v>
      </c>
      <c r="J2940" t="str">
        <f>UPPER(Master_ventas[[#This Row],[Product Name]])</f>
        <v>HEADPHONES</v>
      </c>
      <c r="K2940" t="str">
        <f>UPPER(Master_ventas[[#This Row],[Category]])</f>
        <v>ACCESSORIES</v>
      </c>
      <c r="L2940">
        <f>YEAR(Master_ventas[[#This Row],[Order Date]])</f>
        <v>2024</v>
      </c>
      <c r="M2940" t="str">
        <f>CONCATENATE(LEFT(Master_ventas[[#This Row],[ProdUpper]],3),RIGHT(Master_ventas[[#This Row],[Ext-Year]],2),"-",MID(Master_ventas[[#This Row],[Category]],1,1))</f>
        <v>HEA24-A</v>
      </c>
      <c r="N2940" t="str">
        <f>MID(Master_ventas[[#This Row],[ProdUpper]],1,3)</f>
        <v>HEA</v>
      </c>
      <c r="O2940" t="str">
        <f>UPPER(IF(Master_ventas[[#This Row],[Profit]]&gt;500,"High","Std"))</f>
        <v>STD</v>
      </c>
      <c r="P2940">
        <v>2939</v>
      </c>
    </row>
    <row r="2941" spans="1:16" x14ac:dyDescent="0.3">
      <c r="A2941" s="1">
        <v>44826</v>
      </c>
      <c r="B2941" t="s">
        <v>19</v>
      </c>
      <c r="C2941" t="s">
        <v>14</v>
      </c>
      <c r="D2941" t="s">
        <v>9</v>
      </c>
      <c r="E2941">
        <v>1</v>
      </c>
      <c r="F2941" s="3">
        <v>758</v>
      </c>
      <c r="G2941" s="2">
        <v>96.44</v>
      </c>
      <c r="H2941">
        <f>Master_ventas[[#This Row],[Profit]]/Master_ventas[[#This Row],[Sales]]</f>
        <v>0.12722955145118733</v>
      </c>
      <c r="I2941">
        <f ca="1">Referencia_Hoy-Master_ventas[[#This Row],[Order Date]]</f>
        <v>1497</v>
      </c>
      <c r="J2941" t="str">
        <f>UPPER(Master_ventas[[#This Row],[Product Name]])</f>
        <v>SMARTWATCH</v>
      </c>
      <c r="K2941" t="str">
        <f>UPPER(Master_ventas[[#This Row],[Category]])</f>
        <v>ELECTRONICS</v>
      </c>
      <c r="L2941">
        <f>YEAR(Master_ventas[[#This Row],[Order Date]])</f>
        <v>2022</v>
      </c>
      <c r="M2941" t="str">
        <f>CONCATENATE(LEFT(Master_ventas[[#This Row],[ProdUpper]],3),RIGHT(Master_ventas[[#This Row],[Ext-Year]],2),"-",MID(Master_ventas[[#This Row],[Category]],1,1))</f>
        <v>SMA22-E</v>
      </c>
      <c r="N2941" t="str">
        <f>MID(Master_ventas[[#This Row],[ProdUpper]],1,3)</f>
        <v>SMA</v>
      </c>
      <c r="O2941" t="str">
        <f>UPPER(IF(Master_ventas[[#This Row],[Profit]]&gt;500,"High","Std"))</f>
        <v>STD</v>
      </c>
      <c r="P2941">
        <v>2940</v>
      </c>
    </row>
    <row r="2942" spans="1:16" x14ac:dyDescent="0.3">
      <c r="A2942" s="1">
        <v>44833</v>
      </c>
      <c r="B2942" t="s">
        <v>22</v>
      </c>
      <c r="C2942" t="s">
        <v>11</v>
      </c>
      <c r="D2942" t="s">
        <v>12</v>
      </c>
      <c r="E2942">
        <v>7</v>
      </c>
      <c r="F2942" s="3">
        <v>2436</v>
      </c>
      <c r="G2942" s="2">
        <v>715.14</v>
      </c>
      <c r="H2942">
        <f>Master_ventas[[#This Row],[Profit]]/Master_ventas[[#This Row],[Sales]]</f>
        <v>0.29357142857142854</v>
      </c>
      <c r="I2942">
        <f ca="1">Referencia_Hoy-Master_ventas[[#This Row],[Order Date]]</f>
        <v>1490</v>
      </c>
      <c r="J2942" t="str">
        <f>UPPER(Master_ventas[[#This Row],[Product Name]])</f>
        <v>KEYBOARD</v>
      </c>
      <c r="K2942" t="str">
        <f>UPPER(Master_ventas[[#This Row],[Category]])</f>
        <v>ACCESSORIES</v>
      </c>
      <c r="L2942">
        <f>YEAR(Master_ventas[[#This Row],[Order Date]])</f>
        <v>2022</v>
      </c>
      <c r="M2942" t="str">
        <f>CONCATENATE(LEFT(Master_ventas[[#This Row],[ProdUpper]],3),RIGHT(Master_ventas[[#This Row],[Ext-Year]],2),"-",MID(Master_ventas[[#This Row],[Category]],1,1))</f>
        <v>KEY22-A</v>
      </c>
      <c r="N2942" t="str">
        <f>MID(Master_ventas[[#This Row],[ProdUpper]],1,3)</f>
        <v>KEY</v>
      </c>
      <c r="O2942" t="str">
        <f>UPPER(IF(Master_ventas[[#This Row],[Profit]]&gt;500,"High","Std"))</f>
        <v>HIGH</v>
      </c>
      <c r="P2942">
        <v>2941</v>
      </c>
    </row>
    <row r="2943" spans="1:16" x14ac:dyDescent="0.3">
      <c r="A2943" s="1">
        <v>45444</v>
      </c>
      <c r="B2943" t="s">
        <v>19</v>
      </c>
      <c r="C2943" t="s">
        <v>14</v>
      </c>
      <c r="D2943" t="s">
        <v>9</v>
      </c>
      <c r="E2943">
        <v>7</v>
      </c>
      <c r="F2943" s="3">
        <v>560</v>
      </c>
      <c r="G2943" s="2">
        <v>163.16</v>
      </c>
      <c r="H2943">
        <f>Master_ventas[[#This Row],[Profit]]/Master_ventas[[#This Row],[Sales]]</f>
        <v>0.29135714285714287</v>
      </c>
      <c r="I2943">
        <f ca="1">Referencia_Hoy-Master_ventas[[#This Row],[Order Date]]</f>
        <v>879</v>
      </c>
      <c r="J2943" t="str">
        <f>UPPER(Master_ventas[[#This Row],[Product Name]])</f>
        <v>SMARTWATCH</v>
      </c>
      <c r="K2943" t="str">
        <f>UPPER(Master_ventas[[#This Row],[Category]])</f>
        <v>ELECTRONICS</v>
      </c>
      <c r="L2943">
        <f>YEAR(Master_ventas[[#This Row],[Order Date]])</f>
        <v>2024</v>
      </c>
      <c r="M2943" t="str">
        <f>CONCATENATE(LEFT(Master_ventas[[#This Row],[ProdUpper]],3),RIGHT(Master_ventas[[#This Row],[Ext-Year]],2),"-",MID(Master_ventas[[#This Row],[Category]],1,1))</f>
        <v>SMA24-E</v>
      </c>
      <c r="N2943" t="str">
        <f>MID(Master_ventas[[#This Row],[ProdUpper]],1,3)</f>
        <v>SMA</v>
      </c>
      <c r="O2943" t="str">
        <f>UPPER(IF(Master_ventas[[#This Row],[Profit]]&gt;500,"High","Std"))</f>
        <v>STD</v>
      </c>
      <c r="P2943">
        <v>2942</v>
      </c>
    </row>
    <row r="2944" spans="1:16" x14ac:dyDescent="0.3">
      <c r="A2944" s="1">
        <v>44854</v>
      </c>
      <c r="B2944" t="s">
        <v>21</v>
      </c>
      <c r="C2944" t="s">
        <v>14</v>
      </c>
      <c r="D2944" t="s">
        <v>16</v>
      </c>
      <c r="E2944">
        <v>8</v>
      </c>
      <c r="F2944" s="3">
        <v>4240</v>
      </c>
      <c r="G2944" s="2">
        <v>519.72</v>
      </c>
      <c r="H2944">
        <f>Master_ventas[[#This Row],[Profit]]/Master_ventas[[#This Row],[Sales]]</f>
        <v>0.12257547169811321</v>
      </c>
      <c r="I2944">
        <f ca="1">Referencia_Hoy-Master_ventas[[#This Row],[Order Date]]</f>
        <v>1469</v>
      </c>
      <c r="J2944" t="str">
        <f>UPPER(Master_ventas[[#This Row],[Product Name]])</f>
        <v>SMARTPHONE</v>
      </c>
      <c r="K2944" t="str">
        <f>UPPER(Master_ventas[[#This Row],[Category]])</f>
        <v>ELECTRONICS</v>
      </c>
      <c r="L2944">
        <f>YEAR(Master_ventas[[#This Row],[Order Date]])</f>
        <v>2022</v>
      </c>
      <c r="M2944" t="str">
        <f>CONCATENATE(LEFT(Master_ventas[[#This Row],[ProdUpper]],3),RIGHT(Master_ventas[[#This Row],[Ext-Year]],2),"-",MID(Master_ventas[[#This Row],[Category]],1,1))</f>
        <v>SMA22-E</v>
      </c>
      <c r="N2944" t="str">
        <f>MID(Master_ventas[[#This Row],[ProdUpper]],1,3)</f>
        <v>SMA</v>
      </c>
      <c r="O2944" t="str">
        <f>UPPER(IF(Master_ventas[[#This Row],[Profit]]&gt;500,"High","Std"))</f>
        <v>HIGH</v>
      </c>
      <c r="P2944">
        <v>2943</v>
      </c>
    </row>
    <row r="2945" spans="1:16" x14ac:dyDescent="0.3">
      <c r="A2945" s="1">
        <v>45540</v>
      </c>
      <c r="B2945" t="s">
        <v>20</v>
      </c>
      <c r="C2945" t="s">
        <v>11</v>
      </c>
      <c r="D2945" t="s">
        <v>12</v>
      </c>
      <c r="E2945">
        <v>8</v>
      </c>
      <c r="F2945" s="3">
        <v>5416</v>
      </c>
      <c r="G2945" s="2">
        <v>403.52</v>
      </c>
      <c r="H2945">
        <f>Master_ventas[[#This Row],[Profit]]/Master_ventas[[#This Row],[Sales]]</f>
        <v>7.4505169867060558E-2</v>
      </c>
      <c r="I2945">
        <f ca="1">Referencia_Hoy-Master_ventas[[#This Row],[Order Date]]</f>
        <v>783</v>
      </c>
      <c r="J2945" t="str">
        <f>UPPER(Master_ventas[[#This Row],[Product Name]])</f>
        <v>MONITOR</v>
      </c>
      <c r="K2945" t="str">
        <f>UPPER(Master_ventas[[#This Row],[Category]])</f>
        <v>ACCESSORIES</v>
      </c>
      <c r="L2945">
        <f>YEAR(Master_ventas[[#This Row],[Order Date]])</f>
        <v>2024</v>
      </c>
      <c r="M2945" t="str">
        <f>CONCATENATE(LEFT(Master_ventas[[#This Row],[ProdUpper]],3),RIGHT(Master_ventas[[#This Row],[Ext-Year]],2),"-",MID(Master_ventas[[#This Row],[Category]],1,1))</f>
        <v>MON24-A</v>
      </c>
      <c r="N2945" t="str">
        <f>MID(Master_ventas[[#This Row],[ProdUpper]],1,3)</f>
        <v>MON</v>
      </c>
      <c r="O2945" t="str">
        <f>UPPER(IF(Master_ventas[[#This Row],[Profit]]&gt;500,"High","Std"))</f>
        <v>STD</v>
      </c>
      <c r="P2945">
        <v>2944</v>
      </c>
    </row>
    <row r="2946" spans="1:16" x14ac:dyDescent="0.3">
      <c r="A2946" s="1">
        <v>45123</v>
      </c>
      <c r="B2946" t="s">
        <v>21</v>
      </c>
      <c r="C2946" t="s">
        <v>14</v>
      </c>
      <c r="D2946" t="s">
        <v>12</v>
      </c>
      <c r="E2946">
        <v>8</v>
      </c>
      <c r="F2946" s="3">
        <v>1728</v>
      </c>
      <c r="G2946" s="2">
        <v>477.7</v>
      </c>
      <c r="H2946">
        <f>Master_ventas[[#This Row],[Profit]]/Master_ventas[[#This Row],[Sales]]</f>
        <v>0.27644675925925927</v>
      </c>
      <c r="I2946">
        <f ca="1">Referencia_Hoy-Master_ventas[[#This Row],[Order Date]]</f>
        <v>1200</v>
      </c>
      <c r="J2946" t="str">
        <f>UPPER(Master_ventas[[#This Row],[Product Name]])</f>
        <v>SMARTPHONE</v>
      </c>
      <c r="K2946" t="str">
        <f>UPPER(Master_ventas[[#This Row],[Category]])</f>
        <v>ELECTRONICS</v>
      </c>
      <c r="L2946">
        <f>YEAR(Master_ventas[[#This Row],[Order Date]])</f>
        <v>2023</v>
      </c>
      <c r="M2946" t="str">
        <f>CONCATENATE(LEFT(Master_ventas[[#This Row],[ProdUpper]],3),RIGHT(Master_ventas[[#This Row],[Ext-Year]],2),"-",MID(Master_ventas[[#This Row],[Category]],1,1))</f>
        <v>SMA23-E</v>
      </c>
      <c r="N2946" t="str">
        <f>MID(Master_ventas[[#This Row],[ProdUpper]],1,3)</f>
        <v>SMA</v>
      </c>
      <c r="O2946" t="str">
        <f>UPPER(IF(Master_ventas[[#This Row],[Profit]]&gt;500,"High","Std"))</f>
        <v>STD</v>
      </c>
      <c r="P2946">
        <v>2945</v>
      </c>
    </row>
    <row r="2947" spans="1:16" x14ac:dyDescent="0.3">
      <c r="A2947" s="1">
        <v>45122</v>
      </c>
      <c r="B2947" t="s">
        <v>22</v>
      </c>
      <c r="C2947" t="s">
        <v>11</v>
      </c>
      <c r="D2947" t="s">
        <v>16</v>
      </c>
      <c r="E2947">
        <v>9</v>
      </c>
      <c r="F2947" s="3">
        <v>6309</v>
      </c>
      <c r="G2947" s="2">
        <v>801.15</v>
      </c>
      <c r="H2947">
        <f>Master_ventas[[#This Row],[Profit]]/Master_ventas[[#This Row],[Sales]]</f>
        <v>0.1269852591535901</v>
      </c>
      <c r="I2947">
        <f ca="1">Referencia_Hoy-Master_ventas[[#This Row],[Order Date]]</f>
        <v>1201</v>
      </c>
      <c r="J2947" t="str">
        <f>UPPER(Master_ventas[[#This Row],[Product Name]])</f>
        <v>KEYBOARD</v>
      </c>
      <c r="K2947" t="str">
        <f>UPPER(Master_ventas[[#This Row],[Category]])</f>
        <v>ACCESSORIES</v>
      </c>
      <c r="L2947">
        <f>YEAR(Master_ventas[[#This Row],[Order Date]])</f>
        <v>2023</v>
      </c>
      <c r="M2947" t="str">
        <f>CONCATENATE(LEFT(Master_ventas[[#This Row],[ProdUpper]],3),RIGHT(Master_ventas[[#This Row],[Ext-Year]],2),"-",MID(Master_ventas[[#This Row],[Category]],1,1))</f>
        <v>KEY23-A</v>
      </c>
      <c r="N2947" t="str">
        <f>MID(Master_ventas[[#This Row],[ProdUpper]],1,3)</f>
        <v>KEY</v>
      </c>
      <c r="O2947" t="str">
        <f>UPPER(IF(Master_ventas[[#This Row],[Profit]]&gt;500,"High","Std"))</f>
        <v>HIGH</v>
      </c>
      <c r="P2947">
        <v>2946</v>
      </c>
    </row>
    <row r="2948" spans="1:16" x14ac:dyDescent="0.3">
      <c r="A2948" s="1">
        <v>45146</v>
      </c>
      <c r="B2948" t="s">
        <v>22</v>
      </c>
      <c r="C2948" t="s">
        <v>11</v>
      </c>
      <c r="D2948" t="s">
        <v>9</v>
      </c>
      <c r="E2948">
        <v>8</v>
      </c>
      <c r="F2948" s="3">
        <v>3400</v>
      </c>
      <c r="G2948" s="2">
        <v>758.57</v>
      </c>
      <c r="H2948">
        <f>Master_ventas[[#This Row],[Profit]]/Master_ventas[[#This Row],[Sales]]</f>
        <v>0.22310882352941178</v>
      </c>
      <c r="I2948">
        <f ca="1">Referencia_Hoy-Master_ventas[[#This Row],[Order Date]]</f>
        <v>1177</v>
      </c>
      <c r="J2948" t="str">
        <f>UPPER(Master_ventas[[#This Row],[Product Name]])</f>
        <v>KEYBOARD</v>
      </c>
      <c r="K2948" t="str">
        <f>UPPER(Master_ventas[[#This Row],[Category]])</f>
        <v>ACCESSORIES</v>
      </c>
      <c r="L2948">
        <f>YEAR(Master_ventas[[#This Row],[Order Date]])</f>
        <v>2023</v>
      </c>
      <c r="M2948" t="str">
        <f>CONCATENATE(LEFT(Master_ventas[[#This Row],[ProdUpper]],3),RIGHT(Master_ventas[[#This Row],[Ext-Year]],2),"-",MID(Master_ventas[[#This Row],[Category]],1,1))</f>
        <v>KEY23-A</v>
      </c>
      <c r="N2948" t="str">
        <f>MID(Master_ventas[[#This Row],[ProdUpper]],1,3)</f>
        <v>KEY</v>
      </c>
      <c r="O2948" t="str">
        <f>UPPER(IF(Master_ventas[[#This Row],[Profit]]&gt;500,"High","Std"))</f>
        <v>HIGH</v>
      </c>
      <c r="P2948">
        <v>2947</v>
      </c>
    </row>
    <row r="2949" spans="1:16" x14ac:dyDescent="0.3">
      <c r="A2949" s="1">
        <v>44680</v>
      </c>
      <c r="B2949" t="s">
        <v>23</v>
      </c>
      <c r="C2949" t="s">
        <v>14</v>
      </c>
      <c r="D2949" t="s">
        <v>12</v>
      </c>
      <c r="E2949">
        <v>1</v>
      </c>
      <c r="F2949" s="3">
        <v>403</v>
      </c>
      <c r="G2949" s="2">
        <v>72.45</v>
      </c>
      <c r="H2949">
        <f>Master_ventas[[#This Row],[Profit]]/Master_ventas[[#This Row],[Sales]]</f>
        <v>0.17977667493796526</v>
      </c>
      <c r="I2949">
        <f ca="1">Referencia_Hoy-Master_ventas[[#This Row],[Order Date]]</f>
        <v>1643</v>
      </c>
      <c r="J2949" t="str">
        <f>UPPER(Master_ventas[[#This Row],[Product Name]])</f>
        <v>LAPTOP</v>
      </c>
      <c r="K2949" t="str">
        <f>UPPER(Master_ventas[[#This Row],[Category]])</f>
        <v>ELECTRONICS</v>
      </c>
      <c r="L2949">
        <f>YEAR(Master_ventas[[#This Row],[Order Date]])</f>
        <v>2022</v>
      </c>
      <c r="M2949" t="str">
        <f>CONCATENATE(LEFT(Master_ventas[[#This Row],[ProdUpper]],3),RIGHT(Master_ventas[[#This Row],[Ext-Year]],2),"-",MID(Master_ventas[[#This Row],[Category]],1,1))</f>
        <v>LAP22-E</v>
      </c>
      <c r="N2949" t="str">
        <f>MID(Master_ventas[[#This Row],[ProdUpper]],1,3)</f>
        <v>LAP</v>
      </c>
      <c r="O2949" t="str">
        <f>UPPER(IF(Master_ventas[[#This Row],[Profit]]&gt;500,"High","Std"))</f>
        <v>STD</v>
      </c>
      <c r="P2949">
        <v>2948</v>
      </c>
    </row>
    <row r="2950" spans="1:16" x14ac:dyDescent="0.3">
      <c r="A2950" s="1">
        <v>44912</v>
      </c>
      <c r="B2950" t="s">
        <v>22</v>
      </c>
      <c r="C2950" t="s">
        <v>11</v>
      </c>
      <c r="D2950" t="s">
        <v>15</v>
      </c>
      <c r="E2950">
        <v>4</v>
      </c>
      <c r="F2950" s="3">
        <v>2108</v>
      </c>
      <c r="G2950" s="2">
        <v>375.62</v>
      </c>
      <c r="H2950">
        <f>Master_ventas[[#This Row],[Profit]]/Master_ventas[[#This Row],[Sales]]</f>
        <v>0.17818785578747628</v>
      </c>
      <c r="I2950">
        <f ca="1">Referencia_Hoy-Master_ventas[[#This Row],[Order Date]]</f>
        <v>1411</v>
      </c>
      <c r="J2950" t="str">
        <f>UPPER(Master_ventas[[#This Row],[Product Name]])</f>
        <v>KEYBOARD</v>
      </c>
      <c r="K2950" t="str">
        <f>UPPER(Master_ventas[[#This Row],[Category]])</f>
        <v>ACCESSORIES</v>
      </c>
      <c r="L2950">
        <f>YEAR(Master_ventas[[#This Row],[Order Date]])</f>
        <v>2022</v>
      </c>
      <c r="M2950" t="str">
        <f>CONCATENATE(LEFT(Master_ventas[[#This Row],[ProdUpper]],3),RIGHT(Master_ventas[[#This Row],[Ext-Year]],2),"-",MID(Master_ventas[[#This Row],[Category]],1,1))</f>
        <v>KEY22-A</v>
      </c>
      <c r="N2950" t="str">
        <f>MID(Master_ventas[[#This Row],[ProdUpper]],1,3)</f>
        <v>KEY</v>
      </c>
      <c r="O2950" t="str">
        <f>UPPER(IF(Master_ventas[[#This Row],[Profit]]&gt;500,"High","Std"))</f>
        <v>STD</v>
      </c>
      <c r="P2950">
        <v>2949</v>
      </c>
    </row>
    <row r="2951" spans="1:16" x14ac:dyDescent="0.3">
      <c r="A2951" s="1">
        <v>44834</v>
      </c>
      <c r="B2951" t="s">
        <v>18</v>
      </c>
      <c r="C2951" t="s">
        <v>11</v>
      </c>
      <c r="D2951" t="s">
        <v>16</v>
      </c>
      <c r="E2951">
        <v>2</v>
      </c>
      <c r="F2951" s="3">
        <v>1090</v>
      </c>
      <c r="G2951" s="2">
        <v>296.12</v>
      </c>
      <c r="H2951">
        <f>Master_ventas[[#This Row],[Profit]]/Master_ventas[[#This Row],[Sales]]</f>
        <v>0.27166972477064222</v>
      </c>
      <c r="I2951">
        <f ca="1">Referencia_Hoy-Master_ventas[[#This Row],[Order Date]]</f>
        <v>1489</v>
      </c>
      <c r="J2951" t="str">
        <f>UPPER(Master_ventas[[#This Row],[Product Name]])</f>
        <v>HEADPHONES</v>
      </c>
      <c r="K2951" t="str">
        <f>UPPER(Master_ventas[[#This Row],[Category]])</f>
        <v>ACCESSORIES</v>
      </c>
      <c r="L2951">
        <f>YEAR(Master_ventas[[#This Row],[Order Date]])</f>
        <v>2022</v>
      </c>
      <c r="M2951" t="str">
        <f>CONCATENATE(LEFT(Master_ventas[[#This Row],[ProdUpper]],3),RIGHT(Master_ventas[[#This Row],[Ext-Year]],2),"-",MID(Master_ventas[[#This Row],[Category]],1,1))</f>
        <v>HEA22-A</v>
      </c>
      <c r="N2951" t="str">
        <f>MID(Master_ventas[[#This Row],[ProdUpper]],1,3)</f>
        <v>HEA</v>
      </c>
      <c r="O2951" t="str">
        <f>UPPER(IF(Master_ventas[[#This Row],[Profit]]&gt;500,"High","Std"))</f>
        <v>STD</v>
      </c>
      <c r="P2951">
        <v>2950</v>
      </c>
    </row>
    <row r="2952" spans="1:16" x14ac:dyDescent="0.3">
      <c r="A2952" s="1">
        <v>44871</v>
      </c>
      <c r="B2952" t="s">
        <v>22</v>
      </c>
      <c r="C2952" t="s">
        <v>11</v>
      </c>
      <c r="D2952" t="s">
        <v>9</v>
      </c>
      <c r="E2952">
        <v>7</v>
      </c>
      <c r="F2952" s="3">
        <v>1274</v>
      </c>
      <c r="G2952" s="2">
        <v>317.92</v>
      </c>
      <c r="H2952">
        <f>Master_ventas[[#This Row],[Profit]]/Master_ventas[[#This Row],[Sales]]</f>
        <v>0.24954474097331242</v>
      </c>
      <c r="I2952">
        <f ca="1">Referencia_Hoy-Master_ventas[[#This Row],[Order Date]]</f>
        <v>1452</v>
      </c>
      <c r="J2952" t="str">
        <f>UPPER(Master_ventas[[#This Row],[Product Name]])</f>
        <v>KEYBOARD</v>
      </c>
      <c r="K2952" t="str">
        <f>UPPER(Master_ventas[[#This Row],[Category]])</f>
        <v>ACCESSORIES</v>
      </c>
      <c r="L2952">
        <f>YEAR(Master_ventas[[#This Row],[Order Date]])</f>
        <v>2022</v>
      </c>
      <c r="M2952" t="str">
        <f>CONCATENATE(LEFT(Master_ventas[[#This Row],[ProdUpper]],3),RIGHT(Master_ventas[[#This Row],[Ext-Year]],2),"-",MID(Master_ventas[[#This Row],[Category]],1,1))</f>
        <v>KEY22-A</v>
      </c>
      <c r="N2952" t="str">
        <f>MID(Master_ventas[[#This Row],[ProdUpper]],1,3)</f>
        <v>KEY</v>
      </c>
      <c r="O2952" t="str">
        <f>UPPER(IF(Master_ventas[[#This Row],[Profit]]&gt;500,"High","Std"))</f>
        <v>STD</v>
      </c>
      <c r="P2952">
        <v>2951</v>
      </c>
    </row>
    <row r="2953" spans="1:16" x14ac:dyDescent="0.3">
      <c r="A2953" s="1">
        <v>45393</v>
      </c>
      <c r="B2953" t="s">
        <v>10</v>
      </c>
      <c r="C2953" t="s">
        <v>11</v>
      </c>
      <c r="D2953" t="s">
        <v>15</v>
      </c>
      <c r="E2953">
        <v>3</v>
      </c>
      <c r="F2953" s="3">
        <v>1056</v>
      </c>
      <c r="G2953" s="2">
        <v>70.540000000000006</v>
      </c>
      <c r="H2953">
        <f>Master_ventas[[#This Row],[Profit]]/Master_ventas[[#This Row],[Sales]]</f>
        <v>6.6799242424242428E-2</v>
      </c>
      <c r="I2953">
        <f ca="1">Referencia_Hoy-Master_ventas[[#This Row],[Order Date]]</f>
        <v>930</v>
      </c>
      <c r="J2953" t="str">
        <f>UPPER(Master_ventas[[#This Row],[Product Name]])</f>
        <v>MOUSE</v>
      </c>
      <c r="K2953" t="str">
        <f>UPPER(Master_ventas[[#This Row],[Category]])</f>
        <v>ACCESSORIES</v>
      </c>
      <c r="L2953">
        <f>YEAR(Master_ventas[[#This Row],[Order Date]])</f>
        <v>2024</v>
      </c>
      <c r="M2953" t="str">
        <f>CONCATENATE(LEFT(Master_ventas[[#This Row],[ProdUpper]],3),RIGHT(Master_ventas[[#This Row],[Ext-Year]],2),"-",MID(Master_ventas[[#This Row],[Category]],1,1))</f>
        <v>MOU24-A</v>
      </c>
      <c r="N2953" t="str">
        <f>MID(Master_ventas[[#This Row],[ProdUpper]],1,3)</f>
        <v>MOU</v>
      </c>
      <c r="O2953" t="str">
        <f>UPPER(IF(Master_ventas[[#This Row],[Profit]]&gt;500,"High","Std"))</f>
        <v>STD</v>
      </c>
      <c r="P2953">
        <v>2952</v>
      </c>
    </row>
    <row r="2954" spans="1:16" x14ac:dyDescent="0.3">
      <c r="A2954" s="1">
        <v>45078</v>
      </c>
      <c r="B2954" t="s">
        <v>10</v>
      </c>
      <c r="C2954" t="s">
        <v>11</v>
      </c>
      <c r="D2954" t="s">
        <v>9</v>
      </c>
      <c r="E2954">
        <v>9</v>
      </c>
      <c r="F2954" s="3">
        <v>5247</v>
      </c>
      <c r="G2954" s="2">
        <v>921.09</v>
      </c>
      <c r="H2954">
        <f>Master_ventas[[#This Row],[Profit]]/Master_ventas[[#This Row],[Sales]]</f>
        <v>0.17554602630074329</v>
      </c>
      <c r="I2954">
        <f ca="1">Referencia_Hoy-Master_ventas[[#This Row],[Order Date]]</f>
        <v>1245</v>
      </c>
      <c r="J2954" t="str">
        <f>UPPER(Master_ventas[[#This Row],[Product Name]])</f>
        <v>MOUSE</v>
      </c>
      <c r="K2954" t="str">
        <f>UPPER(Master_ventas[[#This Row],[Category]])</f>
        <v>ACCESSORIES</v>
      </c>
      <c r="L2954">
        <f>YEAR(Master_ventas[[#This Row],[Order Date]])</f>
        <v>2023</v>
      </c>
      <c r="M2954" t="str">
        <f>CONCATENATE(LEFT(Master_ventas[[#This Row],[ProdUpper]],3),RIGHT(Master_ventas[[#This Row],[Ext-Year]],2),"-",MID(Master_ventas[[#This Row],[Category]],1,1))</f>
        <v>MOU23-A</v>
      </c>
      <c r="N2954" t="str">
        <f>MID(Master_ventas[[#This Row],[ProdUpper]],1,3)</f>
        <v>MOU</v>
      </c>
      <c r="O2954" t="str">
        <f>UPPER(IF(Master_ventas[[#This Row],[Profit]]&gt;500,"High","Std"))</f>
        <v>HIGH</v>
      </c>
      <c r="P2954">
        <v>2953</v>
      </c>
    </row>
    <row r="2955" spans="1:16" x14ac:dyDescent="0.3">
      <c r="A2955" s="1">
        <v>45236</v>
      </c>
      <c r="B2955" t="s">
        <v>10</v>
      </c>
      <c r="C2955" t="s">
        <v>11</v>
      </c>
      <c r="D2955" t="s">
        <v>16</v>
      </c>
      <c r="E2955">
        <v>7</v>
      </c>
      <c r="F2955" s="3">
        <v>6006</v>
      </c>
      <c r="G2955" s="2">
        <v>1595.22</v>
      </c>
      <c r="H2955">
        <f>Master_ventas[[#This Row],[Profit]]/Master_ventas[[#This Row],[Sales]]</f>
        <v>0.26560439560439558</v>
      </c>
      <c r="I2955">
        <f ca="1">Referencia_Hoy-Master_ventas[[#This Row],[Order Date]]</f>
        <v>1087</v>
      </c>
      <c r="J2955" t="str">
        <f>UPPER(Master_ventas[[#This Row],[Product Name]])</f>
        <v>MOUSE</v>
      </c>
      <c r="K2955" t="str">
        <f>UPPER(Master_ventas[[#This Row],[Category]])</f>
        <v>ACCESSORIES</v>
      </c>
      <c r="L2955">
        <f>YEAR(Master_ventas[[#This Row],[Order Date]])</f>
        <v>2023</v>
      </c>
      <c r="M2955" t="str">
        <f>CONCATENATE(LEFT(Master_ventas[[#This Row],[ProdUpper]],3),RIGHT(Master_ventas[[#This Row],[Ext-Year]],2),"-",MID(Master_ventas[[#This Row],[Category]],1,1))</f>
        <v>MOU23-A</v>
      </c>
      <c r="N2955" t="str">
        <f>MID(Master_ventas[[#This Row],[ProdUpper]],1,3)</f>
        <v>MOU</v>
      </c>
      <c r="O2955" t="str">
        <f>UPPER(IF(Master_ventas[[#This Row],[Profit]]&gt;500,"High","Std"))</f>
        <v>HIGH</v>
      </c>
      <c r="P2955">
        <v>2954</v>
      </c>
    </row>
    <row r="2956" spans="1:16" x14ac:dyDescent="0.3">
      <c r="A2956" s="1">
        <v>45309</v>
      </c>
      <c r="B2956" t="s">
        <v>20</v>
      </c>
      <c r="C2956" t="s">
        <v>11</v>
      </c>
      <c r="D2956" t="s">
        <v>16</v>
      </c>
      <c r="E2956">
        <v>5</v>
      </c>
      <c r="F2956" s="3">
        <v>5415</v>
      </c>
      <c r="G2956" s="2">
        <v>1261.6500000000001</v>
      </c>
      <c r="H2956">
        <f>Master_ventas[[#This Row],[Profit]]/Master_ventas[[#This Row],[Sales]]</f>
        <v>0.23299168975069254</v>
      </c>
      <c r="I2956">
        <f ca="1">Referencia_Hoy-Master_ventas[[#This Row],[Order Date]]</f>
        <v>1014</v>
      </c>
      <c r="J2956" t="str">
        <f>UPPER(Master_ventas[[#This Row],[Product Name]])</f>
        <v>MONITOR</v>
      </c>
      <c r="K2956" t="str">
        <f>UPPER(Master_ventas[[#This Row],[Category]])</f>
        <v>ACCESSORIES</v>
      </c>
      <c r="L2956">
        <f>YEAR(Master_ventas[[#This Row],[Order Date]])</f>
        <v>2024</v>
      </c>
      <c r="M2956" t="str">
        <f>CONCATENATE(LEFT(Master_ventas[[#This Row],[ProdUpper]],3),RIGHT(Master_ventas[[#This Row],[Ext-Year]],2),"-",MID(Master_ventas[[#This Row],[Category]],1,1))</f>
        <v>MON24-A</v>
      </c>
      <c r="N2956" t="str">
        <f>MID(Master_ventas[[#This Row],[ProdUpper]],1,3)</f>
        <v>MON</v>
      </c>
      <c r="O2956" t="str">
        <f>UPPER(IF(Master_ventas[[#This Row],[Profit]]&gt;500,"High","Std"))</f>
        <v>HIGH</v>
      </c>
      <c r="P2956">
        <v>2955</v>
      </c>
    </row>
    <row r="2957" spans="1:16" x14ac:dyDescent="0.3">
      <c r="A2957" s="1">
        <v>44616</v>
      </c>
      <c r="B2957" t="s">
        <v>21</v>
      </c>
      <c r="C2957" t="s">
        <v>14</v>
      </c>
      <c r="D2957" t="s">
        <v>16</v>
      </c>
      <c r="E2957">
        <v>1</v>
      </c>
      <c r="F2957" s="3">
        <v>632</v>
      </c>
      <c r="G2957" s="2">
        <v>81.540000000000006</v>
      </c>
      <c r="H2957">
        <f>Master_ventas[[#This Row],[Profit]]/Master_ventas[[#This Row],[Sales]]</f>
        <v>0.12901898734177217</v>
      </c>
      <c r="I2957">
        <f ca="1">Referencia_Hoy-Master_ventas[[#This Row],[Order Date]]</f>
        <v>1707</v>
      </c>
      <c r="J2957" t="str">
        <f>UPPER(Master_ventas[[#This Row],[Product Name]])</f>
        <v>SMARTPHONE</v>
      </c>
      <c r="K2957" t="str">
        <f>UPPER(Master_ventas[[#This Row],[Category]])</f>
        <v>ELECTRONICS</v>
      </c>
      <c r="L2957">
        <f>YEAR(Master_ventas[[#This Row],[Order Date]])</f>
        <v>2022</v>
      </c>
      <c r="M2957" t="str">
        <f>CONCATENATE(LEFT(Master_ventas[[#This Row],[ProdUpper]],3),RIGHT(Master_ventas[[#This Row],[Ext-Year]],2),"-",MID(Master_ventas[[#This Row],[Category]],1,1))</f>
        <v>SMA22-E</v>
      </c>
      <c r="N2957" t="str">
        <f>MID(Master_ventas[[#This Row],[ProdUpper]],1,3)</f>
        <v>SMA</v>
      </c>
      <c r="O2957" t="str">
        <f>UPPER(IF(Master_ventas[[#This Row],[Profit]]&gt;500,"High","Std"))</f>
        <v>STD</v>
      </c>
      <c r="P2957">
        <v>2956</v>
      </c>
    </row>
    <row r="2958" spans="1:16" x14ac:dyDescent="0.3">
      <c r="A2958" s="1">
        <v>45322</v>
      </c>
      <c r="B2958" t="s">
        <v>7</v>
      </c>
      <c r="C2958" t="s">
        <v>8</v>
      </c>
      <c r="D2958" t="s">
        <v>16</v>
      </c>
      <c r="E2958">
        <v>8</v>
      </c>
      <c r="F2958" s="3">
        <v>6160</v>
      </c>
      <c r="G2958" s="2">
        <v>947.96</v>
      </c>
      <c r="H2958">
        <f>Master_ventas[[#This Row],[Profit]]/Master_ventas[[#This Row],[Sales]]</f>
        <v>0.15388961038961038</v>
      </c>
      <c r="I2958">
        <f ca="1">Referencia_Hoy-Master_ventas[[#This Row],[Order Date]]</f>
        <v>1001</v>
      </c>
      <c r="J2958" t="str">
        <f>UPPER(Master_ventas[[#This Row],[Product Name]])</f>
        <v>PRINTER</v>
      </c>
      <c r="K2958" t="str">
        <f>UPPER(Master_ventas[[#This Row],[Category]])</f>
        <v>OFFICE</v>
      </c>
      <c r="L2958">
        <f>YEAR(Master_ventas[[#This Row],[Order Date]])</f>
        <v>2024</v>
      </c>
      <c r="M2958" t="str">
        <f>CONCATENATE(LEFT(Master_ventas[[#This Row],[ProdUpper]],3),RIGHT(Master_ventas[[#This Row],[Ext-Year]],2),"-",MID(Master_ventas[[#This Row],[Category]],1,1))</f>
        <v>PRI24-O</v>
      </c>
      <c r="N2958" t="str">
        <f>MID(Master_ventas[[#This Row],[ProdUpper]],1,3)</f>
        <v>PRI</v>
      </c>
      <c r="O2958" t="str">
        <f>UPPER(IF(Master_ventas[[#This Row],[Profit]]&gt;500,"High","Std"))</f>
        <v>HIGH</v>
      </c>
      <c r="P2958">
        <v>2957</v>
      </c>
    </row>
    <row r="2959" spans="1:16" x14ac:dyDescent="0.3">
      <c r="A2959" s="1">
        <v>45072</v>
      </c>
      <c r="B2959" t="s">
        <v>7</v>
      </c>
      <c r="C2959" t="s">
        <v>8</v>
      </c>
      <c r="D2959" t="s">
        <v>15</v>
      </c>
      <c r="E2959">
        <v>1</v>
      </c>
      <c r="F2959" s="3">
        <v>857</v>
      </c>
      <c r="G2959" s="2">
        <v>172.91</v>
      </c>
      <c r="H2959">
        <f>Master_ventas[[#This Row],[Profit]]/Master_ventas[[#This Row],[Sales]]</f>
        <v>0.20176196032672111</v>
      </c>
      <c r="I2959">
        <f ca="1">Referencia_Hoy-Master_ventas[[#This Row],[Order Date]]</f>
        <v>1251</v>
      </c>
      <c r="J2959" t="str">
        <f>UPPER(Master_ventas[[#This Row],[Product Name]])</f>
        <v>PRINTER</v>
      </c>
      <c r="K2959" t="str">
        <f>UPPER(Master_ventas[[#This Row],[Category]])</f>
        <v>OFFICE</v>
      </c>
      <c r="L2959">
        <f>YEAR(Master_ventas[[#This Row],[Order Date]])</f>
        <v>2023</v>
      </c>
      <c r="M2959" t="str">
        <f>CONCATENATE(LEFT(Master_ventas[[#This Row],[ProdUpper]],3),RIGHT(Master_ventas[[#This Row],[Ext-Year]],2),"-",MID(Master_ventas[[#This Row],[Category]],1,1))</f>
        <v>PRI23-O</v>
      </c>
      <c r="N2959" t="str">
        <f>MID(Master_ventas[[#This Row],[ProdUpper]],1,3)</f>
        <v>PRI</v>
      </c>
      <c r="O2959" t="str">
        <f>UPPER(IF(Master_ventas[[#This Row],[Profit]]&gt;500,"High","Std"))</f>
        <v>STD</v>
      </c>
      <c r="P2959">
        <v>2958</v>
      </c>
    </row>
    <row r="2960" spans="1:16" x14ac:dyDescent="0.3">
      <c r="A2960" s="1">
        <v>44954</v>
      </c>
      <c r="B2960" t="s">
        <v>13</v>
      </c>
      <c r="C2960" t="s">
        <v>14</v>
      </c>
      <c r="D2960" t="s">
        <v>12</v>
      </c>
      <c r="E2960">
        <v>1</v>
      </c>
      <c r="F2960" s="3">
        <v>169</v>
      </c>
      <c r="G2960" s="2">
        <v>22.99</v>
      </c>
      <c r="H2960">
        <f>Master_ventas[[#This Row],[Profit]]/Master_ventas[[#This Row],[Sales]]</f>
        <v>0.13603550295857988</v>
      </c>
      <c r="I2960">
        <f ca="1">Referencia_Hoy-Master_ventas[[#This Row],[Order Date]]</f>
        <v>1369</v>
      </c>
      <c r="J2960" t="str">
        <f>UPPER(Master_ventas[[#This Row],[Product Name]])</f>
        <v>TABLET</v>
      </c>
      <c r="K2960" t="str">
        <f>UPPER(Master_ventas[[#This Row],[Category]])</f>
        <v>ELECTRONICS</v>
      </c>
      <c r="L2960">
        <f>YEAR(Master_ventas[[#This Row],[Order Date]])</f>
        <v>2023</v>
      </c>
      <c r="M2960" t="str">
        <f>CONCATENATE(LEFT(Master_ventas[[#This Row],[ProdUpper]],3),RIGHT(Master_ventas[[#This Row],[Ext-Year]],2),"-",MID(Master_ventas[[#This Row],[Category]],1,1))</f>
        <v>TAB23-E</v>
      </c>
      <c r="N2960" t="str">
        <f>MID(Master_ventas[[#This Row],[ProdUpper]],1,3)</f>
        <v>TAB</v>
      </c>
      <c r="O2960" t="str">
        <f>UPPER(IF(Master_ventas[[#This Row],[Profit]]&gt;500,"High","Std"))</f>
        <v>STD</v>
      </c>
      <c r="P2960">
        <v>2959</v>
      </c>
    </row>
    <row r="2961" spans="1:16" x14ac:dyDescent="0.3">
      <c r="A2961" s="1">
        <v>45200</v>
      </c>
      <c r="B2961" t="s">
        <v>13</v>
      </c>
      <c r="C2961" t="s">
        <v>14</v>
      </c>
      <c r="D2961" t="s">
        <v>16</v>
      </c>
      <c r="E2961">
        <v>7</v>
      </c>
      <c r="F2961" s="3">
        <v>1463</v>
      </c>
      <c r="G2961" s="2">
        <v>175.13</v>
      </c>
      <c r="H2961">
        <f>Master_ventas[[#This Row],[Profit]]/Master_ventas[[#This Row],[Sales]]</f>
        <v>0.11970608339029391</v>
      </c>
      <c r="I2961">
        <f ca="1">Referencia_Hoy-Master_ventas[[#This Row],[Order Date]]</f>
        <v>1123</v>
      </c>
      <c r="J2961" t="str">
        <f>UPPER(Master_ventas[[#This Row],[Product Name]])</f>
        <v>TABLET</v>
      </c>
      <c r="K2961" t="str">
        <f>UPPER(Master_ventas[[#This Row],[Category]])</f>
        <v>ELECTRONICS</v>
      </c>
      <c r="L2961">
        <f>YEAR(Master_ventas[[#This Row],[Order Date]])</f>
        <v>2023</v>
      </c>
      <c r="M2961" t="str">
        <f>CONCATENATE(LEFT(Master_ventas[[#This Row],[ProdUpper]],3),RIGHT(Master_ventas[[#This Row],[Ext-Year]],2),"-",MID(Master_ventas[[#This Row],[Category]],1,1))</f>
        <v>TAB23-E</v>
      </c>
      <c r="N2961" t="str">
        <f>MID(Master_ventas[[#This Row],[ProdUpper]],1,3)</f>
        <v>TAB</v>
      </c>
      <c r="O2961" t="str">
        <f>UPPER(IF(Master_ventas[[#This Row],[Profit]]&gt;500,"High","Std"))</f>
        <v>STD</v>
      </c>
      <c r="P2961">
        <v>2960</v>
      </c>
    </row>
    <row r="2962" spans="1:16" x14ac:dyDescent="0.3">
      <c r="A2962" s="1">
        <v>44913</v>
      </c>
      <c r="B2962" t="s">
        <v>17</v>
      </c>
      <c r="C2962" t="s">
        <v>14</v>
      </c>
      <c r="D2962" t="s">
        <v>12</v>
      </c>
      <c r="E2962">
        <v>8</v>
      </c>
      <c r="F2962" s="3">
        <v>7528</v>
      </c>
      <c r="G2962" s="2">
        <v>1283.07</v>
      </c>
      <c r="H2962">
        <f>Master_ventas[[#This Row],[Profit]]/Master_ventas[[#This Row],[Sales]]</f>
        <v>0.17043969181721572</v>
      </c>
      <c r="I2962">
        <f ca="1">Referencia_Hoy-Master_ventas[[#This Row],[Order Date]]</f>
        <v>1410</v>
      </c>
      <c r="J2962" t="str">
        <f>UPPER(Master_ventas[[#This Row],[Product Name]])</f>
        <v>CAMERA</v>
      </c>
      <c r="K2962" t="str">
        <f>UPPER(Master_ventas[[#This Row],[Category]])</f>
        <v>ELECTRONICS</v>
      </c>
      <c r="L2962">
        <f>YEAR(Master_ventas[[#This Row],[Order Date]])</f>
        <v>2022</v>
      </c>
      <c r="M2962" t="str">
        <f>CONCATENATE(LEFT(Master_ventas[[#This Row],[ProdUpper]],3),RIGHT(Master_ventas[[#This Row],[Ext-Year]],2),"-",MID(Master_ventas[[#This Row],[Category]],1,1))</f>
        <v>CAM22-E</v>
      </c>
      <c r="N2962" t="str">
        <f>MID(Master_ventas[[#This Row],[ProdUpper]],1,3)</f>
        <v>CAM</v>
      </c>
      <c r="O2962" t="str">
        <f>UPPER(IF(Master_ventas[[#This Row],[Profit]]&gt;500,"High","Std"))</f>
        <v>HIGH</v>
      </c>
      <c r="P2962">
        <v>2961</v>
      </c>
    </row>
    <row r="2963" spans="1:16" x14ac:dyDescent="0.3">
      <c r="A2963" s="1">
        <v>44919</v>
      </c>
      <c r="B2963" t="s">
        <v>19</v>
      </c>
      <c r="C2963" t="s">
        <v>14</v>
      </c>
      <c r="D2963" t="s">
        <v>16</v>
      </c>
      <c r="E2963">
        <v>2</v>
      </c>
      <c r="F2963" s="3">
        <v>1158</v>
      </c>
      <c r="G2963" s="2">
        <v>227.61</v>
      </c>
      <c r="H2963">
        <f>Master_ventas[[#This Row],[Profit]]/Master_ventas[[#This Row],[Sales]]</f>
        <v>0.19655440414507774</v>
      </c>
      <c r="I2963">
        <f ca="1">Referencia_Hoy-Master_ventas[[#This Row],[Order Date]]</f>
        <v>1404</v>
      </c>
      <c r="J2963" t="str">
        <f>UPPER(Master_ventas[[#This Row],[Product Name]])</f>
        <v>SMARTWATCH</v>
      </c>
      <c r="K2963" t="str">
        <f>UPPER(Master_ventas[[#This Row],[Category]])</f>
        <v>ELECTRONICS</v>
      </c>
      <c r="L2963">
        <f>YEAR(Master_ventas[[#This Row],[Order Date]])</f>
        <v>2022</v>
      </c>
      <c r="M2963" t="str">
        <f>CONCATENATE(LEFT(Master_ventas[[#This Row],[ProdUpper]],3),RIGHT(Master_ventas[[#This Row],[Ext-Year]],2),"-",MID(Master_ventas[[#This Row],[Category]],1,1))</f>
        <v>SMA22-E</v>
      </c>
      <c r="N2963" t="str">
        <f>MID(Master_ventas[[#This Row],[ProdUpper]],1,3)</f>
        <v>SMA</v>
      </c>
      <c r="O2963" t="str">
        <f>UPPER(IF(Master_ventas[[#This Row],[Profit]]&gt;500,"High","Std"))</f>
        <v>STD</v>
      </c>
      <c r="P2963">
        <v>2962</v>
      </c>
    </row>
    <row r="2964" spans="1:16" x14ac:dyDescent="0.3">
      <c r="A2964" s="1">
        <v>44729</v>
      </c>
      <c r="B2964" t="s">
        <v>20</v>
      </c>
      <c r="C2964" t="s">
        <v>11</v>
      </c>
      <c r="D2964" t="s">
        <v>16</v>
      </c>
      <c r="E2964">
        <v>4</v>
      </c>
      <c r="F2964" s="3">
        <v>200</v>
      </c>
      <c r="G2964" s="2">
        <v>20.25</v>
      </c>
      <c r="H2964">
        <f>Master_ventas[[#This Row],[Profit]]/Master_ventas[[#This Row],[Sales]]</f>
        <v>0.10125000000000001</v>
      </c>
      <c r="I2964">
        <f ca="1">Referencia_Hoy-Master_ventas[[#This Row],[Order Date]]</f>
        <v>1594</v>
      </c>
      <c r="J2964" t="str">
        <f>UPPER(Master_ventas[[#This Row],[Product Name]])</f>
        <v>MONITOR</v>
      </c>
      <c r="K2964" t="str">
        <f>UPPER(Master_ventas[[#This Row],[Category]])</f>
        <v>ACCESSORIES</v>
      </c>
      <c r="L2964">
        <f>YEAR(Master_ventas[[#This Row],[Order Date]])</f>
        <v>2022</v>
      </c>
      <c r="M2964" t="str">
        <f>CONCATENATE(LEFT(Master_ventas[[#This Row],[ProdUpper]],3),RIGHT(Master_ventas[[#This Row],[Ext-Year]],2),"-",MID(Master_ventas[[#This Row],[Category]],1,1))</f>
        <v>MON22-A</v>
      </c>
      <c r="N2964" t="str">
        <f>MID(Master_ventas[[#This Row],[ProdUpper]],1,3)</f>
        <v>MON</v>
      </c>
      <c r="O2964" t="str">
        <f>UPPER(IF(Master_ventas[[#This Row],[Profit]]&gt;500,"High","Std"))</f>
        <v>STD</v>
      </c>
      <c r="P2964">
        <v>2963</v>
      </c>
    </row>
    <row r="2965" spans="1:16" x14ac:dyDescent="0.3">
      <c r="A2965" s="1">
        <v>44927</v>
      </c>
      <c r="B2965" t="s">
        <v>21</v>
      </c>
      <c r="C2965" t="s">
        <v>14</v>
      </c>
      <c r="D2965" t="s">
        <v>16</v>
      </c>
      <c r="E2965">
        <v>2</v>
      </c>
      <c r="F2965" s="3">
        <v>1514</v>
      </c>
      <c r="G2965" s="2">
        <v>180.67</v>
      </c>
      <c r="H2965">
        <f>Master_ventas[[#This Row],[Profit]]/Master_ventas[[#This Row],[Sales]]</f>
        <v>0.11933289299867898</v>
      </c>
      <c r="I2965">
        <f ca="1">Referencia_Hoy-Master_ventas[[#This Row],[Order Date]]</f>
        <v>1396</v>
      </c>
      <c r="J2965" t="str">
        <f>UPPER(Master_ventas[[#This Row],[Product Name]])</f>
        <v>SMARTPHONE</v>
      </c>
      <c r="K2965" t="str">
        <f>UPPER(Master_ventas[[#This Row],[Category]])</f>
        <v>ELECTRONICS</v>
      </c>
      <c r="L2965">
        <f>YEAR(Master_ventas[[#This Row],[Order Date]])</f>
        <v>2023</v>
      </c>
      <c r="M2965" t="str">
        <f>CONCATENATE(LEFT(Master_ventas[[#This Row],[ProdUpper]],3),RIGHT(Master_ventas[[#This Row],[Ext-Year]],2),"-",MID(Master_ventas[[#This Row],[Category]],1,1))</f>
        <v>SMA23-E</v>
      </c>
      <c r="N2965" t="str">
        <f>MID(Master_ventas[[#This Row],[ProdUpper]],1,3)</f>
        <v>SMA</v>
      </c>
      <c r="O2965" t="str">
        <f>UPPER(IF(Master_ventas[[#This Row],[Profit]]&gt;500,"High","Std"))</f>
        <v>STD</v>
      </c>
      <c r="P2965">
        <v>2964</v>
      </c>
    </row>
    <row r="2966" spans="1:16" x14ac:dyDescent="0.3">
      <c r="A2966" s="1">
        <v>45480</v>
      </c>
      <c r="B2966" t="s">
        <v>19</v>
      </c>
      <c r="C2966" t="s">
        <v>14</v>
      </c>
      <c r="D2966" t="s">
        <v>15</v>
      </c>
      <c r="E2966">
        <v>7</v>
      </c>
      <c r="F2966" s="3">
        <v>2632</v>
      </c>
      <c r="G2966" s="2">
        <v>738.93</v>
      </c>
      <c r="H2966">
        <f>Master_ventas[[#This Row],[Profit]]/Master_ventas[[#This Row],[Sales]]</f>
        <v>0.28074848024316107</v>
      </c>
      <c r="I2966">
        <f ca="1">Referencia_Hoy-Master_ventas[[#This Row],[Order Date]]</f>
        <v>843</v>
      </c>
      <c r="J2966" t="str">
        <f>UPPER(Master_ventas[[#This Row],[Product Name]])</f>
        <v>SMARTWATCH</v>
      </c>
      <c r="K2966" t="str">
        <f>UPPER(Master_ventas[[#This Row],[Category]])</f>
        <v>ELECTRONICS</v>
      </c>
      <c r="L2966">
        <f>YEAR(Master_ventas[[#This Row],[Order Date]])</f>
        <v>2024</v>
      </c>
      <c r="M2966" t="str">
        <f>CONCATENATE(LEFT(Master_ventas[[#This Row],[ProdUpper]],3),RIGHT(Master_ventas[[#This Row],[Ext-Year]],2),"-",MID(Master_ventas[[#This Row],[Category]],1,1))</f>
        <v>SMA24-E</v>
      </c>
      <c r="N2966" t="str">
        <f>MID(Master_ventas[[#This Row],[ProdUpper]],1,3)</f>
        <v>SMA</v>
      </c>
      <c r="O2966" t="str">
        <f>UPPER(IF(Master_ventas[[#This Row],[Profit]]&gt;500,"High","Std"))</f>
        <v>HIGH</v>
      </c>
      <c r="P2966">
        <v>2965</v>
      </c>
    </row>
    <row r="2967" spans="1:16" x14ac:dyDescent="0.3">
      <c r="A2967" s="1">
        <v>44773</v>
      </c>
      <c r="B2967" t="s">
        <v>22</v>
      </c>
      <c r="C2967" t="s">
        <v>11</v>
      </c>
      <c r="D2967" t="s">
        <v>9</v>
      </c>
      <c r="E2967">
        <v>1</v>
      </c>
      <c r="F2967" s="3">
        <v>358</v>
      </c>
      <c r="G2967" s="2">
        <v>77.84</v>
      </c>
      <c r="H2967">
        <f>Master_ventas[[#This Row],[Profit]]/Master_ventas[[#This Row],[Sales]]</f>
        <v>0.21743016759776537</v>
      </c>
      <c r="I2967">
        <f ca="1">Referencia_Hoy-Master_ventas[[#This Row],[Order Date]]</f>
        <v>1550</v>
      </c>
      <c r="J2967" t="str">
        <f>UPPER(Master_ventas[[#This Row],[Product Name]])</f>
        <v>KEYBOARD</v>
      </c>
      <c r="K2967" t="str">
        <f>UPPER(Master_ventas[[#This Row],[Category]])</f>
        <v>ACCESSORIES</v>
      </c>
      <c r="L2967">
        <f>YEAR(Master_ventas[[#This Row],[Order Date]])</f>
        <v>2022</v>
      </c>
      <c r="M2967" t="str">
        <f>CONCATENATE(LEFT(Master_ventas[[#This Row],[ProdUpper]],3),RIGHT(Master_ventas[[#This Row],[Ext-Year]],2),"-",MID(Master_ventas[[#This Row],[Category]],1,1))</f>
        <v>KEY22-A</v>
      </c>
      <c r="N2967" t="str">
        <f>MID(Master_ventas[[#This Row],[ProdUpper]],1,3)</f>
        <v>KEY</v>
      </c>
      <c r="O2967" t="str">
        <f>UPPER(IF(Master_ventas[[#This Row],[Profit]]&gt;500,"High","Std"))</f>
        <v>STD</v>
      </c>
      <c r="P2967">
        <v>2966</v>
      </c>
    </row>
    <row r="2968" spans="1:16" x14ac:dyDescent="0.3">
      <c r="A2968" s="1">
        <v>45081</v>
      </c>
      <c r="B2968" t="s">
        <v>17</v>
      </c>
      <c r="C2968" t="s">
        <v>14</v>
      </c>
      <c r="D2968" t="s">
        <v>12</v>
      </c>
      <c r="E2968">
        <v>8</v>
      </c>
      <c r="F2968" s="3">
        <v>2360</v>
      </c>
      <c r="G2968" s="2">
        <v>653.29999999999995</v>
      </c>
      <c r="H2968">
        <f>Master_ventas[[#This Row],[Profit]]/Master_ventas[[#This Row],[Sales]]</f>
        <v>0.27682203389830506</v>
      </c>
      <c r="I2968">
        <f ca="1">Referencia_Hoy-Master_ventas[[#This Row],[Order Date]]</f>
        <v>1242</v>
      </c>
      <c r="J2968" t="str">
        <f>UPPER(Master_ventas[[#This Row],[Product Name]])</f>
        <v>CAMERA</v>
      </c>
      <c r="K2968" t="str">
        <f>UPPER(Master_ventas[[#This Row],[Category]])</f>
        <v>ELECTRONICS</v>
      </c>
      <c r="L2968">
        <f>YEAR(Master_ventas[[#This Row],[Order Date]])</f>
        <v>2023</v>
      </c>
      <c r="M2968" t="str">
        <f>CONCATENATE(LEFT(Master_ventas[[#This Row],[ProdUpper]],3),RIGHT(Master_ventas[[#This Row],[Ext-Year]],2),"-",MID(Master_ventas[[#This Row],[Category]],1,1))</f>
        <v>CAM23-E</v>
      </c>
      <c r="N2968" t="str">
        <f>MID(Master_ventas[[#This Row],[ProdUpper]],1,3)</f>
        <v>CAM</v>
      </c>
      <c r="O2968" t="str">
        <f>UPPER(IF(Master_ventas[[#This Row],[Profit]]&gt;500,"High","Std"))</f>
        <v>HIGH</v>
      </c>
      <c r="P2968">
        <v>2967</v>
      </c>
    </row>
    <row r="2969" spans="1:16" x14ac:dyDescent="0.3">
      <c r="A2969" s="1">
        <v>45167</v>
      </c>
      <c r="B2969" t="s">
        <v>22</v>
      </c>
      <c r="C2969" t="s">
        <v>11</v>
      </c>
      <c r="D2969" t="s">
        <v>15</v>
      </c>
      <c r="E2969">
        <v>5</v>
      </c>
      <c r="F2969" s="3">
        <v>5275</v>
      </c>
      <c r="G2969" s="2">
        <v>594.29</v>
      </c>
      <c r="H2969">
        <f>Master_ventas[[#This Row],[Profit]]/Master_ventas[[#This Row],[Sales]]</f>
        <v>0.11266161137440757</v>
      </c>
      <c r="I2969">
        <f ca="1">Referencia_Hoy-Master_ventas[[#This Row],[Order Date]]</f>
        <v>1156</v>
      </c>
      <c r="J2969" t="str">
        <f>UPPER(Master_ventas[[#This Row],[Product Name]])</f>
        <v>KEYBOARD</v>
      </c>
      <c r="K2969" t="str">
        <f>UPPER(Master_ventas[[#This Row],[Category]])</f>
        <v>ACCESSORIES</v>
      </c>
      <c r="L2969">
        <f>YEAR(Master_ventas[[#This Row],[Order Date]])</f>
        <v>2023</v>
      </c>
      <c r="M2969" t="str">
        <f>CONCATENATE(LEFT(Master_ventas[[#This Row],[ProdUpper]],3),RIGHT(Master_ventas[[#This Row],[Ext-Year]],2),"-",MID(Master_ventas[[#This Row],[Category]],1,1))</f>
        <v>KEY23-A</v>
      </c>
      <c r="N2969" t="str">
        <f>MID(Master_ventas[[#This Row],[ProdUpper]],1,3)</f>
        <v>KEY</v>
      </c>
      <c r="O2969" t="str">
        <f>UPPER(IF(Master_ventas[[#This Row],[Profit]]&gt;500,"High","Std"))</f>
        <v>HIGH</v>
      </c>
      <c r="P2969">
        <v>2968</v>
      </c>
    </row>
    <row r="2970" spans="1:16" x14ac:dyDescent="0.3">
      <c r="A2970" s="1">
        <v>45022</v>
      </c>
      <c r="B2970" t="s">
        <v>20</v>
      </c>
      <c r="C2970" t="s">
        <v>11</v>
      </c>
      <c r="D2970" t="s">
        <v>12</v>
      </c>
      <c r="E2970">
        <v>9</v>
      </c>
      <c r="F2970" s="3">
        <v>1719</v>
      </c>
      <c r="G2970" s="2">
        <v>251.85</v>
      </c>
      <c r="H2970">
        <f>Master_ventas[[#This Row],[Profit]]/Master_ventas[[#This Row],[Sales]]</f>
        <v>0.14650959860383944</v>
      </c>
      <c r="I2970">
        <f ca="1">Referencia_Hoy-Master_ventas[[#This Row],[Order Date]]</f>
        <v>1301</v>
      </c>
      <c r="J2970" t="str">
        <f>UPPER(Master_ventas[[#This Row],[Product Name]])</f>
        <v>MONITOR</v>
      </c>
      <c r="K2970" t="str">
        <f>UPPER(Master_ventas[[#This Row],[Category]])</f>
        <v>ACCESSORIES</v>
      </c>
      <c r="L2970">
        <f>YEAR(Master_ventas[[#This Row],[Order Date]])</f>
        <v>2023</v>
      </c>
      <c r="M2970" t="str">
        <f>CONCATENATE(LEFT(Master_ventas[[#This Row],[ProdUpper]],3),RIGHT(Master_ventas[[#This Row],[Ext-Year]],2),"-",MID(Master_ventas[[#This Row],[Category]],1,1))</f>
        <v>MON23-A</v>
      </c>
      <c r="N2970" t="str">
        <f>MID(Master_ventas[[#This Row],[ProdUpper]],1,3)</f>
        <v>MON</v>
      </c>
      <c r="O2970" t="str">
        <f>UPPER(IF(Master_ventas[[#This Row],[Profit]]&gt;500,"High","Std"))</f>
        <v>STD</v>
      </c>
      <c r="P2970">
        <v>2969</v>
      </c>
    </row>
    <row r="2971" spans="1:16" x14ac:dyDescent="0.3">
      <c r="A2971" s="1">
        <v>44961</v>
      </c>
      <c r="B2971" t="s">
        <v>21</v>
      </c>
      <c r="C2971" t="s">
        <v>14</v>
      </c>
      <c r="D2971" t="s">
        <v>16</v>
      </c>
      <c r="E2971">
        <v>6</v>
      </c>
      <c r="F2971" s="3">
        <v>1956</v>
      </c>
      <c r="G2971" s="2">
        <v>434.03</v>
      </c>
      <c r="H2971">
        <f>Master_ventas[[#This Row],[Profit]]/Master_ventas[[#This Row],[Sales]]</f>
        <v>0.2218967280163599</v>
      </c>
      <c r="I2971">
        <f ca="1">Referencia_Hoy-Master_ventas[[#This Row],[Order Date]]</f>
        <v>1362</v>
      </c>
      <c r="J2971" t="str">
        <f>UPPER(Master_ventas[[#This Row],[Product Name]])</f>
        <v>SMARTPHONE</v>
      </c>
      <c r="K2971" t="str">
        <f>UPPER(Master_ventas[[#This Row],[Category]])</f>
        <v>ELECTRONICS</v>
      </c>
      <c r="L2971">
        <f>YEAR(Master_ventas[[#This Row],[Order Date]])</f>
        <v>2023</v>
      </c>
      <c r="M2971" t="str">
        <f>CONCATENATE(LEFT(Master_ventas[[#This Row],[ProdUpper]],3),RIGHT(Master_ventas[[#This Row],[Ext-Year]],2),"-",MID(Master_ventas[[#This Row],[Category]],1,1))</f>
        <v>SMA23-E</v>
      </c>
      <c r="N2971" t="str">
        <f>MID(Master_ventas[[#This Row],[ProdUpper]],1,3)</f>
        <v>SMA</v>
      </c>
      <c r="O2971" t="str">
        <f>UPPER(IF(Master_ventas[[#This Row],[Profit]]&gt;500,"High","Std"))</f>
        <v>STD</v>
      </c>
      <c r="P2971">
        <v>2970</v>
      </c>
    </row>
    <row r="2972" spans="1:16" x14ac:dyDescent="0.3">
      <c r="A2972" s="1">
        <v>44800</v>
      </c>
      <c r="B2972" t="s">
        <v>22</v>
      </c>
      <c r="C2972" t="s">
        <v>11</v>
      </c>
      <c r="D2972" t="s">
        <v>16</v>
      </c>
      <c r="E2972">
        <v>3</v>
      </c>
      <c r="F2972" s="3">
        <v>1875</v>
      </c>
      <c r="G2972" s="2">
        <v>152.07</v>
      </c>
      <c r="H2972">
        <f>Master_ventas[[#This Row],[Profit]]/Master_ventas[[#This Row],[Sales]]</f>
        <v>8.1103999999999996E-2</v>
      </c>
      <c r="I2972">
        <f ca="1">Referencia_Hoy-Master_ventas[[#This Row],[Order Date]]</f>
        <v>1523</v>
      </c>
      <c r="J2972" t="str">
        <f>UPPER(Master_ventas[[#This Row],[Product Name]])</f>
        <v>KEYBOARD</v>
      </c>
      <c r="K2972" t="str">
        <f>UPPER(Master_ventas[[#This Row],[Category]])</f>
        <v>ACCESSORIES</v>
      </c>
      <c r="L2972">
        <f>YEAR(Master_ventas[[#This Row],[Order Date]])</f>
        <v>2022</v>
      </c>
      <c r="M2972" t="str">
        <f>CONCATENATE(LEFT(Master_ventas[[#This Row],[ProdUpper]],3),RIGHT(Master_ventas[[#This Row],[Ext-Year]],2),"-",MID(Master_ventas[[#This Row],[Category]],1,1))</f>
        <v>KEY22-A</v>
      </c>
      <c r="N2972" t="str">
        <f>MID(Master_ventas[[#This Row],[ProdUpper]],1,3)</f>
        <v>KEY</v>
      </c>
      <c r="O2972" t="str">
        <f>UPPER(IF(Master_ventas[[#This Row],[Profit]]&gt;500,"High","Std"))</f>
        <v>STD</v>
      </c>
      <c r="P2972">
        <v>2971</v>
      </c>
    </row>
    <row r="2973" spans="1:16" x14ac:dyDescent="0.3">
      <c r="A2973" s="1">
        <v>44725</v>
      </c>
      <c r="B2973" t="s">
        <v>20</v>
      </c>
      <c r="C2973" t="s">
        <v>11</v>
      </c>
      <c r="D2973" t="s">
        <v>15</v>
      </c>
      <c r="E2973">
        <v>4</v>
      </c>
      <c r="F2973" s="3">
        <v>984</v>
      </c>
      <c r="G2973" s="2">
        <v>157.72</v>
      </c>
      <c r="H2973">
        <f>Master_ventas[[#This Row],[Profit]]/Master_ventas[[#This Row],[Sales]]</f>
        <v>0.16028455284552845</v>
      </c>
      <c r="I2973">
        <f ca="1">Referencia_Hoy-Master_ventas[[#This Row],[Order Date]]</f>
        <v>1598</v>
      </c>
      <c r="J2973" t="str">
        <f>UPPER(Master_ventas[[#This Row],[Product Name]])</f>
        <v>MONITOR</v>
      </c>
      <c r="K2973" t="str">
        <f>UPPER(Master_ventas[[#This Row],[Category]])</f>
        <v>ACCESSORIES</v>
      </c>
      <c r="L2973">
        <f>YEAR(Master_ventas[[#This Row],[Order Date]])</f>
        <v>2022</v>
      </c>
      <c r="M2973" t="str">
        <f>CONCATENATE(LEFT(Master_ventas[[#This Row],[ProdUpper]],3),RIGHT(Master_ventas[[#This Row],[Ext-Year]],2),"-",MID(Master_ventas[[#This Row],[Category]],1,1))</f>
        <v>MON22-A</v>
      </c>
      <c r="N2973" t="str">
        <f>MID(Master_ventas[[#This Row],[ProdUpper]],1,3)</f>
        <v>MON</v>
      </c>
      <c r="O2973" t="str">
        <f>UPPER(IF(Master_ventas[[#This Row],[Profit]]&gt;500,"High","Std"))</f>
        <v>STD</v>
      </c>
      <c r="P2973">
        <v>2972</v>
      </c>
    </row>
    <row r="2974" spans="1:16" x14ac:dyDescent="0.3">
      <c r="A2974" s="1">
        <v>45158</v>
      </c>
      <c r="B2974" t="s">
        <v>17</v>
      </c>
      <c r="C2974" t="s">
        <v>14</v>
      </c>
      <c r="D2974" t="s">
        <v>15</v>
      </c>
      <c r="E2974">
        <v>4</v>
      </c>
      <c r="F2974" s="3">
        <v>3616</v>
      </c>
      <c r="G2974" s="2">
        <v>789.63</v>
      </c>
      <c r="H2974">
        <f>Master_ventas[[#This Row],[Profit]]/Master_ventas[[#This Row],[Sales]]</f>
        <v>0.21837112831858407</v>
      </c>
      <c r="I2974">
        <f ca="1">Referencia_Hoy-Master_ventas[[#This Row],[Order Date]]</f>
        <v>1165</v>
      </c>
      <c r="J2974" t="str">
        <f>UPPER(Master_ventas[[#This Row],[Product Name]])</f>
        <v>CAMERA</v>
      </c>
      <c r="K2974" t="str">
        <f>UPPER(Master_ventas[[#This Row],[Category]])</f>
        <v>ELECTRONICS</v>
      </c>
      <c r="L2974">
        <f>YEAR(Master_ventas[[#This Row],[Order Date]])</f>
        <v>2023</v>
      </c>
      <c r="M2974" t="str">
        <f>CONCATENATE(LEFT(Master_ventas[[#This Row],[ProdUpper]],3),RIGHT(Master_ventas[[#This Row],[Ext-Year]],2),"-",MID(Master_ventas[[#This Row],[Category]],1,1))</f>
        <v>CAM23-E</v>
      </c>
      <c r="N2974" t="str">
        <f>MID(Master_ventas[[#This Row],[ProdUpper]],1,3)</f>
        <v>CAM</v>
      </c>
      <c r="O2974" t="str">
        <f>UPPER(IF(Master_ventas[[#This Row],[Profit]]&gt;500,"High","Std"))</f>
        <v>HIGH</v>
      </c>
      <c r="P2974">
        <v>2973</v>
      </c>
    </row>
    <row r="2975" spans="1:16" x14ac:dyDescent="0.3">
      <c r="A2975" s="1">
        <v>45583</v>
      </c>
      <c r="B2975" t="s">
        <v>13</v>
      </c>
      <c r="C2975" t="s">
        <v>14</v>
      </c>
      <c r="D2975" t="s">
        <v>16</v>
      </c>
      <c r="E2975">
        <v>5</v>
      </c>
      <c r="F2975" s="3">
        <v>4560</v>
      </c>
      <c r="G2975" s="2">
        <v>1180.8</v>
      </c>
      <c r="H2975">
        <f>Master_ventas[[#This Row],[Profit]]/Master_ventas[[#This Row],[Sales]]</f>
        <v>0.25894736842105265</v>
      </c>
      <c r="I2975">
        <f ca="1">Referencia_Hoy-Master_ventas[[#This Row],[Order Date]]</f>
        <v>740</v>
      </c>
      <c r="J2975" t="str">
        <f>UPPER(Master_ventas[[#This Row],[Product Name]])</f>
        <v>TABLET</v>
      </c>
      <c r="K2975" t="str">
        <f>UPPER(Master_ventas[[#This Row],[Category]])</f>
        <v>ELECTRONICS</v>
      </c>
      <c r="L2975">
        <f>YEAR(Master_ventas[[#This Row],[Order Date]])</f>
        <v>2024</v>
      </c>
      <c r="M2975" t="str">
        <f>CONCATENATE(LEFT(Master_ventas[[#This Row],[ProdUpper]],3),RIGHT(Master_ventas[[#This Row],[Ext-Year]],2),"-",MID(Master_ventas[[#This Row],[Category]],1,1))</f>
        <v>TAB24-E</v>
      </c>
      <c r="N2975" t="str">
        <f>MID(Master_ventas[[#This Row],[ProdUpper]],1,3)</f>
        <v>TAB</v>
      </c>
      <c r="O2975" t="str">
        <f>UPPER(IF(Master_ventas[[#This Row],[Profit]]&gt;500,"High","Std"))</f>
        <v>HIGH</v>
      </c>
      <c r="P2975">
        <v>2974</v>
      </c>
    </row>
    <row r="2976" spans="1:16" x14ac:dyDescent="0.3">
      <c r="A2976" s="1">
        <v>45549</v>
      </c>
      <c r="B2976" t="s">
        <v>21</v>
      </c>
      <c r="C2976" t="s">
        <v>14</v>
      </c>
      <c r="D2976" t="s">
        <v>16</v>
      </c>
      <c r="E2976">
        <v>8</v>
      </c>
      <c r="F2976" s="3">
        <v>7496</v>
      </c>
      <c r="G2976" s="2">
        <v>2019.32</v>
      </c>
      <c r="H2976">
        <f>Master_ventas[[#This Row],[Profit]]/Master_ventas[[#This Row],[Sales]]</f>
        <v>0.2693863393810032</v>
      </c>
      <c r="I2976">
        <f ca="1">Referencia_Hoy-Master_ventas[[#This Row],[Order Date]]</f>
        <v>774</v>
      </c>
      <c r="J2976" t="str">
        <f>UPPER(Master_ventas[[#This Row],[Product Name]])</f>
        <v>SMARTPHONE</v>
      </c>
      <c r="K2976" t="str">
        <f>UPPER(Master_ventas[[#This Row],[Category]])</f>
        <v>ELECTRONICS</v>
      </c>
      <c r="L2976">
        <f>YEAR(Master_ventas[[#This Row],[Order Date]])</f>
        <v>2024</v>
      </c>
      <c r="M2976" t="str">
        <f>CONCATENATE(LEFT(Master_ventas[[#This Row],[ProdUpper]],3),RIGHT(Master_ventas[[#This Row],[Ext-Year]],2),"-",MID(Master_ventas[[#This Row],[Category]],1,1))</f>
        <v>SMA24-E</v>
      </c>
      <c r="N2976" t="str">
        <f>MID(Master_ventas[[#This Row],[ProdUpper]],1,3)</f>
        <v>SMA</v>
      </c>
      <c r="O2976" t="str">
        <f>UPPER(IF(Master_ventas[[#This Row],[Profit]]&gt;500,"High","Std"))</f>
        <v>HIGH</v>
      </c>
      <c r="P2976">
        <v>2975</v>
      </c>
    </row>
    <row r="2977" spans="1:16" x14ac:dyDescent="0.3">
      <c r="A2977" s="1">
        <v>44790</v>
      </c>
      <c r="B2977" t="s">
        <v>17</v>
      </c>
      <c r="C2977" t="s">
        <v>14</v>
      </c>
      <c r="D2977" t="s">
        <v>9</v>
      </c>
      <c r="E2977">
        <v>5</v>
      </c>
      <c r="F2977" s="3">
        <v>5070</v>
      </c>
      <c r="G2977" s="2">
        <v>889.97</v>
      </c>
      <c r="H2977">
        <f>Master_ventas[[#This Row],[Profit]]/Master_ventas[[#This Row],[Sales]]</f>
        <v>0.17553648915187378</v>
      </c>
      <c r="I2977">
        <f ca="1">Referencia_Hoy-Master_ventas[[#This Row],[Order Date]]</f>
        <v>1533</v>
      </c>
      <c r="J2977" t="str">
        <f>UPPER(Master_ventas[[#This Row],[Product Name]])</f>
        <v>CAMERA</v>
      </c>
      <c r="K2977" t="str">
        <f>UPPER(Master_ventas[[#This Row],[Category]])</f>
        <v>ELECTRONICS</v>
      </c>
      <c r="L2977">
        <f>YEAR(Master_ventas[[#This Row],[Order Date]])</f>
        <v>2022</v>
      </c>
      <c r="M2977" t="str">
        <f>CONCATENATE(LEFT(Master_ventas[[#This Row],[ProdUpper]],3),RIGHT(Master_ventas[[#This Row],[Ext-Year]],2),"-",MID(Master_ventas[[#This Row],[Category]],1,1))</f>
        <v>CAM22-E</v>
      </c>
      <c r="N2977" t="str">
        <f>MID(Master_ventas[[#This Row],[ProdUpper]],1,3)</f>
        <v>CAM</v>
      </c>
      <c r="O2977" t="str">
        <f>UPPER(IF(Master_ventas[[#This Row],[Profit]]&gt;500,"High","Std"))</f>
        <v>HIGH</v>
      </c>
      <c r="P2977">
        <v>2976</v>
      </c>
    </row>
    <row r="2978" spans="1:16" x14ac:dyDescent="0.3">
      <c r="A2978" s="1">
        <v>44672</v>
      </c>
      <c r="B2978" t="s">
        <v>19</v>
      </c>
      <c r="C2978" t="s">
        <v>14</v>
      </c>
      <c r="D2978" t="s">
        <v>9</v>
      </c>
      <c r="E2978">
        <v>5</v>
      </c>
      <c r="F2978" s="3">
        <v>4505</v>
      </c>
      <c r="G2978" s="2">
        <v>1351.28</v>
      </c>
      <c r="H2978">
        <f>Master_ventas[[#This Row],[Profit]]/Master_ventas[[#This Row],[Sales]]</f>
        <v>0.2999511653718091</v>
      </c>
      <c r="I2978">
        <f ca="1">Referencia_Hoy-Master_ventas[[#This Row],[Order Date]]</f>
        <v>1651</v>
      </c>
      <c r="J2978" t="str">
        <f>UPPER(Master_ventas[[#This Row],[Product Name]])</f>
        <v>SMARTWATCH</v>
      </c>
      <c r="K2978" t="str">
        <f>UPPER(Master_ventas[[#This Row],[Category]])</f>
        <v>ELECTRONICS</v>
      </c>
      <c r="L2978">
        <f>YEAR(Master_ventas[[#This Row],[Order Date]])</f>
        <v>2022</v>
      </c>
      <c r="M2978" t="str">
        <f>CONCATENATE(LEFT(Master_ventas[[#This Row],[ProdUpper]],3),RIGHT(Master_ventas[[#This Row],[Ext-Year]],2),"-",MID(Master_ventas[[#This Row],[Category]],1,1))</f>
        <v>SMA22-E</v>
      </c>
      <c r="N2978" t="str">
        <f>MID(Master_ventas[[#This Row],[ProdUpper]],1,3)</f>
        <v>SMA</v>
      </c>
      <c r="O2978" t="str">
        <f>UPPER(IF(Master_ventas[[#This Row],[Profit]]&gt;500,"High","Std"))</f>
        <v>HIGH</v>
      </c>
      <c r="P2978">
        <v>2977</v>
      </c>
    </row>
    <row r="2979" spans="1:16" x14ac:dyDescent="0.3">
      <c r="A2979" s="1">
        <v>44574</v>
      </c>
      <c r="B2979" t="s">
        <v>13</v>
      </c>
      <c r="C2979" t="s">
        <v>14</v>
      </c>
      <c r="D2979" t="s">
        <v>15</v>
      </c>
      <c r="E2979">
        <v>2</v>
      </c>
      <c r="F2979" s="3">
        <v>1916</v>
      </c>
      <c r="G2979" s="2">
        <v>503.83</v>
      </c>
      <c r="H2979">
        <f>Master_ventas[[#This Row],[Profit]]/Master_ventas[[#This Row],[Sales]]</f>
        <v>0.26295929018789144</v>
      </c>
      <c r="I2979">
        <f ca="1">Referencia_Hoy-Master_ventas[[#This Row],[Order Date]]</f>
        <v>1749</v>
      </c>
      <c r="J2979" t="str">
        <f>UPPER(Master_ventas[[#This Row],[Product Name]])</f>
        <v>TABLET</v>
      </c>
      <c r="K2979" t="str">
        <f>UPPER(Master_ventas[[#This Row],[Category]])</f>
        <v>ELECTRONICS</v>
      </c>
      <c r="L2979">
        <f>YEAR(Master_ventas[[#This Row],[Order Date]])</f>
        <v>2022</v>
      </c>
      <c r="M2979" t="str">
        <f>CONCATENATE(LEFT(Master_ventas[[#This Row],[ProdUpper]],3),RIGHT(Master_ventas[[#This Row],[Ext-Year]],2),"-",MID(Master_ventas[[#This Row],[Category]],1,1))</f>
        <v>TAB22-E</v>
      </c>
      <c r="N2979" t="str">
        <f>MID(Master_ventas[[#This Row],[ProdUpper]],1,3)</f>
        <v>TAB</v>
      </c>
      <c r="O2979" t="str">
        <f>UPPER(IF(Master_ventas[[#This Row],[Profit]]&gt;500,"High","Std"))</f>
        <v>HIGH</v>
      </c>
      <c r="P2979">
        <v>2978</v>
      </c>
    </row>
    <row r="2980" spans="1:16" x14ac:dyDescent="0.3">
      <c r="A2980" s="1">
        <v>45532</v>
      </c>
      <c r="B2980" t="s">
        <v>17</v>
      </c>
      <c r="C2980" t="s">
        <v>14</v>
      </c>
      <c r="D2980" t="s">
        <v>16</v>
      </c>
      <c r="E2980">
        <v>7</v>
      </c>
      <c r="F2980" s="3">
        <v>8113</v>
      </c>
      <c r="G2980" s="2">
        <v>1103.57</v>
      </c>
      <c r="H2980">
        <f>Master_ventas[[#This Row],[Profit]]/Master_ventas[[#This Row],[Sales]]</f>
        <v>0.13602489831135214</v>
      </c>
      <c r="I2980">
        <f ca="1">Referencia_Hoy-Master_ventas[[#This Row],[Order Date]]</f>
        <v>791</v>
      </c>
      <c r="J2980" t="str">
        <f>UPPER(Master_ventas[[#This Row],[Product Name]])</f>
        <v>CAMERA</v>
      </c>
      <c r="K2980" t="str">
        <f>UPPER(Master_ventas[[#This Row],[Category]])</f>
        <v>ELECTRONICS</v>
      </c>
      <c r="L2980">
        <f>YEAR(Master_ventas[[#This Row],[Order Date]])</f>
        <v>2024</v>
      </c>
      <c r="M2980" t="str">
        <f>CONCATENATE(LEFT(Master_ventas[[#This Row],[ProdUpper]],3),RIGHT(Master_ventas[[#This Row],[Ext-Year]],2),"-",MID(Master_ventas[[#This Row],[Category]],1,1))</f>
        <v>CAM24-E</v>
      </c>
      <c r="N2980" t="str">
        <f>MID(Master_ventas[[#This Row],[ProdUpper]],1,3)</f>
        <v>CAM</v>
      </c>
      <c r="O2980" t="str">
        <f>UPPER(IF(Master_ventas[[#This Row],[Profit]]&gt;500,"High","Std"))</f>
        <v>HIGH</v>
      </c>
      <c r="P2980">
        <v>2979</v>
      </c>
    </row>
    <row r="2981" spans="1:16" x14ac:dyDescent="0.3">
      <c r="A2981" s="1">
        <v>44786</v>
      </c>
      <c r="B2981" t="s">
        <v>23</v>
      </c>
      <c r="C2981" t="s">
        <v>14</v>
      </c>
      <c r="D2981" t="s">
        <v>9</v>
      </c>
      <c r="E2981">
        <v>9</v>
      </c>
      <c r="F2981" s="3">
        <v>1809</v>
      </c>
      <c r="G2981" s="2">
        <v>392.44</v>
      </c>
      <c r="H2981">
        <f>Master_ventas[[#This Row],[Profit]]/Master_ventas[[#This Row],[Sales]]</f>
        <v>0.21693753454947484</v>
      </c>
      <c r="I2981">
        <f ca="1">Referencia_Hoy-Master_ventas[[#This Row],[Order Date]]</f>
        <v>1537</v>
      </c>
      <c r="J2981" t="str">
        <f>UPPER(Master_ventas[[#This Row],[Product Name]])</f>
        <v>LAPTOP</v>
      </c>
      <c r="K2981" t="str">
        <f>UPPER(Master_ventas[[#This Row],[Category]])</f>
        <v>ELECTRONICS</v>
      </c>
      <c r="L2981">
        <f>YEAR(Master_ventas[[#This Row],[Order Date]])</f>
        <v>2022</v>
      </c>
      <c r="M2981" t="str">
        <f>CONCATENATE(LEFT(Master_ventas[[#This Row],[ProdUpper]],3),RIGHT(Master_ventas[[#This Row],[Ext-Year]],2),"-",MID(Master_ventas[[#This Row],[Category]],1,1))</f>
        <v>LAP22-E</v>
      </c>
      <c r="N2981" t="str">
        <f>MID(Master_ventas[[#This Row],[ProdUpper]],1,3)</f>
        <v>LAP</v>
      </c>
      <c r="O2981" t="str">
        <f>UPPER(IF(Master_ventas[[#This Row],[Profit]]&gt;500,"High","Std"))</f>
        <v>STD</v>
      </c>
      <c r="P2981">
        <v>2980</v>
      </c>
    </row>
    <row r="2982" spans="1:16" x14ac:dyDescent="0.3">
      <c r="A2982" s="1">
        <v>45170</v>
      </c>
      <c r="B2982" t="s">
        <v>23</v>
      </c>
      <c r="C2982" t="s">
        <v>14</v>
      </c>
      <c r="D2982" t="s">
        <v>15</v>
      </c>
      <c r="E2982">
        <v>3</v>
      </c>
      <c r="F2982" s="3">
        <v>1227</v>
      </c>
      <c r="G2982" s="2">
        <v>229.75</v>
      </c>
      <c r="H2982">
        <f>Master_ventas[[#This Row],[Profit]]/Master_ventas[[#This Row],[Sales]]</f>
        <v>0.18724531377343112</v>
      </c>
      <c r="I2982">
        <f ca="1">Referencia_Hoy-Master_ventas[[#This Row],[Order Date]]</f>
        <v>1153</v>
      </c>
      <c r="J2982" t="str">
        <f>UPPER(Master_ventas[[#This Row],[Product Name]])</f>
        <v>LAPTOP</v>
      </c>
      <c r="K2982" t="str">
        <f>UPPER(Master_ventas[[#This Row],[Category]])</f>
        <v>ELECTRONICS</v>
      </c>
      <c r="L2982">
        <f>YEAR(Master_ventas[[#This Row],[Order Date]])</f>
        <v>2023</v>
      </c>
      <c r="M2982" t="str">
        <f>CONCATENATE(LEFT(Master_ventas[[#This Row],[ProdUpper]],3),RIGHT(Master_ventas[[#This Row],[Ext-Year]],2),"-",MID(Master_ventas[[#This Row],[Category]],1,1))</f>
        <v>LAP23-E</v>
      </c>
      <c r="N2982" t="str">
        <f>MID(Master_ventas[[#This Row],[ProdUpper]],1,3)</f>
        <v>LAP</v>
      </c>
      <c r="O2982" t="str">
        <f>UPPER(IF(Master_ventas[[#This Row],[Profit]]&gt;500,"High","Std"))</f>
        <v>STD</v>
      </c>
      <c r="P2982">
        <v>2981</v>
      </c>
    </row>
    <row r="2983" spans="1:16" x14ac:dyDescent="0.3">
      <c r="A2983" s="1">
        <v>45127</v>
      </c>
      <c r="B2983" t="s">
        <v>23</v>
      </c>
      <c r="C2983" t="s">
        <v>14</v>
      </c>
      <c r="D2983" t="s">
        <v>15</v>
      </c>
      <c r="E2983">
        <v>6</v>
      </c>
      <c r="F2983" s="3">
        <v>2040</v>
      </c>
      <c r="G2983" s="2">
        <v>124.65</v>
      </c>
      <c r="H2983">
        <f>Master_ventas[[#This Row],[Profit]]/Master_ventas[[#This Row],[Sales]]</f>
        <v>6.1102941176470589E-2</v>
      </c>
      <c r="I2983">
        <f ca="1">Referencia_Hoy-Master_ventas[[#This Row],[Order Date]]</f>
        <v>1196</v>
      </c>
      <c r="J2983" t="str">
        <f>UPPER(Master_ventas[[#This Row],[Product Name]])</f>
        <v>LAPTOP</v>
      </c>
      <c r="K2983" t="str">
        <f>UPPER(Master_ventas[[#This Row],[Category]])</f>
        <v>ELECTRONICS</v>
      </c>
      <c r="L2983">
        <f>YEAR(Master_ventas[[#This Row],[Order Date]])</f>
        <v>2023</v>
      </c>
      <c r="M2983" t="str">
        <f>CONCATENATE(LEFT(Master_ventas[[#This Row],[ProdUpper]],3),RIGHT(Master_ventas[[#This Row],[Ext-Year]],2),"-",MID(Master_ventas[[#This Row],[Category]],1,1))</f>
        <v>LAP23-E</v>
      </c>
      <c r="N2983" t="str">
        <f>MID(Master_ventas[[#This Row],[ProdUpper]],1,3)</f>
        <v>LAP</v>
      </c>
      <c r="O2983" t="str">
        <f>UPPER(IF(Master_ventas[[#This Row],[Profit]]&gt;500,"High","Std"))</f>
        <v>STD</v>
      </c>
      <c r="P2983">
        <v>2982</v>
      </c>
    </row>
    <row r="2984" spans="1:16" x14ac:dyDescent="0.3">
      <c r="A2984" s="1">
        <v>44917</v>
      </c>
      <c r="B2984" t="s">
        <v>13</v>
      </c>
      <c r="C2984" t="s">
        <v>14</v>
      </c>
      <c r="D2984" t="s">
        <v>16</v>
      </c>
      <c r="E2984">
        <v>6</v>
      </c>
      <c r="F2984" s="3">
        <v>6324</v>
      </c>
      <c r="G2984" s="2">
        <v>629.20000000000005</v>
      </c>
      <c r="H2984">
        <f>Master_ventas[[#This Row],[Profit]]/Master_ventas[[#This Row],[Sales]]</f>
        <v>9.9493991144845043E-2</v>
      </c>
      <c r="I2984">
        <f ca="1">Referencia_Hoy-Master_ventas[[#This Row],[Order Date]]</f>
        <v>1406</v>
      </c>
      <c r="J2984" t="str">
        <f>UPPER(Master_ventas[[#This Row],[Product Name]])</f>
        <v>TABLET</v>
      </c>
      <c r="K2984" t="str">
        <f>UPPER(Master_ventas[[#This Row],[Category]])</f>
        <v>ELECTRONICS</v>
      </c>
      <c r="L2984">
        <f>YEAR(Master_ventas[[#This Row],[Order Date]])</f>
        <v>2022</v>
      </c>
      <c r="M2984" t="str">
        <f>CONCATENATE(LEFT(Master_ventas[[#This Row],[ProdUpper]],3),RIGHT(Master_ventas[[#This Row],[Ext-Year]],2),"-",MID(Master_ventas[[#This Row],[Category]],1,1))</f>
        <v>TAB22-E</v>
      </c>
      <c r="N2984" t="str">
        <f>MID(Master_ventas[[#This Row],[ProdUpper]],1,3)</f>
        <v>TAB</v>
      </c>
      <c r="O2984" t="str">
        <f>UPPER(IF(Master_ventas[[#This Row],[Profit]]&gt;500,"High","Std"))</f>
        <v>HIGH</v>
      </c>
      <c r="P2984">
        <v>2983</v>
      </c>
    </row>
    <row r="2985" spans="1:16" x14ac:dyDescent="0.3">
      <c r="A2985" s="1">
        <v>45010</v>
      </c>
      <c r="B2985" t="s">
        <v>7</v>
      </c>
      <c r="C2985" t="s">
        <v>8</v>
      </c>
      <c r="D2985" t="s">
        <v>9</v>
      </c>
      <c r="E2985">
        <v>3</v>
      </c>
      <c r="F2985" s="3">
        <v>2724</v>
      </c>
      <c r="G2985" s="2">
        <v>521.24</v>
      </c>
      <c r="H2985">
        <f>Master_ventas[[#This Row],[Profit]]/Master_ventas[[#This Row],[Sales]]</f>
        <v>0.19135095447870779</v>
      </c>
      <c r="I2985">
        <f ca="1">Referencia_Hoy-Master_ventas[[#This Row],[Order Date]]</f>
        <v>1313</v>
      </c>
      <c r="J2985" t="str">
        <f>UPPER(Master_ventas[[#This Row],[Product Name]])</f>
        <v>PRINTER</v>
      </c>
      <c r="K2985" t="str">
        <f>UPPER(Master_ventas[[#This Row],[Category]])</f>
        <v>OFFICE</v>
      </c>
      <c r="L2985">
        <f>YEAR(Master_ventas[[#This Row],[Order Date]])</f>
        <v>2023</v>
      </c>
      <c r="M2985" t="str">
        <f>CONCATENATE(LEFT(Master_ventas[[#This Row],[ProdUpper]],3),RIGHT(Master_ventas[[#This Row],[Ext-Year]],2),"-",MID(Master_ventas[[#This Row],[Category]],1,1))</f>
        <v>PRI23-O</v>
      </c>
      <c r="N2985" t="str">
        <f>MID(Master_ventas[[#This Row],[ProdUpper]],1,3)</f>
        <v>PRI</v>
      </c>
      <c r="O2985" t="str">
        <f>UPPER(IF(Master_ventas[[#This Row],[Profit]]&gt;500,"High","Std"))</f>
        <v>HIGH</v>
      </c>
      <c r="P2985">
        <v>2984</v>
      </c>
    </row>
    <row r="2986" spans="1:16" x14ac:dyDescent="0.3">
      <c r="A2986" s="1">
        <v>45060</v>
      </c>
      <c r="B2986" t="s">
        <v>23</v>
      </c>
      <c r="C2986" t="s">
        <v>14</v>
      </c>
      <c r="D2986" t="s">
        <v>15</v>
      </c>
      <c r="E2986">
        <v>1</v>
      </c>
      <c r="F2986" s="3">
        <v>1188</v>
      </c>
      <c r="G2986" s="2">
        <v>110.32</v>
      </c>
      <c r="H2986">
        <f>Master_ventas[[#This Row],[Profit]]/Master_ventas[[#This Row],[Sales]]</f>
        <v>9.2861952861952854E-2</v>
      </c>
      <c r="I2986">
        <f ca="1">Referencia_Hoy-Master_ventas[[#This Row],[Order Date]]</f>
        <v>1263</v>
      </c>
      <c r="J2986" t="str">
        <f>UPPER(Master_ventas[[#This Row],[Product Name]])</f>
        <v>LAPTOP</v>
      </c>
      <c r="K2986" t="str">
        <f>UPPER(Master_ventas[[#This Row],[Category]])</f>
        <v>ELECTRONICS</v>
      </c>
      <c r="L2986">
        <f>YEAR(Master_ventas[[#This Row],[Order Date]])</f>
        <v>2023</v>
      </c>
      <c r="M2986" t="str">
        <f>CONCATENATE(LEFT(Master_ventas[[#This Row],[ProdUpper]],3),RIGHT(Master_ventas[[#This Row],[Ext-Year]],2),"-",MID(Master_ventas[[#This Row],[Category]],1,1))</f>
        <v>LAP23-E</v>
      </c>
      <c r="N2986" t="str">
        <f>MID(Master_ventas[[#This Row],[ProdUpper]],1,3)</f>
        <v>LAP</v>
      </c>
      <c r="O2986" t="str">
        <f>UPPER(IF(Master_ventas[[#This Row],[Profit]]&gt;500,"High","Std"))</f>
        <v>STD</v>
      </c>
      <c r="P2986">
        <v>2985</v>
      </c>
    </row>
    <row r="2987" spans="1:16" x14ac:dyDescent="0.3">
      <c r="A2987" s="1">
        <v>45314</v>
      </c>
      <c r="B2987" t="s">
        <v>22</v>
      </c>
      <c r="C2987" t="s">
        <v>11</v>
      </c>
      <c r="D2987" t="s">
        <v>12</v>
      </c>
      <c r="E2987">
        <v>8</v>
      </c>
      <c r="F2987" s="3">
        <v>8776</v>
      </c>
      <c r="G2987" s="2">
        <v>1561.07</v>
      </c>
      <c r="H2987">
        <f>Master_ventas[[#This Row],[Profit]]/Master_ventas[[#This Row],[Sales]]</f>
        <v>0.17787944393801275</v>
      </c>
      <c r="I2987">
        <f ca="1">Referencia_Hoy-Master_ventas[[#This Row],[Order Date]]</f>
        <v>1009</v>
      </c>
      <c r="J2987" t="str">
        <f>UPPER(Master_ventas[[#This Row],[Product Name]])</f>
        <v>KEYBOARD</v>
      </c>
      <c r="K2987" t="str">
        <f>UPPER(Master_ventas[[#This Row],[Category]])</f>
        <v>ACCESSORIES</v>
      </c>
      <c r="L2987">
        <f>YEAR(Master_ventas[[#This Row],[Order Date]])</f>
        <v>2024</v>
      </c>
      <c r="M2987" t="str">
        <f>CONCATENATE(LEFT(Master_ventas[[#This Row],[ProdUpper]],3),RIGHT(Master_ventas[[#This Row],[Ext-Year]],2),"-",MID(Master_ventas[[#This Row],[Category]],1,1))</f>
        <v>KEY24-A</v>
      </c>
      <c r="N2987" t="str">
        <f>MID(Master_ventas[[#This Row],[ProdUpper]],1,3)</f>
        <v>KEY</v>
      </c>
      <c r="O2987" t="str">
        <f>UPPER(IF(Master_ventas[[#This Row],[Profit]]&gt;500,"High","Std"))</f>
        <v>HIGH</v>
      </c>
      <c r="P2987">
        <v>2986</v>
      </c>
    </row>
    <row r="2988" spans="1:16" x14ac:dyDescent="0.3">
      <c r="A2988" s="1">
        <v>45010</v>
      </c>
      <c r="B2988" t="s">
        <v>23</v>
      </c>
      <c r="C2988" t="s">
        <v>14</v>
      </c>
      <c r="D2988" t="s">
        <v>15</v>
      </c>
      <c r="E2988">
        <v>9</v>
      </c>
      <c r="F2988" s="3">
        <v>5553</v>
      </c>
      <c r="G2988" s="2">
        <v>1432.76</v>
      </c>
      <c r="H2988">
        <f>Master_ventas[[#This Row],[Profit]]/Master_ventas[[#This Row],[Sales]]</f>
        <v>0.25801548712407707</v>
      </c>
      <c r="I2988">
        <f ca="1">Referencia_Hoy-Master_ventas[[#This Row],[Order Date]]</f>
        <v>1313</v>
      </c>
      <c r="J2988" t="str">
        <f>UPPER(Master_ventas[[#This Row],[Product Name]])</f>
        <v>LAPTOP</v>
      </c>
      <c r="K2988" t="str">
        <f>UPPER(Master_ventas[[#This Row],[Category]])</f>
        <v>ELECTRONICS</v>
      </c>
      <c r="L2988">
        <f>YEAR(Master_ventas[[#This Row],[Order Date]])</f>
        <v>2023</v>
      </c>
      <c r="M2988" t="str">
        <f>CONCATENATE(LEFT(Master_ventas[[#This Row],[ProdUpper]],3),RIGHT(Master_ventas[[#This Row],[Ext-Year]],2),"-",MID(Master_ventas[[#This Row],[Category]],1,1))</f>
        <v>LAP23-E</v>
      </c>
      <c r="N2988" t="str">
        <f>MID(Master_ventas[[#This Row],[ProdUpper]],1,3)</f>
        <v>LAP</v>
      </c>
      <c r="O2988" t="str">
        <f>UPPER(IF(Master_ventas[[#This Row],[Profit]]&gt;500,"High","Std"))</f>
        <v>HIGH</v>
      </c>
      <c r="P2988">
        <v>2987</v>
      </c>
    </row>
    <row r="2989" spans="1:16" x14ac:dyDescent="0.3">
      <c r="A2989" s="1">
        <v>44800</v>
      </c>
      <c r="B2989" t="s">
        <v>21</v>
      </c>
      <c r="C2989" t="s">
        <v>14</v>
      </c>
      <c r="D2989" t="s">
        <v>15</v>
      </c>
      <c r="E2989">
        <v>2</v>
      </c>
      <c r="F2989" s="3">
        <v>970</v>
      </c>
      <c r="G2989" s="2">
        <v>262.19</v>
      </c>
      <c r="H2989">
        <f>Master_ventas[[#This Row],[Profit]]/Master_ventas[[#This Row],[Sales]]</f>
        <v>0.27029896907216494</v>
      </c>
      <c r="I2989">
        <f ca="1">Referencia_Hoy-Master_ventas[[#This Row],[Order Date]]</f>
        <v>1523</v>
      </c>
      <c r="J2989" t="str">
        <f>UPPER(Master_ventas[[#This Row],[Product Name]])</f>
        <v>SMARTPHONE</v>
      </c>
      <c r="K2989" t="str">
        <f>UPPER(Master_ventas[[#This Row],[Category]])</f>
        <v>ELECTRONICS</v>
      </c>
      <c r="L2989">
        <f>YEAR(Master_ventas[[#This Row],[Order Date]])</f>
        <v>2022</v>
      </c>
      <c r="M2989" t="str">
        <f>CONCATENATE(LEFT(Master_ventas[[#This Row],[ProdUpper]],3),RIGHT(Master_ventas[[#This Row],[Ext-Year]],2),"-",MID(Master_ventas[[#This Row],[Category]],1,1))</f>
        <v>SMA22-E</v>
      </c>
      <c r="N2989" t="str">
        <f>MID(Master_ventas[[#This Row],[ProdUpper]],1,3)</f>
        <v>SMA</v>
      </c>
      <c r="O2989" t="str">
        <f>UPPER(IF(Master_ventas[[#This Row],[Profit]]&gt;500,"High","Std"))</f>
        <v>STD</v>
      </c>
      <c r="P2989">
        <v>2988</v>
      </c>
    </row>
    <row r="2990" spans="1:16" x14ac:dyDescent="0.3">
      <c r="A2990" s="1">
        <v>44757</v>
      </c>
      <c r="B2990" t="s">
        <v>22</v>
      </c>
      <c r="C2990" t="s">
        <v>11</v>
      </c>
      <c r="D2990" t="s">
        <v>15</v>
      </c>
      <c r="E2990">
        <v>5</v>
      </c>
      <c r="F2990" s="3">
        <v>940</v>
      </c>
      <c r="G2990" s="2">
        <v>56.7</v>
      </c>
      <c r="H2990">
        <f>Master_ventas[[#This Row],[Profit]]/Master_ventas[[#This Row],[Sales]]</f>
        <v>6.0319148936170214E-2</v>
      </c>
      <c r="I2990">
        <f ca="1">Referencia_Hoy-Master_ventas[[#This Row],[Order Date]]</f>
        <v>1566</v>
      </c>
      <c r="J2990" t="str">
        <f>UPPER(Master_ventas[[#This Row],[Product Name]])</f>
        <v>KEYBOARD</v>
      </c>
      <c r="K2990" t="str">
        <f>UPPER(Master_ventas[[#This Row],[Category]])</f>
        <v>ACCESSORIES</v>
      </c>
      <c r="L2990">
        <f>YEAR(Master_ventas[[#This Row],[Order Date]])</f>
        <v>2022</v>
      </c>
      <c r="M2990" t="str">
        <f>CONCATENATE(LEFT(Master_ventas[[#This Row],[ProdUpper]],3),RIGHT(Master_ventas[[#This Row],[Ext-Year]],2),"-",MID(Master_ventas[[#This Row],[Category]],1,1))</f>
        <v>KEY22-A</v>
      </c>
      <c r="N2990" t="str">
        <f>MID(Master_ventas[[#This Row],[ProdUpper]],1,3)</f>
        <v>KEY</v>
      </c>
      <c r="O2990" t="str">
        <f>UPPER(IF(Master_ventas[[#This Row],[Profit]]&gt;500,"High","Std"))</f>
        <v>STD</v>
      </c>
      <c r="P2990">
        <v>2989</v>
      </c>
    </row>
    <row r="2991" spans="1:16" x14ac:dyDescent="0.3">
      <c r="A2991" s="1">
        <v>45481</v>
      </c>
      <c r="B2991" t="s">
        <v>7</v>
      </c>
      <c r="C2991" t="s">
        <v>8</v>
      </c>
      <c r="D2991" t="s">
        <v>12</v>
      </c>
      <c r="E2991">
        <v>1</v>
      </c>
      <c r="F2991" s="3">
        <v>1175</v>
      </c>
      <c r="G2991" s="2">
        <v>171.51</v>
      </c>
      <c r="H2991">
        <f>Master_ventas[[#This Row],[Profit]]/Master_ventas[[#This Row],[Sales]]</f>
        <v>0.14596595744680851</v>
      </c>
      <c r="I2991">
        <f ca="1">Referencia_Hoy-Master_ventas[[#This Row],[Order Date]]</f>
        <v>842</v>
      </c>
      <c r="J2991" t="str">
        <f>UPPER(Master_ventas[[#This Row],[Product Name]])</f>
        <v>PRINTER</v>
      </c>
      <c r="K2991" t="str">
        <f>UPPER(Master_ventas[[#This Row],[Category]])</f>
        <v>OFFICE</v>
      </c>
      <c r="L2991">
        <f>YEAR(Master_ventas[[#This Row],[Order Date]])</f>
        <v>2024</v>
      </c>
      <c r="M2991" t="str">
        <f>CONCATENATE(LEFT(Master_ventas[[#This Row],[ProdUpper]],3),RIGHT(Master_ventas[[#This Row],[Ext-Year]],2),"-",MID(Master_ventas[[#This Row],[Category]],1,1))</f>
        <v>PRI24-O</v>
      </c>
      <c r="N2991" t="str">
        <f>MID(Master_ventas[[#This Row],[ProdUpper]],1,3)</f>
        <v>PRI</v>
      </c>
      <c r="O2991" t="str">
        <f>UPPER(IF(Master_ventas[[#This Row],[Profit]]&gt;500,"High","Std"))</f>
        <v>STD</v>
      </c>
      <c r="P2991">
        <v>2990</v>
      </c>
    </row>
    <row r="2992" spans="1:16" x14ac:dyDescent="0.3">
      <c r="A2992" s="1">
        <v>44872</v>
      </c>
      <c r="B2992" t="s">
        <v>23</v>
      </c>
      <c r="C2992" t="s">
        <v>14</v>
      </c>
      <c r="D2992" t="s">
        <v>12</v>
      </c>
      <c r="E2992">
        <v>9</v>
      </c>
      <c r="F2992" s="3">
        <v>4860</v>
      </c>
      <c r="G2992" s="2">
        <v>1425.54</v>
      </c>
      <c r="H2992">
        <f>Master_ventas[[#This Row],[Profit]]/Master_ventas[[#This Row],[Sales]]</f>
        <v>0.29332098765432096</v>
      </c>
      <c r="I2992">
        <f ca="1">Referencia_Hoy-Master_ventas[[#This Row],[Order Date]]</f>
        <v>1451</v>
      </c>
      <c r="J2992" t="str">
        <f>UPPER(Master_ventas[[#This Row],[Product Name]])</f>
        <v>LAPTOP</v>
      </c>
      <c r="K2992" t="str">
        <f>UPPER(Master_ventas[[#This Row],[Category]])</f>
        <v>ELECTRONICS</v>
      </c>
      <c r="L2992">
        <f>YEAR(Master_ventas[[#This Row],[Order Date]])</f>
        <v>2022</v>
      </c>
      <c r="M2992" t="str">
        <f>CONCATENATE(LEFT(Master_ventas[[#This Row],[ProdUpper]],3),RIGHT(Master_ventas[[#This Row],[Ext-Year]],2),"-",MID(Master_ventas[[#This Row],[Category]],1,1))</f>
        <v>LAP22-E</v>
      </c>
      <c r="N2992" t="str">
        <f>MID(Master_ventas[[#This Row],[ProdUpper]],1,3)</f>
        <v>LAP</v>
      </c>
      <c r="O2992" t="str">
        <f>UPPER(IF(Master_ventas[[#This Row],[Profit]]&gt;500,"High","Std"))</f>
        <v>HIGH</v>
      </c>
      <c r="P2992">
        <v>2991</v>
      </c>
    </row>
    <row r="2993" spans="1:16" x14ac:dyDescent="0.3">
      <c r="A2993" s="1">
        <v>44852</v>
      </c>
      <c r="B2993" t="s">
        <v>18</v>
      </c>
      <c r="C2993" t="s">
        <v>11</v>
      </c>
      <c r="D2993" t="s">
        <v>9</v>
      </c>
      <c r="E2993">
        <v>1</v>
      </c>
      <c r="F2993" s="3">
        <v>987</v>
      </c>
      <c r="G2993" s="2">
        <v>207.69</v>
      </c>
      <c r="H2993">
        <f>Master_ventas[[#This Row],[Profit]]/Master_ventas[[#This Row],[Sales]]</f>
        <v>0.2104255319148936</v>
      </c>
      <c r="I2993">
        <f ca="1">Referencia_Hoy-Master_ventas[[#This Row],[Order Date]]</f>
        <v>1471</v>
      </c>
      <c r="J2993" t="str">
        <f>UPPER(Master_ventas[[#This Row],[Product Name]])</f>
        <v>HEADPHONES</v>
      </c>
      <c r="K2993" t="str">
        <f>UPPER(Master_ventas[[#This Row],[Category]])</f>
        <v>ACCESSORIES</v>
      </c>
      <c r="L2993">
        <f>YEAR(Master_ventas[[#This Row],[Order Date]])</f>
        <v>2022</v>
      </c>
      <c r="M2993" t="str">
        <f>CONCATENATE(LEFT(Master_ventas[[#This Row],[ProdUpper]],3),RIGHT(Master_ventas[[#This Row],[Ext-Year]],2),"-",MID(Master_ventas[[#This Row],[Category]],1,1))</f>
        <v>HEA22-A</v>
      </c>
      <c r="N2993" t="str">
        <f>MID(Master_ventas[[#This Row],[ProdUpper]],1,3)</f>
        <v>HEA</v>
      </c>
      <c r="O2993" t="str">
        <f>UPPER(IF(Master_ventas[[#This Row],[Profit]]&gt;500,"High","Std"))</f>
        <v>STD</v>
      </c>
      <c r="P2993">
        <v>2992</v>
      </c>
    </row>
    <row r="2994" spans="1:16" x14ac:dyDescent="0.3">
      <c r="A2994" s="1">
        <v>45429</v>
      </c>
      <c r="B2994" t="s">
        <v>17</v>
      </c>
      <c r="C2994" t="s">
        <v>14</v>
      </c>
      <c r="D2994" t="s">
        <v>12</v>
      </c>
      <c r="E2994">
        <v>7</v>
      </c>
      <c r="F2994" s="3">
        <v>2968</v>
      </c>
      <c r="G2994" s="2">
        <v>485.13</v>
      </c>
      <c r="H2994">
        <f>Master_ventas[[#This Row],[Profit]]/Master_ventas[[#This Row],[Sales]]</f>
        <v>0.1634535040431267</v>
      </c>
      <c r="I2994">
        <f ca="1">Referencia_Hoy-Master_ventas[[#This Row],[Order Date]]</f>
        <v>894</v>
      </c>
      <c r="J2994" t="str">
        <f>UPPER(Master_ventas[[#This Row],[Product Name]])</f>
        <v>CAMERA</v>
      </c>
      <c r="K2994" t="str">
        <f>UPPER(Master_ventas[[#This Row],[Category]])</f>
        <v>ELECTRONICS</v>
      </c>
      <c r="L2994">
        <f>YEAR(Master_ventas[[#This Row],[Order Date]])</f>
        <v>2024</v>
      </c>
      <c r="M2994" t="str">
        <f>CONCATENATE(LEFT(Master_ventas[[#This Row],[ProdUpper]],3),RIGHT(Master_ventas[[#This Row],[Ext-Year]],2),"-",MID(Master_ventas[[#This Row],[Category]],1,1))</f>
        <v>CAM24-E</v>
      </c>
      <c r="N2994" t="str">
        <f>MID(Master_ventas[[#This Row],[ProdUpper]],1,3)</f>
        <v>CAM</v>
      </c>
      <c r="O2994" t="str">
        <f>UPPER(IF(Master_ventas[[#This Row],[Profit]]&gt;500,"High","Std"))</f>
        <v>STD</v>
      </c>
      <c r="P2994">
        <v>2993</v>
      </c>
    </row>
    <row r="2995" spans="1:16" x14ac:dyDescent="0.3">
      <c r="A2995" s="1">
        <v>44629</v>
      </c>
      <c r="B2995" t="s">
        <v>10</v>
      </c>
      <c r="C2995" t="s">
        <v>11</v>
      </c>
      <c r="D2995" t="s">
        <v>12</v>
      </c>
      <c r="E2995">
        <v>3</v>
      </c>
      <c r="F2995" s="3">
        <v>2172</v>
      </c>
      <c r="G2995" s="2">
        <v>364.77</v>
      </c>
      <c r="H2995">
        <f>Master_ventas[[#This Row],[Profit]]/Master_ventas[[#This Row],[Sales]]</f>
        <v>0.16794198895027623</v>
      </c>
      <c r="I2995">
        <f ca="1">Referencia_Hoy-Master_ventas[[#This Row],[Order Date]]</f>
        <v>1694</v>
      </c>
      <c r="J2995" t="str">
        <f>UPPER(Master_ventas[[#This Row],[Product Name]])</f>
        <v>MOUSE</v>
      </c>
      <c r="K2995" t="str">
        <f>UPPER(Master_ventas[[#This Row],[Category]])</f>
        <v>ACCESSORIES</v>
      </c>
      <c r="L2995">
        <f>YEAR(Master_ventas[[#This Row],[Order Date]])</f>
        <v>2022</v>
      </c>
      <c r="M2995" t="str">
        <f>CONCATENATE(LEFT(Master_ventas[[#This Row],[ProdUpper]],3),RIGHT(Master_ventas[[#This Row],[Ext-Year]],2),"-",MID(Master_ventas[[#This Row],[Category]],1,1))</f>
        <v>MOU22-A</v>
      </c>
      <c r="N2995" t="str">
        <f>MID(Master_ventas[[#This Row],[ProdUpper]],1,3)</f>
        <v>MOU</v>
      </c>
      <c r="O2995" t="str">
        <f>UPPER(IF(Master_ventas[[#This Row],[Profit]]&gt;500,"High","Std"))</f>
        <v>STD</v>
      </c>
      <c r="P2995">
        <v>2994</v>
      </c>
    </row>
    <row r="2996" spans="1:16" x14ac:dyDescent="0.3">
      <c r="A2996" s="1">
        <v>44562</v>
      </c>
      <c r="B2996" t="s">
        <v>18</v>
      </c>
      <c r="C2996" t="s">
        <v>11</v>
      </c>
      <c r="D2996" t="s">
        <v>15</v>
      </c>
      <c r="E2996">
        <v>7</v>
      </c>
      <c r="F2996" s="3">
        <v>3941</v>
      </c>
      <c r="G2996" s="2">
        <v>628.96</v>
      </c>
      <c r="H2996">
        <f>Master_ventas[[#This Row],[Profit]]/Master_ventas[[#This Row],[Sales]]</f>
        <v>0.15959401167216444</v>
      </c>
      <c r="I2996">
        <f ca="1">Referencia_Hoy-Master_ventas[[#This Row],[Order Date]]</f>
        <v>1761</v>
      </c>
      <c r="J2996" t="str">
        <f>UPPER(Master_ventas[[#This Row],[Product Name]])</f>
        <v>HEADPHONES</v>
      </c>
      <c r="K2996" t="str">
        <f>UPPER(Master_ventas[[#This Row],[Category]])</f>
        <v>ACCESSORIES</v>
      </c>
      <c r="L2996">
        <f>YEAR(Master_ventas[[#This Row],[Order Date]])</f>
        <v>2022</v>
      </c>
      <c r="M2996" t="str">
        <f>CONCATENATE(LEFT(Master_ventas[[#This Row],[ProdUpper]],3),RIGHT(Master_ventas[[#This Row],[Ext-Year]],2),"-",MID(Master_ventas[[#This Row],[Category]],1,1))</f>
        <v>HEA22-A</v>
      </c>
      <c r="N2996" t="str">
        <f>MID(Master_ventas[[#This Row],[ProdUpper]],1,3)</f>
        <v>HEA</v>
      </c>
      <c r="O2996" t="str">
        <f>UPPER(IF(Master_ventas[[#This Row],[Profit]]&gt;500,"High","Std"))</f>
        <v>HIGH</v>
      </c>
      <c r="P2996">
        <v>2995</v>
      </c>
    </row>
    <row r="2997" spans="1:16" x14ac:dyDescent="0.3">
      <c r="A2997" s="1">
        <v>44734</v>
      </c>
      <c r="B2997" t="s">
        <v>18</v>
      </c>
      <c r="C2997" t="s">
        <v>11</v>
      </c>
      <c r="D2997" t="s">
        <v>9</v>
      </c>
      <c r="E2997">
        <v>7</v>
      </c>
      <c r="F2997" s="3">
        <v>2261</v>
      </c>
      <c r="G2997" s="2">
        <v>566.36</v>
      </c>
      <c r="H2997">
        <f>Master_ventas[[#This Row],[Profit]]/Master_ventas[[#This Row],[Sales]]</f>
        <v>0.2504909332153914</v>
      </c>
      <c r="I2997">
        <f ca="1">Referencia_Hoy-Master_ventas[[#This Row],[Order Date]]</f>
        <v>1589</v>
      </c>
      <c r="J2997" t="str">
        <f>UPPER(Master_ventas[[#This Row],[Product Name]])</f>
        <v>HEADPHONES</v>
      </c>
      <c r="K2997" t="str">
        <f>UPPER(Master_ventas[[#This Row],[Category]])</f>
        <v>ACCESSORIES</v>
      </c>
      <c r="L2997">
        <f>YEAR(Master_ventas[[#This Row],[Order Date]])</f>
        <v>2022</v>
      </c>
      <c r="M2997" t="str">
        <f>CONCATENATE(LEFT(Master_ventas[[#This Row],[ProdUpper]],3),RIGHT(Master_ventas[[#This Row],[Ext-Year]],2),"-",MID(Master_ventas[[#This Row],[Category]],1,1))</f>
        <v>HEA22-A</v>
      </c>
      <c r="N2997" t="str">
        <f>MID(Master_ventas[[#This Row],[ProdUpper]],1,3)</f>
        <v>HEA</v>
      </c>
      <c r="O2997" t="str">
        <f>UPPER(IF(Master_ventas[[#This Row],[Profit]]&gt;500,"High","Std"))</f>
        <v>HIGH</v>
      </c>
      <c r="P2997">
        <v>2996</v>
      </c>
    </row>
    <row r="2998" spans="1:16" x14ac:dyDescent="0.3">
      <c r="A2998" s="1">
        <v>44757</v>
      </c>
      <c r="B2998" t="s">
        <v>19</v>
      </c>
      <c r="C2998" t="s">
        <v>14</v>
      </c>
      <c r="D2998" t="s">
        <v>16</v>
      </c>
      <c r="E2998">
        <v>9</v>
      </c>
      <c r="F2998" s="3">
        <v>8802</v>
      </c>
      <c r="G2998" s="2">
        <v>2519.9299999999998</v>
      </c>
      <c r="H2998">
        <f>Master_ventas[[#This Row],[Profit]]/Master_ventas[[#This Row],[Sales]]</f>
        <v>0.28629061576914333</v>
      </c>
      <c r="I2998">
        <f ca="1">Referencia_Hoy-Master_ventas[[#This Row],[Order Date]]</f>
        <v>1566</v>
      </c>
      <c r="J2998" t="str">
        <f>UPPER(Master_ventas[[#This Row],[Product Name]])</f>
        <v>SMARTWATCH</v>
      </c>
      <c r="K2998" t="str">
        <f>UPPER(Master_ventas[[#This Row],[Category]])</f>
        <v>ELECTRONICS</v>
      </c>
      <c r="L2998">
        <f>YEAR(Master_ventas[[#This Row],[Order Date]])</f>
        <v>2022</v>
      </c>
      <c r="M2998" t="str">
        <f>CONCATENATE(LEFT(Master_ventas[[#This Row],[ProdUpper]],3),RIGHT(Master_ventas[[#This Row],[Ext-Year]],2),"-",MID(Master_ventas[[#This Row],[Category]],1,1))</f>
        <v>SMA22-E</v>
      </c>
      <c r="N2998" t="str">
        <f>MID(Master_ventas[[#This Row],[ProdUpper]],1,3)</f>
        <v>SMA</v>
      </c>
      <c r="O2998" t="str">
        <f>UPPER(IF(Master_ventas[[#This Row],[Profit]]&gt;500,"High","Std"))</f>
        <v>HIGH</v>
      </c>
      <c r="P2998">
        <v>2997</v>
      </c>
    </row>
    <row r="2999" spans="1:16" x14ac:dyDescent="0.3">
      <c r="A2999" s="1">
        <v>45000</v>
      </c>
      <c r="B2999" t="s">
        <v>7</v>
      </c>
      <c r="C2999" t="s">
        <v>8</v>
      </c>
      <c r="D2999" t="s">
        <v>15</v>
      </c>
      <c r="E2999">
        <v>5</v>
      </c>
      <c r="F2999" s="3">
        <v>3025</v>
      </c>
      <c r="G2999" s="2">
        <v>172.43</v>
      </c>
      <c r="H2999">
        <f>Master_ventas[[#This Row],[Profit]]/Master_ventas[[#This Row],[Sales]]</f>
        <v>5.7001652892561983E-2</v>
      </c>
      <c r="I2999">
        <f ca="1">Referencia_Hoy-Master_ventas[[#This Row],[Order Date]]</f>
        <v>1323</v>
      </c>
      <c r="J2999" t="str">
        <f>UPPER(Master_ventas[[#This Row],[Product Name]])</f>
        <v>PRINTER</v>
      </c>
      <c r="K2999" t="str">
        <f>UPPER(Master_ventas[[#This Row],[Category]])</f>
        <v>OFFICE</v>
      </c>
      <c r="L2999">
        <f>YEAR(Master_ventas[[#This Row],[Order Date]])</f>
        <v>2023</v>
      </c>
      <c r="M2999" t="str">
        <f>CONCATENATE(LEFT(Master_ventas[[#This Row],[ProdUpper]],3),RIGHT(Master_ventas[[#This Row],[Ext-Year]],2),"-",MID(Master_ventas[[#This Row],[Category]],1,1))</f>
        <v>PRI23-O</v>
      </c>
      <c r="N2999" t="str">
        <f>MID(Master_ventas[[#This Row],[ProdUpper]],1,3)</f>
        <v>PRI</v>
      </c>
      <c r="O2999" t="str">
        <f>UPPER(IF(Master_ventas[[#This Row],[Profit]]&gt;500,"High","Std"))</f>
        <v>STD</v>
      </c>
      <c r="P2999">
        <v>2998</v>
      </c>
    </row>
    <row r="3000" spans="1:16" x14ac:dyDescent="0.3">
      <c r="A3000" s="1">
        <v>44577</v>
      </c>
      <c r="B3000" t="s">
        <v>7</v>
      </c>
      <c r="C3000" t="s">
        <v>8</v>
      </c>
      <c r="D3000" t="s">
        <v>9</v>
      </c>
      <c r="E3000">
        <v>4</v>
      </c>
      <c r="F3000" s="3">
        <v>4428</v>
      </c>
      <c r="G3000" s="2">
        <v>600.54999999999995</v>
      </c>
      <c r="H3000">
        <f>Master_ventas[[#This Row],[Profit]]/Master_ventas[[#This Row],[Sales]]</f>
        <v>0.1356255645889792</v>
      </c>
      <c r="I3000">
        <f ca="1">Referencia_Hoy-Master_ventas[[#This Row],[Order Date]]</f>
        <v>1746</v>
      </c>
      <c r="J3000" t="str">
        <f>UPPER(Master_ventas[[#This Row],[Product Name]])</f>
        <v>PRINTER</v>
      </c>
      <c r="K3000" t="str">
        <f>UPPER(Master_ventas[[#This Row],[Category]])</f>
        <v>OFFICE</v>
      </c>
      <c r="L3000">
        <f>YEAR(Master_ventas[[#This Row],[Order Date]])</f>
        <v>2022</v>
      </c>
      <c r="M3000" t="str">
        <f>CONCATENATE(LEFT(Master_ventas[[#This Row],[ProdUpper]],3),RIGHT(Master_ventas[[#This Row],[Ext-Year]],2),"-",MID(Master_ventas[[#This Row],[Category]],1,1))</f>
        <v>PRI22-O</v>
      </c>
      <c r="N3000" t="str">
        <f>MID(Master_ventas[[#This Row],[ProdUpper]],1,3)</f>
        <v>PRI</v>
      </c>
      <c r="O3000" t="str">
        <f>UPPER(IF(Master_ventas[[#This Row],[Profit]]&gt;500,"High","Std"))</f>
        <v>HIGH</v>
      </c>
      <c r="P3000">
        <v>2999</v>
      </c>
    </row>
    <row r="3001" spans="1:16" x14ac:dyDescent="0.3">
      <c r="A3001" s="1">
        <v>45593</v>
      </c>
      <c r="B3001" t="s">
        <v>10</v>
      </c>
      <c r="C3001" t="s">
        <v>11</v>
      </c>
      <c r="D3001" t="s">
        <v>16</v>
      </c>
      <c r="E3001">
        <v>9</v>
      </c>
      <c r="F3001" s="3">
        <v>7344</v>
      </c>
      <c r="G3001" s="2">
        <v>1417.84</v>
      </c>
      <c r="H3001">
        <f>Master_ventas[[#This Row],[Profit]]/Master_ventas[[#This Row],[Sales]]</f>
        <v>0.19306100217864922</v>
      </c>
      <c r="I3001">
        <f ca="1">Referencia_Hoy-Master_ventas[[#This Row],[Order Date]]</f>
        <v>730</v>
      </c>
      <c r="J3001" t="str">
        <f>UPPER(Master_ventas[[#This Row],[Product Name]])</f>
        <v>MOUSE</v>
      </c>
      <c r="K3001" t="str">
        <f>UPPER(Master_ventas[[#This Row],[Category]])</f>
        <v>ACCESSORIES</v>
      </c>
      <c r="L3001">
        <f>YEAR(Master_ventas[[#This Row],[Order Date]])</f>
        <v>2024</v>
      </c>
      <c r="M3001" t="str">
        <f>CONCATENATE(LEFT(Master_ventas[[#This Row],[ProdUpper]],3),RIGHT(Master_ventas[[#This Row],[Ext-Year]],2),"-",MID(Master_ventas[[#This Row],[Category]],1,1))</f>
        <v>MOU24-A</v>
      </c>
      <c r="N3001" t="str">
        <f>MID(Master_ventas[[#This Row],[ProdUpper]],1,3)</f>
        <v>MOU</v>
      </c>
      <c r="O3001" t="str">
        <f>UPPER(IF(Master_ventas[[#This Row],[Profit]]&gt;500,"High","Std"))</f>
        <v>HIGH</v>
      </c>
      <c r="P3001">
        <v>3000</v>
      </c>
    </row>
    <row r="3002" spans="1:16" x14ac:dyDescent="0.3">
      <c r="A3002" s="1">
        <v>45527</v>
      </c>
      <c r="B3002" t="s">
        <v>22</v>
      </c>
      <c r="C3002" t="s">
        <v>11</v>
      </c>
      <c r="D3002" t="s">
        <v>12</v>
      </c>
      <c r="E3002">
        <v>4</v>
      </c>
      <c r="F3002" s="3">
        <v>2236</v>
      </c>
      <c r="G3002" s="2">
        <v>167.78</v>
      </c>
      <c r="H3002">
        <f>Master_ventas[[#This Row],[Profit]]/Master_ventas[[#This Row],[Sales]]</f>
        <v>7.5035778175313053E-2</v>
      </c>
      <c r="I3002">
        <f ca="1">Referencia_Hoy-Master_ventas[[#This Row],[Order Date]]</f>
        <v>796</v>
      </c>
      <c r="J3002" t="str">
        <f>UPPER(Master_ventas[[#This Row],[Product Name]])</f>
        <v>KEYBOARD</v>
      </c>
      <c r="K3002" t="str">
        <f>UPPER(Master_ventas[[#This Row],[Category]])</f>
        <v>ACCESSORIES</v>
      </c>
      <c r="L3002">
        <f>YEAR(Master_ventas[[#This Row],[Order Date]])</f>
        <v>2024</v>
      </c>
      <c r="M3002" t="str">
        <f>CONCATENATE(LEFT(Master_ventas[[#This Row],[ProdUpper]],3),RIGHT(Master_ventas[[#This Row],[Ext-Year]],2),"-",MID(Master_ventas[[#This Row],[Category]],1,1))</f>
        <v>KEY24-A</v>
      </c>
      <c r="N3002" t="str">
        <f>MID(Master_ventas[[#This Row],[ProdUpper]],1,3)</f>
        <v>KEY</v>
      </c>
      <c r="O3002" t="str">
        <f>UPPER(IF(Master_ventas[[#This Row],[Profit]]&gt;500,"High","Std"))</f>
        <v>STD</v>
      </c>
      <c r="P3002">
        <v>3001</v>
      </c>
    </row>
    <row r="3003" spans="1:16" x14ac:dyDescent="0.3">
      <c r="A3003" s="1">
        <v>45620</v>
      </c>
      <c r="B3003" t="s">
        <v>21</v>
      </c>
      <c r="C3003" t="s">
        <v>14</v>
      </c>
      <c r="D3003" t="s">
        <v>15</v>
      </c>
      <c r="E3003">
        <v>8</v>
      </c>
      <c r="F3003" s="3">
        <v>536</v>
      </c>
      <c r="G3003" s="2">
        <v>57.08</v>
      </c>
      <c r="H3003">
        <f>Master_ventas[[#This Row],[Profit]]/Master_ventas[[#This Row],[Sales]]</f>
        <v>0.10649253731343283</v>
      </c>
      <c r="I3003">
        <f ca="1">Referencia_Hoy-Master_ventas[[#This Row],[Order Date]]</f>
        <v>703</v>
      </c>
      <c r="J3003" t="str">
        <f>UPPER(Master_ventas[[#This Row],[Product Name]])</f>
        <v>SMARTPHONE</v>
      </c>
      <c r="K3003" t="str">
        <f>UPPER(Master_ventas[[#This Row],[Category]])</f>
        <v>ELECTRONICS</v>
      </c>
      <c r="L3003">
        <f>YEAR(Master_ventas[[#This Row],[Order Date]])</f>
        <v>2024</v>
      </c>
      <c r="M3003" t="str">
        <f>CONCATENATE(LEFT(Master_ventas[[#This Row],[ProdUpper]],3),RIGHT(Master_ventas[[#This Row],[Ext-Year]],2),"-",MID(Master_ventas[[#This Row],[Category]],1,1))</f>
        <v>SMA24-E</v>
      </c>
      <c r="N3003" t="str">
        <f>MID(Master_ventas[[#This Row],[ProdUpper]],1,3)</f>
        <v>SMA</v>
      </c>
      <c r="O3003" t="str">
        <f>UPPER(IF(Master_ventas[[#This Row],[Profit]]&gt;500,"High","Std"))</f>
        <v>STD</v>
      </c>
      <c r="P3003">
        <v>3002</v>
      </c>
    </row>
    <row r="3004" spans="1:16" x14ac:dyDescent="0.3">
      <c r="A3004" s="1">
        <v>45585</v>
      </c>
      <c r="B3004" t="s">
        <v>20</v>
      </c>
      <c r="C3004" t="s">
        <v>11</v>
      </c>
      <c r="D3004" t="s">
        <v>9</v>
      </c>
      <c r="E3004">
        <v>5</v>
      </c>
      <c r="F3004" s="3">
        <v>1980</v>
      </c>
      <c r="G3004" s="2">
        <v>249.22</v>
      </c>
      <c r="H3004">
        <f>Master_ventas[[#This Row],[Profit]]/Master_ventas[[#This Row],[Sales]]</f>
        <v>0.12586868686868688</v>
      </c>
      <c r="I3004">
        <f ca="1">Referencia_Hoy-Master_ventas[[#This Row],[Order Date]]</f>
        <v>738</v>
      </c>
      <c r="J3004" t="str">
        <f>UPPER(Master_ventas[[#This Row],[Product Name]])</f>
        <v>MONITOR</v>
      </c>
      <c r="K3004" t="str">
        <f>UPPER(Master_ventas[[#This Row],[Category]])</f>
        <v>ACCESSORIES</v>
      </c>
      <c r="L3004">
        <f>YEAR(Master_ventas[[#This Row],[Order Date]])</f>
        <v>2024</v>
      </c>
      <c r="M3004" t="str">
        <f>CONCATENATE(LEFT(Master_ventas[[#This Row],[ProdUpper]],3),RIGHT(Master_ventas[[#This Row],[Ext-Year]],2),"-",MID(Master_ventas[[#This Row],[Category]],1,1))</f>
        <v>MON24-A</v>
      </c>
      <c r="N3004" t="str">
        <f>MID(Master_ventas[[#This Row],[ProdUpper]],1,3)</f>
        <v>MON</v>
      </c>
      <c r="O3004" t="str">
        <f>UPPER(IF(Master_ventas[[#This Row],[Profit]]&gt;500,"High","Std"))</f>
        <v>STD</v>
      </c>
      <c r="P3004">
        <v>3003</v>
      </c>
    </row>
    <row r="3005" spans="1:16" x14ac:dyDescent="0.3">
      <c r="A3005" s="1">
        <v>44587</v>
      </c>
      <c r="B3005" t="s">
        <v>7</v>
      </c>
      <c r="C3005" t="s">
        <v>8</v>
      </c>
      <c r="D3005" t="s">
        <v>12</v>
      </c>
      <c r="E3005">
        <v>6</v>
      </c>
      <c r="F3005" s="3">
        <v>2100</v>
      </c>
      <c r="G3005" s="2">
        <v>202.86</v>
      </c>
      <c r="H3005">
        <f>Master_ventas[[#This Row],[Profit]]/Master_ventas[[#This Row],[Sales]]</f>
        <v>9.6600000000000005E-2</v>
      </c>
      <c r="I3005">
        <f ca="1">Referencia_Hoy-Master_ventas[[#This Row],[Order Date]]</f>
        <v>1736</v>
      </c>
      <c r="J3005" t="str">
        <f>UPPER(Master_ventas[[#This Row],[Product Name]])</f>
        <v>PRINTER</v>
      </c>
      <c r="K3005" t="str">
        <f>UPPER(Master_ventas[[#This Row],[Category]])</f>
        <v>OFFICE</v>
      </c>
      <c r="L3005">
        <f>YEAR(Master_ventas[[#This Row],[Order Date]])</f>
        <v>2022</v>
      </c>
      <c r="M3005" t="str">
        <f>CONCATENATE(LEFT(Master_ventas[[#This Row],[ProdUpper]],3),RIGHT(Master_ventas[[#This Row],[Ext-Year]],2),"-",MID(Master_ventas[[#This Row],[Category]],1,1))</f>
        <v>PRI22-O</v>
      </c>
      <c r="N3005" t="str">
        <f>MID(Master_ventas[[#This Row],[ProdUpper]],1,3)</f>
        <v>PRI</v>
      </c>
      <c r="O3005" t="str">
        <f>UPPER(IF(Master_ventas[[#This Row],[Profit]]&gt;500,"High","Std"))</f>
        <v>STD</v>
      </c>
      <c r="P3005">
        <v>3004</v>
      </c>
    </row>
    <row r="3006" spans="1:16" x14ac:dyDescent="0.3">
      <c r="A3006" s="1">
        <v>45032</v>
      </c>
      <c r="B3006" t="s">
        <v>19</v>
      </c>
      <c r="C3006" t="s">
        <v>14</v>
      </c>
      <c r="D3006" t="s">
        <v>16</v>
      </c>
      <c r="E3006">
        <v>3</v>
      </c>
      <c r="F3006" s="3">
        <v>1497</v>
      </c>
      <c r="G3006" s="2">
        <v>122.76</v>
      </c>
      <c r="H3006">
        <f>Master_ventas[[#This Row],[Profit]]/Master_ventas[[#This Row],[Sales]]</f>
        <v>8.2004008016032068E-2</v>
      </c>
      <c r="I3006">
        <f ca="1">Referencia_Hoy-Master_ventas[[#This Row],[Order Date]]</f>
        <v>1291</v>
      </c>
      <c r="J3006" t="str">
        <f>UPPER(Master_ventas[[#This Row],[Product Name]])</f>
        <v>SMARTWATCH</v>
      </c>
      <c r="K3006" t="str">
        <f>UPPER(Master_ventas[[#This Row],[Category]])</f>
        <v>ELECTRONICS</v>
      </c>
      <c r="L3006">
        <f>YEAR(Master_ventas[[#This Row],[Order Date]])</f>
        <v>2023</v>
      </c>
      <c r="M3006" t="str">
        <f>CONCATENATE(LEFT(Master_ventas[[#This Row],[ProdUpper]],3),RIGHT(Master_ventas[[#This Row],[Ext-Year]],2),"-",MID(Master_ventas[[#This Row],[Category]],1,1))</f>
        <v>SMA23-E</v>
      </c>
      <c r="N3006" t="str">
        <f>MID(Master_ventas[[#This Row],[ProdUpper]],1,3)</f>
        <v>SMA</v>
      </c>
      <c r="O3006" t="str">
        <f>UPPER(IF(Master_ventas[[#This Row],[Profit]]&gt;500,"High","Std"))</f>
        <v>STD</v>
      </c>
      <c r="P3006">
        <v>3005</v>
      </c>
    </row>
    <row r="3007" spans="1:16" x14ac:dyDescent="0.3">
      <c r="A3007" s="1">
        <v>45491</v>
      </c>
      <c r="B3007" t="s">
        <v>23</v>
      </c>
      <c r="C3007" t="s">
        <v>14</v>
      </c>
      <c r="D3007" t="s">
        <v>9</v>
      </c>
      <c r="E3007">
        <v>6</v>
      </c>
      <c r="F3007" s="3">
        <v>4200</v>
      </c>
      <c r="G3007" s="2">
        <v>1013.7</v>
      </c>
      <c r="H3007">
        <f>Master_ventas[[#This Row],[Profit]]/Master_ventas[[#This Row],[Sales]]</f>
        <v>0.24135714285714288</v>
      </c>
      <c r="I3007">
        <f ca="1">Referencia_Hoy-Master_ventas[[#This Row],[Order Date]]</f>
        <v>832</v>
      </c>
      <c r="J3007" t="str">
        <f>UPPER(Master_ventas[[#This Row],[Product Name]])</f>
        <v>LAPTOP</v>
      </c>
      <c r="K3007" t="str">
        <f>UPPER(Master_ventas[[#This Row],[Category]])</f>
        <v>ELECTRONICS</v>
      </c>
      <c r="L3007">
        <f>YEAR(Master_ventas[[#This Row],[Order Date]])</f>
        <v>2024</v>
      </c>
      <c r="M3007" t="str">
        <f>CONCATENATE(LEFT(Master_ventas[[#This Row],[ProdUpper]],3),RIGHT(Master_ventas[[#This Row],[Ext-Year]],2),"-",MID(Master_ventas[[#This Row],[Category]],1,1))</f>
        <v>LAP24-E</v>
      </c>
      <c r="N3007" t="str">
        <f>MID(Master_ventas[[#This Row],[ProdUpper]],1,3)</f>
        <v>LAP</v>
      </c>
      <c r="O3007" t="str">
        <f>UPPER(IF(Master_ventas[[#This Row],[Profit]]&gt;500,"High","Std"))</f>
        <v>HIGH</v>
      </c>
      <c r="P3007">
        <v>3006</v>
      </c>
    </row>
    <row r="3008" spans="1:16" x14ac:dyDescent="0.3">
      <c r="A3008" s="1">
        <v>44886</v>
      </c>
      <c r="B3008" t="s">
        <v>18</v>
      </c>
      <c r="C3008" t="s">
        <v>11</v>
      </c>
      <c r="D3008" t="s">
        <v>15</v>
      </c>
      <c r="E3008">
        <v>2</v>
      </c>
      <c r="F3008" s="3">
        <v>1242</v>
      </c>
      <c r="G3008" s="2">
        <v>191.82</v>
      </c>
      <c r="H3008">
        <f>Master_ventas[[#This Row],[Profit]]/Master_ventas[[#This Row],[Sales]]</f>
        <v>0.15444444444444444</v>
      </c>
      <c r="I3008">
        <f ca="1">Referencia_Hoy-Master_ventas[[#This Row],[Order Date]]</f>
        <v>1437</v>
      </c>
      <c r="J3008" t="str">
        <f>UPPER(Master_ventas[[#This Row],[Product Name]])</f>
        <v>HEADPHONES</v>
      </c>
      <c r="K3008" t="str">
        <f>UPPER(Master_ventas[[#This Row],[Category]])</f>
        <v>ACCESSORIES</v>
      </c>
      <c r="L3008">
        <f>YEAR(Master_ventas[[#This Row],[Order Date]])</f>
        <v>2022</v>
      </c>
      <c r="M3008" t="str">
        <f>CONCATENATE(LEFT(Master_ventas[[#This Row],[ProdUpper]],3),RIGHT(Master_ventas[[#This Row],[Ext-Year]],2),"-",MID(Master_ventas[[#This Row],[Category]],1,1))</f>
        <v>HEA22-A</v>
      </c>
      <c r="N3008" t="str">
        <f>MID(Master_ventas[[#This Row],[ProdUpper]],1,3)</f>
        <v>HEA</v>
      </c>
      <c r="O3008" t="str">
        <f>UPPER(IF(Master_ventas[[#This Row],[Profit]]&gt;500,"High","Std"))</f>
        <v>STD</v>
      </c>
      <c r="P3008">
        <v>3007</v>
      </c>
    </row>
    <row r="3009" spans="1:16" x14ac:dyDescent="0.3">
      <c r="A3009" s="1">
        <v>44894</v>
      </c>
      <c r="B3009" t="s">
        <v>19</v>
      </c>
      <c r="C3009" t="s">
        <v>14</v>
      </c>
      <c r="D3009" t="s">
        <v>15</v>
      </c>
      <c r="E3009">
        <v>5</v>
      </c>
      <c r="F3009" s="3">
        <v>1570</v>
      </c>
      <c r="G3009" s="2">
        <v>312.81</v>
      </c>
      <c r="H3009">
        <f>Master_ventas[[#This Row],[Profit]]/Master_ventas[[#This Row],[Sales]]</f>
        <v>0.1992420382165605</v>
      </c>
      <c r="I3009">
        <f ca="1">Referencia_Hoy-Master_ventas[[#This Row],[Order Date]]</f>
        <v>1429</v>
      </c>
      <c r="J3009" t="str">
        <f>UPPER(Master_ventas[[#This Row],[Product Name]])</f>
        <v>SMARTWATCH</v>
      </c>
      <c r="K3009" t="str">
        <f>UPPER(Master_ventas[[#This Row],[Category]])</f>
        <v>ELECTRONICS</v>
      </c>
      <c r="L3009">
        <f>YEAR(Master_ventas[[#This Row],[Order Date]])</f>
        <v>2022</v>
      </c>
      <c r="M3009" t="str">
        <f>CONCATENATE(LEFT(Master_ventas[[#This Row],[ProdUpper]],3),RIGHT(Master_ventas[[#This Row],[Ext-Year]],2),"-",MID(Master_ventas[[#This Row],[Category]],1,1))</f>
        <v>SMA22-E</v>
      </c>
      <c r="N3009" t="str">
        <f>MID(Master_ventas[[#This Row],[ProdUpper]],1,3)</f>
        <v>SMA</v>
      </c>
      <c r="O3009" t="str">
        <f>UPPER(IF(Master_ventas[[#This Row],[Profit]]&gt;500,"High","Std"))</f>
        <v>STD</v>
      </c>
      <c r="P3009">
        <v>3008</v>
      </c>
    </row>
    <row r="3010" spans="1:16" x14ac:dyDescent="0.3">
      <c r="A3010" s="1">
        <v>45108</v>
      </c>
      <c r="B3010" t="s">
        <v>20</v>
      </c>
      <c r="C3010" t="s">
        <v>11</v>
      </c>
      <c r="D3010" t="s">
        <v>12</v>
      </c>
      <c r="E3010">
        <v>4</v>
      </c>
      <c r="F3010" s="3">
        <v>428</v>
      </c>
      <c r="G3010" s="2">
        <v>86.62</v>
      </c>
      <c r="H3010">
        <f>Master_ventas[[#This Row],[Profit]]/Master_ventas[[#This Row],[Sales]]</f>
        <v>0.20238317757009347</v>
      </c>
      <c r="I3010">
        <f ca="1">Referencia_Hoy-Master_ventas[[#This Row],[Order Date]]</f>
        <v>1215</v>
      </c>
      <c r="J3010" t="str">
        <f>UPPER(Master_ventas[[#This Row],[Product Name]])</f>
        <v>MONITOR</v>
      </c>
      <c r="K3010" t="str">
        <f>UPPER(Master_ventas[[#This Row],[Category]])</f>
        <v>ACCESSORIES</v>
      </c>
      <c r="L3010">
        <f>YEAR(Master_ventas[[#This Row],[Order Date]])</f>
        <v>2023</v>
      </c>
      <c r="M3010" t="str">
        <f>CONCATENATE(LEFT(Master_ventas[[#This Row],[ProdUpper]],3),RIGHT(Master_ventas[[#This Row],[Ext-Year]],2),"-",MID(Master_ventas[[#This Row],[Category]],1,1))</f>
        <v>MON23-A</v>
      </c>
      <c r="N3010" t="str">
        <f>MID(Master_ventas[[#This Row],[ProdUpper]],1,3)</f>
        <v>MON</v>
      </c>
      <c r="O3010" t="str">
        <f>UPPER(IF(Master_ventas[[#This Row],[Profit]]&gt;500,"High","Std"))</f>
        <v>STD</v>
      </c>
      <c r="P3010">
        <v>3009</v>
      </c>
    </row>
    <row r="3011" spans="1:16" x14ac:dyDescent="0.3">
      <c r="A3011" s="1">
        <v>44959</v>
      </c>
      <c r="B3011" t="s">
        <v>7</v>
      </c>
      <c r="C3011" t="s">
        <v>8</v>
      </c>
      <c r="D3011" t="s">
        <v>15</v>
      </c>
      <c r="E3011">
        <v>1</v>
      </c>
      <c r="F3011" s="3">
        <v>914</v>
      </c>
      <c r="G3011" s="2">
        <v>270.74</v>
      </c>
      <c r="H3011">
        <f>Master_ventas[[#This Row],[Profit]]/Master_ventas[[#This Row],[Sales]]</f>
        <v>0.29621444201312913</v>
      </c>
      <c r="I3011">
        <f ca="1">Referencia_Hoy-Master_ventas[[#This Row],[Order Date]]</f>
        <v>1364</v>
      </c>
      <c r="J3011" t="str">
        <f>UPPER(Master_ventas[[#This Row],[Product Name]])</f>
        <v>PRINTER</v>
      </c>
      <c r="K3011" t="str">
        <f>UPPER(Master_ventas[[#This Row],[Category]])</f>
        <v>OFFICE</v>
      </c>
      <c r="L3011">
        <f>YEAR(Master_ventas[[#This Row],[Order Date]])</f>
        <v>2023</v>
      </c>
      <c r="M3011" t="str">
        <f>CONCATENATE(LEFT(Master_ventas[[#This Row],[ProdUpper]],3),RIGHT(Master_ventas[[#This Row],[Ext-Year]],2),"-",MID(Master_ventas[[#This Row],[Category]],1,1))</f>
        <v>PRI23-O</v>
      </c>
      <c r="N3011" t="str">
        <f>MID(Master_ventas[[#This Row],[ProdUpper]],1,3)</f>
        <v>PRI</v>
      </c>
      <c r="O3011" t="str">
        <f>UPPER(IF(Master_ventas[[#This Row],[Profit]]&gt;500,"High","Std"))</f>
        <v>STD</v>
      </c>
      <c r="P3011">
        <v>3010</v>
      </c>
    </row>
    <row r="3012" spans="1:16" x14ac:dyDescent="0.3">
      <c r="A3012" s="1">
        <v>45639</v>
      </c>
      <c r="B3012" t="s">
        <v>13</v>
      </c>
      <c r="C3012" t="s">
        <v>14</v>
      </c>
      <c r="D3012" t="s">
        <v>9</v>
      </c>
      <c r="E3012">
        <v>3</v>
      </c>
      <c r="F3012" s="3">
        <v>465</v>
      </c>
      <c r="G3012" s="2">
        <v>98.93</v>
      </c>
      <c r="H3012">
        <f>Master_ventas[[#This Row],[Profit]]/Master_ventas[[#This Row],[Sales]]</f>
        <v>0.21275268817204301</v>
      </c>
      <c r="I3012">
        <f ca="1">Referencia_Hoy-Master_ventas[[#This Row],[Order Date]]</f>
        <v>684</v>
      </c>
      <c r="J3012" t="str">
        <f>UPPER(Master_ventas[[#This Row],[Product Name]])</f>
        <v>TABLET</v>
      </c>
      <c r="K3012" t="str">
        <f>UPPER(Master_ventas[[#This Row],[Category]])</f>
        <v>ELECTRONICS</v>
      </c>
      <c r="L3012">
        <f>YEAR(Master_ventas[[#This Row],[Order Date]])</f>
        <v>2024</v>
      </c>
      <c r="M3012" t="str">
        <f>CONCATENATE(LEFT(Master_ventas[[#This Row],[ProdUpper]],3),RIGHT(Master_ventas[[#This Row],[Ext-Year]],2),"-",MID(Master_ventas[[#This Row],[Category]],1,1))</f>
        <v>TAB24-E</v>
      </c>
      <c r="N3012" t="str">
        <f>MID(Master_ventas[[#This Row],[ProdUpper]],1,3)</f>
        <v>TAB</v>
      </c>
      <c r="O3012" t="str">
        <f>UPPER(IF(Master_ventas[[#This Row],[Profit]]&gt;500,"High","Std"))</f>
        <v>STD</v>
      </c>
      <c r="P3012">
        <v>3011</v>
      </c>
    </row>
    <row r="3013" spans="1:16" x14ac:dyDescent="0.3">
      <c r="A3013" s="1">
        <v>44800</v>
      </c>
      <c r="B3013" t="s">
        <v>19</v>
      </c>
      <c r="C3013" t="s">
        <v>14</v>
      </c>
      <c r="D3013" t="s">
        <v>9</v>
      </c>
      <c r="E3013">
        <v>2</v>
      </c>
      <c r="F3013" s="3">
        <v>1062</v>
      </c>
      <c r="G3013" s="2">
        <v>83.49</v>
      </c>
      <c r="H3013">
        <f>Master_ventas[[#This Row],[Profit]]/Master_ventas[[#This Row],[Sales]]</f>
        <v>7.8615819209039539E-2</v>
      </c>
      <c r="I3013">
        <f ca="1">Referencia_Hoy-Master_ventas[[#This Row],[Order Date]]</f>
        <v>1523</v>
      </c>
      <c r="J3013" t="str">
        <f>UPPER(Master_ventas[[#This Row],[Product Name]])</f>
        <v>SMARTWATCH</v>
      </c>
      <c r="K3013" t="str">
        <f>UPPER(Master_ventas[[#This Row],[Category]])</f>
        <v>ELECTRONICS</v>
      </c>
      <c r="L3013">
        <f>YEAR(Master_ventas[[#This Row],[Order Date]])</f>
        <v>2022</v>
      </c>
      <c r="M3013" t="str">
        <f>CONCATENATE(LEFT(Master_ventas[[#This Row],[ProdUpper]],3),RIGHT(Master_ventas[[#This Row],[Ext-Year]],2),"-",MID(Master_ventas[[#This Row],[Category]],1,1))</f>
        <v>SMA22-E</v>
      </c>
      <c r="N3013" t="str">
        <f>MID(Master_ventas[[#This Row],[ProdUpper]],1,3)</f>
        <v>SMA</v>
      </c>
      <c r="O3013" t="str">
        <f>UPPER(IF(Master_ventas[[#This Row],[Profit]]&gt;500,"High","Std"))</f>
        <v>STD</v>
      </c>
      <c r="P3013">
        <v>3012</v>
      </c>
    </row>
    <row r="3014" spans="1:16" x14ac:dyDescent="0.3">
      <c r="A3014" s="1">
        <v>44707</v>
      </c>
      <c r="B3014" t="s">
        <v>17</v>
      </c>
      <c r="C3014" t="s">
        <v>14</v>
      </c>
      <c r="D3014" t="s">
        <v>15</v>
      </c>
      <c r="E3014">
        <v>8</v>
      </c>
      <c r="F3014" s="3">
        <v>8720</v>
      </c>
      <c r="G3014" s="2">
        <v>1984.11</v>
      </c>
      <c r="H3014">
        <f>Master_ventas[[#This Row],[Profit]]/Master_ventas[[#This Row],[Sales]]</f>
        <v>0.2275355504587156</v>
      </c>
      <c r="I3014">
        <f ca="1">Referencia_Hoy-Master_ventas[[#This Row],[Order Date]]</f>
        <v>1616</v>
      </c>
      <c r="J3014" t="str">
        <f>UPPER(Master_ventas[[#This Row],[Product Name]])</f>
        <v>CAMERA</v>
      </c>
      <c r="K3014" t="str">
        <f>UPPER(Master_ventas[[#This Row],[Category]])</f>
        <v>ELECTRONICS</v>
      </c>
      <c r="L3014">
        <f>YEAR(Master_ventas[[#This Row],[Order Date]])</f>
        <v>2022</v>
      </c>
      <c r="M3014" t="str">
        <f>CONCATENATE(LEFT(Master_ventas[[#This Row],[ProdUpper]],3),RIGHT(Master_ventas[[#This Row],[Ext-Year]],2),"-",MID(Master_ventas[[#This Row],[Category]],1,1))</f>
        <v>CAM22-E</v>
      </c>
      <c r="N3014" t="str">
        <f>MID(Master_ventas[[#This Row],[ProdUpper]],1,3)</f>
        <v>CAM</v>
      </c>
      <c r="O3014" t="str">
        <f>UPPER(IF(Master_ventas[[#This Row],[Profit]]&gt;500,"High","Std"))</f>
        <v>HIGH</v>
      </c>
      <c r="P3014">
        <v>3013</v>
      </c>
    </row>
    <row r="3015" spans="1:16" x14ac:dyDescent="0.3">
      <c r="A3015" s="1">
        <v>45326</v>
      </c>
      <c r="B3015" t="s">
        <v>10</v>
      </c>
      <c r="C3015" t="s">
        <v>11</v>
      </c>
      <c r="D3015" t="s">
        <v>15</v>
      </c>
      <c r="E3015">
        <v>6</v>
      </c>
      <c r="F3015" s="3">
        <v>1308</v>
      </c>
      <c r="G3015" s="2">
        <v>343.61</v>
      </c>
      <c r="H3015">
        <f>Master_ventas[[#This Row],[Profit]]/Master_ventas[[#This Row],[Sales]]</f>
        <v>0.2626987767584098</v>
      </c>
      <c r="I3015">
        <f ca="1">Referencia_Hoy-Master_ventas[[#This Row],[Order Date]]</f>
        <v>997</v>
      </c>
      <c r="J3015" t="str">
        <f>UPPER(Master_ventas[[#This Row],[Product Name]])</f>
        <v>MOUSE</v>
      </c>
      <c r="K3015" t="str">
        <f>UPPER(Master_ventas[[#This Row],[Category]])</f>
        <v>ACCESSORIES</v>
      </c>
      <c r="L3015">
        <f>YEAR(Master_ventas[[#This Row],[Order Date]])</f>
        <v>2024</v>
      </c>
      <c r="M3015" t="str">
        <f>CONCATENATE(LEFT(Master_ventas[[#This Row],[ProdUpper]],3),RIGHT(Master_ventas[[#This Row],[Ext-Year]],2),"-",MID(Master_ventas[[#This Row],[Category]],1,1))</f>
        <v>MOU24-A</v>
      </c>
      <c r="N3015" t="str">
        <f>MID(Master_ventas[[#This Row],[ProdUpper]],1,3)</f>
        <v>MOU</v>
      </c>
      <c r="O3015" t="str">
        <f>UPPER(IF(Master_ventas[[#This Row],[Profit]]&gt;500,"High","Std"))</f>
        <v>STD</v>
      </c>
      <c r="P3015">
        <v>3014</v>
      </c>
    </row>
    <row r="3016" spans="1:16" x14ac:dyDescent="0.3">
      <c r="A3016" s="1">
        <v>45638</v>
      </c>
      <c r="B3016" t="s">
        <v>18</v>
      </c>
      <c r="C3016" t="s">
        <v>11</v>
      </c>
      <c r="D3016" t="s">
        <v>15</v>
      </c>
      <c r="E3016">
        <v>9</v>
      </c>
      <c r="F3016" s="3">
        <v>8514</v>
      </c>
      <c r="G3016" s="2">
        <v>1291.97</v>
      </c>
      <c r="H3016">
        <f>Master_ventas[[#This Row],[Profit]]/Master_ventas[[#This Row],[Sales]]</f>
        <v>0.15174653511862815</v>
      </c>
      <c r="I3016">
        <f ca="1">Referencia_Hoy-Master_ventas[[#This Row],[Order Date]]</f>
        <v>685</v>
      </c>
      <c r="J3016" t="str">
        <f>UPPER(Master_ventas[[#This Row],[Product Name]])</f>
        <v>HEADPHONES</v>
      </c>
      <c r="K3016" t="str">
        <f>UPPER(Master_ventas[[#This Row],[Category]])</f>
        <v>ACCESSORIES</v>
      </c>
      <c r="L3016">
        <f>YEAR(Master_ventas[[#This Row],[Order Date]])</f>
        <v>2024</v>
      </c>
      <c r="M3016" t="str">
        <f>CONCATENATE(LEFT(Master_ventas[[#This Row],[ProdUpper]],3),RIGHT(Master_ventas[[#This Row],[Ext-Year]],2),"-",MID(Master_ventas[[#This Row],[Category]],1,1))</f>
        <v>HEA24-A</v>
      </c>
      <c r="N3016" t="str">
        <f>MID(Master_ventas[[#This Row],[ProdUpper]],1,3)</f>
        <v>HEA</v>
      </c>
      <c r="O3016" t="str">
        <f>UPPER(IF(Master_ventas[[#This Row],[Profit]]&gt;500,"High","Std"))</f>
        <v>HIGH</v>
      </c>
      <c r="P3016">
        <v>3015</v>
      </c>
    </row>
    <row r="3017" spans="1:16" x14ac:dyDescent="0.3">
      <c r="A3017" s="1">
        <v>44964</v>
      </c>
      <c r="B3017" t="s">
        <v>13</v>
      </c>
      <c r="C3017" t="s">
        <v>14</v>
      </c>
      <c r="D3017" t="s">
        <v>9</v>
      </c>
      <c r="E3017">
        <v>2</v>
      </c>
      <c r="F3017" s="3">
        <v>1212</v>
      </c>
      <c r="G3017" s="2">
        <v>151.07</v>
      </c>
      <c r="H3017">
        <f>Master_ventas[[#This Row],[Profit]]/Master_ventas[[#This Row],[Sales]]</f>
        <v>0.12464521452145214</v>
      </c>
      <c r="I3017">
        <f ca="1">Referencia_Hoy-Master_ventas[[#This Row],[Order Date]]</f>
        <v>1359</v>
      </c>
      <c r="J3017" t="str">
        <f>UPPER(Master_ventas[[#This Row],[Product Name]])</f>
        <v>TABLET</v>
      </c>
      <c r="K3017" t="str">
        <f>UPPER(Master_ventas[[#This Row],[Category]])</f>
        <v>ELECTRONICS</v>
      </c>
      <c r="L3017">
        <f>YEAR(Master_ventas[[#This Row],[Order Date]])</f>
        <v>2023</v>
      </c>
      <c r="M3017" t="str">
        <f>CONCATENATE(LEFT(Master_ventas[[#This Row],[ProdUpper]],3),RIGHT(Master_ventas[[#This Row],[Ext-Year]],2),"-",MID(Master_ventas[[#This Row],[Category]],1,1))</f>
        <v>TAB23-E</v>
      </c>
      <c r="N3017" t="str">
        <f>MID(Master_ventas[[#This Row],[ProdUpper]],1,3)</f>
        <v>TAB</v>
      </c>
      <c r="O3017" t="str">
        <f>UPPER(IF(Master_ventas[[#This Row],[Profit]]&gt;500,"High","Std"))</f>
        <v>STD</v>
      </c>
      <c r="P3017">
        <v>3016</v>
      </c>
    </row>
    <row r="3018" spans="1:16" x14ac:dyDescent="0.3">
      <c r="A3018" s="1">
        <v>45040</v>
      </c>
      <c r="B3018" t="s">
        <v>18</v>
      </c>
      <c r="C3018" t="s">
        <v>11</v>
      </c>
      <c r="D3018" t="s">
        <v>16</v>
      </c>
      <c r="E3018">
        <v>4</v>
      </c>
      <c r="F3018" s="3">
        <v>2576</v>
      </c>
      <c r="G3018" s="2">
        <v>503.57</v>
      </c>
      <c r="H3018">
        <f>Master_ventas[[#This Row],[Profit]]/Master_ventas[[#This Row],[Sales]]</f>
        <v>0.19548524844720497</v>
      </c>
      <c r="I3018">
        <f ca="1">Referencia_Hoy-Master_ventas[[#This Row],[Order Date]]</f>
        <v>1283</v>
      </c>
      <c r="J3018" t="str">
        <f>UPPER(Master_ventas[[#This Row],[Product Name]])</f>
        <v>HEADPHONES</v>
      </c>
      <c r="K3018" t="str">
        <f>UPPER(Master_ventas[[#This Row],[Category]])</f>
        <v>ACCESSORIES</v>
      </c>
      <c r="L3018">
        <f>YEAR(Master_ventas[[#This Row],[Order Date]])</f>
        <v>2023</v>
      </c>
      <c r="M3018" t="str">
        <f>CONCATENATE(LEFT(Master_ventas[[#This Row],[ProdUpper]],3),RIGHT(Master_ventas[[#This Row],[Ext-Year]],2),"-",MID(Master_ventas[[#This Row],[Category]],1,1))</f>
        <v>HEA23-A</v>
      </c>
      <c r="N3018" t="str">
        <f>MID(Master_ventas[[#This Row],[ProdUpper]],1,3)</f>
        <v>HEA</v>
      </c>
      <c r="O3018" t="str">
        <f>UPPER(IF(Master_ventas[[#This Row],[Profit]]&gt;500,"High","Std"))</f>
        <v>HIGH</v>
      </c>
      <c r="P3018">
        <v>3017</v>
      </c>
    </row>
    <row r="3019" spans="1:16" x14ac:dyDescent="0.3">
      <c r="A3019" s="1">
        <v>45195</v>
      </c>
      <c r="B3019" t="s">
        <v>22</v>
      </c>
      <c r="C3019" t="s">
        <v>11</v>
      </c>
      <c r="D3019" t="s">
        <v>12</v>
      </c>
      <c r="E3019">
        <v>8</v>
      </c>
      <c r="F3019" s="3">
        <v>4800</v>
      </c>
      <c r="G3019" s="2">
        <v>606.19000000000005</v>
      </c>
      <c r="H3019">
        <f>Master_ventas[[#This Row],[Profit]]/Master_ventas[[#This Row],[Sales]]</f>
        <v>0.12628958333333334</v>
      </c>
      <c r="I3019">
        <f ca="1">Referencia_Hoy-Master_ventas[[#This Row],[Order Date]]</f>
        <v>1128</v>
      </c>
      <c r="J3019" t="str">
        <f>UPPER(Master_ventas[[#This Row],[Product Name]])</f>
        <v>KEYBOARD</v>
      </c>
      <c r="K3019" t="str">
        <f>UPPER(Master_ventas[[#This Row],[Category]])</f>
        <v>ACCESSORIES</v>
      </c>
      <c r="L3019">
        <f>YEAR(Master_ventas[[#This Row],[Order Date]])</f>
        <v>2023</v>
      </c>
      <c r="M3019" t="str">
        <f>CONCATENATE(LEFT(Master_ventas[[#This Row],[ProdUpper]],3),RIGHT(Master_ventas[[#This Row],[Ext-Year]],2),"-",MID(Master_ventas[[#This Row],[Category]],1,1))</f>
        <v>KEY23-A</v>
      </c>
      <c r="N3019" t="str">
        <f>MID(Master_ventas[[#This Row],[ProdUpper]],1,3)</f>
        <v>KEY</v>
      </c>
      <c r="O3019" t="str">
        <f>UPPER(IF(Master_ventas[[#This Row],[Profit]]&gt;500,"High","Std"))</f>
        <v>HIGH</v>
      </c>
      <c r="P3019">
        <v>3018</v>
      </c>
    </row>
    <row r="3020" spans="1:16" x14ac:dyDescent="0.3">
      <c r="A3020" s="1">
        <v>44836</v>
      </c>
      <c r="B3020" t="s">
        <v>19</v>
      </c>
      <c r="C3020" t="s">
        <v>14</v>
      </c>
      <c r="D3020" t="s">
        <v>12</v>
      </c>
      <c r="E3020">
        <v>5</v>
      </c>
      <c r="F3020" s="3">
        <v>1440</v>
      </c>
      <c r="G3020" s="2">
        <v>274.54000000000002</v>
      </c>
      <c r="H3020">
        <f>Master_ventas[[#This Row],[Profit]]/Master_ventas[[#This Row],[Sales]]</f>
        <v>0.19065277777777778</v>
      </c>
      <c r="I3020">
        <f ca="1">Referencia_Hoy-Master_ventas[[#This Row],[Order Date]]</f>
        <v>1487</v>
      </c>
      <c r="J3020" t="str">
        <f>UPPER(Master_ventas[[#This Row],[Product Name]])</f>
        <v>SMARTWATCH</v>
      </c>
      <c r="K3020" t="str">
        <f>UPPER(Master_ventas[[#This Row],[Category]])</f>
        <v>ELECTRONICS</v>
      </c>
      <c r="L3020">
        <f>YEAR(Master_ventas[[#This Row],[Order Date]])</f>
        <v>2022</v>
      </c>
      <c r="M3020" t="str">
        <f>CONCATENATE(LEFT(Master_ventas[[#This Row],[ProdUpper]],3),RIGHT(Master_ventas[[#This Row],[Ext-Year]],2),"-",MID(Master_ventas[[#This Row],[Category]],1,1))</f>
        <v>SMA22-E</v>
      </c>
      <c r="N3020" t="str">
        <f>MID(Master_ventas[[#This Row],[ProdUpper]],1,3)</f>
        <v>SMA</v>
      </c>
      <c r="O3020" t="str">
        <f>UPPER(IF(Master_ventas[[#This Row],[Profit]]&gt;500,"High","Std"))</f>
        <v>STD</v>
      </c>
      <c r="P3020">
        <v>3019</v>
      </c>
    </row>
    <row r="3021" spans="1:16" x14ac:dyDescent="0.3">
      <c r="A3021" s="1">
        <v>44816</v>
      </c>
      <c r="B3021" t="s">
        <v>19</v>
      </c>
      <c r="C3021" t="s">
        <v>14</v>
      </c>
      <c r="D3021" t="s">
        <v>9</v>
      </c>
      <c r="E3021">
        <v>9</v>
      </c>
      <c r="F3021" s="3">
        <v>10251</v>
      </c>
      <c r="G3021" s="2">
        <v>737.45</v>
      </c>
      <c r="H3021">
        <f>Master_ventas[[#This Row],[Profit]]/Master_ventas[[#This Row],[Sales]]</f>
        <v>7.1939322992878751E-2</v>
      </c>
      <c r="I3021">
        <f ca="1">Referencia_Hoy-Master_ventas[[#This Row],[Order Date]]</f>
        <v>1507</v>
      </c>
      <c r="J3021" t="str">
        <f>UPPER(Master_ventas[[#This Row],[Product Name]])</f>
        <v>SMARTWATCH</v>
      </c>
      <c r="K3021" t="str">
        <f>UPPER(Master_ventas[[#This Row],[Category]])</f>
        <v>ELECTRONICS</v>
      </c>
      <c r="L3021">
        <f>YEAR(Master_ventas[[#This Row],[Order Date]])</f>
        <v>2022</v>
      </c>
      <c r="M3021" t="str">
        <f>CONCATENATE(LEFT(Master_ventas[[#This Row],[ProdUpper]],3),RIGHT(Master_ventas[[#This Row],[Ext-Year]],2),"-",MID(Master_ventas[[#This Row],[Category]],1,1))</f>
        <v>SMA22-E</v>
      </c>
      <c r="N3021" t="str">
        <f>MID(Master_ventas[[#This Row],[ProdUpper]],1,3)</f>
        <v>SMA</v>
      </c>
      <c r="O3021" t="str">
        <f>UPPER(IF(Master_ventas[[#This Row],[Profit]]&gt;500,"High","Std"))</f>
        <v>HIGH</v>
      </c>
      <c r="P3021">
        <v>3020</v>
      </c>
    </row>
    <row r="3022" spans="1:16" x14ac:dyDescent="0.3">
      <c r="A3022" s="1">
        <v>44944</v>
      </c>
      <c r="B3022" t="s">
        <v>21</v>
      </c>
      <c r="C3022" t="s">
        <v>14</v>
      </c>
      <c r="D3022" t="s">
        <v>9</v>
      </c>
      <c r="E3022">
        <v>7</v>
      </c>
      <c r="F3022" s="3">
        <v>3038</v>
      </c>
      <c r="G3022" s="2">
        <v>570.98</v>
      </c>
      <c r="H3022">
        <f>Master_ventas[[#This Row],[Profit]]/Master_ventas[[#This Row],[Sales]]</f>
        <v>0.18794601711652403</v>
      </c>
      <c r="I3022">
        <f ca="1">Referencia_Hoy-Master_ventas[[#This Row],[Order Date]]</f>
        <v>1379</v>
      </c>
      <c r="J3022" t="str">
        <f>UPPER(Master_ventas[[#This Row],[Product Name]])</f>
        <v>SMARTPHONE</v>
      </c>
      <c r="K3022" t="str">
        <f>UPPER(Master_ventas[[#This Row],[Category]])</f>
        <v>ELECTRONICS</v>
      </c>
      <c r="L3022">
        <f>YEAR(Master_ventas[[#This Row],[Order Date]])</f>
        <v>2023</v>
      </c>
      <c r="M3022" t="str">
        <f>CONCATENATE(LEFT(Master_ventas[[#This Row],[ProdUpper]],3),RIGHT(Master_ventas[[#This Row],[Ext-Year]],2),"-",MID(Master_ventas[[#This Row],[Category]],1,1))</f>
        <v>SMA23-E</v>
      </c>
      <c r="N3022" t="str">
        <f>MID(Master_ventas[[#This Row],[ProdUpper]],1,3)</f>
        <v>SMA</v>
      </c>
      <c r="O3022" t="str">
        <f>UPPER(IF(Master_ventas[[#This Row],[Profit]]&gt;500,"High","Std"))</f>
        <v>HIGH</v>
      </c>
      <c r="P3022">
        <v>3021</v>
      </c>
    </row>
    <row r="3023" spans="1:16" x14ac:dyDescent="0.3">
      <c r="A3023" s="1">
        <v>44889</v>
      </c>
      <c r="B3023" t="s">
        <v>20</v>
      </c>
      <c r="C3023" t="s">
        <v>11</v>
      </c>
      <c r="D3023" t="s">
        <v>16</v>
      </c>
      <c r="E3023">
        <v>9</v>
      </c>
      <c r="F3023" s="3">
        <v>6993</v>
      </c>
      <c r="G3023" s="2">
        <v>1945.56</v>
      </c>
      <c r="H3023">
        <f>Master_ventas[[#This Row],[Profit]]/Master_ventas[[#This Row],[Sales]]</f>
        <v>0.2782153582153582</v>
      </c>
      <c r="I3023">
        <f ca="1">Referencia_Hoy-Master_ventas[[#This Row],[Order Date]]</f>
        <v>1434</v>
      </c>
      <c r="J3023" t="str">
        <f>UPPER(Master_ventas[[#This Row],[Product Name]])</f>
        <v>MONITOR</v>
      </c>
      <c r="K3023" t="str">
        <f>UPPER(Master_ventas[[#This Row],[Category]])</f>
        <v>ACCESSORIES</v>
      </c>
      <c r="L3023">
        <f>YEAR(Master_ventas[[#This Row],[Order Date]])</f>
        <v>2022</v>
      </c>
      <c r="M3023" t="str">
        <f>CONCATENATE(LEFT(Master_ventas[[#This Row],[ProdUpper]],3),RIGHT(Master_ventas[[#This Row],[Ext-Year]],2),"-",MID(Master_ventas[[#This Row],[Category]],1,1))</f>
        <v>MON22-A</v>
      </c>
      <c r="N3023" t="str">
        <f>MID(Master_ventas[[#This Row],[ProdUpper]],1,3)</f>
        <v>MON</v>
      </c>
      <c r="O3023" t="str">
        <f>UPPER(IF(Master_ventas[[#This Row],[Profit]]&gt;500,"High","Std"))</f>
        <v>HIGH</v>
      </c>
      <c r="P3023">
        <v>3022</v>
      </c>
    </row>
    <row r="3024" spans="1:16" x14ac:dyDescent="0.3">
      <c r="A3024" s="1">
        <v>45358</v>
      </c>
      <c r="B3024" t="s">
        <v>20</v>
      </c>
      <c r="C3024" t="s">
        <v>11</v>
      </c>
      <c r="D3024" t="s">
        <v>12</v>
      </c>
      <c r="E3024">
        <v>4</v>
      </c>
      <c r="F3024" s="3">
        <v>1632</v>
      </c>
      <c r="G3024" s="2">
        <v>247.88</v>
      </c>
      <c r="H3024">
        <f>Master_ventas[[#This Row],[Profit]]/Master_ventas[[#This Row],[Sales]]</f>
        <v>0.15188725490196078</v>
      </c>
      <c r="I3024">
        <f ca="1">Referencia_Hoy-Master_ventas[[#This Row],[Order Date]]</f>
        <v>965</v>
      </c>
      <c r="J3024" t="str">
        <f>UPPER(Master_ventas[[#This Row],[Product Name]])</f>
        <v>MONITOR</v>
      </c>
      <c r="K3024" t="str">
        <f>UPPER(Master_ventas[[#This Row],[Category]])</f>
        <v>ACCESSORIES</v>
      </c>
      <c r="L3024">
        <f>YEAR(Master_ventas[[#This Row],[Order Date]])</f>
        <v>2024</v>
      </c>
      <c r="M3024" t="str">
        <f>CONCATENATE(LEFT(Master_ventas[[#This Row],[ProdUpper]],3),RIGHT(Master_ventas[[#This Row],[Ext-Year]],2),"-",MID(Master_ventas[[#This Row],[Category]],1,1))</f>
        <v>MON24-A</v>
      </c>
      <c r="N3024" t="str">
        <f>MID(Master_ventas[[#This Row],[ProdUpper]],1,3)</f>
        <v>MON</v>
      </c>
      <c r="O3024" t="str">
        <f>UPPER(IF(Master_ventas[[#This Row],[Profit]]&gt;500,"High","Std"))</f>
        <v>STD</v>
      </c>
      <c r="P3024">
        <v>3023</v>
      </c>
    </row>
    <row r="3025" spans="1:16" x14ac:dyDescent="0.3">
      <c r="A3025" s="1">
        <v>45572</v>
      </c>
      <c r="B3025" t="s">
        <v>22</v>
      </c>
      <c r="C3025" t="s">
        <v>11</v>
      </c>
      <c r="D3025" t="s">
        <v>12</v>
      </c>
      <c r="E3025">
        <v>9</v>
      </c>
      <c r="F3025" s="3">
        <v>5706</v>
      </c>
      <c r="G3025" s="2">
        <v>1704.8</v>
      </c>
      <c r="H3025">
        <f>Master_ventas[[#This Row],[Profit]]/Master_ventas[[#This Row],[Sales]]</f>
        <v>0.29877322117069749</v>
      </c>
      <c r="I3025">
        <f ca="1">Referencia_Hoy-Master_ventas[[#This Row],[Order Date]]</f>
        <v>751</v>
      </c>
      <c r="J3025" t="str">
        <f>UPPER(Master_ventas[[#This Row],[Product Name]])</f>
        <v>KEYBOARD</v>
      </c>
      <c r="K3025" t="str">
        <f>UPPER(Master_ventas[[#This Row],[Category]])</f>
        <v>ACCESSORIES</v>
      </c>
      <c r="L3025">
        <f>YEAR(Master_ventas[[#This Row],[Order Date]])</f>
        <v>2024</v>
      </c>
      <c r="M3025" t="str">
        <f>CONCATENATE(LEFT(Master_ventas[[#This Row],[ProdUpper]],3),RIGHT(Master_ventas[[#This Row],[Ext-Year]],2),"-",MID(Master_ventas[[#This Row],[Category]],1,1))</f>
        <v>KEY24-A</v>
      </c>
      <c r="N3025" t="str">
        <f>MID(Master_ventas[[#This Row],[ProdUpper]],1,3)</f>
        <v>KEY</v>
      </c>
      <c r="O3025" t="str">
        <f>UPPER(IF(Master_ventas[[#This Row],[Profit]]&gt;500,"High","Std"))</f>
        <v>HIGH</v>
      </c>
      <c r="P3025">
        <v>3024</v>
      </c>
    </row>
    <row r="3026" spans="1:16" x14ac:dyDescent="0.3">
      <c r="A3026" s="1">
        <v>44802</v>
      </c>
      <c r="B3026" t="s">
        <v>17</v>
      </c>
      <c r="C3026" t="s">
        <v>14</v>
      </c>
      <c r="D3026" t="s">
        <v>9</v>
      </c>
      <c r="E3026">
        <v>9</v>
      </c>
      <c r="F3026" s="3">
        <v>9657</v>
      </c>
      <c r="G3026" s="2">
        <v>1187.22</v>
      </c>
      <c r="H3026">
        <f>Master_ventas[[#This Row],[Profit]]/Master_ventas[[#This Row],[Sales]]</f>
        <v>0.12293880086983536</v>
      </c>
      <c r="I3026">
        <f ca="1">Referencia_Hoy-Master_ventas[[#This Row],[Order Date]]</f>
        <v>1521</v>
      </c>
      <c r="J3026" t="str">
        <f>UPPER(Master_ventas[[#This Row],[Product Name]])</f>
        <v>CAMERA</v>
      </c>
      <c r="K3026" t="str">
        <f>UPPER(Master_ventas[[#This Row],[Category]])</f>
        <v>ELECTRONICS</v>
      </c>
      <c r="L3026">
        <f>YEAR(Master_ventas[[#This Row],[Order Date]])</f>
        <v>2022</v>
      </c>
      <c r="M3026" t="str">
        <f>CONCATENATE(LEFT(Master_ventas[[#This Row],[ProdUpper]],3),RIGHT(Master_ventas[[#This Row],[Ext-Year]],2),"-",MID(Master_ventas[[#This Row],[Category]],1,1))</f>
        <v>CAM22-E</v>
      </c>
      <c r="N3026" t="str">
        <f>MID(Master_ventas[[#This Row],[ProdUpper]],1,3)</f>
        <v>CAM</v>
      </c>
      <c r="O3026" t="str">
        <f>UPPER(IF(Master_ventas[[#This Row],[Profit]]&gt;500,"High","Std"))</f>
        <v>HIGH</v>
      </c>
      <c r="P3026">
        <v>3025</v>
      </c>
    </row>
    <row r="3027" spans="1:16" x14ac:dyDescent="0.3">
      <c r="A3027" s="1">
        <v>44592</v>
      </c>
      <c r="B3027" t="s">
        <v>19</v>
      </c>
      <c r="C3027" t="s">
        <v>14</v>
      </c>
      <c r="D3027" t="s">
        <v>12</v>
      </c>
      <c r="E3027">
        <v>5</v>
      </c>
      <c r="F3027" s="3">
        <v>4405</v>
      </c>
      <c r="G3027" s="2">
        <v>450.83</v>
      </c>
      <c r="H3027">
        <f>Master_ventas[[#This Row],[Profit]]/Master_ventas[[#This Row],[Sales]]</f>
        <v>0.10234506242905789</v>
      </c>
      <c r="I3027">
        <f ca="1">Referencia_Hoy-Master_ventas[[#This Row],[Order Date]]</f>
        <v>1731</v>
      </c>
      <c r="J3027" t="str">
        <f>UPPER(Master_ventas[[#This Row],[Product Name]])</f>
        <v>SMARTWATCH</v>
      </c>
      <c r="K3027" t="str">
        <f>UPPER(Master_ventas[[#This Row],[Category]])</f>
        <v>ELECTRONICS</v>
      </c>
      <c r="L3027">
        <f>YEAR(Master_ventas[[#This Row],[Order Date]])</f>
        <v>2022</v>
      </c>
      <c r="M3027" t="str">
        <f>CONCATENATE(LEFT(Master_ventas[[#This Row],[ProdUpper]],3),RIGHT(Master_ventas[[#This Row],[Ext-Year]],2),"-",MID(Master_ventas[[#This Row],[Category]],1,1))</f>
        <v>SMA22-E</v>
      </c>
      <c r="N3027" t="str">
        <f>MID(Master_ventas[[#This Row],[ProdUpper]],1,3)</f>
        <v>SMA</v>
      </c>
      <c r="O3027" t="str">
        <f>UPPER(IF(Master_ventas[[#This Row],[Profit]]&gt;500,"High","Std"))</f>
        <v>STD</v>
      </c>
      <c r="P3027">
        <v>3026</v>
      </c>
    </row>
    <row r="3028" spans="1:16" x14ac:dyDescent="0.3">
      <c r="A3028" s="1">
        <v>45274</v>
      </c>
      <c r="B3028" t="s">
        <v>22</v>
      </c>
      <c r="C3028" t="s">
        <v>11</v>
      </c>
      <c r="D3028" t="s">
        <v>12</v>
      </c>
      <c r="E3028">
        <v>4</v>
      </c>
      <c r="F3028" s="3">
        <v>1720</v>
      </c>
      <c r="G3028" s="2">
        <v>360.78</v>
      </c>
      <c r="H3028">
        <f>Master_ventas[[#This Row],[Profit]]/Master_ventas[[#This Row],[Sales]]</f>
        <v>0.20975581395348836</v>
      </c>
      <c r="I3028">
        <f ca="1">Referencia_Hoy-Master_ventas[[#This Row],[Order Date]]</f>
        <v>1049</v>
      </c>
      <c r="J3028" t="str">
        <f>UPPER(Master_ventas[[#This Row],[Product Name]])</f>
        <v>KEYBOARD</v>
      </c>
      <c r="K3028" t="str">
        <f>UPPER(Master_ventas[[#This Row],[Category]])</f>
        <v>ACCESSORIES</v>
      </c>
      <c r="L3028">
        <f>YEAR(Master_ventas[[#This Row],[Order Date]])</f>
        <v>2023</v>
      </c>
      <c r="M3028" t="str">
        <f>CONCATENATE(LEFT(Master_ventas[[#This Row],[ProdUpper]],3),RIGHT(Master_ventas[[#This Row],[Ext-Year]],2),"-",MID(Master_ventas[[#This Row],[Category]],1,1))</f>
        <v>KEY23-A</v>
      </c>
      <c r="N3028" t="str">
        <f>MID(Master_ventas[[#This Row],[ProdUpper]],1,3)</f>
        <v>KEY</v>
      </c>
      <c r="O3028" t="str">
        <f>UPPER(IF(Master_ventas[[#This Row],[Profit]]&gt;500,"High","Std"))</f>
        <v>STD</v>
      </c>
      <c r="P3028">
        <v>3027</v>
      </c>
    </row>
    <row r="3029" spans="1:16" x14ac:dyDescent="0.3">
      <c r="A3029" s="1">
        <v>45151</v>
      </c>
      <c r="B3029" t="s">
        <v>17</v>
      </c>
      <c r="C3029" t="s">
        <v>14</v>
      </c>
      <c r="D3029" t="s">
        <v>15</v>
      </c>
      <c r="E3029">
        <v>7</v>
      </c>
      <c r="F3029" s="3">
        <v>4557</v>
      </c>
      <c r="G3029" s="2">
        <v>234.62</v>
      </c>
      <c r="H3029">
        <f>Master_ventas[[#This Row],[Profit]]/Master_ventas[[#This Row],[Sales]]</f>
        <v>5.1485626508667982E-2</v>
      </c>
      <c r="I3029">
        <f ca="1">Referencia_Hoy-Master_ventas[[#This Row],[Order Date]]</f>
        <v>1172</v>
      </c>
      <c r="J3029" t="str">
        <f>UPPER(Master_ventas[[#This Row],[Product Name]])</f>
        <v>CAMERA</v>
      </c>
      <c r="K3029" t="str">
        <f>UPPER(Master_ventas[[#This Row],[Category]])</f>
        <v>ELECTRONICS</v>
      </c>
      <c r="L3029">
        <f>YEAR(Master_ventas[[#This Row],[Order Date]])</f>
        <v>2023</v>
      </c>
      <c r="M3029" t="str">
        <f>CONCATENATE(LEFT(Master_ventas[[#This Row],[ProdUpper]],3),RIGHT(Master_ventas[[#This Row],[Ext-Year]],2),"-",MID(Master_ventas[[#This Row],[Category]],1,1))</f>
        <v>CAM23-E</v>
      </c>
      <c r="N3029" t="str">
        <f>MID(Master_ventas[[#This Row],[ProdUpper]],1,3)</f>
        <v>CAM</v>
      </c>
      <c r="O3029" t="str">
        <f>UPPER(IF(Master_ventas[[#This Row],[Profit]]&gt;500,"High","Std"))</f>
        <v>STD</v>
      </c>
      <c r="P3029">
        <v>3028</v>
      </c>
    </row>
    <row r="3030" spans="1:16" x14ac:dyDescent="0.3">
      <c r="A3030" s="1">
        <v>45638</v>
      </c>
      <c r="B3030" t="s">
        <v>18</v>
      </c>
      <c r="C3030" t="s">
        <v>11</v>
      </c>
      <c r="D3030" t="s">
        <v>16</v>
      </c>
      <c r="E3030">
        <v>7</v>
      </c>
      <c r="F3030" s="3">
        <v>2380</v>
      </c>
      <c r="G3030" s="2">
        <v>431.43</v>
      </c>
      <c r="H3030">
        <f>Master_ventas[[#This Row],[Profit]]/Master_ventas[[#This Row],[Sales]]</f>
        <v>0.18127310924369749</v>
      </c>
      <c r="I3030">
        <f ca="1">Referencia_Hoy-Master_ventas[[#This Row],[Order Date]]</f>
        <v>685</v>
      </c>
      <c r="J3030" t="str">
        <f>UPPER(Master_ventas[[#This Row],[Product Name]])</f>
        <v>HEADPHONES</v>
      </c>
      <c r="K3030" t="str">
        <f>UPPER(Master_ventas[[#This Row],[Category]])</f>
        <v>ACCESSORIES</v>
      </c>
      <c r="L3030">
        <f>YEAR(Master_ventas[[#This Row],[Order Date]])</f>
        <v>2024</v>
      </c>
      <c r="M3030" t="str">
        <f>CONCATENATE(LEFT(Master_ventas[[#This Row],[ProdUpper]],3),RIGHT(Master_ventas[[#This Row],[Ext-Year]],2),"-",MID(Master_ventas[[#This Row],[Category]],1,1))</f>
        <v>HEA24-A</v>
      </c>
      <c r="N3030" t="str">
        <f>MID(Master_ventas[[#This Row],[ProdUpper]],1,3)</f>
        <v>HEA</v>
      </c>
      <c r="O3030" t="str">
        <f>UPPER(IF(Master_ventas[[#This Row],[Profit]]&gt;500,"High","Std"))</f>
        <v>STD</v>
      </c>
      <c r="P3030">
        <v>3029</v>
      </c>
    </row>
    <row r="3031" spans="1:16" x14ac:dyDescent="0.3">
      <c r="A3031" s="1">
        <v>44603</v>
      </c>
      <c r="B3031" t="s">
        <v>18</v>
      </c>
      <c r="C3031" t="s">
        <v>11</v>
      </c>
      <c r="D3031" t="s">
        <v>9</v>
      </c>
      <c r="E3031">
        <v>8</v>
      </c>
      <c r="F3031" s="3">
        <v>456</v>
      </c>
      <c r="G3031" s="2">
        <v>74.989999999999995</v>
      </c>
      <c r="H3031">
        <f>Master_ventas[[#This Row],[Profit]]/Master_ventas[[#This Row],[Sales]]</f>
        <v>0.1644517543859649</v>
      </c>
      <c r="I3031">
        <f ca="1">Referencia_Hoy-Master_ventas[[#This Row],[Order Date]]</f>
        <v>1720</v>
      </c>
      <c r="J3031" t="str">
        <f>UPPER(Master_ventas[[#This Row],[Product Name]])</f>
        <v>HEADPHONES</v>
      </c>
      <c r="K3031" t="str">
        <f>UPPER(Master_ventas[[#This Row],[Category]])</f>
        <v>ACCESSORIES</v>
      </c>
      <c r="L3031">
        <f>YEAR(Master_ventas[[#This Row],[Order Date]])</f>
        <v>2022</v>
      </c>
      <c r="M3031" t="str">
        <f>CONCATENATE(LEFT(Master_ventas[[#This Row],[ProdUpper]],3),RIGHT(Master_ventas[[#This Row],[Ext-Year]],2),"-",MID(Master_ventas[[#This Row],[Category]],1,1))</f>
        <v>HEA22-A</v>
      </c>
      <c r="N3031" t="str">
        <f>MID(Master_ventas[[#This Row],[ProdUpper]],1,3)</f>
        <v>HEA</v>
      </c>
      <c r="O3031" t="str">
        <f>UPPER(IF(Master_ventas[[#This Row],[Profit]]&gt;500,"High","Std"))</f>
        <v>STD</v>
      </c>
      <c r="P3031">
        <v>3030</v>
      </c>
    </row>
    <row r="3032" spans="1:16" x14ac:dyDescent="0.3">
      <c r="A3032" s="1">
        <v>45246</v>
      </c>
      <c r="B3032" t="s">
        <v>17</v>
      </c>
      <c r="C3032" t="s">
        <v>14</v>
      </c>
      <c r="D3032" t="s">
        <v>12</v>
      </c>
      <c r="E3032">
        <v>6</v>
      </c>
      <c r="F3032" s="3">
        <v>6534</v>
      </c>
      <c r="G3032" s="2">
        <v>355.03</v>
      </c>
      <c r="H3032">
        <f>Master_ventas[[#This Row],[Profit]]/Master_ventas[[#This Row],[Sales]]</f>
        <v>5.4335782063054783E-2</v>
      </c>
      <c r="I3032">
        <f ca="1">Referencia_Hoy-Master_ventas[[#This Row],[Order Date]]</f>
        <v>1077</v>
      </c>
      <c r="J3032" t="str">
        <f>UPPER(Master_ventas[[#This Row],[Product Name]])</f>
        <v>CAMERA</v>
      </c>
      <c r="K3032" t="str">
        <f>UPPER(Master_ventas[[#This Row],[Category]])</f>
        <v>ELECTRONICS</v>
      </c>
      <c r="L3032">
        <f>YEAR(Master_ventas[[#This Row],[Order Date]])</f>
        <v>2023</v>
      </c>
      <c r="M3032" t="str">
        <f>CONCATENATE(LEFT(Master_ventas[[#This Row],[ProdUpper]],3),RIGHT(Master_ventas[[#This Row],[Ext-Year]],2),"-",MID(Master_ventas[[#This Row],[Category]],1,1))</f>
        <v>CAM23-E</v>
      </c>
      <c r="N3032" t="str">
        <f>MID(Master_ventas[[#This Row],[ProdUpper]],1,3)</f>
        <v>CAM</v>
      </c>
      <c r="O3032" t="str">
        <f>UPPER(IF(Master_ventas[[#This Row],[Profit]]&gt;500,"High","Std"))</f>
        <v>STD</v>
      </c>
      <c r="P3032">
        <v>3031</v>
      </c>
    </row>
    <row r="3033" spans="1:16" x14ac:dyDescent="0.3">
      <c r="A3033" s="1">
        <v>44624</v>
      </c>
      <c r="B3033" t="s">
        <v>21</v>
      </c>
      <c r="C3033" t="s">
        <v>14</v>
      </c>
      <c r="D3033" t="s">
        <v>9</v>
      </c>
      <c r="E3033">
        <v>6</v>
      </c>
      <c r="F3033" s="3">
        <v>3456</v>
      </c>
      <c r="G3033" s="2">
        <v>307.45999999999998</v>
      </c>
      <c r="H3033">
        <f>Master_ventas[[#This Row],[Profit]]/Master_ventas[[#This Row],[Sales]]</f>
        <v>8.8964120370370367E-2</v>
      </c>
      <c r="I3033">
        <f ca="1">Referencia_Hoy-Master_ventas[[#This Row],[Order Date]]</f>
        <v>1699</v>
      </c>
      <c r="J3033" t="str">
        <f>UPPER(Master_ventas[[#This Row],[Product Name]])</f>
        <v>SMARTPHONE</v>
      </c>
      <c r="K3033" t="str">
        <f>UPPER(Master_ventas[[#This Row],[Category]])</f>
        <v>ELECTRONICS</v>
      </c>
      <c r="L3033">
        <f>YEAR(Master_ventas[[#This Row],[Order Date]])</f>
        <v>2022</v>
      </c>
      <c r="M3033" t="str">
        <f>CONCATENATE(LEFT(Master_ventas[[#This Row],[ProdUpper]],3),RIGHT(Master_ventas[[#This Row],[Ext-Year]],2),"-",MID(Master_ventas[[#This Row],[Category]],1,1))</f>
        <v>SMA22-E</v>
      </c>
      <c r="N3033" t="str">
        <f>MID(Master_ventas[[#This Row],[ProdUpper]],1,3)</f>
        <v>SMA</v>
      </c>
      <c r="O3033" t="str">
        <f>UPPER(IF(Master_ventas[[#This Row],[Profit]]&gt;500,"High","Std"))</f>
        <v>STD</v>
      </c>
      <c r="P3033">
        <v>3032</v>
      </c>
    </row>
    <row r="3034" spans="1:16" x14ac:dyDescent="0.3">
      <c r="A3034" s="1">
        <v>44741</v>
      </c>
      <c r="B3034" t="s">
        <v>22</v>
      </c>
      <c r="C3034" t="s">
        <v>11</v>
      </c>
      <c r="D3034" t="s">
        <v>16</v>
      </c>
      <c r="E3034">
        <v>9</v>
      </c>
      <c r="F3034" s="3">
        <v>8163</v>
      </c>
      <c r="G3034" s="2">
        <v>2352.46</v>
      </c>
      <c r="H3034">
        <f>Master_ventas[[#This Row],[Profit]]/Master_ventas[[#This Row],[Sales]]</f>
        <v>0.28818571603577114</v>
      </c>
      <c r="I3034">
        <f ca="1">Referencia_Hoy-Master_ventas[[#This Row],[Order Date]]</f>
        <v>1582</v>
      </c>
      <c r="J3034" t="str">
        <f>UPPER(Master_ventas[[#This Row],[Product Name]])</f>
        <v>KEYBOARD</v>
      </c>
      <c r="K3034" t="str">
        <f>UPPER(Master_ventas[[#This Row],[Category]])</f>
        <v>ACCESSORIES</v>
      </c>
      <c r="L3034">
        <f>YEAR(Master_ventas[[#This Row],[Order Date]])</f>
        <v>2022</v>
      </c>
      <c r="M3034" t="str">
        <f>CONCATENATE(LEFT(Master_ventas[[#This Row],[ProdUpper]],3),RIGHT(Master_ventas[[#This Row],[Ext-Year]],2),"-",MID(Master_ventas[[#This Row],[Category]],1,1))</f>
        <v>KEY22-A</v>
      </c>
      <c r="N3034" t="str">
        <f>MID(Master_ventas[[#This Row],[ProdUpper]],1,3)</f>
        <v>KEY</v>
      </c>
      <c r="O3034" t="str">
        <f>UPPER(IF(Master_ventas[[#This Row],[Profit]]&gt;500,"High","Std"))</f>
        <v>HIGH</v>
      </c>
      <c r="P3034">
        <v>3033</v>
      </c>
    </row>
    <row r="3035" spans="1:16" x14ac:dyDescent="0.3">
      <c r="A3035" s="1">
        <v>45166</v>
      </c>
      <c r="B3035" t="s">
        <v>18</v>
      </c>
      <c r="C3035" t="s">
        <v>11</v>
      </c>
      <c r="D3035" t="s">
        <v>9</v>
      </c>
      <c r="E3035">
        <v>6</v>
      </c>
      <c r="F3035" s="3">
        <v>4656</v>
      </c>
      <c r="G3035" s="2">
        <v>601.71</v>
      </c>
      <c r="H3035">
        <f>Master_ventas[[#This Row],[Profit]]/Master_ventas[[#This Row],[Sales]]</f>
        <v>0.12923324742268041</v>
      </c>
      <c r="I3035">
        <f ca="1">Referencia_Hoy-Master_ventas[[#This Row],[Order Date]]</f>
        <v>1157</v>
      </c>
      <c r="J3035" t="str">
        <f>UPPER(Master_ventas[[#This Row],[Product Name]])</f>
        <v>HEADPHONES</v>
      </c>
      <c r="K3035" t="str">
        <f>UPPER(Master_ventas[[#This Row],[Category]])</f>
        <v>ACCESSORIES</v>
      </c>
      <c r="L3035">
        <f>YEAR(Master_ventas[[#This Row],[Order Date]])</f>
        <v>2023</v>
      </c>
      <c r="M3035" t="str">
        <f>CONCATENATE(LEFT(Master_ventas[[#This Row],[ProdUpper]],3),RIGHT(Master_ventas[[#This Row],[Ext-Year]],2),"-",MID(Master_ventas[[#This Row],[Category]],1,1))</f>
        <v>HEA23-A</v>
      </c>
      <c r="N3035" t="str">
        <f>MID(Master_ventas[[#This Row],[ProdUpper]],1,3)</f>
        <v>HEA</v>
      </c>
      <c r="O3035" t="str">
        <f>UPPER(IF(Master_ventas[[#This Row],[Profit]]&gt;500,"High","Std"))</f>
        <v>HIGH</v>
      </c>
      <c r="P3035">
        <v>3034</v>
      </c>
    </row>
    <row r="3036" spans="1:16" x14ac:dyDescent="0.3">
      <c r="A3036" s="1">
        <v>44820</v>
      </c>
      <c r="B3036" t="s">
        <v>21</v>
      </c>
      <c r="C3036" t="s">
        <v>14</v>
      </c>
      <c r="D3036" t="s">
        <v>16</v>
      </c>
      <c r="E3036">
        <v>2</v>
      </c>
      <c r="F3036" s="3">
        <v>966</v>
      </c>
      <c r="G3036" s="2">
        <v>241.54</v>
      </c>
      <c r="H3036">
        <f>Master_ventas[[#This Row],[Profit]]/Master_ventas[[#This Row],[Sales]]</f>
        <v>0.25004140786749479</v>
      </c>
      <c r="I3036">
        <f ca="1">Referencia_Hoy-Master_ventas[[#This Row],[Order Date]]</f>
        <v>1503</v>
      </c>
      <c r="J3036" t="str">
        <f>UPPER(Master_ventas[[#This Row],[Product Name]])</f>
        <v>SMARTPHONE</v>
      </c>
      <c r="K3036" t="str">
        <f>UPPER(Master_ventas[[#This Row],[Category]])</f>
        <v>ELECTRONICS</v>
      </c>
      <c r="L3036">
        <f>YEAR(Master_ventas[[#This Row],[Order Date]])</f>
        <v>2022</v>
      </c>
      <c r="M3036" t="str">
        <f>CONCATENATE(LEFT(Master_ventas[[#This Row],[ProdUpper]],3),RIGHT(Master_ventas[[#This Row],[Ext-Year]],2),"-",MID(Master_ventas[[#This Row],[Category]],1,1))</f>
        <v>SMA22-E</v>
      </c>
      <c r="N3036" t="str">
        <f>MID(Master_ventas[[#This Row],[ProdUpper]],1,3)</f>
        <v>SMA</v>
      </c>
      <c r="O3036" t="str">
        <f>UPPER(IF(Master_ventas[[#This Row],[Profit]]&gt;500,"High","Std"))</f>
        <v>STD</v>
      </c>
      <c r="P3036">
        <v>3035</v>
      </c>
    </row>
    <row r="3037" spans="1:16" x14ac:dyDescent="0.3">
      <c r="A3037" s="1">
        <v>44897</v>
      </c>
      <c r="B3037" t="s">
        <v>10</v>
      </c>
      <c r="C3037" t="s">
        <v>11</v>
      </c>
      <c r="D3037" t="s">
        <v>12</v>
      </c>
      <c r="E3037">
        <v>4</v>
      </c>
      <c r="F3037" s="3">
        <v>2580</v>
      </c>
      <c r="G3037" s="2">
        <v>669.67</v>
      </c>
      <c r="H3037">
        <f>Master_ventas[[#This Row],[Profit]]/Master_ventas[[#This Row],[Sales]]</f>
        <v>0.25956201550387598</v>
      </c>
      <c r="I3037">
        <f ca="1">Referencia_Hoy-Master_ventas[[#This Row],[Order Date]]</f>
        <v>1426</v>
      </c>
      <c r="J3037" t="str">
        <f>UPPER(Master_ventas[[#This Row],[Product Name]])</f>
        <v>MOUSE</v>
      </c>
      <c r="K3037" t="str">
        <f>UPPER(Master_ventas[[#This Row],[Category]])</f>
        <v>ACCESSORIES</v>
      </c>
      <c r="L3037">
        <f>YEAR(Master_ventas[[#This Row],[Order Date]])</f>
        <v>2022</v>
      </c>
      <c r="M3037" t="str">
        <f>CONCATENATE(LEFT(Master_ventas[[#This Row],[ProdUpper]],3),RIGHT(Master_ventas[[#This Row],[Ext-Year]],2),"-",MID(Master_ventas[[#This Row],[Category]],1,1))</f>
        <v>MOU22-A</v>
      </c>
      <c r="N3037" t="str">
        <f>MID(Master_ventas[[#This Row],[ProdUpper]],1,3)</f>
        <v>MOU</v>
      </c>
      <c r="O3037" t="str">
        <f>UPPER(IF(Master_ventas[[#This Row],[Profit]]&gt;500,"High","Std"))</f>
        <v>HIGH</v>
      </c>
      <c r="P3037">
        <v>3036</v>
      </c>
    </row>
    <row r="3038" spans="1:16" x14ac:dyDescent="0.3">
      <c r="A3038" s="1">
        <v>44836</v>
      </c>
      <c r="B3038" t="s">
        <v>17</v>
      </c>
      <c r="C3038" t="s">
        <v>14</v>
      </c>
      <c r="D3038" t="s">
        <v>15</v>
      </c>
      <c r="E3038">
        <v>9</v>
      </c>
      <c r="F3038" s="3">
        <v>8127</v>
      </c>
      <c r="G3038" s="2">
        <v>1906.5</v>
      </c>
      <c r="H3038">
        <f>Master_ventas[[#This Row],[Profit]]/Master_ventas[[#This Row],[Sales]]</f>
        <v>0.23458840900701367</v>
      </c>
      <c r="I3038">
        <f ca="1">Referencia_Hoy-Master_ventas[[#This Row],[Order Date]]</f>
        <v>1487</v>
      </c>
      <c r="J3038" t="str">
        <f>UPPER(Master_ventas[[#This Row],[Product Name]])</f>
        <v>CAMERA</v>
      </c>
      <c r="K3038" t="str">
        <f>UPPER(Master_ventas[[#This Row],[Category]])</f>
        <v>ELECTRONICS</v>
      </c>
      <c r="L3038">
        <f>YEAR(Master_ventas[[#This Row],[Order Date]])</f>
        <v>2022</v>
      </c>
      <c r="M3038" t="str">
        <f>CONCATENATE(LEFT(Master_ventas[[#This Row],[ProdUpper]],3),RIGHT(Master_ventas[[#This Row],[Ext-Year]],2),"-",MID(Master_ventas[[#This Row],[Category]],1,1))</f>
        <v>CAM22-E</v>
      </c>
      <c r="N3038" t="str">
        <f>MID(Master_ventas[[#This Row],[ProdUpper]],1,3)</f>
        <v>CAM</v>
      </c>
      <c r="O3038" t="str">
        <f>UPPER(IF(Master_ventas[[#This Row],[Profit]]&gt;500,"High","Std"))</f>
        <v>HIGH</v>
      </c>
      <c r="P3038">
        <v>3037</v>
      </c>
    </row>
    <row r="3039" spans="1:16" x14ac:dyDescent="0.3">
      <c r="A3039" s="1">
        <v>44700</v>
      </c>
      <c r="B3039" t="s">
        <v>19</v>
      </c>
      <c r="C3039" t="s">
        <v>14</v>
      </c>
      <c r="D3039" t="s">
        <v>15</v>
      </c>
      <c r="E3039">
        <v>4</v>
      </c>
      <c r="F3039" s="3">
        <v>2128</v>
      </c>
      <c r="G3039" s="2">
        <v>614.04999999999995</v>
      </c>
      <c r="H3039">
        <f>Master_ventas[[#This Row],[Profit]]/Master_ventas[[#This Row],[Sales]]</f>
        <v>0.28855733082706764</v>
      </c>
      <c r="I3039">
        <f ca="1">Referencia_Hoy-Master_ventas[[#This Row],[Order Date]]</f>
        <v>1623</v>
      </c>
      <c r="J3039" t="str">
        <f>UPPER(Master_ventas[[#This Row],[Product Name]])</f>
        <v>SMARTWATCH</v>
      </c>
      <c r="K3039" t="str">
        <f>UPPER(Master_ventas[[#This Row],[Category]])</f>
        <v>ELECTRONICS</v>
      </c>
      <c r="L3039">
        <f>YEAR(Master_ventas[[#This Row],[Order Date]])</f>
        <v>2022</v>
      </c>
      <c r="M3039" t="str">
        <f>CONCATENATE(LEFT(Master_ventas[[#This Row],[ProdUpper]],3),RIGHT(Master_ventas[[#This Row],[Ext-Year]],2),"-",MID(Master_ventas[[#This Row],[Category]],1,1))</f>
        <v>SMA22-E</v>
      </c>
      <c r="N3039" t="str">
        <f>MID(Master_ventas[[#This Row],[ProdUpper]],1,3)</f>
        <v>SMA</v>
      </c>
      <c r="O3039" t="str">
        <f>UPPER(IF(Master_ventas[[#This Row],[Profit]]&gt;500,"High","Std"))</f>
        <v>HIGH</v>
      </c>
      <c r="P3039">
        <v>3038</v>
      </c>
    </row>
    <row r="3040" spans="1:16" x14ac:dyDescent="0.3">
      <c r="A3040" s="1">
        <v>44717</v>
      </c>
      <c r="B3040" t="s">
        <v>21</v>
      </c>
      <c r="C3040" t="s">
        <v>14</v>
      </c>
      <c r="D3040" t="s">
        <v>15</v>
      </c>
      <c r="E3040">
        <v>9</v>
      </c>
      <c r="F3040" s="3">
        <v>6417</v>
      </c>
      <c r="G3040" s="2">
        <v>1100.52</v>
      </c>
      <c r="H3040">
        <f>Master_ventas[[#This Row],[Profit]]/Master_ventas[[#This Row],[Sales]]</f>
        <v>0.1715007012622721</v>
      </c>
      <c r="I3040">
        <f ca="1">Referencia_Hoy-Master_ventas[[#This Row],[Order Date]]</f>
        <v>1606</v>
      </c>
      <c r="J3040" t="str">
        <f>UPPER(Master_ventas[[#This Row],[Product Name]])</f>
        <v>SMARTPHONE</v>
      </c>
      <c r="K3040" t="str">
        <f>UPPER(Master_ventas[[#This Row],[Category]])</f>
        <v>ELECTRONICS</v>
      </c>
      <c r="L3040">
        <f>YEAR(Master_ventas[[#This Row],[Order Date]])</f>
        <v>2022</v>
      </c>
      <c r="M3040" t="str">
        <f>CONCATENATE(LEFT(Master_ventas[[#This Row],[ProdUpper]],3),RIGHT(Master_ventas[[#This Row],[Ext-Year]],2),"-",MID(Master_ventas[[#This Row],[Category]],1,1))</f>
        <v>SMA22-E</v>
      </c>
      <c r="N3040" t="str">
        <f>MID(Master_ventas[[#This Row],[ProdUpper]],1,3)</f>
        <v>SMA</v>
      </c>
      <c r="O3040" t="str">
        <f>UPPER(IF(Master_ventas[[#This Row],[Profit]]&gt;500,"High","Std"))</f>
        <v>HIGH</v>
      </c>
      <c r="P3040">
        <v>3039</v>
      </c>
    </row>
    <row r="3041" spans="1:16" x14ac:dyDescent="0.3">
      <c r="A3041" s="1">
        <v>44723</v>
      </c>
      <c r="B3041" t="s">
        <v>22</v>
      </c>
      <c r="C3041" t="s">
        <v>11</v>
      </c>
      <c r="D3041" t="s">
        <v>12</v>
      </c>
      <c r="E3041">
        <v>7</v>
      </c>
      <c r="F3041" s="3">
        <v>3997</v>
      </c>
      <c r="G3041" s="2">
        <v>494.78</v>
      </c>
      <c r="H3041">
        <f>Master_ventas[[#This Row],[Profit]]/Master_ventas[[#This Row],[Sales]]</f>
        <v>0.12378784088066049</v>
      </c>
      <c r="I3041">
        <f ca="1">Referencia_Hoy-Master_ventas[[#This Row],[Order Date]]</f>
        <v>1600</v>
      </c>
      <c r="J3041" t="str">
        <f>UPPER(Master_ventas[[#This Row],[Product Name]])</f>
        <v>KEYBOARD</v>
      </c>
      <c r="K3041" t="str">
        <f>UPPER(Master_ventas[[#This Row],[Category]])</f>
        <v>ACCESSORIES</v>
      </c>
      <c r="L3041">
        <f>YEAR(Master_ventas[[#This Row],[Order Date]])</f>
        <v>2022</v>
      </c>
      <c r="M3041" t="str">
        <f>CONCATENATE(LEFT(Master_ventas[[#This Row],[ProdUpper]],3),RIGHT(Master_ventas[[#This Row],[Ext-Year]],2),"-",MID(Master_ventas[[#This Row],[Category]],1,1))</f>
        <v>KEY22-A</v>
      </c>
      <c r="N3041" t="str">
        <f>MID(Master_ventas[[#This Row],[ProdUpper]],1,3)</f>
        <v>KEY</v>
      </c>
      <c r="O3041" t="str">
        <f>UPPER(IF(Master_ventas[[#This Row],[Profit]]&gt;500,"High","Std"))</f>
        <v>STD</v>
      </c>
      <c r="P3041">
        <v>3040</v>
      </c>
    </row>
    <row r="3042" spans="1:16" x14ac:dyDescent="0.3">
      <c r="A3042" s="1">
        <v>44999</v>
      </c>
      <c r="B3042" t="s">
        <v>23</v>
      </c>
      <c r="C3042" t="s">
        <v>14</v>
      </c>
      <c r="D3042" t="s">
        <v>16</v>
      </c>
      <c r="E3042">
        <v>1</v>
      </c>
      <c r="F3042" s="3">
        <v>879</v>
      </c>
      <c r="G3042" s="2">
        <v>149.52000000000001</v>
      </c>
      <c r="H3042">
        <f>Master_ventas[[#This Row],[Profit]]/Master_ventas[[#This Row],[Sales]]</f>
        <v>0.17010238907849831</v>
      </c>
      <c r="I3042">
        <f ca="1">Referencia_Hoy-Master_ventas[[#This Row],[Order Date]]</f>
        <v>1324</v>
      </c>
      <c r="J3042" t="str">
        <f>UPPER(Master_ventas[[#This Row],[Product Name]])</f>
        <v>LAPTOP</v>
      </c>
      <c r="K3042" t="str">
        <f>UPPER(Master_ventas[[#This Row],[Category]])</f>
        <v>ELECTRONICS</v>
      </c>
      <c r="L3042">
        <f>YEAR(Master_ventas[[#This Row],[Order Date]])</f>
        <v>2023</v>
      </c>
      <c r="M3042" t="str">
        <f>CONCATENATE(LEFT(Master_ventas[[#This Row],[ProdUpper]],3),RIGHT(Master_ventas[[#This Row],[Ext-Year]],2),"-",MID(Master_ventas[[#This Row],[Category]],1,1))</f>
        <v>LAP23-E</v>
      </c>
      <c r="N3042" t="str">
        <f>MID(Master_ventas[[#This Row],[ProdUpper]],1,3)</f>
        <v>LAP</v>
      </c>
      <c r="O3042" t="str">
        <f>UPPER(IF(Master_ventas[[#This Row],[Profit]]&gt;500,"High","Std"))</f>
        <v>STD</v>
      </c>
      <c r="P3042">
        <v>3041</v>
      </c>
    </row>
    <row r="3043" spans="1:16" x14ac:dyDescent="0.3">
      <c r="A3043" s="1">
        <v>45247</v>
      </c>
      <c r="B3043" t="s">
        <v>23</v>
      </c>
      <c r="C3043" t="s">
        <v>14</v>
      </c>
      <c r="D3043" t="s">
        <v>9</v>
      </c>
      <c r="E3043">
        <v>3</v>
      </c>
      <c r="F3043" s="3">
        <v>2415</v>
      </c>
      <c r="G3043" s="2">
        <v>538.39</v>
      </c>
      <c r="H3043">
        <f>Master_ventas[[#This Row],[Profit]]/Master_ventas[[#This Row],[Sales]]</f>
        <v>0.22293581780538302</v>
      </c>
      <c r="I3043">
        <f ca="1">Referencia_Hoy-Master_ventas[[#This Row],[Order Date]]</f>
        <v>1076</v>
      </c>
      <c r="J3043" t="str">
        <f>UPPER(Master_ventas[[#This Row],[Product Name]])</f>
        <v>LAPTOP</v>
      </c>
      <c r="K3043" t="str">
        <f>UPPER(Master_ventas[[#This Row],[Category]])</f>
        <v>ELECTRONICS</v>
      </c>
      <c r="L3043">
        <f>YEAR(Master_ventas[[#This Row],[Order Date]])</f>
        <v>2023</v>
      </c>
      <c r="M3043" t="str">
        <f>CONCATENATE(LEFT(Master_ventas[[#This Row],[ProdUpper]],3),RIGHT(Master_ventas[[#This Row],[Ext-Year]],2),"-",MID(Master_ventas[[#This Row],[Category]],1,1))</f>
        <v>LAP23-E</v>
      </c>
      <c r="N3043" t="str">
        <f>MID(Master_ventas[[#This Row],[ProdUpper]],1,3)</f>
        <v>LAP</v>
      </c>
      <c r="O3043" t="str">
        <f>UPPER(IF(Master_ventas[[#This Row],[Profit]]&gt;500,"High","Std"))</f>
        <v>HIGH</v>
      </c>
      <c r="P3043">
        <v>3042</v>
      </c>
    </row>
    <row r="3044" spans="1:16" x14ac:dyDescent="0.3">
      <c r="A3044" s="1">
        <v>45562</v>
      </c>
      <c r="B3044" t="s">
        <v>17</v>
      </c>
      <c r="C3044" t="s">
        <v>14</v>
      </c>
      <c r="D3044" t="s">
        <v>16</v>
      </c>
      <c r="E3044">
        <v>4</v>
      </c>
      <c r="F3044" s="3">
        <v>1064</v>
      </c>
      <c r="G3044" s="2">
        <v>314.83999999999997</v>
      </c>
      <c r="H3044">
        <f>Master_ventas[[#This Row],[Profit]]/Master_ventas[[#This Row],[Sales]]</f>
        <v>0.29590225563909772</v>
      </c>
      <c r="I3044">
        <f ca="1">Referencia_Hoy-Master_ventas[[#This Row],[Order Date]]</f>
        <v>761</v>
      </c>
      <c r="J3044" t="str">
        <f>UPPER(Master_ventas[[#This Row],[Product Name]])</f>
        <v>CAMERA</v>
      </c>
      <c r="K3044" t="str">
        <f>UPPER(Master_ventas[[#This Row],[Category]])</f>
        <v>ELECTRONICS</v>
      </c>
      <c r="L3044">
        <f>YEAR(Master_ventas[[#This Row],[Order Date]])</f>
        <v>2024</v>
      </c>
      <c r="M3044" t="str">
        <f>CONCATENATE(LEFT(Master_ventas[[#This Row],[ProdUpper]],3),RIGHT(Master_ventas[[#This Row],[Ext-Year]],2),"-",MID(Master_ventas[[#This Row],[Category]],1,1))</f>
        <v>CAM24-E</v>
      </c>
      <c r="N3044" t="str">
        <f>MID(Master_ventas[[#This Row],[ProdUpper]],1,3)</f>
        <v>CAM</v>
      </c>
      <c r="O3044" t="str">
        <f>UPPER(IF(Master_ventas[[#This Row],[Profit]]&gt;500,"High","Std"))</f>
        <v>STD</v>
      </c>
      <c r="P3044">
        <v>3043</v>
      </c>
    </row>
    <row r="3045" spans="1:16" x14ac:dyDescent="0.3">
      <c r="A3045" s="1">
        <v>44609</v>
      </c>
      <c r="B3045" t="s">
        <v>10</v>
      </c>
      <c r="C3045" t="s">
        <v>11</v>
      </c>
      <c r="D3045" t="s">
        <v>15</v>
      </c>
      <c r="E3045">
        <v>4</v>
      </c>
      <c r="F3045" s="3">
        <v>1156</v>
      </c>
      <c r="G3045" s="2">
        <v>326.92</v>
      </c>
      <c r="H3045">
        <f>Master_ventas[[#This Row],[Profit]]/Master_ventas[[#This Row],[Sales]]</f>
        <v>0.28280276816608996</v>
      </c>
      <c r="I3045">
        <f ca="1">Referencia_Hoy-Master_ventas[[#This Row],[Order Date]]</f>
        <v>1714</v>
      </c>
      <c r="J3045" t="str">
        <f>UPPER(Master_ventas[[#This Row],[Product Name]])</f>
        <v>MOUSE</v>
      </c>
      <c r="K3045" t="str">
        <f>UPPER(Master_ventas[[#This Row],[Category]])</f>
        <v>ACCESSORIES</v>
      </c>
      <c r="L3045">
        <f>YEAR(Master_ventas[[#This Row],[Order Date]])</f>
        <v>2022</v>
      </c>
      <c r="M3045" t="str">
        <f>CONCATENATE(LEFT(Master_ventas[[#This Row],[ProdUpper]],3),RIGHT(Master_ventas[[#This Row],[Ext-Year]],2),"-",MID(Master_ventas[[#This Row],[Category]],1,1))</f>
        <v>MOU22-A</v>
      </c>
      <c r="N3045" t="str">
        <f>MID(Master_ventas[[#This Row],[ProdUpper]],1,3)</f>
        <v>MOU</v>
      </c>
      <c r="O3045" t="str">
        <f>UPPER(IF(Master_ventas[[#This Row],[Profit]]&gt;500,"High","Std"))</f>
        <v>STD</v>
      </c>
      <c r="P3045">
        <v>3044</v>
      </c>
    </row>
    <row r="3046" spans="1:16" x14ac:dyDescent="0.3">
      <c r="A3046" s="1">
        <v>44693</v>
      </c>
      <c r="B3046" t="s">
        <v>21</v>
      </c>
      <c r="C3046" t="s">
        <v>14</v>
      </c>
      <c r="D3046" t="s">
        <v>9</v>
      </c>
      <c r="E3046">
        <v>1</v>
      </c>
      <c r="F3046" s="3">
        <v>1184</v>
      </c>
      <c r="G3046" s="2">
        <v>218.27</v>
      </c>
      <c r="H3046">
        <f>Master_ventas[[#This Row],[Profit]]/Master_ventas[[#This Row],[Sales]]</f>
        <v>0.18434966216216217</v>
      </c>
      <c r="I3046">
        <f ca="1">Referencia_Hoy-Master_ventas[[#This Row],[Order Date]]</f>
        <v>1630</v>
      </c>
      <c r="J3046" t="str">
        <f>UPPER(Master_ventas[[#This Row],[Product Name]])</f>
        <v>SMARTPHONE</v>
      </c>
      <c r="K3046" t="str">
        <f>UPPER(Master_ventas[[#This Row],[Category]])</f>
        <v>ELECTRONICS</v>
      </c>
      <c r="L3046">
        <f>YEAR(Master_ventas[[#This Row],[Order Date]])</f>
        <v>2022</v>
      </c>
      <c r="M3046" t="str">
        <f>CONCATENATE(LEFT(Master_ventas[[#This Row],[ProdUpper]],3),RIGHT(Master_ventas[[#This Row],[Ext-Year]],2),"-",MID(Master_ventas[[#This Row],[Category]],1,1))</f>
        <v>SMA22-E</v>
      </c>
      <c r="N3046" t="str">
        <f>MID(Master_ventas[[#This Row],[ProdUpper]],1,3)</f>
        <v>SMA</v>
      </c>
      <c r="O3046" t="str">
        <f>UPPER(IF(Master_ventas[[#This Row],[Profit]]&gt;500,"High","Std"))</f>
        <v>STD</v>
      </c>
      <c r="P3046">
        <v>3045</v>
      </c>
    </row>
    <row r="3047" spans="1:16" x14ac:dyDescent="0.3">
      <c r="A3047" s="1">
        <v>44597</v>
      </c>
      <c r="B3047" t="s">
        <v>22</v>
      </c>
      <c r="C3047" t="s">
        <v>11</v>
      </c>
      <c r="D3047" t="s">
        <v>15</v>
      </c>
      <c r="E3047">
        <v>3</v>
      </c>
      <c r="F3047" s="3">
        <v>1950</v>
      </c>
      <c r="G3047" s="2">
        <v>211.16</v>
      </c>
      <c r="H3047">
        <f>Master_ventas[[#This Row],[Profit]]/Master_ventas[[#This Row],[Sales]]</f>
        <v>0.10828717948717949</v>
      </c>
      <c r="I3047">
        <f ca="1">Referencia_Hoy-Master_ventas[[#This Row],[Order Date]]</f>
        <v>1726</v>
      </c>
      <c r="J3047" t="str">
        <f>UPPER(Master_ventas[[#This Row],[Product Name]])</f>
        <v>KEYBOARD</v>
      </c>
      <c r="K3047" t="str">
        <f>UPPER(Master_ventas[[#This Row],[Category]])</f>
        <v>ACCESSORIES</v>
      </c>
      <c r="L3047">
        <f>YEAR(Master_ventas[[#This Row],[Order Date]])</f>
        <v>2022</v>
      </c>
      <c r="M3047" t="str">
        <f>CONCATENATE(LEFT(Master_ventas[[#This Row],[ProdUpper]],3),RIGHT(Master_ventas[[#This Row],[Ext-Year]],2),"-",MID(Master_ventas[[#This Row],[Category]],1,1))</f>
        <v>KEY22-A</v>
      </c>
      <c r="N3047" t="str">
        <f>MID(Master_ventas[[#This Row],[ProdUpper]],1,3)</f>
        <v>KEY</v>
      </c>
      <c r="O3047" t="str">
        <f>UPPER(IF(Master_ventas[[#This Row],[Profit]]&gt;500,"High","Std"))</f>
        <v>STD</v>
      </c>
      <c r="P3047">
        <v>3046</v>
      </c>
    </row>
    <row r="3048" spans="1:16" x14ac:dyDescent="0.3">
      <c r="A3048" s="1">
        <v>44802</v>
      </c>
      <c r="B3048" t="s">
        <v>23</v>
      </c>
      <c r="C3048" t="s">
        <v>14</v>
      </c>
      <c r="D3048" t="s">
        <v>15</v>
      </c>
      <c r="E3048">
        <v>4</v>
      </c>
      <c r="F3048" s="3">
        <v>1088</v>
      </c>
      <c r="G3048" s="2">
        <v>295.08999999999997</v>
      </c>
      <c r="H3048">
        <f>Master_ventas[[#This Row],[Profit]]/Master_ventas[[#This Row],[Sales]]</f>
        <v>0.2712224264705882</v>
      </c>
      <c r="I3048">
        <f ca="1">Referencia_Hoy-Master_ventas[[#This Row],[Order Date]]</f>
        <v>1521</v>
      </c>
      <c r="J3048" t="str">
        <f>UPPER(Master_ventas[[#This Row],[Product Name]])</f>
        <v>LAPTOP</v>
      </c>
      <c r="K3048" t="str">
        <f>UPPER(Master_ventas[[#This Row],[Category]])</f>
        <v>ELECTRONICS</v>
      </c>
      <c r="L3048">
        <f>YEAR(Master_ventas[[#This Row],[Order Date]])</f>
        <v>2022</v>
      </c>
      <c r="M3048" t="str">
        <f>CONCATENATE(LEFT(Master_ventas[[#This Row],[ProdUpper]],3),RIGHT(Master_ventas[[#This Row],[Ext-Year]],2),"-",MID(Master_ventas[[#This Row],[Category]],1,1))</f>
        <v>LAP22-E</v>
      </c>
      <c r="N3048" t="str">
        <f>MID(Master_ventas[[#This Row],[ProdUpper]],1,3)</f>
        <v>LAP</v>
      </c>
      <c r="O3048" t="str">
        <f>UPPER(IF(Master_ventas[[#This Row],[Profit]]&gt;500,"High","Std"))</f>
        <v>STD</v>
      </c>
      <c r="P3048">
        <v>3047</v>
      </c>
    </row>
    <row r="3049" spans="1:16" x14ac:dyDescent="0.3">
      <c r="A3049" s="1">
        <v>45264</v>
      </c>
      <c r="B3049" t="s">
        <v>7</v>
      </c>
      <c r="C3049" t="s">
        <v>8</v>
      </c>
      <c r="D3049" t="s">
        <v>15</v>
      </c>
      <c r="E3049">
        <v>6</v>
      </c>
      <c r="F3049" s="3">
        <v>4380</v>
      </c>
      <c r="G3049" s="2">
        <v>522.29999999999995</v>
      </c>
      <c r="H3049">
        <f>Master_ventas[[#This Row],[Profit]]/Master_ventas[[#This Row],[Sales]]</f>
        <v>0.11924657534246574</v>
      </c>
      <c r="I3049">
        <f ca="1">Referencia_Hoy-Master_ventas[[#This Row],[Order Date]]</f>
        <v>1059</v>
      </c>
      <c r="J3049" t="str">
        <f>UPPER(Master_ventas[[#This Row],[Product Name]])</f>
        <v>PRINTER</v>
      </c>
      <c r="K3049" t="str">
        <f>UPPER(Master_ventas[[#This Row],[Category]])</f>
        <v>OFFICE</v>
      </c>
      <c r="L3049">
        <f>YEAR(Master_ventas[[#This Row],[Order Date]])</f>
        <v>2023</v>
      </c>
      <c r="M3049" t="str">
        <f>CONCATENATE(LEFT(Master_ventas[[#This Row],[ProdUpper]],3),RIGHT(Master_ventas[[#This Row],[Ext-Year]],2),"-",MID(Master_ventas[[#This Row],[Category]],1,1))</f>
        <v>PRI23-O</v>
      </c>
      <c r="N3049" t="str">
        <f>MID(Master_ventas[[#This Row],[ProdUpper]],1,3)</f>
        <v>PRI</v>
      </c>
      <c r="O3049" t="str">
        <f>UPPER(IF(Master_ventas[[#This Row],[Profit]]&gt;500,"High","Std"))</f>
        <v>HIGH</v>
      </c>
      <c r="P3049">
        <v>3048</v>
      </c>
    </row>
    <row r="3050" spans="1:16" x14ac:dyDescent="0.3">
      <c r="A3050" s="1">
        <v>45402</v>
      </c>
      <c r="B3050" t="s">
        <v>17</v>
      </c>
      <c r="C3050" t="s">
        <v>14</v>
      </c>
      <c r="D3050" t="s">
        <v>15</v>
      </c>
      <c r="E3050">
        <v>1</v>
      </c>
      <c r="F3050" s="3">
        <v>998</v>
      </c>
      <c r="G3050" s="2">
        <v>196.17</v>
      </c>
      <c r="H3050">
        <f>Master_ventas[[#This Row],[Profit]]/Master_ventas[[#This Row],[Sales]]</f>
        <v>0.19656312625250499</v>
      </c>
      <c r="I3050">
        <f ca="1">Referencia_Hoy-Master_ventas[[#This Row],[Order Date]]</f>
        <v>921</v>
      </c>
      <c r="J3050" t="str">
        <f>UPPER(Master_ventas[[#This Row],[Product Name]])</f>
        <v>CAMERA</v>
      </c>
      <c r="K3050" t="str">
        <f>UPPER(Master_ventas[[#This Row],[Category]])</f>
        <v>ELECTRONICS</v>
      </c>
      <c r="L3050">
        <f>YEAR(Master_ventas[[#This Row],[Order Date]])</f>
        <v>2024</v>
      </c>
      <c r="M3050" t="str">
        <f>CONCATENATE(LEFT(Master_ventas[[#This Row],[ProdUpper]],3),RIGHT(Master_ventas[[#This Row],[Ext-Year]],2),"-",MID(Master_ventas[[#This Row],[Category]],1,1))</f>
        <v>CAM24-E</v>
      </c>
      <c r="N3050" t="str">
        <f>MID(Master_ventas[[#This Row],[ProdUpper]],1,3)</f>
        <v>CAM</v>
      </c>
      <c r="O3050" t="str">
        <f>UPPER(IF(Master_ventas[[#This Row],[Profit]]&gt;500,"High","Std"))</f>
        <v>STD</v>
      </c>
      <c r="P3050">
        <v>3049</v>
      </c>
    </row>
    <row r="3051" spans="1:16" x14ac:dyDescent="0.3">
      <c r="A3051" s="1">
        <v>45437</v>
      </c>
      <c r="B3051" t="s">
        <v>21</v>
      </c>
      <c r="C3051" t="s">
        <v>14</v>
      </c>
      <c r="D3051" t="s">
        <v>12</v>
      </c>
      <c r="E3051">
        <v>6</v>
      </c>
      <c r="F3051" s="3">
        <v>5766</v>
      </c>
      <c r="G3051" s="2">
        <v>675.17</v>
      </c>
      <c r="H3051">
        <f>Master_ventas[[#This Row],[Profit]]/Master_ventas[[#This Row],[Sales]]</f>
        <v>0.11709503988900451</v>
      </c>
      <c r="I3051">
        <f ca="1">Referencia_Hoy-Master_ventas[[#This Row],[Order Date]]</f>
        <v>886</v>
      </c>
      <c r="J3051" t="str">
        <f>UPPER(Master_ventas[[#This Row],[Product Name]])</f>
        <v>SMARTPHONE</v>
      </c>
      <c r="K3051" t="str">
        <f>UPPER(Master_ventas[[#This Row],[Category]])</f>
        <v>ELECTRONICS</v>
      </c>
      <c r="L3051">
        <f>YEAR(Master_ventas[[#This Row],[Order Date]])</f>
        <v>2024</v>
      </c>
      <c r="M3051" t="str">
        <f>CONCATENATE(LEFT(Master_ventas[[#This Row],[ProdUpper]],3),RIGHT(Master_ventas[[#This Row],[Ext-Year]],2),"-",MID(Master_ventas[[#This Row],[Category]],1,1))</f>
        <v>SMA24-E</v>
      </c>
      <c r="N3051" t="str">
        <f>MID(Master_ventas[[#This Row],[ProdUpper]],1,3)</f>
        <v>SMA</v>
      </c>
      <c r="O3051" t="str">
        <f>UPPER(IF(Master_ventas[[#This Row],[Profit]]&gt;500,"High","Std"))</f>
        <v>HIGH</v>
      </c>
      <c r="P3051">
        <v>3050</v>
      </c>
    </row>
    <row r="3052" spans="1:16" x14ac:dyDescent="0.3">
      <c r="A3052" s="1">
        <v>45574</v>
      </c>
      <c r="B3052" t="s">
        <v>13</v>
      </c>
      <c r="C3052" t="s">
        <v>14</v>
      </c>
      <c r="D3052" t="s">
        <v>16</v>
      </c>
      <c r="E3052">
        <v>6</v>
      </c>
      <c r="F3052" s="3">
        <v>3120</v>
      </c>
      <c r="G3052" s="2">
        <v>274.64999999999998</v>
      </c>
      <c r="H3052">
        <f>Master_ventas[[#This Row],[Profit]]/Master_ventas[[#This Row],[Sales]]</f>
        <v>8.8028846153846152E-2</v>
      </c>
      <c r="I3052">
        <f ca="1">Referencia_Hoy-Master_ventas[[#This Row],[Order Date]]</f>
        <v>749</v>
      </c>
      <c r="J3052" t="str">
        <f>UPPER(Master_ventas[[#This Row],[Product Name]])</f>
        <v>TABLET</v>
      </c>
      <c r="K3052" t="str">
        <f>UPPER(Master_ventas[[#This Row],[Category]])</f>
        <v>ELECTRONICS</v>
      </c>
      <c r="L3052">
        <f>YEAR(Master_ventas[[#This Row],[Order Date]])</f>
        <v>2024</v>
      </c>
      <c r="M3052" t="str">
        <f>CONCATENATE(LEFT(Master_ventas[[#This Row],[ProdUpper]],3),RIGHT(Master_ventas[[#This Row],[Ext-Year]],2),"-",MID(Master_ventas[[#This Row],[Category]],1,1))</f>
        <v>TAB24-E</v>
      </c>
      <c r="N3052" t="str">
        <f>MID(Master_ventas[[#This Row],[ProdUpper]],1,3)</f>
        <v>TAB</v>
      </c>
      <c r="O3052" t="str">
        <f>UPPER(IF(Master_ventas[[#This Row],[Profit]]&gt;500,"High","Std"))</f>
        <v>STD</v>
      </c>
      <c r="P3052">
        <v>3051</v>
      </c>
    </row>
    <row r="3053" spans="1:16" x14ac:dyDescent="0.3">
      <c r="A3053" s="1">
        <v>44627</v>
      </c>
      <c r="B3053" t="s">
        <v>7</v>
      </c>
      <c r="C3053" t="s">
        <v>8</v>
      </c>
      <c r="D3053" t="s">
        <v>12</v>
      </c>
      <c r="E3053">
        <v>7</v>
      </c>
      <c r="F3053" s="3">
        <v>637</v>
      </c>
      <c r="G3053" s="2">
        <v>68.11</v>
      </c>
      <c r="H3053">
        <f>Master_ventas[[#This Row],[Profit]]/Master_ventas[[#This Row],[Sales]]</f>
        <v>0.10692307692307693</v>
      </c>
      <c r="I3053">
        <f ca="1">Referencia_Hoy-Master_ventas[[#This Row],[Order Date]]</f>
        <v>1696</v>
      </c>
      <c r="J3053" t="str">
        <f>UPPER(Master_ventas[[#This Row],[Product Name]])</f>
        <v>PRINTER</v>
      </c>
      <c r="K3053" t="str">
        <f>UPPER(Master_ventas[[#This Row],[Category]])</f>
        <v>OFFICE</v>
      </c>
      <c r="L3053">
        <f>YEAR(Master_ventas[[#This Row],[Order Date]])</f>
        <v>2022</v>
      </c>
      <c r="M3053" t="str">
        <f>CONCATENATE(LEFT(Master_ventas[[#This Row],[ProdUpper]],3),RIGHT(Master_ventas[[#This Row],[Ext-Year]],2),"-",MID(Master_ventas[[#This Row],[Category]],1,1))</f>
        <v>PRI22-O</v>
      </c>
      <c r="N3053" t="str">
        <f>MID(Master_ventas[[#This Row],[ProdUpper]],1,3)</f>
        <v>PRI</v>
      </c>
      <c r="O3053" t="str">
        <f>UPPER(IF(Master_ventas[[#This Row],[Profit]]&gt;500,"High","Std"))</f>
        <v>STD</v>
      </c>
      <c r="P3053">
        <v>3052</v>
      </c>
    </row>
    <row r="3054" spans="1:16" x14ac:dyDescent="0.3">
      <c r="A3054" s="1">
        <v>45225</v>
      </c>
      <c r="B3054" t="s">
        <v>23</v>
      </c>
      <c r="C3054" t="s">
        <v>14</v>
      </c>
      <c r="D3054" t="s">
        <v>16</v>
      </c>
      <c r="E3054">
        <v>6</v>
      </c>
      <c r="F3054" s="3">
        <v>3306</v>
      </c>
      <c r="G3054" s="2">
        <v>697.74</v>
      </c>
      <c r="H3054">
        <f>Master_ventas[[#This Row],[Profit]]/Master_ventas[[#This Row],[Sales]]</f>
        <v>0.21105263157894738</v>
      </c>
      <c r="I3054">
        <f ca="1">Referencia_Hoy-Master_ventas[[#This Row],[Order Date]]</f>
        <v>1098</v>
      </c>
      <c r="J3054" t="str">
        <f>UPPER(Master_ventas[[#This Row],[Product Name]])</f>
        <v>LAPTOP</v>
      </c>
      <c r="K3054" t="str">
        <f>UPPER(Master_ventas[[#This Row],[Category]])</f>
        <v>ELECTRONICS</v>
      </c>
      <c r="L3054">
        <f>YEAR(Master_ventas[[#This Row],[Order Date]])</f>
        <v>2023</v>
      </c>
      <c r="M3054" t="str">
        <f>CONCATENATE(LEFT(Master_ventas[[#This Row],[ProdUpper]],3),RIGHT(Master_ventas[[#This Row],[Ext-Year]],2),"-",MID(Master_ventas[[#This Row],[Category]],1,1))</f>
        <v>LAP23-E</v>
      </c>
      <c r="N3054" t="str">
        <f>MID(Master_ventas[[#This Row],[ProdUpper]],1,3)</f>
        <v>LAP</v>
      </c>
      <c r="O3054" t="str">
        <f>UPPER(IF(Master_ventas[[#This Row],[Profit]]&gt;500,"High","Std"))</f>
        <v>HIGH</v>
      </c>
      <c r="P3054">
        <v>3053</v>
      </c>
    </row>
    <row r="3055" spans="1:16" x14ac:dyDescent="0.3">
      <c r="A3055" s="1">
        <v>44712</v>
      </c>
      <c r="B3055" t="s">
        <v>20</v>
      </c>
      <c r="C3055" t="s">
        <v>11</v>
      </c>
      <c r="D3055" t="s">
        <v>15</v>
      </c>
      <c r="E3055">
        <v>6</v>
      </c>
      <c r="F3055" s="3">
        <v>7020</v>
      </c>
      <c r="G3055" s="2">
        <v>726.72</v>
      </c>
      <c r="H3055">
        <f>Master_ventas[[#This Row],[Profit]]/Master_ventas[[#This Row],[Sales]]</f>
        <v>0.10352136752136752</v>
      </c>
      <c r="I3055">
        <f ca="1">Referencia_Hoy-Master_ventas[[#This Row],[Order Date]]</f>
        <v>1611</v>
      </c>
      <c r="J3055" t="str">
        <f>UPPER(Master_ventas[[#This Row],[Product Name]])</f>
        <v>MONITOR</v>
      </c>
      <c r="K3055" t="str">
        <f>UPPER(Master_ventas[[#This Row],[Category]])</f>
        <v>ACCESSORIES</v>
      </c>
      <c r="L3055">
        <f>YEAR(Master_ventas[[#This Row],[Order Date]])</f>
        <v>2022</v>
      </c>
      <c r="M3055" t="str">
        <f>CONCATENATE(LEFT(Master_ventas[[#This Row],[ProdUpper]],3),RIGHT(Master_ventas[[#This Row],[Ext-Year]],2),"-",MID(Master_ventas[[#This Row],[Category]],1,1))</f>
        <v>MON22-A</v>
      </c>
      <c r="N3055" t="str">
        <f>MID(Master_ventas[[#This Row],[ProdUpper]],1,3)</f>
        <v>MON</v>
      </c>
      <c r="O3055" t="str">
        <f>UPPER(IF(Master_ventas[[#This Row],[Profit]]&gt;500,"High","Std"))</f>
        <v>HIGH</v>
      </c>
      <c r="P3055">
        <v>3054</v>
      </c>
    </row>
    <row r="3056" spans="1:16" x14ac:dyDescent="0.3">
      <c r="A3056" s="1">
        <v>44820</v>
      </c>
      <c r="B3056" t="s">
        <v>17</v>
      </c>
      <c r="C3056" t="s">
        <v>14</v>
      </c>
      <c r="D3056" t="s">
        <v>15</v>
      </c>
      <c r="E3056">
        <v>7</v>
      </c>
      <c r="F3056" s="3">
        <v>5971</v>
      </c>
      <c r="G3056" s="2">
        <v>502.14</v>
      </c>
      <c r="H3056">
        <f>Master_ventas[[#This Row],[Profit]]/Master_ventas[[#This Row],[Sales]]</f>
        <v>8.4096466253558863E-2</v>
      </c>
      <c r="I3056">
        <f ca="1">Referencia_Hoy-Master_ventas[[#This Row],[Order Date]]</f>
        <v>1503</v>
      </c>
      <c r="J3056" t="str">
        <f>UPPER(Master_ventas[[#This Row],[Product Name]])</f>
        <v>CAMERA</v>
      </c>
      <c r="K3056" t="str">
        <f>UPPER(Master_ventas[[#This Row],[Category]])</f>
        <v>ELECTRONICS</v>
      </c>
      <c r="L3056">
        <f>YEAR(Master_ventas[[#This Row],[Order Date]])</f>
        <v>2022</v>
      </c>
      <c r="M3056" t="str">
        <f>CONCATENATE(LEFT(Master_ventas[[#This Row],[ProdUpper]],3),RIGHT(Master_ventas[[#This Row],[Ext-Year]],2),"-",MID(Master_ventas[[#This Row],[Category]],1,1))</f>
        <v>CAM22-E</v>
      </c>
      <c r="N3056" t="str">
        <f>MID(Master_ventas[[#This Row],[ProdUpper]],1,3)</f>
        <v>CAM</v>
      </c>
      <c r="O3056" t="str">
        <f>UPPER(IF(Master_ventas[[#This Row],[Profit]]&gt;500,"High","Std"))</f>
        <v>HIGH</v>
      </c>
      <c r="P3056">
        <v>3055</v>
      </c>
    </row>
    <row r="3057" spans="1:16" x14ac:dyDescent="0.3">
      <c r="A3057" s="1">
        <v>45252</v>
      </c>
      <c r="B3057" t="s">
        <v>23</v>
      </c>
      <c r="C3057" t="s">
        <v>14</v>
      </c>
      <c r="D3057" t="s">
        <v>9</v>
      </c>
      <c r="E3057">
        <v>2</v>
      </c>
      <c r="F3057" s="3">
        <v>750</v>
      </c>
      <c r="G3057" s="2">
        <v>77.680000000000007</v>
      </c>
      <c r="H3057">
        <f>Master_ventas[[#This Row],[Profit]]/Master_ventas[[#This Row],[Sales]]</f>
        <v>0.10357333333333334</v>
      </c>
      <c r="I3057">
        <f ca="1">Referencia_Hoy-Master_ventas[[#This Row],[Order Date]]</f>
        <v>1071</v>
      </c>
      <c r="J3057" t="str">
        <f>UPPER(Master_ventas[[#This Row],[Product Name]])</f>
        <v>LAPTOP</v>
      </c>
      <c r="K3057" t="str">
        <f>UPPER(Master_ventas[[#This Row],[Category]])</f>
        <v>ELECTRONICS</v>
      </c>
      <c r="L3057">
        <f>YEAR(Master_ventas[[#This Row],[Order Date]])</f>
        <v>2023</v>
      </c>
      <c r="M3057" t="str">
        <f>CONCATENATE(LEFT(Master_ventas[[#This Row],[ProdUpper]],3),RIGHT(Master_ventas[[#This Row],[Ext-Year]],2),"-",MID(Master_ventas[[#This Row],[Category]],1,1))</f>
        <v>LAP23-E</v>
      </c>
      <c r="N3057" t="str">
        <f>MID(Master_ventas[[#This Row],[ProdUpper]],1,3)</f>
        <v>LAP</v>
      </c>
      <c r="O3057" t="str">
        <f>UPPER(IF(Master_ventas[[#This Row],[Profit]]&gt;500,"High","Std"))</f>
        <v>STD</v>
      </c>
      <c r="P3057">
        <v>3056</v>
      </c>
    </row>
    <row r="3058" spans="1:16" x14ac:dyDescent="0.3">
      <c r="A3058" s="1">
        <v>45408</v>
      </c>
      <c r="B3058" t="s">
        <v>13</v>
      </c>
      <c r="C3058" t="s">
        <v>14</v>
      </c>
      <c r="D3058" t="s">
        <v>9</v>
      </c>
      <c r="E3058">
        <v>3</v>
      </c>
      <c r="F3058" s="3">
        <v>2379</v>
      </c>
      <c r="G3058" s="2">
        <v>523</v>
      </c>
      <c r="H3058">
        <f>Master_ventas[[#This Row],[Profit]]/Master_ventas[[#This Row],[Sales]]</f>
        <v>0.21984026902059689</v>
      </c>
      <c r="I3058">
        <f ca="1">Referencia_Hoy-Master_ventas[[#This Row],[Order Date]]</f>
        <v>915</v>
      </c>
      <c r="J3058" t="str">
        <f>UPPER(Master_ventas[[#This Row],[Product Name]])</f>
        <v>TABLET</v>
      </c>
      <c r="K3058" t="str">
        <f>UPPER(Master_ventas[[#This Row],[Category]])</f>
        <v>ELECTRONICS</v>
      </c>
      <c r="L3058">
        <f>YEAR(Master_ventas[[#This Row],[Order Date]])</f>
        <v>2024</v>
      </c>
      <c r="M3058" t="str">
        <f>CONCATENATE(LEFT(Master_ventas[[#This Row],[ProdUpper]],3),RIGHT(Master_ventas[[#This Row],[Ext-Year]],2),"-",MID(Master_ventas[[#This Row],[Category]],1,1))</f>
        <v>TAB24-E</v>
      </c>
      <c r="N3058" t="str">
        <f>MID(Master_ventas[[#This Row],[ProdUpper]],1,3)</f>
        <v>TAB</v>
      </c>
      <c r="O3058" t="str">
        <f>UPPER(IF(Master_ventas[[#This Row],[Profit]]&gt;500,"High","Std"))</f>
        <v>HIGH</v>
      </c>
      <c r="P3058">
        <v>3057</v>
      </c>
    </row>
    <row r="3059" spans="1:16" x14ac:dyDescent="0.3">
      <c r="A3059" s="1">
        <v>44794</v>
      </c>
      <c r="B3059" t="s">
        <v>17</v>
      </c>
      <c r="C3059" t="s">
        <v>14</v>
      </c>
      <c r="D3059" t="s">
        <v>9</v>
      </c>
      <c r="E3059">
        <v>1</v>
      </c>
      <c r="F3059" s="3">
        <v>699</v>
      </c>
      <c r="G3059" s="2">
        <v>108.94</v>
      </c>
      <c r="H3059">
        <f>Master_ventas[[#This Row],[Profit]]/Master_ventas[[#This Row],[Sales]]</f>
        <v>0.15585121602288984</v>
      </c>
      <c r="I3059">
        <f ca="1">Referencia_Hoy-Master_ventas[[#This Row],[Order Date]]</f>
        <v>1529</v>
      </c>
      <c r="J3059" t="str">
        <f>UPPER(Master_ventas[[#This Row],[Product Name]])</f>
        <v>CAMERA</v>
      </c>
      <c r="K3059" t="str">
        <f>UPPER(Master_ventas[[#This Row],[Category]])</f>
        <v>ELECTRONICS</v>
      </c>
      <c r="L3059">
        <f>YEAR(Master_ventas[[#This Row],[Order Date]])</f>
        <v>2022</v>
      </c>
      <c r="M3059" t="str">
        <f>CONCATENATE(LEFT(Master_ventas[[#This Row],[ProdUpper]],3),RIGHT(Master_ventas[[#This Row],[Ext-Year]],2),"-",MID(Master_ventas[[#This Row],[Category]],1,1))</f>
        <v>CAM22-E</v>
      </c>
      <c r="N3059" t="str">
        <f>MID(Master_ventas[[#This Row],[ProdUpper]],1,3)</f>
        <v>CAM</v>
      </c>
      <c r="O3059" t="str">
        <f>UPPER(IF(Master_ventas[[#This Row],[Profit]]&gt;500,"High","Std"))</f>
        <v>STD</v>
      </c>
      <c r="P3059">
        <v>3058</v>
      </c>
    </row>
    <row r="3060" spans="1:16" x14ac:dyDescent="0.3">
      <c r="A3060" s="1">
        <v>44942</v>
      </c>
      <c r="B3060" t="s">
        <v>17</v>
      </c>
      <c r="C3060" t="s">
        <v>14</v>
      </c>
      <c r="D3060" t="s">
        <v>16</v>
      </c>
      <c r="E3060">
        <v>9</v>
      </c>
      <c r="F3060" s="3">
        <v>6876</v>
      </c>
      <c r="G3060" s="2">
        <v>1895.24</v>
      </c>
      <c r="H3060">
        <f>Master_ventas[[#This Row],[Profit]]/Master_ventas[[#This Row],[Sales]]</f>
        <v>0.27563118091913902</v>
      </c>
      <c r="I3060">
        <f ca="1">Referencia_Hoy-Master_ventas[[#This Row],[Order Date]]</f>
        <v>1381</v>
      </c>
      <c r="J3060" t="str">
        <f>UPPER(Master_ventas[[#This Row],[Product Name]])</f>
        <v>CAMERA</v>
      </c>
      <c r="K3060" t="str">
        <f>UPPER(Master_ventas[[#This Row],[Category]])</f>
        <v>ELECTRONICS</v>
      </c>
      <c r="L3060">
        <f>YEAR(Master_ventas[[#This Row],[Order Date]])</f>
        <v>2023</v>
      </c>
      <c r="M3060" t="str">
        <f>CONCATENATE(LEFT(Master_ventas[[#This Row],[ProdUpper]],3),RIGHT(Master_ventas[[#This Row],[Ext-Year]],2),"-",MID(Master_ventas[[#This Row],[Category]],1,1))</f>
        <v>CAM23-E</v>
      </c>
      <c r="N3060" t="str">
        <f>MID(Master_ventas[[#This Row],[ProdUpper]],1,3)</f>
        <v>CAM</v>
      </c>
      <c r="O3060" t="str">
        <f>UPPER(IF(Master_ventas[[#This Row],[Profit]]&gt;500,"High","Std"))</f>
        <v>HIGH</v>
      </c>
      <c r="P3060">
        <v>3059</v>
      </c>
    </row>
    <row r="3061" spans="1:16" x14ac:dyDescent="0.3">
      <c r="A3061" s="1">
        <v>44594</v>
      </c>
      <c r="B3061" t="s">
        <v>20</v>
      </c>
      <c r="C3061" t="s">
        <v>11</v>
      </c>
      <c r="D3061" t="s">
        <v>9</v>
      </c>
      <c r="E3061">
        <v>8</v>
      </c>
      <c r="F3061" s="3">
        <v>1800</v>
      </c>
      <c r="G3061" s="2">
        <v>494.02</v>
      </c>
      <c r="H3061">
        <f>Master_ventas[[#This Row],[Profit]]/Master_ventas[[#This Row],[Sales]]</f>
        <v>0.27445555555555556</v>
      </c>
      <c r="I3061">
        <f ca="1">Referencia_Hoy-Master_ventas[[#This Row],[Order Date]]</f>
        <v>1729</v>
      </c>
      <c r="J3061" t="str">
        <f>UPPER(Master_ventas[[#This Row],[Product Name]])</f>
        <v>MONITOR</v>
      </c>
      <c r="K3061" t="str">
        <f>UPPER(Master_ventas[[#This Row],[Category]])</f>
        <v>ACCESSORIES</v>
      </c>
      <c r="L3061">
        <f>YEAR(Master_ventas[[#This Row],[Order Date]])</f>
        <v>2022</v>
      </c>
      <c r="M3061" t="str">
        <f>CONCATENATE(LEFT(Master_ventas[[#This Row],[ProdUpper]],3),RIGHT(Master_ventas[[#This Row],[Ext-Year]],2),"-",MID(Master_ventas[[#This Row],[Category]],1,1))</f>
        <v>MON22-A</v>
      </c>
      <c r="N3061" t="str">
        <f>MID(Master_ventas[[#This Row],[ProdUpper]],1,3)</f>
        <v>MON</v>
      </c>
      <c r="O3061" t="str">
        <f>UPPER(IF(Master_ventas[[#This Row],[Profit]]&gt;500,"High","Std"))</f>
        <v>STD</v>
      </c>
      <c r="P3061">
        <v>3060</v>
      </c>
    </row>
    <row r="3062" spans="1:16" x14ac:dyDescent="0.3">
      <c r="A3062" s="1">
        <v>45484</v>
      </c>
      <c r="B3062" t="s">
        <v>13</v>
      </c>
      <c r="C3062" t="s">
        <v>14</v>
      </c>
      <c r="D3062" t="s">
        <v>15</v>
      </c>
      <c r="E3062">
        <v>5</v>
      </c>
      <c r="F3062" s="3">
        <v>1255</v>
      </c>
      <c r="G3062" s="2">
        <v>236.25</v>
      </c>
      <c r="H3062">
        <f>Master_ventas[[#This Row],[Profit]]/Master_ventas[[#This Row],[Sales]]</f>
        <v>0.18824701195219123</v>
      </c>
      <c r="I3062">
        <f ca="1">Referencia_Hoy-Master_ventas[[#This Row],[Order Date]]</f>
        <v>839</v>
      </c>
      <c r="J3062" t="str">
        <f>UPPER(Master_ventas[[#This Row],[Product Name]])</f>
        <v>TABLET</v>
      </c>
      <c r="K3062" t="str">
        <f>UPPER(Master_ventas[[#This Row],[Category]])</f>
        <v>ELECTRONICS</v>
      </c>
      <c r="L3062">
        <f>YEAR(Master_ventas[[#This Row],[Order Date]])</f>
        <v>2024</v>
      </c>
      <c r="M3062" t="str">
        <f>CONCATENATE(LEFT(Master_ventas[[#This Row],[ProdUpper]],3),RIGHT(Master_ventas[[#This Row],[Ext-Year]],2),"-",MID(Master_ventas[[#This Row],[Category]],1,1))</f>
        <v>TAB24-E</v>
      </c>
      <c r="N3062" t="str">
        <f>MID(Master_ventas[[#This Row],[ProdUpper]],1,3)</f>
        <v>TAB</v>
      </c>
      <c r="O3062" t="str">
        <f>UPPER(IF(Master_ventas[[#This Row],[Profit]]&gt;500,"High","Std"))</f>
        <v>STD</v>
      </c>
      <c r="P3062">
        <v>3061</v>
      </c>
    </row>
    <row r="3063" spans="1:16" x14ac:dyDescent="0.3">
      <c r="A3063" s="1">
        <v>44716</v>
      </c>
      <c r="B3063" t="s">
        <v>19</v>
      </c>
      <c r="C3063" t="s">
        <v>14</v>
      </c>
      <c r="D3063" t="s">
        <v>12</v>
      </c>
      <c r="E3063">
        <v>9</v>
      </c>
      <c r="F3063" s="3">
        <v>1998</v>
      </c>
      <c r="G3063" s="2">
        <v>343.58</v>
      </c>
      <c r="H3063">
        <f>Master_ventas[[#This Row],[Profit]]/Master_ventas[[#This Row],[Sales]]</f>
        <v>0.17196196196196195</v>
      </c>
      <c r="I3063">
        <f ca="1">Referencia_Hoy-Master_ventas[[#This Row],[Order Date]]</f>
        <v>1607</v>
      </c>
      <c r="J3063" t="str">
        <f>UPPER(Master_ventas[[#This Row],[Product Name]])</f>
        <v>SMARTWATCH</v>
      </c>
      <c r="K3063" t="str">
        <f>UPPER(Master_ventas[[#This Row],[Category]])</f>
        <v>ELECTRONICS</v>
      </c>
      <c r="L3063">
        <f>YEAR(Master_ventas[[#This Row],[Order Date]])</f>
        <v>2022</v>
      </c>
      <c r="M3063" t="str">
        <f>CONCATENATE(LEFT(Master_ventas[[#This Row],[ProdUpper]],3),RIGHT(Master_ventas[[#This Row],[Ext-Year]],2),"-",MID(Master_ventas[[#This Row],[Category]],1,1))</f>
        <v>SMA22-E</v>
      </c>
      <c r="N3063" t="str">
        <f>MID(Master_ventas[[#This Row],[ProdUpper]],1,3)</f>
        <v>SMA</v>
      </c>
      <c r="O3063" t="str">
        <f>UPPER(IF(Master_ventas[[#This Row],[Profit]]&gt;500,"High","Std"))</f>
        <v>STD</v>
      </c>
      <c r="P3063">
        <v>3062</v>
      </c>
    </row>
    <row r="3064" spans="1:16" x14ac:dyDescent="0.3">
      <c r="A3064" s="1">
        <v>44891</v>
      </c>
      <c r="B3064" t="s">
        <v>18</v>
      </c>
      <c r="C3064" t="s">
        <v>11</v>
      </c>
      <c r="D3064" t="s">
        <v>12</v>
      </c>
      <c r="E3064">
        <v>1</v>
      </c>
      <c r="F3064" s="3">
        <v>307</v>
      </c>
      <c r="G3064" s="2">
        <v>80.19</v>
      </c>
      <c r="H3064">
        <f>Master_ventas[[#This Row],[Profit]]/Master_ventas[[#This Row],[Sales]]</f>
        <v>0.26120521172638433</v>
      </c>
      <c r="I3064">
        <f ca="1">Referencia_Hoy-Master_ventas[[#This Row],[Order Date]]</f>
        <v>1432</v>
      </c>
      <c r="J3064" t="str">
        <f>UPPER(Master_ventas[[#This Row],[Product Name]])</f>
        <v>HEADPHONES</v>
      </c>
      <c r="K3064" t="str">
        <f>UPPER(Master_ventas[[#This Row],[Category]])</f>
        <v>ACCESSORIES</v>
      </c>
      <c r="L3064">
        <f>YEAR(Master_ventas[[#This Row],[Order Date]])</f>
        <v>2022</v>
      </c>
      <c r="M3064" t="str">
        <f>CONCATENATE(LEFT(Master_ventas[[#This Row],[ProdUpper]],3),RIGHT(Master_ventas[[#This Row],[Ext-Year]],2),"-",MID(Master_ventas[[#This Row],[Category]],1,1))</f>
        <v>HEA22-A</v>
      </c>
      <c r="N3064" t="str">
        <f>MID(Master_ventas[[#This Row],[ProdUpper]],1,3)</f>
        <v>HEA</v>
      </c>
      <c r="O3064" t="str">
        <f>UPPER(IF(Master_ventas[[#This Row],[Profit]]&gt;500,"High","Std"))</f>
        <v>STD</v>
      </c>
      <c r="P3064">
        <v>3063</v>
      </c>
    </row>
    <row r="3065" spans="1:16" x14ac:dyDescent="0.3">
      <c r="A3065" s="1">
        <v>45468</v>
      </c>
      <c r="B3065" t="s">
        <v>7</v>
      </c>
      <c r="C3065" t="s">
        <v>8</v>
      </c>
      <c r="D3065" t="s">
        <v>16</v>
      </c>
      <c r="E3065">
        <v>1</v>
      </c>
      <c r="F3065" s="3">
        <v>235</v>
      </c>
      <c r="G3065" s="2">
        <v>54.87</v>
      </c>
      <c r="H3065">
        <f>Master_ventas[[#This Row],[Profit]]/Master_ventas[[#This Row],[Sales]]</f>
        <v>0.23348936170212764</v>
      </c>
      <c r="I3065">
        <f ca="1">Referencia_Hoy-Master_ventas[[#This Row],[Order Date]]</f>
        <v>855</v>
      </c>
      <c r="J3065" t="str">
        <f>UPPER(Master_ventas[[#This Row],[Product Name]])</f>
        <v>PRINTER</v>
      </c>
      <c r="K3065" t="str">
        <f>UPPER(Master_ventas[[#This Row],[Category]])</f>
        <v>OFFICE</v>
      </c>
      <c r="L3065">
        <f>YEAR(Master_ventas[[#This Row],[Order Date]])</f>
        <v>2024</v>
      </c>
      <c r="M3065" t="str">
        <f>CONCATENATE(LEFT(Master_ventas[[#This Row],[ProdUpper]],3),RIGHT(Master_ventas[[#This Row],[Ext-Year]],2),"-",MID(Master_ventas[[#This Row],[Category]],1,1))</f>
        <v>PRI24-O</v>
      </c>
      <c r="N3065" t="str">
        <f>MID(Master_ventas[[#This Row],[ProdUpper]],1,3)</f>
        <v>PRI</v>
      </c>
      <c r="O3065" t="str">
        <f>UPPER(IF(Master_ventas[[#This Row],[Profit]]&gt;500,"High","Std"))</f>
        <v>STD</v>
      </c>
      <c r="P3065">
        <v>3064</v>
      </c>
    </row>
    <row r="3066" spans="1:16" x14ac:dyDescent="0.3">
      <c r="A3066" s="1">
        <v>45231</v>
      </c>
      <c r="B3066" t="s">
        <v>20</v>
      </c>
      <c r="C3066" t="s">
        <v>11</v>
      </c>
      <c r="D3066" t="s">
        <v>15</v>
      </c>
      <c r="E3066">
        <v>6</v>
      </c>
      <c r="F3066" s="3">
        <v>1506</v>
      </c>
      <c r="G3066" s="2">
        <v>407.73</v>
      </c>
      <c r="H3066">
        <f>Master_ventas[[#This Row],[Profit]]/Master_ventas[[#This Row],[Sales]]</f>
        <v>0.2707370517928287</v>
      </c>
      <c r="I3066">
        <f ca="1">Referencia_Hoy-Master_ventas[[#This Row],[Order Date]]</f>
        <v>1092</v>
      </c>
      <c r="J3066" t="str">
        <f>UPPER(Master_ventas[[#This Row],[Product Name]])</f>
        <v>MONITOR</v>
      </c>
      <c r="K3066" t="str">
        <f>UPPER(Master_ventas[[#This Row],[Category]])</f>
        <v>ACCESSORIES</v>
      </c>
      <c r="L3066">
        <f>YEAR(Master_ventas[[#This Row],[Order Date]])</f>
        <v>2023</v>
      </c>
      <c r="M3066" t="str">
        <f>CONCATENATE(LEFT(Master_ventas[[#This Row],[ProdUpper]],3),RIGHT(Master_ventas[[#This Row],[Ext-Year]],2),"-",MID(Master_ventas[[#This Row],[Category]],1,1))</f>
        <v>MON23-A</v>
      </c>
      <c r="N3066" t="str">
        <f>MID(Master_ventas[[#This Row],[ProdUpper]],1,3)</f>
        <v>MON</v>
      </c>
      <c r="O3066" t="str">
        <f>UPPER(IF(Master_ventas[[#This Row],[Profit]]&gt;500,"High","Std"))</f>
        <v>STD</v>
      </c>
      <c r="P3066">
        <v>3065</v>
      </c>
    </row>
    <row r="3067" spans="1:16" x14ac:dyDescent="0.3">
      <c r="A3067" s="1">
        <v>45591</v>
      </c>
      <c r="B3067" t="s">
        <v>13</v>
      </c>
      <c r="C3067" t="s">
        <v>14</v>
      </c>
      <c r="D3067" t="s">
        <v>9</v>
      </c>
      <c r="E3067">
        <v>8</v>
      </c>
      <c r="F3067" s="3">
        <v>2464</v>
      </c>
      <c r="G3067" s="2">
        <v>216.51</v>
      </c>
      <c r="H3067">
        <f>Master_ventas[[#This Row],[Profit]]/Master_ventas[[#This Row],[Sales]]</f>
        <v>8.7869318181818173E-2</v>
      </c>
      <c r="I3067">
        <f ca="1">Referencia_Hoy-Master_ventas[[#This Row],[Order Date]]</f>
        <v>732</v>
      </c>
      <c r="J3067" t="str">
        <f>UPPER(Master_ventas[[#This Row],[Product Name]])</f>
        <v>TABLET</v>
      </c>
      <c r="K3067" t="str">
        <f>UPPER(Master_ventas[[#This Row],[Category]])</f>
        <v>ELECTRONICS</v>
      </c>
      <c r="L3067">
        <f>YEAR(Master_ventas[[#This Row],[Order Date]])</f>
        <v>2024</v>
      </c>
      <c r="M3067" t="str">
        <f>CONCATENATE(LEFT(Master_ventas[[#This Row],[ProdUpper]],3),RIGHT(Master_ventas[[#This Row],[Ext-Year]],2),"-",MID(Master_ventas[[#This Row],[Category]],1,1))</f>
        <v>TAB24-E</v>
      </c>
      <c r="N3067" t="str">
        <f>MID(Master_ventas[[#This Row],[ProdUpper]],1,3)</f>
        <v>TAB</v>
      </c>
      <c r="O3067" t="str">
        <f>UPPER(IF(Master_ventas[[#This Row],[Profit]]&gt;500,"High","Std"))</f>
        <v>STD</v>
      </c>
      <c r="P3067">
        <v>3066</v>
      </c>
    </row>
    <row r="3068" spans="1:16" x14ac:dyDescent="0.3">
      <c r="A3068" s="1">
        <v>45058</v>
      </c>
      <c r="B3068" t="s">
        <v>19</v>
      </c>
      <c r="C3068" t="s">
        <v>14</v>
      </c>
      <c r="D3068" t="s">
        <v>15</v>
      </c>
      <c r="E3068">
        <v>2</v>
      </c>
      <c r="F3068" s="3">
        <v>322</v>
      </c>
      <c r="G3068" s="2">
        <v>42.03</v>
      </c>
      <c r="H3068">
        <f>Master_ventas[[#This Row],[Profit]]/Master_ventas[[#This Row],[Sales]]</f>
        <v>0.130527950310559</v>
      </c>
      <c r="I3068">
        <f ca="1">Referencia_Hoy-Master_ventas[[#This Row],[Order Date]]</f>
        <v>1265</v>
      </c>
      <c r="J3068" t="str">
        <f>UPPER(Master_ventas[[#This Row],[Product Name]])</f>
        <v>SMARTWATCH</v>
      </c>
      <c r="K3068" t="str">
        <f>UPPER(Master_ventas[[#This Row],[Category]])</f>
        <v>ELECTRONICS</v>
      </c>
      <c r="L3068">
        <f>YEAR(Master_ventas[[#This Row],[Order Date]])</f>
        <v>2023</v>
      </c>
      <c r="M3068" t="str">
        <f>CONCATENATE(LEFT(Master_ventas[[#This Row],[ProdUpper]],3),RIGHT(Master_ventas[[#This Row],[Ext-Year]],2),"-",MID(Master_ventas[[#This Row],[Category]],1,1))</f>
        <v>SMA23-E</v>
      </c>
      <c r="N3068" t="str">
        <f>MID(Master_ventas[[#This Row],[ProdUpper]],1,3)</f>
        <v>SMA</v>
      </c>
      <c r="O3068" t="str">
        <f>UPPER(IF(Master_ventas[[#This Row],[Profit]]&gt;500,"High","Std"))</f>
        <v>STD</v>
      </c>
      <c r="P3068">
        <v>3067</v>
      </c>
    </row>
    <row r="3069" spans="1:16" x14ac:dyDescent="0.3">
      <c r="A3069" s="1">
        <v>44989</v>
      </c>
      <c r="B3069" t="s">
        <v>7</v>
      </c>
      <c r="C3069" t="s">
        <v>8</v>
      </c>
      <c r="D3069" t="s">
        <v>16</v>
      </c>
      <c r="E3069">
        <v>4</v>
      </c>
      <c r="F3069" s="3">
        <v>1100</v>
      </c>
      <c r="G3069" s="2">
        <v>100.02</v>
      </c>
      <c r="H3069">
        <f>Master_ventas[[#This Row],[Profit]]/Master_ventas[[#This Row],[Sales]]</f>
        <v>9.0927272727272718E-2</v>
      </c>
      <c r="I3069">
        <f ca="1">Referencia_Hoy-Master_ventas[[#This Row],[Order Date]]</f>
        <v>1334</v>
      </c>
      <c r="J3069" t="str">
        <f>UPPER(Master_ventas[[#This Row],[Product Name]])</f>
        <v>PRINTER</v>
      </c>
      <c r="K3069" t="str">
        <f>UPPER(Master_ventas[[#This Row],[Category]])</f>
        <v>OFFICE</v>
      </c>
      <c r="L3069">
        <f>YEAR(Master_ventas[[#This Row],[Order Date]])</f>
        <v>2023</v>
      </c>
      <c r="M3069" t="str">
        <f>CONCATENATE(LEFT(Master_ventas[[#This Row],[ProdUpper]],3),RIGHT(Master_ventas[[#This Row],[Ext-Year]],2),"-",MID(Master_ventas[[#This Row],[Category]],1,1))</f>
        <v>PRI23-O</v>
      </c>
      <c r="N3069" t="str">
        <f>MID(Master_ventas[[#This Row],[ProdUpper]],1,3)</f>
        <v>PRI</v>
      </c>
      <c r="O3069" t="str">
        <f>UPPER(IF(Master_ventas[[#This Row],[Profit]]&gt;500,"High","Std"))</f>
        <v>STD</v>
      </c>
      <c r="P3069">
        <v>3068</v>
      </c>
    </row>
    <row r="3070" spans="1:16" x14ac:dyDescent="0.3">
      <c r="A3070" s="1">
        <v>44628</v>
      </c>
      <c r="B3070" t="s">
        <v>22</v>
      </c>
      <c r="C3070" t="s">
        <v>11</v>
      </c>
      <c r="D3070" t="s">
        <v>15</v>
      </c>
      <c r="E3070">
        <v>4</v>
      </c>
      <c r="F3070" s="3">
        <v>2188</v>
      </c>
      <c r="G3070" s="2">
        <v>265.54000000000002</v>
      </c>
      <c r="H3070">
        <f>Master_ventas[[#This Row],[Profit]]/Master_ventas[[#This Row],[Sales]]</f>
        <v>0.1213619744058501</v>
      </c>
      <c r="I3070">
        <f ca="1">Referencia_Hoy-Master_ventas[[#This Row],[Order Date]]</f>
        <v>1695</v>
      </c>
      <c r="J3070" t="str">
        <f>UPPER(Master_ventas[[#This Row],[Product Name]])</f>
        <v>KEYBOARD</v>
      </c>
      <c r="K3070" t="str">
        <f>UPPER(Master_ventas[[#This Row],[Category]])</f>
        <v>ACCESSORIES</v>
      </c>
      <c r="L3070">
        <f>YEAR(Master_ventas[[#This Row],[Order Date]])</f>
        <v>2022</v>
      </c>
      <c r="M3070" t="str">
        <f>CONCATENATE(LEFT(Master_ventas[[#This Row],[ProdUpper]],3),RIGHT(Master_ventas[[#This Row],[Ext-Year]],2),"-",MID(Master_ventas[[#This Row],[Category]],1,1))</f>
        <v>KEY22-A</v>
      </c>
      <c r="N3070" t="str">
        <f>MID(Master_ventas[[#This Row],[ProdUpper]],1,3)</f>
        <v>KEY</v>
      </c>
      <c r="O3070" t="str">
        <f>UPPER(IF(Master_ventas[[#This Row],[Profit]]&gt;500,"High","Std"))</f>
        <v>STD</v>
      </c>
      <c r="P3070">
        <v>3069</v>
      </c>
    </row>
    <row r="3071" spans="1:16" x14ac:dyDescent="0.3">
      <c r="A3071" s="1">
        <v>45282</v>
      </c>
      <c r="B3071" t="s">
        <v>7</v>
      </c>
      <c r="C3071" t="s">
        <v>8</v>
      </c>
      <c r="D3071" t="s">
        <v>16</v>
      </c>
      <c r="E3071">
        <v>9</v>
      </c>
      <c r="F3071" s="3">
        <v>2934</v>
      </c>
      <c r="G3071" s="2">
        <v>473.34</v>
      </c>
      <c r="H3071">
        <f>Master_ventas[[#This Row],[Profit]]/Master_ventas[[#This Row],[Sales]]</f>
        <v>0.16132924335378324</v>
      </c>
      <c r="I3071">
        <f ca="1">Referencia_Hoy-Master_ventas[[#This Row],[Order Date]]</f>
        <v>1041</v>
      </c>
      <c r="J3071" t="str">
        <f>UPPER(Master_ventas[[#This Row],[Product Name]])</f>
        <v>PRINTER</v>
      </c>
      <c r="K3071" t="str">
        <f>UPPER(Master_ventas[[#This Row],[Category]])</f>
        <v>OFFICE</v>
      </c>
      <c r="L3071">
        <f>YEAR(Master_ventas[[#This Row],[Order Date]])</f>
        <v>2023</v>
      </c>
      <c r="M3071" t="str">
        <f>CONCATENATE(LEFT(Master_ventas[[#This Row],[ProdUpper]],3),RIGHT(Master_ventas[[#This Row],[Ext-Year]],2),"-",MID(Master_ventas[[#This Row],[Category]],1,1))</f>
        <v>PRI23-O</v>
      </c>
      <c r="N3071" t="str">
        <f>MID(Master_ventas[[#This Row],[ProdUpper]],1,3)</f>
        <v>PRI</v>
      </c>
      <c r="O3071" t="str">
        <f>UPPER(IF(Master_ventas[[#This Row],[Profit]]&gt;500,"High","Std"))</f>
        <v>STD</v>
      </c>
      <c r="P3071">
        <v>3070</v>
      </c>
    </row>
    <row r="3072" spans="1:16" x14ac:dyDescent="0.3">
      <c r="A3072" s="1">
        <v>44869</v>
      </c>
      <c r="B3072" t="s">
        <v>18</v>
      </c>
      <c r="C3072" t="s">
        <v>11</v>
      </c>
      <c r="D3072" t="s">
        <v>15</v>
      </c>
      <c r="E3072">
        <v>8</v>
      </c>
      <c r="F3072" s="3">
        <v>9224</v>
      </c>
      <c r="G3072" s="2">
        <v>514.05999999999995</v>
      </c>
      <c r="H3072">
        <f>Master_ventas[[#This Row],[Profit]]/Master_ventas[[#This Row],[Sales]]</f>
        <v>5.5730702515177789E-2</v>
      </c>
      <c r="I3072">
        <f ca="1">Referencia_Hoy-Master_ventas[[#This Row],[Order Date]]</f>
        <v>1454</v>
      </c>
      <c r="J3072" t="str">
        <f>UPPER(Master_ventas[[#This Row],[Product Name]])</f>
        <v>HEADPHONES</v>
      </c>
      <c r="K3072" t="str">
        <f>UPPER(Master_ventas[[#This Row],[Category]])</f>
        <v>ACCESSORIES</v>
      </c>
      <c r="L3072">
        <f>YEAR(Master_ventas[[#This Row],[Order Date]])</f>
        <v>2022</v>
      </c>
      <c r="M3072" t="str">
        <f>CONCATENATE(LEFT(Master_ventas[[#This Row],[ProdUpper]],3),RIGHT(Master_ventas[[#This Row],[Ext-Year]],2),"-",MID(Master_ventas[[#This Row],[Category]],1,1))</f>
        <v>HEA22-A</v>
      </c>
      <c r="N3072" t="str">
        <f>MID(Master_ventas[[#This Row],[ProdUpper]],1,3)</f>
        <v>HEA</v>
      </c>
      <c r="O3072" t="str">
        <f>UPPER(IF(Master_ventas[[#This Row],[Profit]]&gt;500,"High","Std"))</f>
        <v>HIGH</v>
      </c>
      <c r="P3072">
        <v>3071</v>
      </c>
    </row>
    <row r="3073" spans="1:16" x14ac:dyDescent="0.3">
      <c r="A3073" s="1">
        <v>44910</v>
      </c>
      <c r="B3073" t="s">
        <v>20</v>
      </c>
      <c r="C3073" t="s">
        <v>11</v>
      </c>
      <c r="D3073" t="s">
        <v>12</v>
      </c>
      <c r="E3073">
        <v>4</v>
      </c>
      <c r="F3073" s="3">
        <v>2436</v>
      </c>
      <c r="G3073" s="2">
        <v>142.81</v>
      </c>
      <c r="H3073">
        <f>Master_ventas[[#This Row],[Profit]]/Master_ventas[[#This Row],[Sales]]</f>
        <v>5.8624794745484404E-2</v>
      </c>
      <c r="I3073">
        <f ca="1">Referencia_Hoy-Master_ventas[[#This Row],[Order Date]]</f>
        <v>1413</v>
      </c>
      <c r="J3073" t="str">
        <f>UPPER(Master_ventas[[#This Row],[Product Name]])</f>
        <v>MONITOR</v>
      </c>
      <c r="K3073" t="str">
        <f>UPPER(Master_ventas[[#This Row],[Category]])</f>
        <v>ACCESSORIES</v>
      </c>
      <c r="L3073">
        <f>YEAR(Master_ventas[[#This Row],[Order Date]])</f>
        <v>2022</v>
      </c>
      <c r="M3073" t="str">
        <f>CONCATENATE(LEFT(Master_ventas[[#This Row],[ProdUpper]],3),RIGHT(Master_ventas[[#This Row],[Ext-Year]],2),"-",MID(Master_ventas[[#This Row],[Category]],1,1))</f>
        <v>MON22-A</v>
      </c>
      <c r="N3073" t="str">
        <f>MID(Master_ventas[[#This Row],[ProdUpper]],1,3)</f>
        <v>MON</v>
      </c>
      <c r="O3073" t="str">
        <f>UPPER(IF(Master_ventas[[#This Row],[Profit]]&gt;500,"High","Std"))</f>
        <v>STD</v>
      </c>
      <c r="P3073">
        <v>3072</v>
      </c>
    </row>
    <row r="3074" spans="1:16" x14ac:dyDescent="0.3">
      <c r="A3074" s="1">
        <v>44827</v>
      </c>
      <c r="B3074" t="s">
        <v>19</v>
      </c>
      <c r="C3074" t="s">
        <v>14</v>
      </c>
      <c r="D3074" t="s">
        <v>16</v>
      </c>
      <c r="E3074">
        <v>4</v>
      </c>
      <c r="F3074" s="3">
        <v>972</v>
      </c>
      <c r="G3074" s="2">
        <v>97.55</v>
      </c>
      <c r="H3074">
        <f>Master_ventas[[#This Row],[Profit]]/Master_ventas[[#This Row],[Sales]]</f>
        <v>0.10036008230452674</v>
      </c>
      <c r="I3074">
        <f ca="1">Referencia_Hoy-Master_ventas[[#This Row],[Order Date]]</f>
        <v>1496</v>
      </c>
      <c r="J3074" t="str">
        <f>UPPER(Master_ventas[[#This Row],[Product Name]])</f>
        <v>SMARTWATCH</v>
      </c>
      <c r="K3074" t="str">
        <f>UPPER(Master_ventas[[#This Row],[Category]])</f>
        <v>ELECTRONICS</v>
      </c>
      <c r="L3074">
        <f>YEAR(Master_ventas[[#This Row],[Order Date]])</f>
        <v>2022</v>
      </c>
      <c r="M3074" t="str">
        <f>CONCATENATE(LEFT(Master_ventas[[#This Row],[ProdUpper]],3),RIGHT(Master_ventas[[#This Row],[Ext-Year]],2),"-",MID(Master_ventas[[#This Row],[Category]],1,1))</f>
        <v>SMA22-E</v>
      </c>
      <c r="N3074" t="str">
        <f>MID(Master_ventas[[#This Row],[ProdUpper]],1,3)</f>
        <v>SMA</v>
      </c>
      <c r="O3074" t="str">
        <f>UPPER(IF(Master_ventas[[#This Row],[Profit]]&gt;500,"High","Std"))</f>
        <v>STD</v>
      </c>
      <c r="P3074">
        <v>3073</v>
      </c>
    </row>
    <row r="3075" spans="1:16" x14ac:dyDescent="0.3">
      <c r="A3075" s="1">
        <v>45568</v>
      </c>
      <c r="B3075" t="s">
        <v>23</v>
      </c>
      <c r="C3075" t="s">
        <v>14</v>
      </c>
      <c r="D3075" t="s">
        <v>15</v>
      </c>
      <c r="E3075">
        <v>6</v>
      </c>
      <c r="F3075" s="3">
        <v>5484</v>
      </c>
      <c r="G3075" s="2">
        <v>540.4</v>
      </c>
      <c r="H3075">
        <f>Master_ventas[[#This Row],[Profit]]/Master_ventas[[#This Row],[Sales]]</f>
        <v>9.8541210795040107E-2</v>
      </c>
      <c r="I3075">
        <f ca="1">Referencia_Hoy-Master_ventas[[#This Row],[Order Date]]</f>
        <v>755</v>
      </c>
      <c r="J3075" t="str">
        <f>UPPER(Master_ventas[[#This Row],[Product Name]])</f>
        <v>LAPTOP</v>
      </c>
      <c r="K3075" t="str">
        <f>UPPER(Master_ventas[[#This Row],[Category]])</f>
        <v>ELECTRONICS</v>
      </c>
      <c r="L3075">
        <f>YEAR(Master_ventas[[#This Row],[Order Date]])</f>
        <v>2024</v>
      </c>
      <c r="M3075" t="str">
        <f>CONCATENATE(LEFT(Master_ventas[[#This Row],[ProdUpper]],3),RIGHT(Master_ventas[[#This Row],[Ext-Year]],2),"-",MID(Master_ventas[[#This Row],[Category]],1,1))</f>
        <v>LAP24-E</v>
      </c>
      <c r="N3075" t="str">
        <f>MID(Master_ventas[[#This Row],[ProdUpper]],1,3)</f>
        <v>LAP</v>
      </c>
      <c r="O3075" t="str">
        <f>UPPER(IF(Master_ventas[[#This Row],[Profit]]&gt;500,"High","Std"))</f>
        <v>HIGH</v>
      </c>
      <c r="P3075">
        <v>3074</v>
      </c>
    </row>
    <row r="3076" spans="1:16" x14ac:dyDescent="0.3">
      <c r="A3076" s="1">
        <v>45582</v>
      </c>
      <c r="B3076" t="s">
        <v>17</v>
      </c>
      <c r="C3076" t="s">
        <v>14</v>
      </c>
      <c r="D3076" t="s">
        <v>16</v>
      </c>
      <c r="E3076">
        <v>8</v>
      </c>
      <c r="F3076" s="3">
        <v>3152</v>
      </c>
      <c r="G3076" s="2">
        <v>337.36</v>
      </c>
      <c r="H3076">
        <f>Master_ventas[[#This Row],[Profit]]/Master_ventas[[#This Row],[Sales]]</f>
        <v>0.10703045685279189</v>
      </c>
      <c r="I3076">
        <f ca="1">Referencia_Hoy-Master_ventas[[#This Row],[Order Date]]</f>
        <v>741</v>
      </c>
      <c r="J3076" t="str">
        <f>UPPER(Master_ventas[[#This Row],[Product Name]])</f>
        <v>CAMERA</v>
      </c>
      <c r="K3076" t="str">
        <f>UPPER(Master_ventas[[#This Row],[Category]])</f>
        <v>ELECTRONICS</v>
      </c>
      <c r="L3076">
        <f>YEAR(Master_ventas[[#This Row],[Order Date]])</f>
        <v>2024</v>
      </c>
      <c r="M3076" t="str">
        <f>CONCATENATE(LEFT(Master_ventas[[#This Row],[ProdUpper]],3),RIGHT(Master_ventas[[#This Row],[Ext-Year]],2),"-",MID(Master_ventas[[#This Row],[Category]],1,1))</f>
        <v>CAM24-E</v>
      </c>
      <c r="N3076" t="str">
        <f>MID(Master_ventas[[#This Row],[ProdUpper]],1,3)</f>
        <v>CAM</v>
      </c>
      <c r="O3076" t="str">
        <f>UPPER(IF(Master_ventas[[#This Row],[Profit]]&gt;500,"High","Std"))</f>
        <v>STD</v>
      </c>
      <c r="P3076">
        <v>3075</v>
      </c>
    </row>
    <row r="3077" spans="1:16" x14ac:dyDescent="0.3">
      <c r="A3077" s="1">
        <v>45373</v>
      </c>
      <c r="B3077" t="s">
        <v>22</v>
      </c>
      <c r="C3077" t="s">
        <v>11</v>
      </c>
      <c r="D3077" t="s">
        <v>12</v>
      </c>
      <c r="E3077">
        <v>8</v>
      </c>
      <c r="F3077" s="3">
        <v>6032</v>
      </c>
      <c r="G3077" s="2">
        <v>870.17</v>
      </c>
      <c r="H3077">
        <f>Master_ventas[[#This Row],[Profit]]/Master_ventas[[#This Row],[Sales]]</f>
        <v>0.14425895225464191</v>
      </c>
      <c r="I3077">
        <f ca="1">Referencia_Hoy-Master_ventas[[#This Row],[Order Date]]</f>
        <v>950</v>
      </c>
      <c r="J3077" t="str">
        <f>UPPER(Master_ventas[[#This Row],[Product Name]])</f>
        <v>KEYBOARD</v>
      </c>
      <c r="K3077" t="str">
        <f>UPPER(Master_ventas[[#This Row],[Category]])</f>
        <v>ACCESSORIES</v>
      </c>
      <c r="L3077">
        <f>YEAR(Master_ventas[[#This Row],[Order Date]])</f>
        <v>2024</v>
      </c>
      <c r="M3077" t="str">
        <f>CONCATENATE(LEFT(Master_ventas[[#This Row],[ProdUpper]],3),RIGHT(Master_ventas[[#This Row],[Ext-Year]],2),"-",MID(Master_ventas[[#This Row],[Category]],1,1))</f>
        <v>KEY24-A</v>
      </c>
      <c r="N3077" t="str">
        <f>MID(Master_ventas[[#This Row],[ProdUpper]],1,3)</f>
        <v>KEY</v>
      </c>
      <c r="O3077" t="str">
        <f>UPPER(IF(Master_ventas[[#This Row],[Profit]]&gt;500,"High","Std"))</f>
        <v>HIGH</v>
      </c>
      <c r="P3077">
        <v>3076</v>
      </c>
    </row>
    <row r="3078" spans="1:16" x14ac:dyDescent="0.3">
      <c r="A3078" s="1">
        <v>45026</v>
      </c>
      <c r="B3078" t="s">
        <v>17</v>
      </c>
      <c r="C3078" t="s">
        <v>14</v>
      </c>
      <c r="D3078" t="s">
        <v>16</v>
      </c>
      <c r="E3078">
        <v>7</v>
      </c>
      <c r="F3078" s="3">
        <v>6384</v>
      </c>
      <c r="G3078" s="2">
        <v>1324.49</v>
      </c>
      <c r="H3078">
        <f>Master_ventas[[#This Row],[Profit]]/Master_ventas[[#This Row],[Sales]]</f>
        <v>0.2074702380952381</v>
      </c>
      <c r="I3078">
        <f ca="1">Referencia_Hoy-Master_ventas[[#This Row],[Order Date]]</f>
        <v>1297</v>
      </c>
      <c r="J3078" t="str">
        <f>UPPER(Master_ventas[[#This Row],[Product Name]])</f>
        <v>CAMERA</v>
      </c>
      <c r="K3078" t="str">
        <f>UPPER(Master_ventas[[#This Row],[Category]])</f>
        <v>ELECTRONICS</v>
      </c>
      <c r="L3078">
        <f>YEAR(Master_ventas[[#This Row],[Order Date]])</f>
        <v>2023</v>
      </c>
      <c r="M3078" t="str">
        <f>CONCATENATE(LEFT(Master_ventas[[#This Row],[ProdUpper]],3),RIGHT(Master_ventas[[#This Row],[Ext-Year]],2),"-",MID(Master_ventas[[#This Row],[Category]],1,1))</f>
        <v>CAM23-E</v>
      </c>
      <c r="N3078" t="str">
        <f>MID(Master_ventas[[#This Row],[ProdUpper]],1,3)</f>
        <v>CAM</v>
      </c>
      <c r="O3078" t="str">
        <f>UPPER(IF(Master_ventas[[#This Row],[Profit]]&gt;500,"High","Std"))</f>
        <v>HIGH</v>
      </c>
      <c r="P3078">
        <v>3077</v>
      </c>
    </row>
    <row r="3079" spans="1:16" x14ac:dyDescent="0.3">
      <c r="A3079" s="1">
        <v>45117</v>
      </c>
      <c r="B3079" t="s">
        <v>7</v>
      </c>
      <c r="C3079" t="s">
        <v>8</v>
      </c>
      <c r="D3079" t="s">
        <v>12</v>
      </c>
      <c r="E3079">
        <v>5</v>
      </c>
      <c r="F3079" s="3">
        <v>3705</v>
      </c>
      <c r="G3079" s="2">
        <v>707.08</v>
      </c>
      <c r="H3079">
        <f>Master_ventas[[#This Row],[Profit]]/Master_ventas[[#This Row],[Sales]]</f>
        <v>0.19084480431848855</v>
      </c>
      <c r="I3079">
        <f ca="1">Referencia_Hoy-Master_ventas[[#This Row],[Order Date]]</f>
        <v>1206</v>
      </c>
      <c r="J3079" t="str">
        <f>UPPER(Master_ventas[[#This Row],[Product Name]])</f>
        <v>PRINTER</v>
      </c>
      <c r="K3079" t="str">
        <f>UPPER(Master_ventas[[#This Row],[Category]])</f>
        <v>OFFICE</v>
      </c>
      <c r="L3079">
        <f>YEAR(Master_ventas[[#This Row],[Order Date]])</f>
        <v>2023</v>
      </c>
      <c r="M3079" t="str">
        <f>CONCATENATE(LEFT(Master_ventas[[#This Row],[ProdUpper]],3),RIGHT(Master_ventas[[#This Row],[Ext-Year]],2),"-",MID(Master_ventas[[#This Row],[Category]],1,1))</f>
        <v>PRI23-O</v>
      </c>
      <c r="N3079" t="str">
        <f>MID(Master_ventas[[#This Row],[ProdUpper]],1,3)</f>
        <v>PRI</v>
      </c>
      <c r="O3079" t="str">
        <f>UPPER(IF(Master_ventas[[#This Row],[Profit]]&gt;500,"High","Std"))</f>
        <v>HIGH</v>
      </c>
      <c r="P3079">
        <v>3078</v>
      </c>
    </row>
    <row r="3080" spans="1:16" x14ac:dyDescent="0.3">
      <c r="A3080" s="1">
        <v>44869</v>
      </c>
      <c r="B3080" t="s">
        <v>19</v>
      </c>
      <c r="C3080" t="s">
        <v>14</v>
      </c>
      <c r="D3080" t="s">
        <v>15</v>
      </c>
      <c r="E3080">
        <v>6</v>
      </c>
      <c r="F3080" s="3">
        <v>5580</v>
      </c>
      <c r="G3080" s="2">
        <v>394.03</v>
      </c>
      <c r="H3080">
        <f>Master_ventas[[#This Row],[Profit]]/Master_ventas[[#This Row],[Sales]]</f>
        <v>7.0614695340501785E-2</v>
      </c>
      <c r="I3080">
        <f ca="1">Referencia_Hoy-Master_ventas[[#This Row],[Order Date]]</f>
        <v>1454</v>
      </c>
      <c r="J3080" t="str">
        <f>UPPER(Master_ventas[[#This Row],[Product Name]])</f>
        <v>SMARTWATCH</v>
      </c>
      <c r="K3080" t="str">
        <f>UPPER(Master_ventas[[#This Row],[Category]])</f>
        <v>ELECTRONICS</v>
      </c>
      <c r="L3080">
        <f>YEAR(Master_ventas[[#This Row],[Order Date]])</f>
        <v>2022</v>
      </c>
      <c r="M3080" t="str">
        <f>CONCATENATE(LEFT(Master_ventas[[#This Row],[ProdUpper]],3),RIGHT(Master_ventas[[#This Row],[Ext-Year]],2),"-",MID(Master_ventas[[#This Row],[Category]],1,1))</f>
        <v>SMA22-E</v>
      </c>
      <c r="N3080" t="str">
        <f>MID(Master_ventas[[#This Row],[ProdUpper]],1,3)</f>
        <v>SMA</v>
      </c>
      <c r="O3080" t="str">
        <f>UPPER(IF(Master_ventas[[#This Row],[Profit]]&gt;500,"High","Std"))</f>
        <v>STD</v>
      </c>
      <c r="P3080">
        <v>3079</v>
      </c>
    </row>
    <row r="3081" spans="1:16" x14ac:dyDescent="0.3">
      <c r="A3081" s="1">
        <v>44667</v>
      </c>
      <c r="B3081" t="s">
        <v>17</v>
      </c>
      <c r="C3081" t="s">
        <v>14</v>
      </c>
      <c r="D3081" t="s">
        <v>12</v>
      </c>
      <c r="E3081">
        <v>2</v>
      </c>
      <c r="F3081" s="3">
        <v>1236</v>
      </c>
      <c r="G3081" s="2">
        <v>120.74</v>
      </c>
      <c r="H3081">
        <f>Master_ventas[[#This Row],[Profit]]/Master_ventas[[#This Row],[Sales]]</f>
        <v>9.7686084142394825E-2</v>
      </c>
      <c r="I3081">
        <f ca="1">Referencia_Hoy-Master_ventas[[#This Row],[Order Date]]</f>
        <v>1656</v>
      </c>
      <c r="J3081" t="str">
        <f>UPPER(Master_ventas[[#This Row],[Product Name]])</f>
        <v>CAMERA</v>
      </c>
      <c r="K3081" t="str">
        <f>UPPER(Master_ventas[[#This Row],[Category]])</f>
        <v>ELECTRONICS</v>
      </c>
      <c r="L3081">
        <f>YEAR(Master_ventas[[#This Row],[Order Date]])</f>
        <v>2022</v>
      </c>
      <c r="M3081" t="str">
        <f>CONCATENATE(LEFT(Master_ventas[[#This Row],[ProdUpper]],3),RIGHT(Master_ventas[[#This Row],[Ext-Year]],2),"-",MID(Master_ventas[[#This Row],[Category]],1,1))</f>
        <v>CAM22-E</v>
      </c>
      <c r="N3081" t="str">
        <f>MID(Master_ventas[[#This Row],[ProdUpper]],1,3)</f>
        <v>CAM</v>
      </c>
      <c r="O3081" t="str">
        <f>UPPER(IF(Master_ventas[[#This Row],[Profit]]&gt;500,"High","Std"))</f>
        <v>STD</v>
      </c>
      <c r="P3081">
        <v>3080</v>
      </c>
    </row>
    <row r="3082" spans="1:16" x14ac:dyDescent="0.3">
      <c r="A3082" s="1">
        <v>45018</v>
      </c>
      <c r="B3082" t="s">
        <v>17</v>
      </c>
      <c r="C3082" t="s">
        <v>14</v>
      </c>
      <c r="D3082" t="s">
        <v>9</v>
      </c>
      <c r="E3082">
        <v>8</v>
      </c>
      <c r="F3082" s="3">
        <v>7040</v>
      </c>
      <c r="G3082" s="2">
        <v>1969.93</v>
      </c>
      <c r="H3082">
        <f>Master_ventas[[#This Row],[Profit]]/Master_ventas[[#This Row],[Sales]]</f>
        <v>0.27981960227272729</v>
      </c>
      <c r="I3082">
        <f ca="1">Referencia_Hoy-Master_ventas[[#This Row],[Order Date]]</f>
        <v>1305</v>
      </c>
      <c r="J3082" t="str">
        <f>UPPER(Master_ventas[[#This Row],[Product Name]])</f>
        <v>CAMERA</v>
      </c>
      <c r="K3082" t="str">
        <f>UPPER(Master_ventas[[#This Row],[Category]])</f>
        <v>ELECTRONICS</v>
      </c>
      <c r="L3082">
        <f>YEAR(Master_ventas[[#This Row],[Order Date]])</f>
        <v>2023</v>
      </c>
      <c r="M3082" t="str">
        <f>CONCATENATE(LEFT(Master_ventas[[#This Row],[ProdUpper]],3),RIGHT(Master_ventas[[#This Row],[Ext-Year]],2),"-",MID(Master_ventas[[#This Row],[Category]],1,1))</f>
        <v>CAM23-E</v>
      </c>
      <c r="N3082" t="str">
        <f>MID(Master_ventas[[#This Row],[ProdUpper]],1,3)</f>
        <v>CAM</v>
      </c>
      <c r="O3082" t="str">
        <f>UPPER(IF(Master_ventas[[#This Row],[Profit]]&gt;500,"High","Std"))</f>
        <v>HIGH</v>
      </c>
      <c r="P3082">
        <v>3081</v>
      </c>
    </row>
    <row r="3083" spans="1:16" x14ac:dyDescent="0.3">
      <c r="A3083" s="1">
        <v>45454</v>
      </c>
      <c r="B3083" t="s">
        <v>17</v>
      </c>
      <c r="C3083" t="s">
        <v>14</v>
      </c>
      <c r="D3083" t="s">
        <v>12</v>
      </c>
      <c r="E3083">
        <v>9</v>
      </c>
      <c r="F3083" s="3">
        <v>909</v>
      </c>
      <c r="G3083" s="2">
        <v>138.04</v>
      </c>
      <c r="H3083">
        <f>Master_ventas[[#This Row],[Profit]]/Master_ventas[[#This Row],[Sales]]</f>
        <v>0.15185918591859185</v>
      </c>
      <c r="I3083">
        <f ca="1">Referencia_Hoy-Master_ventas[[#This Row],[Order Date]]</f>
        <v>869</v>
      </c>
      <c r="J3083" t="str">
        <f>UPPER(Master_ventas[[#This Row],[Product Name]])</f>
        <v>CAMERA</v>
      </c>
      <c r="K3083" t="str">
        <f>UPPER(Master_ventas[[#This Row],[Category]])</f>
        <v>ELECTRONICS</v>
      </c>
      <c r="L3083">
        <f>YEAR(Master_ventas[[#This Row],[Order Date]])</f>
        <v>2024</v>
      </c>
      <c r="M3083" t="str">
        <f>CONCATENATE(LEFT(Master_ventas[[#This Row],[ProdUpper]],3),RIGHT(Master_ventas[[#This Row],[Ext-Year]],2),"-",MID(Master_ventas[[#This Row],[Category]],1,1))</f>
        <v>CAM24-E</v>
      </c>
      <c r="N3083" t="str">
        <f>MID(Master_ventas[[#This Row],[ProdUpper]],1,3)</f>
        <v>CAM</v>
      </c>
      <c r="O3083" t="str">
        <f>UPPER(IF(Master_ventas[[#This Row],[Profit]]&gt;500,"High","Std"))</f>
        <v>STD</v>
      </c>
      <c r="P3083">
        <v>3082</v>
      </c>
    </row>
    <row r="3084" spans="1:16" x14ac:dyDescent="0.3">
      <c r="A3084" s="1">
        <v>45652</v>
      </c>
      <c r="B3084" t="s">
        <v>10</v>
      </c>
      <c r="C3084" t="s">
        <v>11</v>
      </c>
      <c r="D3084" t="s">
        <v>15</v>
      </c>
      <c r="E3084">
        <v>1</v>
      </c>
      <c r="F3084" s="3">
        <v>106</v>
      </c>
      <c r="G3084" s="2">
        <v>7.24</v>
      </c>
      <c r="H3084">
        <f>Master_ventas[[#This Row],[Profit]]/Master_ventas[[#This Row],[Sales]]</f>
        <v>6.8301886792452832E-2</v>
      </c>
      <c r="I3084">
        <f ca="1">Referencia_Hoy-Master_ventas[[#This Row],[Order Date]]</f>
        <v>671</v>
      </c>
      <c r="J3084" t="str">
        <f>UPPER(Master_ventas[[#This Row],[Product Name]])</f>
        <v>MOUSE</v>
      </c>
      <c r="K3084" t="str">
        <f>UPPER(Master_ventas[[#This Row],[Category]])</f>
        <v>ACCESSORIES</v>
      </c>
      <c r="L3084">
        <f>YEAR(Master_ventas[[#This Row],[Order Date]])</f>
        <v>2024</v>
      </c>
      <c r="M3084" t="str">
        <f>CONCATENATE(LEFT(Master_ventas[[#This Row],[ProdUpper]],3),RIGHT(Master_ventas[[#This Row],[Ext-Year]],2),"-",MID(Master_ventas[[#This Row],[Category]],1,1))</f>
        <v>MOU24-A</v>
      </c>
      <c r="N3084" t="str">
        <f>MID(Master_ventas[[#This Row],[ProdUpper]],1,3)</f>
        <v>MOU</v>
      </c>
      <c r="O3084" t="str">
        <f>UPPER(IF(Master_ventas[[#This Row],[Profit]]&gt;500,"High","Std"))</f>
        <v>STD</v>
      </c>
      <c r="P3084">
        <v>3083</v>
      </c>
    </row>
    <row r="3085" spans="1:16" x14ac:dyDescent="0.3">
      <c r="A3085" s="1">
        <v>45608</v>
      </c>
      <c r="B3085" t="s">
        <v>19</v>
      </c>
      <c r="C3085" t="s">
        <v>14</v>
      </c>
      <c r="D3085" t="s">
        <v>15</v>
      </c>
      <c r="E3085">
        <v>1</v>
      </c>
      <c r="F3085" s="3">
        <v>281</v>
      </c>
      <c r="G3085" s="2">
        <v>67.849999999999994</v>
      </c>
      <c r="H3085">
        <f>Master_ventas[[#This Row],[Profit]]/Master_ventas[[#This Row],[Sales]]</f>
        <v>0.24145907473309605</v>
      </c>
      <c r="I3085">
        <f ca="1">Referencia_Hoy-Master_ventas[[#This Row],[Order Date]]</f>
        <v>715</v>
      </c>
      <c r="J3085" t="str">
        <f>UPPER(Master_ventas[[#This Row],[Product Name]])</f>
        <v>SMARTWATCH</v>
      </c>
      <c r="K3085" t="str">
        <f>UPPER(Master_ventas[[#This Row],[Category]])</f>
        <v>ELECTRONICS</v>
      </c>
      <c r="L3085">
        <f>YEAR(Master_ventas[[#This Row],[Order Date]])</f>
        <v>2024</v>
      </c>
      <c r="M3085" t="str">
        <f>CONCATENATE(LEFT(Master_ventas[[#This Row],[ProdUpper]],3),RIGHT(Master_ventas[[#This Row],[Ext-Year]],2),"-",MID(Master_ventas[[#This Row],[Category]],1,1))</f>
        <v>SMA24-E</v>
      </c>
      <c r="N3085" t="str">
        <f>MID(Master_ventas[[#This Row],[ProdUpper]],1,3)</f>
        <v>SMA</v>
      </c>
      <c r="O3085" t="str">
        <f>UPPER(IF(Master_ventas[[#This Row],[Profit]]&gt;500,"High","Std"))</f>
        <v>STD</v>
      </c>
      <c r="P3085">
        <v>3084</v>
      </c>
    </row>
    <row r="3086" spans="1:16" x14ac:dyDescent="0.3">
      <c r="A3086" s="1">
        <v>44829</v>
      </c>
      <c r="B3086" t="s">
        <v>17</v>
      </c>
      <c r="C3086" t="s">
        <v>14</v>
      </c>
      <c r="D3086" t="s">
        <v>12</v>
      </c>
      <c r="E3086">
        <v>6</v>
      </c>
      <c r="F3086" s="3">
        <v>6768</v>
      </c>
      <c r="G3086" s="2">
        <v>1851.01</v>
      </c>
      <c r="H3086">
        <f>Master_ventas[[#This Row],[Profit]]/Master_ventas[[#This Row],[Sales]]</f>
        <v>0.27349438534278958</v>
      </c>
      <c r="I3086">
        <f ca="1">Referencia_Hoy-Master_ventas[[#This Row],[Order Date]]</f>
        <v>1494</v>
      </c>
      <c r="J3086" t="str">
        <f>UPPER(Master_ventas[[#This Row],[Product Name]])</f>
        <v>CAMERA</v>
      </c>
      <c r="K3086" t="str">
        <f>UPPER(Master_ventas[[#This Row],[Category]])</f>
        <v>ELECTRONICS</v>
      </c>
      <c r="L3086">
        <f>YEAR(Master_ventas[[#This Row],[Order Date]])</f>
        <v>2022</v>
      </c>
      <c r="M3086" t="str">
        <f>CONCATENATE(LEFT(Master_ventas[[#This Row],[ProdUpper]],3),RIGHT(Master_ventas[[#This Row],[Ext-Year]],2),"-",MID(Master_ventas[[#This Row],[Category]],1,1))</f>
        <v>CAM22-E</v>
      </c>
      <c r="N3086" t="str">
        <f>MID(Master_ventas[[#This Row],[ProdUpper]],1,3)</f>
        <v>CAM</v>
      </c>
      <c r="O3086" t="str">
        <f>UPPER(IF(Master_ventas[[#This Row],[Profit]]&gt;500,"High","Std"))</f>
        <v>HIGH</v>
      </c>
      <c r="P3086">
        <v>3085</v>
      </c>
    </row>
    <row r="3087" spans="1:16" x14ac:dyDescent="0.3">
      <c r="A3087" s="1">
        <v>44992</v>
      </c>
      <c r="B3087" t="s">
        <v>23</v>
      </c>
      <c r="C3087" t="s">
        <v>14</v>
      </c>
      <c r="D3087" t="s">
        <v>16</v>
      </c>
      <c r="E3087">
        <v>6</v>
      </c>
      <c r="F3087" s="3">
        <v>4302</v>
      </c>
      <c r="G3087" s="2">
        <v>276.35000000000002</v>
      </c>
      <c r="H3087">
        <f>Master_ventas[[#This Row],[Profit]]/Master_ventas[[#This Row],[Sales]]</f>
        <v>6.4237563923756402E-2</v>
      </c>
      <c r="I3087">
        <f ca="1">Referencia_Hoy-Master_ventas[[#This Row],[Order Date]]</f>
        <v>1331</v>
      </c>
      <c r="J3087" t="str">
        <f>UPPER(Master_ventas[[#This Row],[Product Name]])</f>
        <v>LAPTOP</v>
      </c>
      <c r="K3087" t="str">
        <f>UPPER(Master_ventas[[#This Row],[Category]])</f>
        <v>ELECTRONICS</v>
      </c>
      <c r="L3087">
        <f>YEAR(Master_ventas[[#This Row],[Order Date]])</f>
        <v>2023</v>
      </c>
      <c r="M3087" t="str">
        <f>CONCATENATE(LEFT(Master_ventas[[#This Row],[ProdUpper]],3),RIGHT(Master_ventas[[#This Row],[Ext-Year]],2),"-",MID(Master_ventas[[#This Row],[Category]],1,1))</f>
        <v>LAP23-E</v>
      </c>
      <c r="N3087" t="str">
        <f>MID(Master_ventas[[#This Row],[ProdUpper]],1,3)</f>
        <v>LAP</v>
      </c>
      <c r="O3087" t="str">
        <f>UPPER(IF(Master_ventas[[#This Row],[Profit]]&gt;500,"High","Std"))</f>
        <v>STD</v>
      </c>
      <c r="P3087">
        <v>3086</v>
      </c>
    </row>
    <row r="3088" spans="1:16" x14ac:dyDescent="0.3">
      <c r="A3088" s="1">
        <v>44884</v>
      </c>
      <c r="B3088" t="s">
        <v>21</v>
      </c>
      <c r="C3088" t="s">
        <v>14</v>
      </c>
      <c r="D3088" t="s">
        <v>9</v>
      </c>
      <c r="E3088">
        <v>9</v>
      </c>
      <c r="F3088" s="3">
        <v>7146</v>
      </c>
      <c r="G3088" s="2">
        <v>2125.44</v>
      </c>
      <c r="H3088">
        <f>Master_ventas[[#This Row],[Profit]]/Master_ventas[[#This Row],[Sales]]</f>
        <v>0.29743073047858942</v>
      </c>
      <c r="I3088">
        <f ca="1">Referencia_Hoy-Master_ventas[[#This Row],[Order Date]]</f>
        <v>1439</v>
      </c>
      <c r="J3088" t="str">
        <f>UPPER(Master_ventas[[#This Row],[Product Name]])</f>
        <v>SMARTPHONE</v>
      </c>
      <c r="K3088" t="str">
        <f>UPPER(Master_ventas[[#This Row],[Category]])</f>
        <v>ELECTRONICS</v>
      </c>
      <c r="L3088">
        <f>YEAR(Master_ventas[[#This Row],[Order Date]])</f>
        <v>2022</v>
      </c>
      <c r="M3088" t="str">
        <f>CONCATENATE(LEFT(Master_ventas[[#This Row],[ProdUpper]],3),RIGHT(Master_ventas[[#This Row],[Ext-Year]],2),"-",MID(Master_ventas[[#This Row],[Category]],1,1))</f>
        <v>SMA22-E</v>
      </c>
      <c r="N3088" t="str">
        <f>MID(Master_ventas[[#This Row],[ProdUpper]],1,3)</f>
        <v>SMA</v>
      </c>
      <c r="O3088" t="str">
        <f>UPPER(IF(Master_ventas[[#This Row],[Profit]]&gt;500,"High","Std"))</f>
        <v>HIGH</v>
      </c>
      <c r="P3088">
        <v>3087</v>
      </c>
    </row>
    <row r="3089" spans="1:16" x14ac:dyDescent="0.3">
      <c r="A3089" s="1">
        <v>44973</v>
      </c>
      <c r="B3089" t="s">
        <v>21</v>
      </c>
      <c r="C3089" t="s">
        <v>14</v>
      </c>
      <c r="D3089" t="s">
        <v>15</v>
      </c>
      <c r="E3089">
        <v>3</v>
      </c>
      <c r="F3089" s="3">
        <v>582</v>
      </c>
      <c r="G3089" s="2">
        <v>48.08</v>
      </c>
      <c r="H3089">
        <f>Master_ventas[[#This Row],[Profit]]/Master_ventas[[#This Row],[Sales]]</f>
        <v>8.2611683848797246E-2</v>
      </c>
      <c r="I3089">
        <f ca="1">Referencia_Hoy-Master_ventas[[#This Row],[Order Date]]</f>
        <v>1350</v>
      </c>
      <c r="J3089" t="str">
        <f>UPPER(Master_ventas[[#This Row],[Product Name]])</f>
        <v>SMARTPHONE</v>
      </c>
      <c r="K3089" t="str">
        <f>UPPER(Master_ventas[[#This Row],[Category]])</f>
        <v>ELECTRONICS</v>
      </c>
      <c r="L3089">
        <f>YEAR(Master_ventas[[#This Row],[Order Date]])</f>
        <v>2023</v>
      </c>
      <c r="M3089" t="str">
        <f>CONCATENATE(LEFT(Master_ventas[[#This Row],[ProdUpper]],3),RIGHT(Master_ventas[[#This Row],[Ext-Year]],2),"-",MID(Master_ventas[[#This Row],[Category]],1,1))</f>
        <v>SMA23-E</v>
      </c>
      <c r="N3089" t="str">
        <f>MID(Master_ventas[[#This Row],[ProdUpper]],1,3)</f>
        <v>SMA</v>
      </c>
      <c r="O3089" t="str">
        <f>UPPER(IF(Master_ventas[[#This Row],[Profit]]&gt;500,"High","Std"))</f>
        <v>STD</v>
      </c>
      <c r="P3089">
        <v>3088</v>
      </c>
    </row>
    <row r="3090" spans="1:16" x14ac:dyDescent="0.3">
      <c r="A3090" s="1">
        <v>45505</v>
      </c>
      <c r="B3090" t="s">
        <v>18</v>
      </c>
      <c r="C3090" t="s">
        <v>11</v>
      </c>
      <c r="D3090" t="s">
        <v>9</v>
      </c>
      <c r="E3090">
        <v>6</v>
      </c>
      <c r="F3090" s="3">
        <v>576</v>
      </c>
      <c r="G3090" s="2">
        <v>162.75</v>
      </c>
      <c r="H3090">
        <f>Master_ventas[[#This Row],[Profit]]/Master_ventas[[#This Row],[Sales]]</f>
        <v>0.28255208333333331</v>
      </c>
      <c r="I3090">
        <f ca="1">Referencia_Hoy-Master_ventas[[#This Row],[Order Date]]</f>
        <v>818</v>
      </c>
      <c r="J3090" t="str">
        <f>UPPER(Master_ventas[[#This Row],[Product Name]])</f>
        <v>HEADPHONES</v>
      </c>
      <c r="K3090" t="str">
        <f>UPPER(Master_ventas[[#This Row],[Category]])</f>
        <v>ACCESSORIES</v>
      </c>
      <c r="L3090">
        <f>YEAR(Master_ventas[[#This Row],[Order Date]])</f>
        <v>2024</v>
      </c>
      <c r="M3090" t="str">
        <f>CONCATENATE(LEFT(Master_ventas[[#This Row],[ProdUpper]],3),RIGHT(Master_ventas[[#This Row],[Ext-Year]],2),"-",MID(Master_ventas[[#This Row],[Category]],1,1))</f>
        <v>HEA24-A</v>
      </c>
      <c r="N3090" t="str">
        <f>MID(Master_ventas[[#This Row],[ProdUpper]],1,3)</f>
        <v>HEA</v>
      </c>
      <c r="O3090" t="str">
        <f>UPPER(IF(Master_ventas[[#This Row],[Profit]]&gt;500,"High","Std"))</f>
        <v>STD</v>
      </c>
      <c r="P3090">
        <v>3089</v>
      </c>
    </row>
    <row r="3091" spans="1:16" x14ac:dyDescent="0.3">
      <c r="A3091" s="1">
        <v>45193</v>
      </c>
      <c r="B3091" t="s">
        <v>22</v>
      </c>
      <c r="C3091" t="s">
        <v>11</v>
      </c>
      <c r="D3091" t="s">
        <v>15</v>
      </c>
      <c r="E3091">
        <v>5</v>
      </c>
      <c r="F3091" s="3">
        <v>4265</v>
      </c>
      <c r="G3091" s="2">
        <v>796.12</v>
      </c>
      <c r="H3091">
        <f>Master_ventas[[#This Row],[Profit]]/Master_ventas[[#This Row],[Sales]]</f>
        <v>0.18666354044548653</v>
      </c>
      <c r="I3091">
        <f ca="1">Referencia_Hoy-Master_ventas[[#This Row],[Order Date]]</f>
        <v>1130</v>
      </c>
      <c r="J3091" t="str">
        <f>UPPER(Master_ventas[[#This Row],[Product Name]])</f>
        <v>KEYBOARD</v>
      </c>
      <c r="K3091" t="str">
        <f>UPPER(Master_ventas[[#This Row],[Category]])</f>
        <v>ACCESSORIES</v>
      </c>
      <c r="L3091">
        <f>YEAR(Master_ventas[[#This Row],[Order Date]])</f>
        <v>2023</v>
      </c>
      <c r="M3091" t="str">
        <f>CONCATENATE(LEFT(Master_ventas[[#This Row],[ProdUpper]],3),RIGHT(Master_ventas[[#This Row],[Ext-Year]],2),"-",MID(Master_ventas[[#This Row],[Category]],1,1))</f>
        <v>KEY23-A</v>
      </c>
      <c r="N3091" t="str">
        <f>MID(Master_ventas[[#This Row],[ProdUpper]],1,3)</f>
        <v>KEY</v>
      </c>
      <c r="O3091" t="str">
        <f>UPPER(IF(Master_ventas[[#This Row],[Profit]]&gt;500,"High","Std"))</f>
        <v>HIGH</v>
      </c>
      <c r="P3091">
        <v>3090</v>
      </c>
    </row>
    <row r="3092" spans="1:16" x14ac:dyDescent="0.3">
      <c r="A3092" s="1">
        <v>45101</v>
      </c>
      <c r="B3092" t="s">
        <v>19</v>
      </c>
      <c r="C3092" t="s">
        <v>14</v>
      </c>
      <c r="D3092" t="s">
        <v>12</v>
      </c>
      <c r="E3092">
        <v>8</v>
      </c>
      <c r="F3092" s="3">
        <v>5368</v>
      </c>
      <c r="G3092" s="2">
        <v>333.53</v>
      </c>
      <c r="H3092">
        <f>Master_ventas[[#This Row],[Profit]]/Master_ventas[[#This Row],[Sales]]</f>
        <v>6.2133010432190758E-2</v>
      </c>
      <c r="I3092">
        <f ca="1">Referencia_Hoy-Master_ventas[[#This Row],[Order Date]]</f>
        <v>1222</v>
      </c>
      <c r="J3092" t="str">
        <f>UPPER(Master_ventas[[#This Row],[Product Name]])</f>
        <v>SMARTWATCH</v>
      </c>
      <c r="K3092" t="str">
        <f>UPPER(Master_ventas[[#This Row],[Category]])</f>
        <v>ELECTRONICS</v>
      </c>
      <c r="L3092">
        <f>YEAR(Master_ventas[[#This Row],[Order Date]])</f>
        <v>2023</v>
      </c>
      <c r="M3092" t="str">
        <f>CONCATENATE(LEFT(Master_ventas[[#This Row],[ProdUpper]],3),RIGHT(Master_ventas[[#This Row],[Ext-Year]],2),"-",MID(Master_ventas[[#This Row],[Category]],1,1))</f>
        <v>SMA23-E</v>
      </c>
      <c r="N3092" t="str">
        <f>MID(Master_ventas[[#This Row],[ProdUpper]],1,3)</f>
        <v>SMA</v>
      </c>
      <c r="O3092" t="str">
        <f>UPPER(IF(Master_ventas[[#This Row],[Profit]]&gt;500,"High","Std"))</f>
        <v>STD</v>
      </c>
      <c r="P3092">
        <v>3091</v>
      </c>
    </row>
    <row r="3093" spans="1:16" x14ac:dyDescent="0.3">
      <c r="A3093" s="1">
        <v>45264</v>
      </c>
      <c r="B3093" t="s">
        <v>18</v>
      </c>
      <c r="C3093" t="s">
        <v>11</v>
      </c>
      <c r="D3093" t="s">
        <v>15</v>
      </c>
      <c r="E3093">
        <v>1</v>
      </c>
      <c r="F3093" s="3">
        <v>314</v>
      </c>
      <c r="G3093" s="2">
        <v>66.23</v>
      </c>
      <c r="H3093">
        <f>Master_ventas[[#This Row],[Profit]]/Master_ventas[[#This Row],[Sales]]</f>
        <v>0.21092356687898089</v>
      </c>
      <c r="I3093">
        <f ca="1">Referencia_Hoy-Master_ventas[[#This Row],[Order Date]]</f>
        <v>1059</v>
      </c>
      <c r="J3093" t="str">
        <f>UPPER(Master_ventas[[#This Row],[Product Name]])</f>
        <v>HEADPHONES</v>
      </c>
      <c r="K3093" t="str">
        <f>UPPER(Master_ventas[[#This Row],[Category]])</f>
        <v>ACCESSORIES</v>
      </c>
      <c r="L3093">
        <f>YEAR(Master_ventas[[#This Row],[Order Date]])</f>
        <v>2023</v>
      </c>
      <c r="M3093" t="str">
        <f>CONCATENATE(LEFT(Master_ventas[[#This Row],[ProdUpper]],3),RIGHT(Master_ventas[[#This Row],[Ext-Year]],2),"-",MID(Master_ventas[[#This Row],[Category]],1,1))</f>
        <v>HEA23-A</v>
      </c>
      <c r="N3093" t="str">
        <f>MID(Master_ventas[[#This Row],[ProdUpper]],1,3)</f>
        <v>HEA</v>
      </c>
      <c r="O3093" t="str">
        <f>UPPER(IF(Master_ventas[[#This Row],[Profit]]&gt;500,"High","Std"))</f>
        <v>STD</v>
      </c>
      <c r="P3093">
        <v>3092</v>
      </c>
    </row>
    <row r="3094" spans="1:16" x14ac:dyDescent="0.3">
      <c r="A3094" s="1">
        <v>45650</v>
      </c>
      <c r="B3094" t="s">
        <v>13</v>
      </c>
      <c r="C3094" t="s">
        <v>14</v>
      </c>
      <c r="D3094" t="s">
        <v>16</v>
      </c>
      <c r="E3094">
        <v>6</v>
      </c>
      <c r="F3094" s="3">
        <v>2676</v>
      </c>
      <c r="G3094" s="2">
        <v>646.70000000000005</v>
      </c>
      <c r="H3094">
        <f>Master_ventas[[#This Row],[Profit]]/Master_ventas[[#This Row],[Sales]]</f>
        <v>0.2416666666666667</v>
      </c>
      <c r="I3094">
        <f ca="1">Referencia_Hoy-Master_ventas[[#This Row],[Order Date]]</f>
        <v>673</v>
      </c>
      <c r="J3094" t="str">
        <f>UPPER(Master_ventas[[#This Row],[Product Name]])</f>
        <v>TABLET</v>
      </c>
      <c r="K3094" t="str">
        <f>UPPER(Master_ventas[[#This Row],[Category]])</f>
        <v>ELECTRONICS</v>
      </c>
      <c r="L3094">
        <f>YEAR(Master_ventas[[#This Row],[Order Date]])</f>
        <v>2024</v>
      </c>
      <c r="M3094" t="str">
        <f>CONCATENATE(LEFT(Master_ventas[[#This Row],[ProdUpper]],3),RIGHT(Master_ventas[[#This Row],[Ext-Year]],2),"-",MID(Master_ventas[[#This Row],[Category]],1,1))</f>
        <v>TAB24-E</v>
      </c>
      <c r="N3094" t="str">
        <f>MID(Master_ventas[[#This Row],[ProdUpper]],1,3)</f>
        <v>TAB</v>
      </c>
      <c r="O3094" t="str">
        <f>UPPER(IF(Master_ventas[[#This Row],[Profit]]&gt;500,"High","Std"))</f>
        <v>HIGH</v>
      </c>
      <c r="P3094">
        <v>3093</v>
      </c>
    </row>
    <row r="3095" spans="1:16" x14ac:dyDescent="0.3">
      <c r="A3095" s="1">
        <v>44605</v>
      </c>
      <c r="B3095" t="s">
        <v>23</v>
      </c>
      <c r="C3095" t="s">
        <v>14</v>
      </c>
      <c r="D3095" t="s">
        <v>9</v>
      </c>
      <c r="E3095">
        <v>4</v>
      </c>
      <c r="F3095" s="3">
        <v>3384</v>
      </c>
      <c r="G3095" s="2">
        <v>947.52</v>
      </c>
      <c r="H3095">
        <f>Master_ventas[[#This Row],[Profit]]/Master_ventas[[#This Row],[Sales]]</f>
        <v>0.27999999999999997</v>
      </c>
      <c r="I3095">
        <f ca="1">Referencia_Hoy-Master_ventas[[#This Row],[Order Date]]</f>
        <v>1718</v>
      </c>
      <c r="J3095" t="str">
        <f>UPPER(Master_ventas[[#This Row],[Product Name]])</f>
        <v>LAPTOP</v>
      </c>
      <c r="K3095" t="str">
        <f>UPPER(Master_ventas[[#This Row],[Category]])</f>
        <v>ELECTRONICS</v>
      </c>
      <c r="L3095">
        <f>YEAR(Master_ventas[[#This Row],[Order Date]])</f>
        <v>2022</v>
      </c>
      <c r="M3095" t="str">
        <f>CONCATENATE(LEFT(Master_ventas[[#This Row],[ProdUpper]],3),RIGHT(Master_ventas[[#This Row],[Ext-Year]],2),"-",MID(Master_ventas[[#This Row],[Category]],1,1))</f>
        <v>LAP22-E</v>
      </c>
      <c r="N3095" t="str">
        <f>MID(Master_ventas[[#This Row],[ProdUpper]],1,3)</f>
        <v>LAP</v>
      </c>
      <c r="O3095" t="str">
        <f>UPPER(IF(Master_ventas[[#This Row],[Profit]]&gt;500,"High","Std"))</f>
        <v>HIGH</v>
      </c>
      <c r="P3095">
        <v>3094</v>
      </c>
    </row>
    <row r="3096" spans="1:16" x14ac:dyDescent="0.3">
      <c r="A3096" s="1">
        <v>45127</v>
      </c>
      <c r="B3096" t="s">
        <v>10</v>
      </c>
      <c r="C3096" t="s">
        <v>11</v>
      </c>
      <c r="D3096" t="s">
        <v>16</v>
      </c>
      <c r="E3096">
        <v>6</v>
      </c>
      <c r="F3096" s="3">
        <v>3186</v>
      </c>
      <c r="G3096" s="2">
        <v>794.94</v>
      </c>
      <c r="H3096">
        <f>Master_ventas[[#This Row],[Profit]]/Master_ventas[[#This Row],[Sales]]</f>
        <v>0.24951035781544259</v>
      </c>
      <c r="I3096">
        <f ca="1">Referencia_Hoy-Master_ventas[[#This Row],[Order Date]]</f>
        <v>1196</v>
      </c>
      <c r="J3096" t="str">
        <f>UPPER(Master_ventas[[#This Row],[Product Name]])</f>
        <v>MOUSE</v>
      </c>
      <c r="K3096" t="str">
        <f>UPPER(Master_ventas[[#This Row],[Category]])</f>
        <v>ACCESSORIES</v>
      </c>
      <c r="L3096">
        <f>YEAR(Master_ventas[[#This Row],[Order Date]])</f>
        <v>2023</v>
      </c>
      <c r="M3096" t="str">
        <f>CONCATENATE(LEFT(Master_ventas[[#This Row],[ProdUpper]],3),RIGHT(Master_ventas[[#This Row],[Ext-Year]],2),"-",MID(Master_ventas[[#This Row],[Category]],1,1))</f>
        <v>MOU23-A</v>
      </c>
      <c r="N3096" t="str">
        <f>MID(Master_ventas[[#This Row],[ProdUpper]],1,3)</f>
        <v>MOU</v>
      </c>
      <c r="O3096" t="str">
        <f>UPPER(IF(Master_ventas[[#This Row],[Profit]]&gt;500,"High","Std"))</f>
        <v>HIGH</v>
      </c>
      <c r="P3096">
        <v>3095</v>
      </c>
    </row>
    <row r="3097" spans="1:16" x14ac:dyDescent="0.3">
      <c r="A3097" s="1">
        <v>45646</v>
      </c>
      <c r="B3097" t="s">
        <v>19</v>
      </c>
      <c r="C3097" t="s">
        <v>14</v>
      </c>
      <c r="D3097" t="s">
        <v>15</v>
      </c>
      <c r="E3097">
        <v>4</v>
      </c>
      <c r="F3097" s="3">
        <v>1832</v>
      </c>
      <c r="G3097" s="2">
        <v>528.69000000000005</v>
      </c>
      <c r="H3097">
        <f>Master_ventas[[#This Row],[Profit]]/Master_ventas[[#This Row],[Sales]]</f>
        <v>0.28858624454148474</v>
      </c>
      <c r="I3097">
        <f ca="1">Referencia_Hoy-Master_ventas[[#This Row],[Order Date]]</f>
        <v>677</v>
      </c>
      <c r="J3097" t="str">
        <f>UPPER(Master_ventas[[#This Row],[Product Name]])</f>
        <v>SMARTWATCH</v>
      </c>
      <c r="K3097" t="str">
        <f>UPPER(Master_ventas[[#This Row],[Category]])</f>
        <v>ELECTRONICS</v>
      </c>
      <c r="L3097">
        <f>YEAR(Master_ventas[[#This Row],[Order Date]])</f>
        <v>2024</v>
      </c>
      <c r="M3097" t="str">
        <f>CONCATENATE(LEFT(Master_ventas[[#This Row],[ProdUpper]],3),RIGHT(Master_ventas[[#This Row],[Ext-Year]],2),"-",MID(Master_ventas[[#This Row],[Category]],1,1))</f>
        <v>SMA24-E</v>
      </c>
      <c r="N3097" t="str">
        <f>MID(Master_ventas[[#This Row],[ProdUpper]],1,3)</f>
        <v>SMA</v>
      </c>
      <c r="O3097" t="str">
        <f>UPPER(IF(Master_ventas[[#This Row],[Profit]]&gt;500,"High","Std"))</f>
        <v>HIGH</v>
      </c>
      <c r="P3097">
        <v>3096</v>
      </c>
    </row>
    <row r="3098" spans="1:16" x14ac:dyDescent="0.3">
      <c r="A3098" s="1">
        <v>45598</v>
      </c>
      <c r="B3098" t="s">
        <v>7</v>
      </c>
      <c r="C3098" t="s">
        <v>8</v>
      </c>
      <c r="D3098" t="s">
        <v>15</v>
      </c>
      <c r="E3098">
        <v>8</v>
      </c>
      <c r="F3098" s="3">
        <v>4784</v>
      </c>
      <c r="G3098" s="2">
        <v>769.91</v>
      </c>
      <c r="H3098">
        <f>Master_ventas[[#This Row],[Profit]]/Master_ventas[[#This Row],[Sales]]</f>
        <v>0.16093436454849497</v>
      </c>
      <c r="I3098">
        <f ca="1">Referencia_Hoy-Master_ventas[[#This Row],[Order Date]]</f>
        <v>725</v>
      </c>
      <c r="J3098" t="str">
        <f>UPPER(Master_ventas[[#This Row],[Product Name]])</f>
        <v>PRINTER</v>
      </c>
      <c r="K3098" t="str">
        <f>UPPER(Master_ventas[[#This Row],[Category]])</f>
        <v>OFFICE</v>
      </c>
      <c r="L3098">
        <f>YEAR(Master_ventas[[#This Row],[Order Date]])</f>
        <v>2024</v>
      </c>
      <c r="M3098" t="str">
        <f>CONCATENATE(LEFT(Master_ventas[[#This Row],[ProdUpper]],3),RIGHT(Master_ventas[[#This Row],[Ext-Year]],2),"-",MID(Master_ventas[[#This Row],[Category]],1,1))</f>
        <v>PRI24-O</v>
      </c>
      <c r="N3098" t="str">
        <f>MID(Master_ventas[[#This Row],[ProdUpper]],1,3)</f>
        <v>PRI</v>
      </c>
      <c r="O3098" t="str">
        <f>UPPER(IF(Master_ventas[[#This Row],[Profit]]&gt;500,"High","Std"))</f>
        <v>HIGH</v>
      </c>
      <c r="P3098">
        <v>3097</v>
      </c>
    </row>
    <row r="3099" spans="1:16" x14ac:dyDescent="0.3">
      <c r="A3099" s="1">
        <v>45338</v>
      </c>
      <c r="B3099" t="s">
        <v>13</v>
      </c>
      <c r="C3099" t="s">
        <v>14</v>
      </c>
      <c r="D3099" t="s">
        <v>16</v>
      </c>
      <c r="E3099">
        <v>1</v>
      </c>
      <c r="F3099" s="3">
        <v>381</v>
      </c>
      <c r="G3099" s="2">
        <v>63.18</v>
      </c>
      <c r="H3099">
        <f>Master_ventas[[#This Row],[Profit]]/Master_ventas[[#This Row],[Sales]]</f>
        <v>0.16582677165354331</v>
      </c>
      <c r="I3099">
        <f ca="1">Referencia_Hoy-Master_ventas[[#This Row],[Order Date]]</f>
        <v>985</v>
      </c>
      <c r="J3099" t="str">
        <f>UPPER(Master_ventas[[#This Row],[Product Name]])</f>
        <v>TABLET</v>
      </c>
      <c r="K3099" t="str">
        <f>UPPER(Master_ventas[[#This Row],[Category]])</f>
        <v>ELECTRONICS</v>
      </c>
      <c r="L3099">
        <f>YEAR(Master_ventas[[#This Row],[Order Date]])</f>
        <v>2024</v>
      </c>
      <c r="M3099" t="str">
        <f>CONCATENATE(LEFT(Master_ventas[[#This Row],[ProdUpper]],3),RIGHT(Master_ventas[[#This Row],[Ext-Year]],2),"-",MID(Master_ventas[[#This Row],[Category]],1,1))</f>
        <v>TAB24-E</v>
      </c>
      <c r="N3099" t="str">
        <f>MID(Master_ventas[[#This Row],[ProdUpper]],1,3)</f>
        <v>TAB</v>
      </c>
      <c r="O3099" t="str">
        <f>UPPER(IF(Master_ventas[[#This Row],[Profit]]&gt;500,"High","Std"))</f>
        <v>STD</v>
      </c>
      <c r="P3099">
        <v>3098</v>
      </c>
    </row>
    <row r="3100" spans="1:16" x14ac:dyDescent="0.3">
      <c r="A3100" s="1">
        <v>44894</v>
      </c>
      <c r="B3100" t="s">
        <v>21</v>
      </c>
      <c r="C3100" t="s">
        <v>14</v>
      </c>
      <c r="D3100" t="s">
        <v>15</v>
      </c>
      <c r="E3100">
        <v>9</v>
      </c>
      <c r="F3100" s="3">
        <v>4527</v>
      </c>
      <c r="G3100" s="2">
        <v>677.34</v>
      </c>
      <c r="H3100">
        <f>Master_ventas[[#This Row],[Profit]]/Master_ventas[[#This Row],[Sales]]</f>
        <v>0.14962226640159046</v>
      </c>
      <c r="I3100">
        <f ca="1">Referencia_Hoy-Master_ventas[[#This Row],[Order Date]]</f>
        <v>1429</v>
      </c>
      <c r="J3100" t="str">
        <f>UPPER(Master_ventas[[#This Row],[Product Name]])</f>
        <v>SMARTPHONE</v>
      </c>
      <c r="K3100" t="str">
        <f>UPPER(Master_ventas[[#This Row],[Category]])</f>
        <v>ELECTRONICS</v>
      </c>
      <c r="L3100">
        <f>YEAR(Master_ventas[[#This Row],[Order Date]])</f>
        <v>2022</v>
      </c>
      <c r="M3100" t="str">
        <f>CONCATENATE(LEFT(Master_ventas[[#This Row],[ProdUpper]],3),RIGHT(Master_ventas[[#This Row],[Ext-Year]],2),"-",MID(Master_ventas[[#This Row],[Category]],1,1))</f>
        <v>SMA22-E</v>
      </c>
      <c r="N3100" t="str">
        <f>MID(Master_ventas[[#This Row],[ProdUpper]],1,3)</f>
        <v>SMA</v>
      </c>
      <c r="O3100" t="str">
        <f>UPPER(IF(Master_ventas[[#This Row],[Profit]]&gt;500,"High","Std"))</f>
        <v>HIGH</v>
      </c>
      <c r="P3100">
        <v>3099</v>
      </c>
    </row>
    <row r="3101" spans="1:16" x14ac:dyDescent="0.3">
      <c r="A3101" s="1">
        <v>44706</v>
      </c>
      <c r="B3101" t="s">
        <v>7</v>
      </c>
      <c r="C3101" t="s">
        <v>8</v>
      </c>
      <c r="D3101" t="s">
        <v>15</v>
      </c>
      <c r="E3101">
        <v>4</v>
      </c>
      <c r="F3101" s="3">
        <v>1612</v>
      </c>
      <c r="G3101" s="2">
        <v>240.42</v>
      </c>
      <c r="H3101">
        <f>Master_ventas[[#This Row],[Profit]]/Master_ventas[[#This Row],[Sales]]</f>
        <v>0.1491439205955335</v>
      </c>
      <c r="I3101">
        <f ca="1">Referencia_Hoy-Master_ventas[[#This Row],[Order Date]]</f>
        <v>1617</v>
      </c>
      <c r="J3101" t="str">
        <f>UPPER(Master_ventas[[#This Row],[Product Name]])</f>
        <v>PRINTER</v>
      </c>
      <c r="K3101" t="str">
        <f>UPPER(Master_ventas[[#This Row],[Category]])</f>
        <v>OFFICE</v>
      </c>
      <c r="L3101">
        <f>YEAR(Master_ventas[[#This Row],[Order Date]])</f>
        <v>2022</v>
      </c>
      <c r="M3101" t="str">
        <f>CONCATENATE(LEFT(Master_ventas[[#This Row],[ProdUpper]],3),RIGHT(Master_ventas[[#This Row],[Ext-Year]],2),"-",MID(Master_ventas[[#This Row],[Category]],1,1))</f>
        <v>PRI22-O</v>
      </c>
      <c r="N3101" t="str">
        <f>MID(Master_ventas[[#This Row],[ProdUpper]],1,3)</f>
        <v>PRI</v>
      </c>
      <c r="O3101" t="str">
        <f>UPPER(IF(Master_ventas[[#This Row],[Profit]]&gt;500,"High","Std"))</f>
        <v>STD</v>
      </c>
      <c r="P3101">
        <v>3100</v>
      </c>
    </row>
    <row r="3102" spans="1:16" x14ac:dyDescent="0.3">
      <c r="A3102" s="1">
        <v>45203</v>
      </c>
      <c r="B3102" t="s">
        <v>7</v>
      </c>
      <c r="C3102" t="s">
        <v>8</v>
      </c>
      <c r="D3102" t="s">
        <v>12</v>
      </c>
      <c r="E3102">
        <v>2</v>
      </c>
      <c r="F3102" s="3">
        <v>1918</v>
      </c>
      <c r="G3102" s="2">
        <v>435.56</v>
      </c>
      <c r="H3102">
        <f>Master_ventas[[#This Row],[Profit]]/Master_ventas[[#This Row],[Sales]]</f>
        <v>0.22709071949947862</v>
      </c>
      <c r="I3102">
        <f ca="1">Referencia_Hoy-Master_ventas[[#This Row],[Order Date]]</f>
        <v>1120</v>
      </c>
      <c r="J3102" t="str">
        <f>UPPER(Master_ventas[[#This Row],[Product Name]])</f>
        <v>PRINTER</v>
      </c>
      <c r="K3102" t="str">
        <f>UPPER(Master_ventas[[#This Row],[Category]])</f>
        <v>OFFICE</v>
      </c>
      <c r="L3102">
        <f>YEAR(Master_ventas[[#This Row],[Order Date]])</f>
        <v>2023</v>
      </c>
      <c r="M3102" t="str">
        <f>CONCATENATE(LEFT(Master_ventas[[#This Row],[ProdUpper]],3),RIGHT(Master_ventas[[#This Row],[Ext-Year]],2),"-",MID(Master_ventas[[#This Row],[Category]],1,1))</f>
        <v>PRI23-O</v>
      </c>
      <c r="N3102" t="str">
        <f>MID(Master_ventas[[#This Row],[ProdUpper]],1,3)</f>
        <v>PRI</v>
      </c>
      <c r="O3102" t="str">
        <f>UPPER(IF(Master_ventas[[#This Row],[Profit]]&gt;500,"High","Std"))</f>
        <v>STD</v>
      </c>
      <c r="P3102">
        <v>3101</v>
      </c>
    </row>
    <row r="3103" spans="1:16" x14ac:dyDescent="0.3">
      <c r="A3103" s="1">
        <v>45295</v>
      </c>
      <c r="B3103" t="s">
        <v>17</v>
      </c>
      <c r="C3103" t="s">
        <v>14</v>
      </c>
      <c r="D3103" t="s">
        <v>12</v>
      </c>
      <c r="E3103">
        <v>1</v>
      </c>
      <c r="F3103" s="3">
        <v>179</v>
      </c>
      <c r="G3103" s="2">
        <v>42.37</v>
      </c>
      <c r="H3103">
        <f>Master_ventas[[#This Row],[Profit]]/Master_ventas[[#This Row],[Sales]]</f>
        <v>0.23670391061452511</v>
      </c>
      <c r="I3103">
        <f ca="1">Referencia_Hoy-Master_ventas[[#This Row],[Order Date]]</f>
        <v>1028</v>
      </c>
      <c r="J3103" t="str">
        <f>UPPER(Master_ventas[[#This Row],[Product Name]])</f>
        <v>CAMERA</v>
      </c>
      <c r="K3103" t="str">
        <f>UPPER(Master_ventas[[#This Row],[Category]])</f>
        <v>ELECTRONICS</v>
      </c>
      <c r="L3103">
        <f>YEAR(Master_ventas[[#This Row],[Order Date]])</f>
        <v>2024</v>
      </c>
      <c r="M3103" t="str">
        <f>CONCATENATE(LEFT(Master_ventas[[#This Row],[ProdUpper]],3),RIGHT(Master_ventas[[#This Row],[Ext-Year]],2),"-",MID(Master_ventas[[#This Row],[Category]],1,1))</f>
        <v>CAM24-E</v>
      </c>
      <c r="N3103" t="str">
        <f>MID(Master_ventas[[#This Row],[ProdUpper]],1,3)</f>
        <v>CAM</v>
      </c>
      <c r="O3103" t="str">
        <f>UPPER(IF(Master_ventas[[#This Row],[Profit]]&gt;500,"High","Std"))</f>
        <v>STD</v>
      </c>
      <c r="P3103">
        <v>3102</v>
      </c>
    </row>
    <row r="3104" spans="1:16" x14ac:dyDescent="0.3">
      <c r="A3104" s="1">
        <v>45443</v>
      </c>
      <c r="B3104" t="s">
        <v>19</v>
      </c>
      <c r="C3104" t="s">
        <v>14</v>
      </c>
      <c r="D3104" t="s">
        <v>16</v>
      </c>
      <c r="E3104">
        <v>3</v>
      </c>
      <c r="F3104" s="3">
        <v>3153</v>
      </c>
      <c r="G3104" s="2">
        <v>224.29</v>
      </c>
      <c r="H3104">
        <f>Master_ventas[[#This Row],[Profit]]/Master_ventas[[#This Row],[Sales]]</f>
        <v>7.1135426577862357E-2</v>
      </c>
      <c r="I3104">
        <f ca="1">Referencia_Hoy-Master_ventas[[#This Row],[Order Date]]</f>
        <v>880</v>
      </c>
      <c r="J3104" t="str">
        <f>UPPER(Master_ventas[[#This Row],[Product Name]])</f>
        <v>SMARTWATCH</v>
      </c>
      <c r="K3104" t="str">
        <f>UPPER(Master_ventas[[#This Row],[Category]])</f>
        <v>ELECTRONICS</v>
      </c>
      <c r="L3104">
        <f>YEAR(Master_ventas[[#This Row],[Order Date]])</f>
        <v>2024</v>
      </c>
      <c r="M3104" t="str">
        <f>CONCATENATE(LEFT(Master_ventas[[#This Row],[ProdUpper]],3),RIGHT(Master_ventas[[#This Row],[Ext-Year]],2),"-",MID(Master_ventas[[#This Row],[Category]],1,1))</f>
        <v>SMA24-E</v>
      </c>
      <c r="N3104" t="str">
        <f>MID(Master_ventas[[#This Row],[ProdUpper]],1,3)</f>
        <v>SMA</v>
      </c>
      <c r="O3104" t="str">
        <f>UPPER(IF(Master_ventas[[#This Row],[Profit]]&gt;500,"High","Std"))</f>
        <v>STD</v>
      </c>
      <c r="P3104">
        <v>3103</v>
      </c>
    </row>
    <row r="3105" spans="1:16" x14ac:dyDescent="0.3">
      <c r="A3105" s="1">
        <v>45034</v>
      </c>
      <c r="B3105" t="s">
        <v>13</v>
      </c>
      <c r="C3105" t="s">
        <v>14</v>
      </c>
      <c r="D3105" t="s">
        <v>12</v>
      </c>
      <c r="E3105">
        <v>8</v>
      </c>
      <c r="F3105" s="3">
        <v>3864</v>
      </c>
      <c r="G3105" s="2">
        <v>855.75</v>
      </c>
      <c r="H3105">
        <f>Master_ventas[[#This Row],[Profit]]/Master_ventas[[#This Row],[Sales]]</f>
        <v>0.22146739130434784</v>
      </c>
      <c r="I3105">
        <f ca="1">Referencia_Hoy-Master_ventas[[#This Row],[Order Date]]</f>
        <v>1289</v>
      </c>
      <c r="J3105" t="str">
        <f>UPPER(Master_ventas[[#This Row],[Product Name]])</f>
        <v>TABLET</v>
      </c>
      <c r="K3105" t="str">
        <f>UPPER(Master_ventas[[#This Row],[Category]])</f>
        <v>ELECTRONICS</v>
      </c>
      <c r="L3105">
        <f>YEAR(Master_ventas[[#This Row],[Order Date]])</f>
        <v>2023</v>
      </c>
      <c r="M3105" t="str">
        <f>CONCATENATE(LEFT(Master_ventas[[#This Row],[ProdUpper]],3),RIGHT(Master_ventas[[#This Row],[Ext-Year]],2),"-",MID(Master_ventas[[#This Row],[Category]],1,1))</f>
        <v>TAB23-E</v>
      </c>
      <c r="N3105" t="str">
        <f>MID(Master_ventas[[#This Row],[ProdUpper]],1,3)</f>
        <v>TAB</v>
      </c>
      <c r="O3105" t="str">
        <f>UPPER(IF(Master_ventas[[#This Row],[Profit]]&gt;500,"High","Std"))</f>
        <v>HIGH</v>
      </c>
      <c r="P3105">
        <v>3104</v>
      </c>
    </row>
    <row r="3106" spans="1:16" x14ac:dyDescent="0.3">
      <c r="A3106" s="1">
        <v>45059</v>
      </c>
      <c r="B3106" t="s">
        <v>7</v>
      </c>
      <c r="C3106" t="s">
        <v>8</v>
      </c>
      <c r="D3106" t="s">
        <v>15</v>
      </c>
      <c r="E3106">
        <v>5</v>
      </c>
      <c r="F3106" s="3">
        <v>2440</v>
      </c>
      <c r="G3106" s="2">
        <v>570.78</v>
      </c>
      <c r="H3106">
        <f>Master_ventas[[#This Row],[Profit]]/Master_ventas[[#This Row],[Sales]]</f>
        <v>0.23392622950819672</v>
      </c>
      <c r="I3106">
        <f ca="1">Referencia_Hoy-Master_ventas[[#This Row],[Order Date]]</f>
        <v>1264</v>
      </c>
      <c r="J3106" t="str">
        <f>UPPER(Master_ventas[[#This Row],[Product Name]])</f>
        <v>PRINTER</v>
      </c>
      <c r="K3106" t="str">
        <f>UPPER(Master_ventas[[#This Row],[Category]])</f>
        <v>OFFICE</v>
      </c>
      <c r="L3106">
        <f>YEAR(Master_ventas[[#This Row],[Order Date]])</f>
        <v>2023</v>
      </c>
      <c r="M3106" t="str">
        <f>CONCATENATE(LEFT(Master_ventas[[#This Row],[ProdUpper]],3),RIGHT(Master_ventas[[#This Row],[Ext-Year]],2),"-",MID(Master_ventas[[#This Row],[Category]],1,1))</f>
        <v>PRI23-O</v>
      </c>
      <c r="N3106" t="str">
        <f>MID(Master_ventas[[#This Row],[ProdUpper]],1,3)</f>
        <v>PRI</v>
      </c>
      <c r="O3106" t="str">
        <f>UPPER(IF(Master_ventas[[#This Row],[Profit]]&gt;500,"High","Std"))</f>
        <v>HIGH</v>
      </c>
      <c r="P3106">
        <v>3105</v>
      </c>
    </row>
    <row r="3107" spans="1:16" x14ac:dyDescent="0.3">
      <c r="A3107" s="1">
        <v>45016</v>
      </c>
      <c r="B3107" t="s">
        <v>17</v>
      </c>
      <c r="C3107" t="s">
        <v>14</v>
      </c>
      <c r="D3107" t="s">
        <v>15</v>
      </c>
      <c r="E3107">
        <v>6</v>
      </c>
      <c r="F3107" s="3">
        <v>3660</v>
      </c>
      <c r="G3107" s="2">
        <v>675.38</v>
      </c>
      <c r="H3107">
        <f>Master_ventas[[#This Row],[Profit]]/Master_ventas[[#This Row],[Sales]]</f>
        <v>0.18453005464480873</v>
      </c>
      <c r="I3107">
        <f ca="1">Referencia_Hoy-Master_ventas[[#This Row],[Order Date]]</f>
        <v>1307</v>
      </c>
      <c r="J3107" t="str">
        <f>UPPER(Master_ventas[[#This Row],[Product Name]])</f>
        <v>CAMERA</v>
      </c>
      <c r="K3107" t="str">
        <f>UPPER(Master_ventas[[#This Row],[Category]])</f>
        <v>ELECTRONICS</v>
      </c>
      <c r="L3107">
        <f>YEAR(Master_ventas[[#This Row],[Order Date]])</f>
        <v>2023</v>
      </c>
      <c r="M3107" t="str">
        <f>CONCATENATE(LEFT(Master_ventas[[#This Row],[ProdUpper]],3),RIGHT(Master_ventas[[#This Row],[Ext-Year]],2),"-",MID(Master_ventas[[#This Row],[Category]],1,1))</f>
        <v>CAM23-E</v>
      </c>
      <c r="N3107" t="str">
        <f>MID(Master_ventas[[#This Row],[ProdUpper]],1,3)</f>
        <v>CAM</v>
      </c>
      <c r="O3107" t="str">
        <f>UPPER(IF(Master_ventas[[#This Row],[Profit]]&gt;500,"High","Std"))</f>
        <v>HIGH</v>
      </c>
      <c r="P3107">
        <v>3106</v>
      </c>
    </row>
    <row r="3108" spans="1:16" x14ac:dyDescent="0.3">
      <c r="A3108" s="1">
        <v>45507</v>
      </c>
      <c r="B3108" t="s">
        <v>19</v>
      </c>
      <c r="C3108" t="s">
        <v>14</v>
      </c>
      <c r="D3108" t="s">
        <v>12</v>
      </c>
      <c r="E3108">
        <v>3</v>
      </c>
      <c r="F3108" s="3">
        <v>318</v>
      </c>
      <c r="G3108" s="2">
        <v>49.93</v>
      </c>
      <c r="H3108">
        <f>Master_ventas[[#This Row],[Profit]]/Master_ventas[[#This Row],[Sales]]</f>
        <v>0.15701257861635221</v>
      </c>
      <c r="I3108">
        <f ca="1">Referencia_Hoy-Master_ventas[[#This Row],[Order Date]]</f>
        <v>816</v>
      </c>
      <c r="J3108" t="str">
        <f>UPPER(Master_ventas[[#This Row],[Product Name]])</f>
        <v>SMARTWATCH</v>
      </c>
      <c r="K3108" t="str">
        <f>UPPER(Master_ventas[[#This Row],[Category]])</f>
        <v>ELECTRONICS</v>
      </c>
      <c r="L3108">
        <f>YEAR(Master_ventas[[#This Row],[Order Date]])</f>
        <v>2024</v>
      </c>
      <c r="M3108" t="str">
        <f>CONCATENATE(LEFT(Master_ventas[[#This Row],[ProdUpper]],3),RIGHT(Master_ventas[[#This Row],[Ext-Year]],2),"-",MID(Master_ventas[[#This Row],[Category]],1,1))</f>
        <v>SMA24-E</v>
      </c>
      <c r="N3108" t="str">
        <f>MID(Master_ventas[[#This Row],[ProdUpper]],1,3)</f>
        <v>SMA</v>
      </c>
      <c r="O3108" t="str">
        <f>UPPER(IF(Master_ventas[[#This Row],[Profit]]&gt;500,"High","Std"))</f>
        <v>STD</v>
      </c>
      <c r="P3108">
        <v>3107</v>
      </c>
    </row>
    <row r="3109" spans="1:16" x14ac:dyDescent="0.3">
      <c r="A3109" s="1">
        <v>45276</v>
      </c>
      <c r="B3109" t="s">
        <v>10</v>
      </c>
      <c r="C3109" t="s">
        <v>11</v>
      </c>
      <c r="D3109" t="s">
        <v>15</v>
      </c>
      <c r="E3109">
        <v>3</v>
      </c>
      <c r="F3109" s="3">
        <v>483</v>
      </c>
      <c r="G3109" s="2">
        <v>63.27</v>
      </c>
      <c r="H3109">
        <f>Master_ventas[[#This Row],[Profit]]/Master_ventas[[#This Row],[Sales]]</f>
        <v>0.13099378881987578</v>
      </c>
      <c r="I3109">
        <f ca="1">Referencia_Hoy-Master_ventas[[#This Row],[Order Date]]</f>
        <v>1047</v>
      </c>
      <c r="J3109" t="str">
        <f>UPPER(Master_ventas[[#This Row],[Product Name]])</f>
        <v>MOUSE</v>
      </c>
      <c r="K3109" t="str">
        <f>UPPER(Master_ventas[[#This Row],[Category]])</f>
        <v>ACCESSORIES</v>
      </c>
      <c r="L3109">
        <f>YEAR(Master_ventas[[#This Row],[Order Date]])</f>
        <v>2023</v>
      </c>
      <c r="M3109" t="str">
        <f>CONCATENATE(LEFT(Master_ventas[[#This Row],[ProdUpper]],3),RIGHT(Master_ventas[[#This Row],[Ext-Year]],2),"-",MID(Master_ventas[[#This Row],[Category]],1,1))</f>
        <v>MOU23-A</v>
      </c>
      <c r="N3109" t="str">
        <f>MID(Master_ventas[[#This Row],[ProdUpper]],1,3)</f>
        <v>MOU</v>
      </c>
      <c r="O3109" t="str">
        <f>UPPER(IF(Master_ventas[[#This Row],[Profit]]&gt;500,"High","Std"))</f>
        <v>STD</v>
      </c>
      <c r="P3109">
        <v>3108</v>
      </c>
    </row>
    <row r="3110" spans="1:16" x14ac:dyDescent="0.3">
      <c r="A3110" s="1">
        <v>45525</v>
      </c>
      <c r="B3110" t="s">
        <v>18</v>
      </c>
      <c r="C3110" t="s">
        <v>11</v>
      </c>
      <c r="D3110" t="s">
        <v>9</v>
      </c>
      <c r="E3110">
        <v>6</v>
      </c>
      <c r="F3110" s="3">
        <v>6774</v>
      </c>
      <c r="G3110" s="2">
        <v>960.41</v>
      </c>
      <c r="H3110">
        <f>Master_ventas[[#This Row],[Profit]]/Master_ventas[[#This Row],[Sales]]</f>
        <v>0.14177886034839091</v>
      </c>
      <c r="I3110">
        <f ca="1">Referencia_Hoy-Master_ventas[[#This Row],[Order Date]]</f>
        <v>798</v>
      </c>
      <c r="J3110" t="str">
        <f>UPPER(Master_ventas[[#This Row],[Product Name]])</f>
        <v>HEADPHONES</v>
      </c>
      <c r="K3110" t="str">
        <f>UPPER(Master_ventas[[#This Row],[Category]])</f>
        <v>ACCESSORIES</v>
      </c>
      <c r="L3110">
        <f>YEAR(Master_ventas[[#This Row],[Order Date]])</f>
        <v>2024</v>
      </c>
      <c r="M3110" t="str">
        <f>CONCATENATE(LEFT(Master_ventas[[#This Row],[ProdUpper]],3),RIGHT(Master_ventas[[#This Row],[Ext-Year]],2),"-",MID(Master_ventas[[#This Row],[Category]],1,1))</f>
        <v>HEA24-A</v>
      </c>
      <c r="N3110" t="str">
        <f>MID(Master_ventas[[#This Row],[ProdUpper]],1,3)</f>
        <v>HEA</v>
      </c>
      <c r="O3110" t="str">
        <f>UPPER(IF(Master_ventas[[#This Row],[Profit]]&gt;500,"High","Std"))</f>
        <v>HIGH</v>
      </c>
      <c r="P3110">
        <v>3109</v>
      </c>
    </row>
    <row r="3111" spans="1:16" x14ac:dyDescent="0.3">
      <c r="A3111" s="1">
        <v>45293</v>
      </c>
      <c r="B3111" t="s">
        <v>20</v>
      </c>
      <c r="C3111" t="s">
        <v>11</v>
      </c>
      <c r="D3111" t="s">
        <v>16</v>
      </c>
      <c r="E3111">
        <v>5</v>
      </c>
      <c r="F3111" s="3">
        <v>5310</v>
      </c>
      <c r="G3111" s="2">
        <v>806.12</v>
      </c>
      <c r="H3111">
        <f>Master_ventas[[#This Row],[Profit]]/Master_ventas[[#This Row],[Sales]]</f>
        <v>0.15181167608286253</v>
      </c>
      <c r="I3111">
        <f ca="1">Referencia_Hoy-Master_ventas[[#This Row],[Order Date]]</f>
        <v>1030</v>
      </c>
      <c r="J3111" t="str">
        <f>UPPER(Master_ventas[[#This Row],[Product Name]])</f>
        <v>MONITOR</v>
      </c>
      <c r="K3111" t="str">
        <f>UPPER(Master_ventas[[#This Row],[Category]])</f>
        <v>ACCESSORIES</v>
      </c>
      <c r="L3111">
        <f>YEAR(Master_ventas[[#This Row],[Order Date]])</f>
        <v>2024</v>
      </c>
      <c r="M3111" t="str">
        <f>CONCATENATE(LEFT(Master_ventas[[#This Row],[ProdUpper]],3),RIGHT(Master_ventas[[#This Row],[Ext-Year]],2),"-",MID(Master_ventas[[#This Row],[Category]],1,1))</f>
        <v>MON24-A</v>
      </c>
      <c r="N3111" t="str">
        <f>MID(Master_ventas[[#This Row],[ProdUpper]],1,3)</f>
        <v>MON</v>
      </c>
      <c r="O3111" t="str">
        <f>UPPER(IF(Master_ventas[[#This Row],[Profit]]&gt;500,"High","Std"))</f>
        <v>HIGH</v>
      </c>
      <c r="P3111">
        <v>3110</v>
      </c>
    </row>
    <row r="3112" spans="1:16" x14ac:dyDescent="0.3">
      <c r="A3112" s="1">
        <v>45357</v>
      </c>
      <c r="B3112" t="s">
        <v>22</v>
      </c>
      <c r="C3112" t="s">
        <v>11</v>
      </c>
      <c r="D3112" t="s">
        <v>16</v>
      </c>
      <c r="E3112">
        <v>6</v>
      </c>
      <c r="F3112" s="3">
        <v>5154</v>
      </c>
      <c r="G3112" s="2">
        <v>779.43</v>
      </c>
      <c r="H3112">
        <f>Master_ventas[[#This Row],[Profit]]/Master_ventas[[#This Row],[Sales]]</f>
        <v>0.15122817229336435</v>
      </c>
      <c r="I3112">
        <f ca="1">Referencia_Hoy-Master_ventas[[#This Row],[Order Date]]</f>
        <v>966</v>
      </c>
      <c r="J3112" t="str">
        <f>UPPER(Master_ventas[[#This Row],[Product Name]])</f>
        <v>KEYBOARD</v>
      </c>
      <c r="K3112" t="str">
        <f>UPPER(Master_ventas[[#This Row],[Category]])</f>
        <v>ACCESSORIES</v>
      </c>
      <c r="L3112">
        <f>YEAR(Master_ventas[[#This Row],[Order Date]])</f>
        <v>2024</v>
      </c>
      <c r="M3112" t="str">
        <f>CONCATENATE(LEFT(Master_ventas[[#This Row],[ProdUpper]],3),RIGHT(Master_ventas[[#This Row],[Ext-Year]],2),"-",MID(Master_ventas[[#This Row],[Category]],1,1))</f>
        <v>KEY24-A</v>
      </c>
      <c r="N3112" t="str">
        <f>MID(Master_ventas[[#This Row],[ProdUpper]],1,3)</f>
        <v>KEY</v>
      </c>
      <c r="O3112" t="str">
        <f>UPPER(IF(Master_ventas[[#This Row],[Profit]]&gt;500,"High","Std"))</f>
        <v>HIGH</v>
      </c>
      <c r="P3112">
        <v>3111</v>
      </c>
    </row>
    <row r="3113" spans="1:16" x14ac:dyDescent="0.3">
      <c r="A3113" s="1">
        <v>45188</v>
      </c>
      <c r="B3113" t="s">
        <v>22</v>
      </c>
      <c r="C3113" t="s">
        <v>11</v>
      </c>
      <c r="D3113" t="s">
        <v>12</v>
      </c>
      <c r="E3113">
        <v>9</v>
      </c>
      <c r="F3113" s="3">
        <v>6741</v>
      </c>
      <c r="G3113" s="2">
        <v>823.17</v>
      </c>
      <c r="H3113">
        <f>Master_ventas[[#This Row],[Profit]]/Master_ventas[[#This Row],[Sales]]</f>
        <v>0.12211392968402314</v>
      </c>
      <c r="I3113">
        <f ca="1">Referencia_Hoy-Master_ventas[[#This Row],[Order Date]]</f>
        <v>1135</v>
      </c>
      <c r="J3113" t="str">
        <f>UPPER(Master_ventas[[#This Row],[Product Name]])</f>
        <v>KEYBOARD</v>
      </c>
      <c r="K3113" t="str">
        <f>UPPER(Master_ventas[[#This Row],[Category]])</f>
        <v>ACCESSORIES</v>
      </c>
      <c r="L3113">
        <f>YEAR(Master_ventas[[#This Row],[Order Date]])</f>
        <v>2023</v>
      </c>
      <c r="M3113" t="str">
        <f>CONCATENATE(LEFT(Master_ventas[[#This Row],[ProdUpper]],3),RIGHT(Master_ventas[[#This Row],[Ext-Year]],2),"-",MID(Master_ventas[[#This Row],[Category]],1,1))</f>
        <v>KEY23-A</v>
      </c>
      <c r="N3113" t="str">
        <f>MID(Master_ventas[[#This Row],[ProdUpper]],1,3)</f>
        <v>KEY</v>
      </c>
      <c r="O3113" t="str">
        <f>UPPER(IF(Master_ventas[[#This Row],[Profit]]&gt;500,"High","Std"))</f>
        <v>HIGH</v>
      </c>
      <c r="P3113">
        <v>3112</v>
      </c>
    </row>
    <row r="3114" spans="1:16" x14ac:dyDescent="0.3">
      <c r="A3114" s="1">
        <v>44694</v>
      </c>
      <c r="B3114" t="s">
        <v>17</v>
      </c>
      <c r="C3114" t="s">
        <v>14</v>
      </c>
      <c r="D3114" t="s">
        <v>9</v>
      </c>
      <c r="E3114">
        <v>2</v>
      </c>
      <c r="F3114" s="3">
        <v>520</v>
      </c>
      <c r="G3114" s="2">
        <v>61.33</v>
      </c>
      <c r="H3114">
        <f>Master_ventas[[#This Row],[Profit]]/Master_ventas[[#This Row],[Sales]]</f>
        <v>0.11794230769230769</v>
      </c>
      <c r="I3114">
        <f ca="1">Referencia_Hoy-Master_ventas[[#This Row],[Order Date]]</f>
        <v>1629</v>
      </c>
      <c r="J3114" t="str">
        <f>UPPER(Master_ventas[[#This Row],[Product Name]])</f>
        <v>CAMERA</v>
      </c>
      <c r="K3114" t="str">
        <f>UPPER(Master_ventas[[#This Row],[Category]])</f>
        <v>ELECTRONICS</v>
      </c>
      <c r="L3114">
        <f>YEAR(Master_ventas[[#This Row],[Order Date]])</f>
        <v>2022</v>
      </c>
      <c r="M3114" t="str">
        <f>CONCATENATE(LEFT(Master_ventas[[#This Row],[ProdUpper]],3),RIGHT(Master_ventas[[#This Row],[Ext-Year]],2),"-",MID(Master_ventas[[#This Row],[Category]],1,1))</f>
        <v>CAM22-E</v>
      </c>
      <c r="N3114" t="str">
        <f>MID(Master_ventas[[#This Row],[ProdUpper]],1,3)</f>
        <v>CAM</v>
      </c>
      <c r="O3114" t="str">
        <f>UPPER(IF(Master_ventas[[#This Row],[Profit]]&gt;500,"High","Std"))</f>
        <v>STD</v>
      </c>
      <c r="P3114">
        <v>3113</v>
      </c>
    </row>
    <row r="3115" spans="1:16" x14ac:dyDescent="0.3">
      <c r="A3115" s="1">
        <v>45462</v>
      </c>
      <c r="B3115" t="s">
        <v>13</v>
      </c>
      <c r="C3115" t="s">
        <v>14</v>
      </c>
      <c r="D3115" t="s">
        <v>12</v>
      </c>
      <c r="E3115">
        <v>7</v>
      </c>
      <c r="F3115" s="3">
        <v>1120</v>
      </c>
      <c r="G3115" s="2">
        <v>111.79</v>
      </c>
      <c r="H3115">
        <f>Master_ventas[[#This Row],[Profit]]/Master_ventas[[#This Row],[Sales]]</f>
        <v>9.9812500000000012E-2</v>
      </c>
      <c r="I3115">
        <f ca="1">Referencia_Hoy-Master_ventas[[#This Row],[Order Date]]</f>
        <v>861</v>
      </c>
      <c r="J3115" t="str">
        <f>UPPER(Master_ventas[[#This Row],[Product Name]])</f>
        <v>TABLET</v>
      </c>
      <c r="K3115" t="str">
        <f>UPPER(Master_ventas[[#This Row],[Category]])</f>
        <v>ELECTRONICS</v>
      </c>
      <c r="L3115">
        <f>YEAR(Master_ventas[[#This Row],[Order Date]])</f>
        <v>2024</v>
      </c>
      <c r="M3115" t="str">
        <f>CONCATENATE(LEFT(Master_ventas[[#This Row],[ProdUpper]],3),RIGHT(Master_ventas[[#This Row],[Ext-Year]],2),"-",MID(Master_ventas[[#This Row],[Category]],1,1))</f>
        <v>TAB24-E</v>
      </c>
      <c r="N3115" t="str">
        <f>MID(Master_ventas[[#This Row],[ProdUpper]],1,3)</f>
        <v>TAB</v>
      </c>
      <c r="O3115" t="str">
        <f>UPPER(IF(Master_ventas[[#This Row],[Profit]]&gt;500,"High","Std"))</f>
        <v>STD</v>
      </c>
      <c r="P3115">
        <v>3114</v>
      </c>
    </row>
    <row r="3116" spans="1:16" x14ac:dyDescent="0.3">
      <c r="A3116" s="1">
        <v>44754</v>
      </c>
      <c r="B3116" t="s">
        <v>22</v>
      </c>
      <c r="C3116" t="s">
        <v>11</v>
      </c>
      <c r="D3116" t="s">
        <v>12</v>
      </c>
      <c r="E3116">
        <v>1</v>
      </c>
      <c r="F3116" s="3">
        <v>911</v>
      </c>
      <c r="G3116" s="2">
        <v>155.30000000000001</v>
      </c>
      <c r="H3116">
        <f>Master_ventas[[#This Row],[Profit]]/Master_ventas[[#This Row],[Sales]]</f>
        <v>0.17047200878155874</v>
      </c>
      <c r="I3116">
        <f ca="1">Referencia_Hoy-Master_ventas[[#This Row],[Order Date]]</f>
        <v>1569</v>
      </c>
      <c r="J3116" t="str">
        <f>UPPER(Master_ventas[[#This Row],[Product Name]])</f>
        <v>KEYBOARD</v>
      </c>
      <c r="K3116" t="str">
        <f>UPPER(Master_ventas[[#This Row],[Category]])</f>
        <v>ACCESSORIES</v>
      </c>
      <c r="L3116">
        <f>YEAR(Master_ventas[[#This Row],[Order Date]])</f>
        <v>2022</v>
      </c>
      <c r="M3116" t="str">
        <f>CONCATENATE(LEFT(Master_ventas[[#This Row],[ProdUpper]],3),RIGHT(Master_ventas[[#This Row],[Ext-Year]],2),"-",MID(Master_ventas[[#This Row],[Category]],1,1))</f>
        <v>KEY22-A</v>
      </c>
      <c r="N3116" t="str">
        <f>MID(Master_ventas[[#This Row],[ProdUpper]],1,3)</f>
        <v>KEY</v>
      </c>
      <c r="O3116" t="str">
        <f>UPPER(IF(Master_ventas[[#This Row],[Profit]]&gt;500,"High","Std"))</f>
        <v>STD</v>
      </c>
      <c r="P3116">
        <v>3115</v>
      </c>
    </row>
    <row r="3117" spans="1:16" x14ac:dyDescent="0.3">
      <c r="A3117" s="1">
        <v>44641</v>
      </c>
      <c r="B3117" t="s">
        <v>20</v>
      </c>
      <c r="C3117" t="s">
        <v>11</v>
      </c>
      <c r="D3117" t="s">
        <v>15</v>
      </c>
      <c r="E3117">
        <v>8</v>
      </c>
      <c r="F3117" s="3">
        <v>1064</v>
      </c>
      <c r="G3117" s="2">
        <v>190.73</v>
      </c>
      <c r="H3117">
        <f>Master_ventas[[#This Row],[Profit]]/Master_ventas[[#This Row],[Sales]]</f>
        <v>0.17925751879699248</v>
      </c>
      <c r="I3117">
        <f ca="1">Referencia_Hoy-Master_ventas[[#This Row],[Order Date]]</f>
        <v>1682</v>
      </c>
      <c r="J3117" t="str">
        <f>UPPER(Master_ventas[[#This Row],[Product Name]])</f>
        <v>MONITOR</v>
      </c>
      <c r="K3117" t="str">
        <f>UPPER(Master_ventas[[#This Row],[Category]])</f>
        <v>ACCESSORIES</v>
      </c>
      <c r="L3117">
        <f>YEAR(Master_ventas[[#This Row],[Order Date]])</f>
        <v>2022</v>
      </c>
      <c r="M3117" t="str">
        <f>CONCATENATE(LEFT(Master_ventas[[#This Row],[ProdUpper]],3),RIGHT(Master_ventas[[#This Row],[Ext-Year]],2),"-",MID(Master_ventas[[#This Row],[Category]],1,1))</f>
        <v>MON22-A</v>
      </c>
      <c r="N3117" t="str">
        <f>MID(Master_ventas[[#This Row],[ProdUpper]],1,3)</f>
        <v>MON</v>
      </c>
      <c r="O3117" t="str">
        <f>UPPER(IF(Master_ventas[[#This Row],[Profit]]&gt;500,"High","Std"))</f>
        <v>STD</v>
      </c>
      <c r="P3117">
        <v>3116</v>
      </c>
    </row>
    <row r="3118" spans="1:16" x14ac:dyDescent="0.3">
      <c r="A3118" s="1">
        <v>45410</v>
      </c>
      <c r="B3118" t="s">
        <v>23</v>
      </c>
      <c r="C3118" t="s">
        <v>14</v>
      </c>
      <c r="D3118" t="s">
        <v>9</v>
      </c>
      <c r="E3118">
        <v>7</v>
      </c>
      <c r="F3118" s="3">
        <v>1981</v>
      </c>
      <c r="G3118" s="2">
        <v>404.3</v>
      </c>
      <c r="H3118">
        <f>Master_ventas[[#This Row],[Profit]]/Master_ventas[[#This Row],[Sales]]</f>
        <v>0.20408884401817265</v>
      </c>
      <c r="I3118">
        <f ca="1">Referencia_Hoy-Master_ventas[[#This Row],[Order Date]]</f>
        <v>913</v>
      </c>
      <c r="J3118" t="str">
        <f>UPPER(Master_ventas[[#This Row],[Product Name]])</f>
        <v>LAPTOP</v>
      </c>
      <c r="K3118" t="str">
        <f>UPPER(Master_ventas[[#This Row],[Category]])</f>
        <v>ELECTRONICS</v>
      </c>
      <c r="L3118">
        <f>YEAR(Master_ventas[[#This Row],[Order Date]])</f>
        <v>2024</v>
      </c>
      <c r="M3118" t="str">
        <f>CONCATENATE(LEFT(Master_ventas[[#This Row],[ProdUpper]],3),RIGHT(Master_ventas[[#This Row],[Ext-Year]],2),"-",MID(Master_ventas[[#This Row],[Category]],1,1))</f>
        <v>LAP24-E</v>
      </c>
      <c r="N3118" t="str">
        <f>MID(Master_ventas[[#This Row],[ProdUpper]],1,3)</f>
        <v>LAP</v>
      </c>
      <c r="O3118" t="str">
        <f>UPPER(IF(Master_ventas[[#This Row],[Profit]]&gt;500,"High","Std"))</f>
        <v>STD</v>
      </c>
      <c r="P3118">
        <v>3117</v>
      </c>
    </row>
    <row r="3119" spans="1:16" x14ac:dyDescent="0.3">
      <c r="A3119" s="1">
        <v>44671</v>
      </c>
      <c r="B3119" t="s">
        <v>17</v>
      </c>
      <c r="C3119" t="s">
        <v>14</v>
      </c>
      <c r="D3119" t="s">
        <v>15</v>
      </c>
      <c r="E3119">
        <v>5</v>
      </c>
      <c r="F3119" s="3">
        <v>4280</v>
      </c>
      <c r="G3119" s="2">
        <v>540.47</v>
      </c>
      <c r="H3119">
        <f>Master_ventas[[#This Row],[Profit]]/Master_ventas[[#This Row],[Sales]]</f>
        <v>0.12627803738317758</v>
      </c>
      <c r="I3119">
        <f ca="1">Referencia_Hoy-Master_ventas[[#This Row],[Order Date]]</f>
        <v>1652</v>
      </c>
      <c r="J3119" t="str">
        <f>UPPER(Master_ventas[[#This Row],[Product Name]])</f>
        <v>CAMERA</v>
      </c>
      <c r="K3119" t="str">
        <f>UPPER(Master_ventas[[#This Row],[Category]])</f>
        <v>ELECTRONICS</v>
      </c>
      <c r="L3119">
        <f>YEAR(Master_ventas[[#This Row],[Order Date]])</f>
        <v>2022</v>
      </c>
      <c r="M3119" t="str">
        <f>CONCATENATE(LEFT(Master_ventas[[#This Row],[ProdUpper]],3),RIGHT(Master_ventas[[#This Row],[Ext-Year]],2),"-",MID(Master_ventas[[#This Row],[Category]],1,1))</f>
        <v>CAM22-E</v>
      </c>
      <c r="N3119" t="str">
        <f>MID(Master_ventas[[#This Row],[ProdUpper]],1,3)</f>
        <v>CAM</v>
      </c>
      <c r="O3119" t="str">
        <f>UPPER(IF(Master_ventas[[#This Row],[Profit]]&gt;500,"High","Std"))</f>
        <v>HIGH</v>
      </c>
      <c r="P3119">
        <v>3118</v>
      </c>
    </row>
    <row r="3120" spans="1:16" x14ac:dyDescent="0.3">
      <c r="A3120" s="1">
        <v>45468</v>
      </c>
      <c r="B3120" t="s">
        <v>19</v>
      </c>
      <c r="C3120" t="s">
        <v>14</v>
      </c>
      <c r="D3120" t="s">
        <v>15</v>
      </c>
      <c r="E3120">
        <v>5</v>
      </c>
      <c r="F3120" s="3">
        <v>5125</v>
      </c>
      <c r="G3120" s="2">
        <v>268.39</v>
      </c>
      <c r="H3120">
        <f>Master_ventas[[#This Row],[Profit]]/Master_ventas[[#This Row],[Sales]]</f>
        <v>5.2368780487804877E-2</v>
      </c>
      <c r="I3120">
        <f ca="1">Referencia_Hoy-Master_ventas[[#This Row],[Order Date]]</f>
        <v>855</v>
      </c>
      <c r="J3120" t="str">
        <f>UPPER(Master_ventas[[#This Row],[Product Name]])</f>
        <v>SMARTWATCH</v>
      </c>
      <c r="K3120" t="str">
        <f>UPPER(Master_ventas[[#This Row],[Category]])</f>
        <v>ELECTRONICS</v>
      </c>
      <c r="L3120">
        <f>YEAR(Master_ventas[[#This Row],[Order Date]])</f>
        <v>2024</v>
      </c>
      <c r="M3120" t="str">
        <f>CONCATENATE(LEFT(Master_ventas[[#This Row],[ProdUpper]],3),RIGHT(Master_ventas[[#This Row],[Ext-Year]],2),"-",MID(Master_ventas[[#This Row],[Category]],1,1))</f>
        <v>SMA24-E</v>
      </c>
      <c r="N3120" t="str">
        <f>MID(Master_ventas[[#This Row],[ProdUpper]],1,3)</f>
        <v>SMA</v>
      </c>
      <c r="O3120" t="str">
        <f>UPPER(IF(Master_ventas[[#This Row],[Profit]]&gt;500,"High","Std"))</f>
        <v>STD</v>
      </c>
      <c r="P3120">
        <v>3119</v>
      </c>
    </row>
    <row r="3121" spans="1:16" x14ac:dyDescent="0.3">
      <c r="A3121" s="1">
        <v>45652</v>
      </c>
      <c r="B3121" t="s">
        <v>20</v>
      </c>
      <c r="C3121" t="s">
        <v>11</v>
      </c>
      <c r="D3121" t="s">
        <v>16</v>
      </c>
      <c r="E3121">
        <v>7</v>
      </c>
      <c r="F3121" s="3">
        <v>1575</v>
      </c>
      <c r="G3121" s="2">
        <v>313.95999999999998</v>
      </c>
      <c r="H3121">
        <f>Master_ventas[[#This Row],[Profit]]/Master_ventas[[#This Row],[Sales]]</f>
        <v>0.19933968253968254</v>
      </c>
      <c r="I3121">
        <f ca="1">Referencia_Hoy-Master_ventas[[#This Row],[Order Date]]</f>
        <v>671</v>
      </c>
      <c r="J3121" t="str">
        <f>UPPER(Master_ventas[[#This Row],[Product Name]])</f>
        <v>MONITOR</v>
      </c>
      <c r="K3121" t="str">
        <f>UPPER(Master_ventas[[#This Row],[Category]])</f>
        <v>ACCESSORIES</v>
      </c>
      <c r="L3121">
        <f>YEAR(Master_ventas[[#This Row],[Order Date]])</f>
        <v>2024</v>
      </c>
      <c r="M3121" t="str">
        <f>CONCATENATE(LEFT(Master_ventas[[#This Row],[ProdUpper]],3),RIGHT(Master_ventas[[#This Row],[Ext-Year]],2),"-",MID(Master_ventas[[#This Row],[Category]],1,1))</f>
        <v>MON24-A</v>
      </c>
      <c r="N3121" t="str">
        <f>MID(Master_ventas[[#This Row],[ProdUpper]],1,3)</f>
        <v>MON</v>
      </c>
      <c r="O3121" t="str">
        <f>UPPER(IF(Master_ventas[[#This Row],[Profit]]&gt;500,"High","Std"))</f>
        <v>STD</v>
      </c>
      <c r="P3121">
        <v>3120</v>
      </c>
    </row>
    <row r="3122" spans="1:16" x14ac:dyDescent="0.3">
      <c r="A3122" s="1">
        <v>45410</v>
      </c>
      <c r="B3122" t="s">
        <v>13</v>
      </c>
      <c r="C3122" t="s">
        <v>14</v>
      </c>
      <c r="D3122" t="s">
        <v>12</v>
      </c>
      <c r="E3122">
        <v>9</v>
      </c>
      <c r="F3122" s="3">
        <v>9972</v>
      </c>
      <c r="G3122" s="2">
        <v>1868.64</v>
      </c>
      <c r="H3122">
        <f>Master_ventas[[#This Row],[Profit]]/Master_ventas[[#This Row],[Sales]]</f>
        <v>0.1873886883273165</v>
      </c>
      <c r="I3122">
        <f ca="1">Referencia_Hoy-Master_ventas[[#This Row],[Order Date]]</f>
        <v>913</v>
      </c>
      <c r="J3122" t="str">
        <f>UPPER(Master_ventas[[#This Row],[Product Name]])</f>
        <v>TABLET</v>
      </c>
      <c r="K3122" t="str">
        <f>UPPER(Master_ventas[[#This Row],[Category]])</f>
        <v>ELECTRONICS</v>
      </c>
      <c r="L3122">
        <f>YEAR(Master_ventas[[#This Row],[Order Date]])</f>
        <v>2024</v>
      </c>
      <c r="M3122" t="str">
        <f>CONCATENATE(LEFT(Master_ventas[[#This Row],[ProdUpper]],3),RIGHT(Master_ventas[[#This Row],[Ext-Year]],2),"-",MID(Master_ventas[[#This Row],[Category]],1,1))</f>
        <v>TAB24-E</v>
      </c>
      <c r="N3122" t="str">
        <f>MID(Master_ventas[[#This Row],[ProdUpper]],1,3)</f>
        <v>TAB</v>
      </c>
      <c r="O3122" t="str">
        <f>UPPER(IF(Master_ventas[[#This Row],[Profit]]&gt;500,"High","Std"))</f>
        <v>HIGH</v>
      </c>
      <c r="P3122">
        <v>3121</v>
      </c>
    </row>
    <row r="3123" spans="1:16" x14ac:dyDescent="0.3">
      <c r="A3123" s="1">
        <v>44835</v>
      </c>
      <c r="B3123" t="s">
        <v>21</v>
      </c>
      <c r="C3123" t="s">
        <v>14</v>
      </c>
      <c r="D3123" t="s">
        <v>12</v>
      </c>
      <c r="E3123">
        <v>8</v>
      </c>
      <c r="F3123" s="3">
        <v>4576</v>
      </c>
      <c r="G3123" s="2">
        <v>900.04</v>
      </c>
      <c r="H3123">
        <f>Master_ventas[[#This Row],[Profit]]/Master_ventas[[#This Row],[Sales]]</f>
        <v>0.19668706293706292</v>
      </c>
      <c r="I3123">
        <f ca="1">Referencia_Hoy-Master_ventas[[#This Row],[Order Date]]</f>
        <v>1488</v>
      </c>
      <c r="J3123" t="str">
        <f>UPPER(Master_ventas[[#This Row],[Product Name]])</f>
        <v>SMARTPHONE</v>
      </c>
      <c r="K3123" t="str">
        <f>UPPER(Master_ventas[[#This Row],[Category]])</f>
        <v>ELECTRONICS</v>
      </c>
      <c r="L3123">
        <f>YEAR(Master_ventas[[#This Row],[Order Date]])</f>
        <v>2022</v>
      </c>
      <c r="M3123" t="str">
        <f>CONCATENATE(LEFT(Master_ventas[[#This Row],[ProdUpper]],3),RIGHT(Master_ventas[[#This Row],[Ext-Year]],2),"-",MID(Master_ventas[[#This Row],[Category]],1,1))</f>
        <v>SMA22-E</v>
      </c>
      <c r="N3123" t="str">
        <f>MID(Master_ventas[[#This Row],[ProdUpper]],1,3)</f>
        <v>SMA</v>
      </c>
      <c r="O3123" t="str">
        <f>UPPER(IF(Master_ventas[[#This Row],[Profit]]&gt;500,"High","Std"))</f>
        <v>HIGH</v>
      </c>
      <c r="P3123">
        <v>3122</v>
      </c>
    </row>
    <row r="3124" spans="1:16" x14ac:dyDescent="0.3">
      <c r="A3124" s="1">
        <v>45444</v>
      </c>
      <c r="B3124" t="s">
        <v>20</v>
      </c>
      <c r="C3124" t="s">
        <v>11</v>
      </c>
      <c r="D3124" t="s">
        <v>15</v>
      </c>
      <c r="E3124">
        <v>7</v>
      </c>
      <c r="F3124" s="3">
        <v>6559</v>
      </c>
      <c r="G3124" s="2">
        <v>1141.32</v>
      </c>
      <c r="H3124">
        <f>Master_ventas[[#This Row],[Profit]]/Master_ventas[[#This Row],[Sales]]</f>
        <v>0.1740082329623418</v>
      </c>
      <c r="I3124">
        <f ca="1">Referencia_Hoy-Master_ventas[[#This Row],[Order Date]]</f>
        <v>879</v>
      </c>
      <c r="J3124" t="str">
        <f>UPPER(Master_ventas[[#This Row],[Product Name]])</f>
        <v>MONITOR</v>
      </c>
      <c r="K3124" t="str">
        <f>UPPER(Master_ventas[[#This Row],[Category]])</f>
        <v>ACCESSORIES</v>
      </c>
      <c r="L3124">
        <f>YEAR(Master_ventas[[#This Row],[Order Date]])</f>
        <v>2024</v>
      </c>
      <c r="M3124" t="str">
        <f>CONCATENATE(LEFT(Master_ventas[[#This Row],[ProdUpper]],3),RIGHT(Master_ventas[[#This Row],[Ext-Year]],2),"-",MID(Master_ventas[[#This Row],[Category]],1,1))</f>
        <v>MON24-A</v>
      </c>
      <c r="N3124" t="str">
        <f>MID(Master_ventas[[#This Row],[ProdUpper]],1,3)</f>
        <v>MON</v>
      </c>
      <c r="O3124" t="str">
        <f>UPPER(IF(Master_ventas[[#This Row],[Profit]]&gt;500,"High","Std"))</f>
        <v>HIGH</v>
      </c>
      <c r="P3124">
        <v>3123</v>
      </c>
    </row>
    <row r="3125" spans="1:16" x14ac:dyDescent="0.3">
      <c r="A3125" s="1">
        <v>45127</v>
      </c>
      <c r="B3125" t="s">
        <v>13</v>
      </c>
      <c r="C3125" t="s">
        <v>14</v>
      </c>
      <c r="D3125" t="s">
        <v>15</v>
      </c>
      <c r="E3125">
        <v>1</v>
      </c>
      <c r="F3125" s="3">
        <v>619</v>
      </c>
      <c r="G3125" s="2">
        <v>35.36</v>
      </c>
      <c r="H3125">
        <f>Master_ventas[[#This Row],[Profit]]/Master_ventas[[#This Row],[Sales]]</f>
        <v>5.7124394184168009E-2</v>
      </c>
      <c r="I3125">
        <f ca="1">Referencia_Hoy-Master_ventas[[#This Row],[Order Date]]</f>
        <v>1196</v>
      </c>
      <c r="J3125" t="str">
        <f>UPPER(Master_ventas[[#This Row],[Product Name]])</f>
        <v>TABLET</v>
      </c>
      <c r="K3125" t="str">
        <f>UPPER(Master_ventas[[#This Row],[Category]])</f>
        <v>ELECTRONICS</v>
      </c>
      <c r="L3125">
        <f>YEAR(Master_ventas[[#This Row],[Order Date]])</f>
        <v>2023</v>
      </c>
      <c r="M3125" t="str">
        <f>CONCATENATE(LEFT(Master_ventas[[#This Row],[ProdUpper]],3),RIGHT(Master_ventas[[#This Row],[Ext-Year]],2),"-",MID(Master_ventas[[#This Row],[Category]],1,1))</f>
        <v>TAB23-E</v>
      </c>
      <c r="N3125" t="str">
        <f>MID(Master_ventas[[#This Row],[ProdUpper]],1,3)</f>
        <v>TAB</v>
      </c>
      <c r="O3125" t="str">
        <f>UPPER(IF(Master_ventas[[#This Row],[Profit]]&gt;500,"High","Std"))</f>
        <v>STD</v>
      </c>
      <c r="P3125">
        <v>3124</v>
      </c>
    </row>
    <row r="3126" spans="1:16" x14ac:dyDescent="0.3">
      <c r="A3126" s="1">
        <v>45452</v>
      </c>
      <c r="B3126" t="s">
        <v>18</v>
      </c>
      <c r="C3126" t="s">
        <v>11</v>
      </c>
      <c r="D3126" t="s">
        <v>16</v>
      </c>
      <c r="E3126">
        <v>8</v>
      </c>
      <c r="F3126" s="3">
        <v>2488</v>
      </c>
      <c r="G3126" s="2">
        <v>151.94999999999999</v>
      </c>
      <c r="H3126">
        <f>Master_ventas[[#This Row],[Profit]]/Master_ventas[[#This Row],[Sales]]</f>
        <v>6.1073151125401924E-2</v>
      </c>
      <c r="I3126">
        <f ca="1">Referencia_Hoy-Master_ventas[[#This Row],[Order Date]]</f>
        <v>871</v>
      </c>
      <c r="J3126" t="str">
        <f>UPPER(Master_ventas[[#This Row],[Product Name]])</f>
        <v>HEADPHONES</v>
      </c>
      <c r="K3126" t="str">
        <f>UPPER(Master_ventas[[#This Row],[Category]])</f>
        <v>ACCESSORIES</v>
      </c>
      <c r="L3126">
        <f>YEAR(Master_ventas[[#This Row],[Order Date]])</f>
        <v>2024</v>
      </c>
      <c r="M3126" t="str">
        <f>CONCATENATE(LEFT(Master_ventas[[#This Row],[ProdUpper]],3),RIGHT(Master_ventas[[#This Row],[Ext-Year]],2),"-",MID(Master_ventas[[#This Row],[Category]],1,1))</f>
        <v>HEA24-A</v>
      </c>
      <c r="N3126" t="str">
        <f>MID(Master_ventas[[#This Row],[ProdUpper]],1,3)</f>
        <v>HEA</v>
      </c>
      <c r="O3126" t="str">
        <f>UPPER(IF(Master_ventas[[#This Row],[Profit]]&gt;500,"High","Std"))</f>
        <v>STD</v>
      </c>
      <c r="P3126">
        <v>3125</v>
      </c>
    </row>
    <row r="3127" spans="1:16" x14ac:dyDescent="0.3">
      <c r="A3127" s="1">
        <v>44863</v>
      </c>
      <c r="B3127" t="s">
        <v>10</v>
      </c>
      <c r="C3127" t="s">
        <v>11</v>
      </c>
      <c r="D3127" t="s">
        <v>16</v>
      </c>
      <c r="E3127">
        <v>4</v>
      </c>
      <c r="F3127" s="3">
        <v>2536</v>
      </c>
      <c r="G3127" s="2">
        <v>148.85</v>
      </c>
      <c r="H3127">
        <f>Master_ventas[[#This Row],[Profit]]/Master_ventas[[#This Row],[Sales]]</f>
        <v>5.8694794952681387E-2</v>
      </c>
      <c r="I3127">
        <f ca="1">Referencia_Hoy-Master_ventas[[#This Row],[Order Date]]</f>
        <v>1460</v>
      </c>
      <c r="J3127" t="str">
        <f>UPPER(Master_ventas[[#This Row],[Product Name]])</f>
        <v>MOUSE</v>
      </c>
      <c r="K3127" t="str">
        <f>UPPER(Master_ventas[[#This Row],[Category]])</f>
        <v>ACCESSORIES</v>
      </c>
      <c r="L3127">
        <f>YEAR(Master_ventas[[#This Row],[Order Date]])</f>
        <v>2022</v>
      </c>
      <c r="M3127" t="str">
        <f>CONCATENATE(LEFT(Master_ventas[[#This Row],[ProdUpper]],3),RIGHT(Master_ventas[[#This Row],[Ext-Year]],2),"-",MID(Master_ventas[[#This Row],[Category]],1,1))</f>
        <v>MOU22-A</v>
      </c>
      <c r="N3127" t="str">
        <f>MID(Master_ventas[[#This Row],[ProdUpper]],1,3)</f>
        <v>MOU</v>
      </c>
      <c r="O3127" t="str">
        <f>UPPER(IF(Master_ventas[[#This Row],[Profit]]&gt;500,"High","Std"))</f>
        <v>STD</v>
      </c>
      <c r="P3127">
        <v>3126</v>
      </c>
    </row>
    <row r="3128" spans="1:16" x14ac:dyDescent="0.3">
      <c r="A3128" s="1">
        <v>44595</v>
      </c>
      <c r="B3128" t="s">
        <v>13</v>
      </c>
      <c r="C3128" t="s">
        <v>14</v>
      </c>
      <c r="D3128" t="s">
        <v>16</v>
      </c>
      <c r="E3128">
        <v>8</v>
      </c>
      <c r="F3128" s="3">
        <v>5416</v>
      </c>
      <c r="G3128" s="2">
        <v>297.5</v>
      </c>
      <c r="H3128">
        <f>Master_ventas[[#This Row],[Profit]]/Master_ventas[[#This Row],[Sales]]</f>
        <v>5.4929837518463809E-2</v>
      </c>
      <c r="I3128">
        <f ca="1">Referencia_Hoy-Master_ventas[[#This Row],[Order Date]]</f>
        <v>1728</v>
      </c>
      <c r="J3128" t="str">
        <f>UPPER(Master_ventas[[#This Row],[Product Name]])</f>
        <v>TABLET</v>
      </c>
      <c r="K3128" t="str">
        <f>UPPER(Master_ventas[[#This Row],[Category]])</f>
        <v>ELECTRONICS</v>
      </c>
      <c r="L3128">
        <f>YEAR(Master_ventas[[#This Row],[Order Date]])</f>
        <v>2022</v>
      </c>
      <c r="M3128" t="str">
        <f>CONCATENATE(LEFT(Master_ventas[[#This Row],[ProdUpper]],3),RIGHT(Master_ventas[[#This Row],[Ext-Year]],2),"-",MID(Master_ventas[[#This Row],[Category]],1,1))</f>
        <v>TAB22-E</v>
      </c>
      <c r="N3128" t="str">
        <f>MID(Master_ventas[[#This Row],[ProdUpper]],1,3)</f>
        <v>TAB</v>
      </c>
      <c r="O3128" t="str">
        <f>UPPER(IF(Master_ventas[[#This Row],[Profit]]&gt;500,"High","Std"))</f>
        <v>STD</v>
      </c>
      <c r="P3128">
        <v>3127</v>
      </c>
    </row>
    <row r="3129" spans="1:16" x14ac:dyDescent="0.3">
      <c r="A3129" s="1">
        <v>44970</v>
      </c>
      <c r="B3129" t="s">
        <v>19</v>
      </c>
      <c r="C3129" t="s">
        <v>14</v>
      </c>
      <c r="D3129" t="s">
        <v>12</v>
      </c>
      <c r="E3129">
        <v>2</v>
      </c>
      <c r="F3129" s="3">
        <v>2334</v>
      </c>
      <c r="G3129" s="2">
        <v>158.07</v>
      </c>
      <c r="H3129">
        <f>Master_ventas[[#This Row],[Profit]]/Master_ventas[[#This Row],[Sales]]</f>
        <v>6.7724935732647817E-2</v>
      </c>
      <c r="I3129">
        <f ca="1">Referencia_Hoy-Master_ventas[[#This Row],[Order Date]]</f>
        <v>1353</v>
      </c>
      <c r="J3129" t="str">
        <f>UPPER(Master_ventas[[#This Row],[Product Name]])</f>
        <v>SMARTWATCH</v>
      </c>
      <c r="K3129" t="str">
        <f>UPPER(Master_ventas[[#This Row],[Category]])</f>
        <v>ELECTRONICS</v>
      </c>
      <c r="L3129">
        <f>YEAR(Master_ventas[[#This Row],[Order Date]])</f>
        <v>2023</v>
      </c>
      <c r="M3129" t="str">
        <f>CONCATENATE(LEFT(Master_ventas[[#This Row],[ProdUpper]],3),RIGHT(Master_ventas[[#This Row],[Ext-Year]],2),"-",MID(Master_ventas[[#This Row],[Category]],1,1))</f>
        <v>SMA23-E</v>
      </c>
      <c r="N3129" t="str">
        <f>MID(Master_ventas[[#This Row],[ProdUpper]],1,3)</f>
        <v>SMA</v>
      </c>
      <c r="O3129" t="str">
        <f>UPPER(IF(Master_ventas[[#This Row],[Profit]]&gt;500,"High","Std"))</f>
        <v>STD</v>
      </c>
      <c r="P3129">
        <v>3128</v>
      </c>
    </row>
    <row r="3130" spans="1:16" x14ac:dyDescent="0.3">
      <c r="A3130" s="1">
        <v>44770</v>
      </c>
      <c r="B3130" t="s">
        <v>17</v>
      </c>
      <c r="C3130" t="s">
        <v>14</v>
      </c>
      <c r="D3130" t="s">
        <v>12</v>
      </c>
      <c r="E3130">
        <v>9</v>
      </c>
      <c r="F3130" s="3">
        <v>1080</v>
      </c>
      <c r="G3130" s="2">
        <v>183.42</v>
      </c>
      <c r="H3130">
        <f>Master_ventas[[#This Row],[Profit]]/Master_ventas[[#This Row],[Sales]]</f>
        <v>0.16983333333333331</v>
      </c>
      <c r="I3130">
        <f ca="1">Referencia_Hoy-Master_ventas[[#This Row],[Order Date]]</f>
        <v>1553</v>
      </c>
      <c r="J3130" t="str">
        <f>UPPER(Master_ventas[[#This Row],[Product Name]])</f>
        <v>CAMERA</v>
      </c>
      <c r="K3130" t="str">
        <f>UPPER(Master_ventas[[#This Row],[Category]])</f>
        <v>ELECTRONICS</v>
      </c>
      <c r="L3130">
        <f>YEAR(Master_ventas[[#This Row],[Order Date]])</f>
        <v>2022</v>
      </c>
      <c r="M3130" t="str">
        <f>CONCATENATE(LEFT(Master_ventas[[#This Row],[ProdUpper]],3),RIGHT(Master_ventas[[#This Row],[Ext-Year]],2),"-",MID(Master_ventas[[#This Row],[Category]],1,1))</f>
        <v>CAM22-E</v>
      </c>
      <c r="N3130" t="str">
        <f>MID(Master_ventas[[#This Row],[ProdUpper]],1,3)</f>
        <v>CAM</v>
      </c>
      <c r="O3130" t="str">
        <f>UPPER(IF(Master_ventas[[#This Row],[Profit]]&gt;500,"High","Std"))</f>
        <v>STD</v>
      </c>
      <c r="P3130">
        <v>3129</v>
      </c>
    </row>
    <row r="3131" spans="1:16" x14ac:dyDescent="0.3">
      <c r="A3131" s="1">
        <v>45420</v>
      </c>
      <c r="B3131" t="s">
        <v>13</v>
      </c>
      <c r="C3131" t="s">
        <v>14</v>
      </c>
      <c r="D3131" t="s">
        <v>15</v>
      </c>
      <c r="E3131">
        <v>4</v>
      </c>
      <c r="F3131" s="3">
        <v>1324</v>
      </c>
      <c r="G3131" s="2">
        <v>127.07</v>
      </c>
      <c r="H3131">
        <f>Master_ventas[[#This Row],[Profit]]/Master_ventas[[#This Row],[Sales]]</f>
        <v>9.5974320241691835E-2</v>
      </c>
      <c r="I3131">
        <f ca="1">Referencia_Hoy-Master_ventas[[#This Row],[Order Date]]</f>
        <v>903</v>
      </c>
      <c r="J3131" t="str">
        <f>UPPER(Master_ventas[[#This Row],[Product Name]])</f>
        <v>TABLET</v>
      </c>
      <c r="K3131" t="str">
        <f>UPPER(Master_ventas[[#This Row],[Category]])</f>
        <v>ELECTRONICS</v>
      </c>
      <c r="L3131">
        <f>YEAR(Master_ventas[[#This Row],[Order Date]])</f>
        <v>2024</v>
      </c>
      <c r="M3131" t="str">
        <f>CONCATENATE(LEFT(Master_ventas[[#This Row],[ProdUpper]],3),RIGHT(Master_ventas[[#This Row],[Ext-Year]],2),"-",MID(Master_ventas[[#This Row],[Category]],1,1))</f>
        <v>TAB24-E</v>
      </c>
      <c r="N3131" t="str">
        <f>MID(Master_ventas[[#This Row],[ProdUpper]],1,3)</f>
        <v>TAB</v>
      </c>
      <c r="O3131" t="str">
        <f>UPPER(IF(Master_ventas[[#This Row],[Profit]]&gt;500,"High","Std"))</f>
        <v>STD</v>
      </c>
      <c r="P3131">
        <v>3130</v>
      </c>
    </row>
    <row r="3132" spans="1:16" x14ac:dyDescent="0.3">
      <c r="A3132" s="1">
        <v>45123</v>
      </c>
      <c r="B3132" t="s">
        <v>17</v>
      </c>
      <c r="C3132" t="s">
        <v>14</v>
      </c>
      <c r="D3132" t="s">
        <v>16</v>
      </c>
      <c r="E3132">
        <v>2</v>
      </c>
      <c r="F3132" s="3">
        <v>2304</v>
      </c>
      <c r="G3132" s="2">
        <v>444.08</v>
      </c>
      <c r="H3132">
        <f>Master_ventas[[#This Row],[Profit]]/Master_ventas[[#This Row],[Sales]]</f>
        <v>0.19274305555555554</v>
      </c>
      <c r="I3132">
        <f ca="1">Referencia_Hoy-Master_ventas[[#This Row],[Order Date]]</f>
        <v>1200</v>
      </c>
      <c r="J3132" t="str">
        <f>UPPER(Master_ventas[[#This Row],[Product Name]])</f>
        <v>CAMERA</v>
      </c>
      <c r="K3132" t="str">
        <f>UPPER(Master_ventas[[#This Row],[Category]])</f>
        <v>ELECTRONICS</v>
      </c>
      <c r="L3132">
        <f>YEAR(Master_ventas[[#This Row],[Order Date]])</f>
        <v>2023</v>
      </c>
      <c r="M3132" t="str">
        <f>CONCATENATE(LEFT(Master_ventas[[#This Row],[ProdUpper]],3),RIGHT(Master_ventas[[#This Row],[Ext-Year]],2),"-",MID(Master_ventas[[#This Row],[Category]],1,1))</f>
        <v>CAM23-E</v>
      </c>
      <c r="N3132" t="str">
        <f>MID(Master_ventas[[#This Row],[ProdUpper]],1,3)</f>
        <v>CAM</v>
      </c>
      <c r="O3132" t="str">
        <f>UPPER(IF(Master_ventas[[#This Row],[Profit]]&gt;500,"High","Std"))</f>
        <v>STD</v>
      </c>
      <c r="P3132">
        <v>3131</v>
      </c>
    </row>
    <row r="3133" spans="1:16" x14ac:dyDescent="0.3">
      <c r="A3133" s="1">
        <v>45343</v>
      </c>
      <c r="B3133" t="s">
        <v>21</v>
      </c>
      <c r="C3133" t="s">
        <v>14</v>
      </c>
      <c r="D3133" t="s">
        <v>12</v>
      </c>
      <c r="E3133">
        <v>4</v>
      </c>
      <c r="F3133" s="3">
        <v>4736</v>
      </c>
      <c r="G3133" s="2">
        <v>1026.24</v>
      </c>
      <c r="H3133">
        <f>Master_ventas[[#This Row],[Profit]]/Master_ventas[[#This Row],[Sales]]</f>
        <v>0.2166891891891892</v>
      </c>
      <c r="I3133">
        <f ca="1">Referencia_Hoy-Master_ventas[[#This Row],[Order Date]]</f>
        <v>980</v>
      </c>
      <c r="J3133" t="str">
        <f>UPPER(Master_ventas[[#This Row],[Product Name]])</f>
        <v>SMARTPHONE</v>
      </c>
      <c r="K3133" t="str">
        <f>UPPER(Master_ventas[[#This Row],[Category]])</f>
        <v>ELECTRONICS</v>
      </c>
      <c r="L3133">
        <f>YEAR(Master_ventas[[#This Row],[Order Date]])</f>
        <v>2024</v>
      </c>
      <c r="M3133" t="str">
        <f>CONCATENATE(LEFT(Master_ventas[[#This Row],[ProdUpper]],3),RIGHT(Master_ventas[[#This Row],[Ext-Year]],2),"-",MID(Master_ventas[[#This Row],[Category]],1,1))</f>
        <v>SMA24-E</v>
      </c>
      <c r="N3133" t="str">
        <f>MID(Master_ventas[[#This Row],[ProdUpper]],1,3)</f>
        <v>SMA</v>
      </c>
      <c r="O3133" t="str">
        <f>UPPER(IF(Master_ventas[[#This Row],[Profit]]&gt;500,"High","Std"))</f>
        <v>HIGH</v>
      </c>
      <c r="P3133">
        <v>3132</v>
      </c>
    </row>
    <row r="3134" spans="1:16" x14ac:dyDescent="0.3">
      <c r="A3134" s="1">
        <v>45152</v>
      </c>
      <c r="B3134" t="s">
        <v>10</v>
      </c>
      <c r="C3134" t="s">
        <v>11</v>
      </c>
      <c r="D3134" t="s">
        <v>16</v>
      </c>
      <c r="E3134">
        <v>9</v>
      </c>
      <c r="F3134" s="3">
        <v>2925</v>
      </c>
      <c r="G3134" s="2">
        <v>457.49</v>
      </c>
      <c r="H3134">
        <f>Master_ventas[[#This Row],[Profit]]/Master_ventas[[#This Row],[Sales]]</f>
        <v>0.1564068376068376</v>
      </c>
      <c r="I3134">
        <f ca="1">Referencia_Hoy-Master_ventas[[#This Row],[Order Date]]</f>
        <v>1171</v>
      </c>
      <c r="J3134" t="str">
        <f>UPPER(Master_ventas[[#This Row],[Product Name]])</f>
        <v>MOUSE</v>
      </c>
      <c r="K3134" t="str">
        <f>UPPER(Master_ventas[[#This Row],[Category]])</f>
        <v>ACCESSORIES</v>
      </c>
      <c r="L3134">
        <f>YEAR(Master_ventas[[#This Row],[Order Date]])</f>
        <v>2023</v>
      </c>
      <c r="M3134" t="str">
        <f>CONCATENATE(LEFT(Master_ventas[[#This Row],[ProdUpper]],3),RIGHT(Master_ventas[[#This Row],[Ext-Year]],2),"-",MID(Master_ventas[[#This Row],[Category]],1,1))</f>
        <v>MOU23-A</v>
      </c>
      <c r="N3134" t="str">
        <f>MID(Master_ventas[[#This Row],[ProdUpper]],1,3)</f>
        <v>MOU</v>
      </c>
      <c r="O3134" t="str">
        <f>UPPER(IF(Master_ventas[[#This Row],[Profit]]&gt;500,"High","Std"))</f>
        <v>STD</v>
      </c>
      <c r="P3134">
        <v>3133</v>
      </c>
    </row>
    <row r="3135" spans="1:16" x14ac:dyDescent="0.3">
      <c r="A3135" s="1">
        <v>44953</v>
      </c>
      <c r="B3135" t="s">
        <v>23</v>
      </c>
      <c r="C3135" t="s">
        <v>14</v>
      </c>
      <c r="D3135" t="s">
        <v>12</v>
      </c>
      <c r="E3135">
        <v>9</v>
      </c>
      <c r="F3135" s="3">
        <v>6345</v>
      </c>
      <c r="G3135" s="2">
        <v>1627.26</v>
      </c>
      <c r="H3135">
        <f>Master_ventas[[#This Row],[Profit]]/Master_ventas[[#This Row],[Sales]]</f>
        <v>0.25646335697399525</v>
      </c>
      <c r="I3135">
        <f ca="1">Referencia_Hoy-Master_ventas[[#This Row],[Order Date]]</f>
        <v>1370</v>
      </c>
      <c r="J3135" t="str">
        <f>UPPER(Master_ventas[[#This Row],[Product Name]])</f>
        <v>LAPTOP</v>
      </c>
      <c r="K3135" t="str">
        <f>UPPER(Master_ventas[[#This Row],[Category]])</f>
        <v>ELECTRONICS</v>
      </c>
      <c r="L3135">
        <f>YEAR(Master_ventas[[#This Row],[Order Date]])</f>
        <v>2023</v>
      </c>
      <c r="M3135" t="str">
        <f>CONCATENATE(LEFT(Master_ventas[[#This Row],[ProdUpper]],3),RIGHT(Master_ventas[[#This Row],[Ext-Year]],2),"-",MID(Master_ventas[[#This Row],[Category]],1,1))</f>
        <v>LAP23-E</v>
      </c>
      <c r="N3135" t="str">
        <f>MID(Master_ventas[[#This Row],[ProdUpper]],1,3)</f>
        <v>LAP</v>
      </c>
      <c r="O3135" t="str">
        <f>UPPER(IF(Master_ventas[[#This Row],[Profit]]&gt;500,"High","Std"))</f>
        <v>HIGH</v>
      </c>
      <c r="P3135">
        <v>3134</v>
      </c>
    </row>
    <row r="3136" spans="1:16" x14ac:dyDescent="0.3">
      <c r="A3136" s="1">
        <v>44725</v>
      </c>
      <c r="B3136" t="s">
        <v>18</v>
      </c>
      <c r="C3136" t="s">
        <v>11</v>
      </c>
      <c r="D3136" t="s">
        <v>12</v>
      </c>
      <c r="E3136">
        <v>9</v>
      </c>
      <c r="F3136" s="3">
        <v>4221</v>
      </c>
      <c r="G3136" s="2">
        <v>912.84</v>
      </c>
      <c r="H3136">
        <f>Master_ventas[[#This Row],[Profit]]/Master_ventas[[#This Row],[Sales]]</f>
        <v>0.21626154939587777</v>
      </c>
      <c r="I3136">
        <f ca="1">Referencia_Hoy-Master_ventas[[#This Row],[Order Date]]</f>
        <v>1598</v>
      </c>
      <c r="J3136" t="str">
        <f>UPPER(Master_ventas[[#This Row],[Product Name]])</f>
        <v>HEADPHONES</v>
      </c>
      <c r="K3136" t="str">
        <f>UPPER(Master_ventas[[#This Row],[Category]])</f>
        <v>ACCESSORIES</v>
      </c>
      <c r="L3136">
        <f>YEAR(Master_ventas[[#This Row],[Order Date]])</f>
        <v>2022</v>
      </c>
      <c r="M3136" t="str">
        <f>CONCATENATE(LEFT(Master_ventas[[#This Row],[ProdUpper]],3),RIGHT(Master_ventas[[#This Row],[Ext-Year]],2),"-",MID(Master_ventas[[#This Row],[Category]],1,1))</f>
        <v>HEA22-A</v>
      </c>
      <c r="N3136" t="str">
        <f>MID(Master_ventas[[#This Row],[ProdUpper]],1,3)</f>
        <v>HEA</v>
      </c>
      <c r="O3136" t="str">
        <f>UPPER(IF(Master_ventas[[#This Row],[Profit]]&gt;500,"High","Std"))</f>
        <v>HIGH</v>
      </c>
      <c r="P3136">
        <v>3135</v>
      </c>
    </row>
    <row r="3137" spans="1:16" x14ac:dyDescent="0.3">
      <c r="A3137" s="1">
        <v>44901</v>
      </c>
      <c r="B3137" t="s">
        <v>18</v>
      </c>
      <c r="C3137" t="s">
        <v>11</v>
      </c>
      <c r="D3137" t="s">
        <v>15</v>
      </c>
      <c r="E3137">
        <v>7</v>
      </c>
      <c r="F3137" s="3">
        <v>462</v>
      </c>
      <c r="G3137" s="2">
        <v>56.89</v>
      </c>
      <c r="H3137">
        <f>Master_ventas[[#This Row],[Profit]]/Master_ventas[[#This Row],[Sales]]</f>
        <v>0.12313852813852814</v>
      </c>
      <c r="I3137">
        <f ca="1">Referencia_Hoy-Master_ventas[[#This Row],[Order Date]]</f>
        <v>1422</v>
      </c>
      <c r="J3137" t="str">
        <f>UPPER(Master_ventas[[#This Row],[Product Name]])</f>
        <v>HEADPHONES</v>
      </c>
      <c r="K3137" t="str">
        <f>UPPER(Master_ventas[[#This Row],[Category]])</f>
        <v>ACCESSORIES</v>
      </c>
      <c r="L3137">
        <f>YEAR(Master_ventas[[#This Row],[Order Date]])</f>
        <v>2022</v>
      </c>
      <c r="M3137" t="str">
        <f>CONCATENATE(LEFT(Master_ventas[[#This Row],[ProdUpper]],3),RIGHT(Master_ventas[[#This Row],[Ext-Year]],2),"-",MID(Master_ventas[[#This Row],[Category]],1,1))</f>
        <v>HEA22-A</v>
      </c>
      <c r="N3137" t="str">
        <f>MID(Master_ventas[[#This Row],[ProdUpper]],1,3)</f>
        <v>HEA</v>
      </c>
      <c r="O3137" t="str">
        <f>UPPER(IF(Master_ventas[[#This Row],[Profit]]&gt;500,"High","Std"))</f>
        <v>STD</v>
      </c>
      <c r="P3137">
        <v>3136</v>
      </c>
    </row>
    <row r="3138" spans="1:16" x14ac:dyDescent="0.3">
      <c r="A3138" s="1">
        <v>44694</v>
      </c>
      <c r="B3138" t="s">
        <v>20</v>
      </c>
      <c r="C3138" t="s">
        <v>11</v>
      </c>
      <c r="D3138" t="s">
        <v>9</v>
      </c>
      <c r="E3138">
        <v>7</v>
      </c>
      <c r="F3138" s="3">
        <v>7588</v>
      </c>
      <c r="G3138" s="2">
        <v>1625.55</v>
      </c>
      <c r="H3138">
        <f>Master_ventas[[#This Row],[Profit]]/Master_ventas[[#This Row],[Sales]]</f>
        <v>0.21422641012124408</v>
      </c>
      <c r="I3138">
        <f ca="1">Referencia_Hoy-Master_ventas[[#This Row],[Order Date]]</f>
        <v>1629</v>
      </c>
      <c r="J3138" t="str">
        <f>UPPER(Master_ventas[[#This Row],[Product Name]])</f>
        <v>MONITOR</v>
      </c>
      <c r="K3138" t="str">
        <f>UPPER(Master_ventas[[#This Row],[Category]])</f>
        <v>ACCESSORIES</v>
      </c>
      <c r="L3138">
        <f>YEAR(Master_ventas[[#This Row],[Order Date]])</f>
        <v>2022</v>
      </c>
      <c r="M3138" t="str">
        <f>CONCATENATE(LEFT(Master_ventas[[#This Row],[ProdUpper]],3),RIGHT(Master_ventas[[#This Row],[Ext-Year]],2),"-",MID(Master_ventas[[#This Row],[Category]],1,1))</f>
        <v>MON22-A</v>
      </c>
      <c r="N3138" t="str">
        <f>MID(Master_ventas[[#This Row],[ProdUpper]],1,3)</f>
        <v>MON</v>
      </c>
      <c r="O3138" t="str">
        <f>UPPER(IF(Master_ventas[[#This Row],[Profit]]&gt;500,"High","Std"))</f>
        <v>HIGH</v>
      </c>
      <c r="P3138">
        <v>3137</v>
      </c>
    </row>
    <row r="3139" spans="1:16" x14ac:dyDescent="0.3">
      <c r="A3139" s="1">
        <v>44907</v>
      </c>
      <c r="B3139" t="s">
        <v>22</v>
      </c>
      <c r="C3139" t="s">
        <v>11</v>
      </c>
      <c r="D3139" t="s">
        <v>9</v>
      </c>
      <c r="E3139">
        <v>6</v>
      </c>
      <c r="F3139" s="3">
        <v>5232</v>
      </c>
      <c r="G3139" s="2">
        <v>1270.6400000000001</v>
      </c>
      <c r="H3139">
        <f>Master_ventas[[#This Row],[Profit]]/Master_ventas[[#This Row],[Sales]]</f>
        <v>0.24285932721712541</v>
      </c>
      <c r="I3139">
        <f ca="1">Referencia_Hoy-Master_ventas[[#This Row],[Order Date]]</f>
        <v>1416</v>
      </c>
      <c r="J3139" t="str">
        <f>UPPER(Master_ventas[[#This Row],[Product Name]])</f>
        <v>KEYBOARD</v>
      </c>
      <c r="K3139" t="str">
        <f>UPPER(Master_ventas[[#This Row],[Category]])</f>
        <v>ACCESSORIES</v>
      </c>
      <c r="L3139">
        <f>YEAR(Master_ventas[[#This Row],[Order Date]])</f>
        <v>2022</v>
      </c>
      <c r="M3139" t="str">
        <f>CONCATENATE(LEFT(Master_ventas[[#This Row],[ProdUpper]],3),RIGHT(Master_ventas[[#This Row],[Ext-Year]],2),"-",MID(Master_ventas[[#This Row],[Category]],1,1))</f>
        <v>KEY22-A</v>
      </c>
      <c r="N3139" t="str">
        <f>MID(Master_ventas[[#This Row],[ProdUpper]],1,3)</f>
        <v>KEY</v>
      </c>
      <c r="O3139" t="str">
        <f>UPPER(IF(Master_ventas[[#This Row],[Profit]]&gt;500,"High","Std"))</f>
        <v>HIGH</v>
      </c>
      <c r="P3139">
        <v>3138</v>
      </c>
    </row>
    <row r="3140" spans="1:16" x14ac:dyDescent="0.3">
      <c r="A3140" s="1">
        <v>45505</v>
      </c>
      <c r="B3140" t="s">
        <v>17</v>
      </c>
      <c r="C3140" t="s">
        <v>14</v>
      </c>
      <c r="D3140" t="s">
        <v>12</v>
      </c>
      <c r="E3140">
        <v>8</v>
      </c>
      <c r="F3140" s="3">
        <v>1440</v>
      </c>
      <c r="G3140" s="2">
        <v>402.06</v>
      </c>
      <c r="H3140">
        <f>Master_ventas[[#This Row],[Profit]]/Master_ventas[[#This Row],[Sales]]</f>
        <v>0.27920833333333334</v>
      </c>
      <c r="I3140">
        <f ca="1">Referencia_Hoy-Master_ventas[[#This Row],[Order Date]]</f>
        <v>818</v>
      </c>
      <c r="J3140" t="str">
        <f>UPPER(Master_ventas[[#This Row],[Product Name]])</f>
        <v>CAMERA</v>
      </c>
      <c r="K3140" t="str">
        <f>UPPER(Master_ventas[[#This Row],[Category]])</f>
        <v>ELECTRONICS</v>
      </c>
      <c r="L3140">
        <f>YEAR(Master_ventas[[#This Row],[Order Date]])</f>
        <v>2024</v>
      </c>
      <c r="M3140" t="str">
        <f>CONCATENATE(LEFT(Master_ventas[[#This Row],[ProdUpper]],3),RIGHT(Master_ventas[[#This Row],[Ext-Year]],2),"-",MID(Master_ventas[[#This Row],[Category]],1,1))</f>
        <v>CAM24-E</v>
      </c>
      <c r="N3140" t="str">
        <f>MID(Master_ventas[[#This Row],[ProdUpper]],1,3)</f>
        <v>CAM</v>
      </c>
      <c r="O3140" t="str">
        <f>UPPER(IF(Master_ventas[[#This Row],[Profit]]&gt;500,"High","Std"))</f>
        <v>STD</v>
      </c>
      <c r="P3140">
        <v>3139</v>
      </c>
    </row>
    <row r="3141" spans="1:16" x14ac:dyDescent="0.3">
      <c r="A3141" s="1">
        <v>45016</v>
      </c>
      <c r="B3141" t="s">
        <v>20</v>
      </c>
      <c r="C3141" t="s">
        <v>11</v>
      </c>
      <c r="D3141" t="s">
        <v>9</v>
      </c>
      <c r="E3141">
        <v>2</v>
      </c>
      <c r="F3141" s="3">
        <v>1026</v>
      </c>
      <c r="G3141" s="2">
        <v>226.4</v>
      </c>
      <c r="H3141">
        <f>Master_ventas[[#This Row],[Profit]]/Master_ventas[[#This Row],[Sales]]</f>
        <v>0.22066276803118909</v>
      </c>
      <c r="I3141">
        <f ca="1">Referencia_Hoy-Master_ventas[[#This Row],[Order Date]]</f>
        <v>1307</v>
      </c>
      <c r="J3141" t="str">
        <f>UPPER(Master_ventas[[#This Row],[Product Name]])</f>
        <v>MONITOR</v>
      </c>
      <c r="K3141" t="str">
        <f>UPPER(Master_ventas[[#This Row],[Category]])</f>
        <v>ACCESSORIES</v>
      </c>
      <c r="L3141">
        <f>YEAR(Master_ventas[[#This Row],[Order Date]])</f>
        <v>2023</v>
      </c>
      <c r="M3141" t="str">
        <f>CONCATENATE(LEFT(Master_ventas[[#This Row],[ProdUpper]],3),RIGHT(Master_ventas[[#This Row],[Ext-Year]],2),"-",MID(Master_ventas[[#This Row],[Category]],1,1))</f>
        <v>MON23-A</v>
      </c>
      <c r="N3141" t="str">
        <f>MID(Master_ventas[[#This Row],[ProdUpper]],1,3)</f>
        <v>MON</v>
      </c>
      <c r="O3141" t="str">
        <f>UPPER(IF(Master_ventas[[#This Row],[Profit]]&gt;500,"High","Std"))</f>
        <v>STD</v>
      </c>
      <c r="P3141">
        <v>3140</v>
      </c>
    </row>
    <row r="3142" spans="1:16" x14ac:dyDescent="0.3">
      <c r="A3142" s="1">
        <v>45556</v>
      </c>
      <c r="B3142" t="s">
        <v>17</v>
      </c>
      <c r="C3142" t="s">
        <v>14</v>
      </c>
      <c r="D3142" t="s">
        <v>9</v>
      </c>
      <c r="E3142">
        <v>7</v>
      </c>
      <c r="F3142" s="3">
        <v>7455</v>
      </c>
      <c r="G3142" s="2">
        <v>1008.42</v>
      </c>
      <c r="H3142">
        <f>Master_ventas[[#This Row],[Profit]]/Master_ventas[[#This Row],[Sales]]</f>
        <v>0.1352676056338028</v>
      </c>
      <c r="I3142">
        <f ca="1">Referencia_Hoy-Master_ventas[[#This Row],[Order Date]]</f>
        <v>767</v>
      </c>
      <c r="J3142" t="str">
        <f>UPPER(Master_ventas[[#This Row],[Product Name]])</f>
        <v>CAMERA</v>
      </c>
      <c r="K3142" t="str">
        <f>UPPER(Master_ventas[[#This Row],[Category]])</f>
        <v>ELECTRONICS</v>
      </c>
      <c r="L3142">
        <f>YEAR(Master_ventas[[#This Row],[Order Date]])</f>
        <v>2024</v>
      </c>
      <c r="M3142" t="str">
        <f>CONCATENATE(LEFT(Master_ventas[[#This Row],[ProdUpper]],3),RIGHT(Master_ventas[[#This Row],[Ext-Year]],2),"-",MID(Master_ventas[[#This Row],[Category]],1,1))</f>
        <v>CAM24-E</v>
      </c>
      <c r="N3142" t="str">
        <f>MID(Master_ventas[[#This Row],[ProdUpper]],1,3)</f>
        <v>CAM</v>
      </c>
      <c r="O3142" t="str">
        <f>UPPER(IF(Master_ventas[[#This Row],[Profit]]&gt;500,"High","Std"))</f>
        <v>HIGH</v>
      </c>
      <c r="P3142">
        <v>3141</v>
      </c>
    </row>
    <row r="3143" spans="1:16" x14ac:dyDescent="0.3">
      <c r="A3143" s="1">
        <v>45259</v>
      </c>
      <c r="B3143" t="s">
        <v>7</v>
      </c>
      <c r="C3143" t="s">
        <v>8</v>
      </c>
      <c r="D3143" t="s">
        <v>12</v>
      </c>
      <c r="E3143">
        <v>8</v>
      </c>
      <c r="F3143" s="3">
        <v>2456</v>
      </c>
      <c r="G3143" s="2">
        <v>404.35</v>
      </c>
      <c r="H3143">
        <f>Master_ventas[[#This Row],[Profit]]/Master_ventas[[#This Row],[Sales]]</f>
        <v>0.16463762214983715</v>
      </c>
      <c r="I3143">
        <f ca="1">Referencia_Hoy-Master_ventas[[#This Row],[Order Date]]</f>
        <v>1064</v>
      </c>
      <c r="J3143" t="str">
        <f>UPPER(Master_ventas[[#This Row],[Product Name]])</f>
        <v>PRINTER</v>
      </c>
      <c r="K3143" t="str">
        <f>UPPER(Master_ventas[[#This Row],[Category]])</f>
        <v>OFFICE</v>
      </c>
      <c r="L3143">
        <f>YEAR(Master_ventas[[#This Row],[Order Date]])</f>
        <v>2023</v>
      </c>
      <c r="M3143" t="str">
        <f>CONCATENATE(LEFT(Master_ventas[[#This Row],[ProdUpper]],3),RIGHT(Master_ventas[[#This Row],[Ext-Year]],2),"-",MID(Master_ventas[[#This Row],[Category]],1,1))</f>
        <v>PRI23-O</v>
      </c>
      <c r="N3143" t="str">
        <f>MID(Master_ventas[[#This Row],[ProdUpper]],1,3)</f>
        <v>PRI</v>
      </c>
      <c r="O3143" t="str">
        <f>UPPER(IF(Master_ventas[[#This Row],[Profit]]&gt;500,"High","Std"))</f>
        <v>STD</v>
      </c>
      <c r="P3143">
        <v>3142</v>
      </c>
    </row>
    <row r="3144" spans="1:16" x14ac:dyDescent="0.3">
      <c r="A3144" s="1">
        <v>44866</v>
      </c>
      <c r="B3144" t="s">
        <v>17</v>
      </c>
      <c r="C3144" t="s">
        <v>14</v>
      </c>
      <c r="D3144" t="s">
        <v>9</v>
      </c>
      <c r="E3144">
        <v>3</v>
      </c>
      <c r="F3144" s="3">
        <v>2859</v>
      </c>
      <c r="G3144" s="2">
        <v>404.56</v>
      </c>
      <c r="H3144">
        <f>Master_ventas[[#This Row],[Profit]]/Master_ventas[[#This Row],[Sales]]</f>
        <v>0.14150402238544946</v>
      </c>
      <c r="I3144">
        <f ca="1">Referencia_Hoy-Master_ventas[[#This Row],[Order Date]]</f>
        <v>1457</v>
      </c>
      <c r="J3144" t="str">
        <f>UPPER(Master_ventas[[#This Row],[Product Name]])</f>
        <v>CAMERA</v>
      </c>
      <c r="K3144" t="str">
        <f>UPPER(Master_ventas[[#This Row],[Category]])</f>
        <v>ELECTRONICS</v>
      </c>
      <c r="L3144">
        <f>YEAR(Master_ventas[[#This Row],[Order Date]])</f>
        <v>2022</v>
      </c>
      <c r="M3144" t="str">
        <f>CONCATENATE(LEFT(Master_ventas[[#This Row],[ProdUpper]],3),RIGHT(Master_ventas[[#This Row],[Ext-Year]],2),"-",MID(Master_ventas[[#This Row],[Category]],1,1))</f>
        <v>CAM22-E</v>
      </c>
      <c r="N3144" t="str">
        <f>MID(Master_ventas[[#This Row],[ProdUpper]],1,3)</f>
        <v>CAM</v>
      </c>
      <c r="O3144" t="str">
        <f>UPPER(IF(Master_ventas[[#This Row],[Profit]]&gt;500,"High","Std"))</f>
        <v>STD</v>
      </c>
      <c r="P3144">
        <v>3143</v>
      </c>
    </row>
    <row r="3145" spans="1:16" x14ac:dyDescent="0.3">
      <c r="A3145" s="1">
        <v>45299</v>
      </c>
      <c r="B3145" t="s">
        <v>22</v>
      </c>
      <c r="C3145" t="s">
        <v>11</v>
      </c>
      <c r="D3145" t="s">
        <v>12</v>
      </c>
      <c r="E3145">
        <v>1</v>
      </c>
      <c r="F3145" s="3">
        <v>311</v>
      </c>
      <c r="G3145" s="2">
        <v>50.66</v>
      </c>
      <c r="H3145">
        <f>Master_ventas[[#This Row],[Profit]]/Master_ventas[[#This Row],[Sales]]</f>
        <v>0.16289389067524115</v>
      </c>
      <c r="I3145">
        <f ca="1">Referencia_Hoy-Master_ventas[[#This Row],[Order Date]]</f>
        <v>1024</v>
      </c>
      <c r="J3145" t="str">
        <f>UPPER(Master_ventas[[#This Row],[Product Name]])</f>
        <v>KEYBOARD</v>
      </c>
      <c r="K3145" t="str">
        <f>UPPER(Master_ventas[[#This Row],[Category]])</f>
        <v>ACCESSORIES</v>
      </c>
      <c r="L3145">
        <f>YEAR(Master_ventas[[#This Row],[Order Date]])</f>
        <v>2024</v>
      </c>
      <c r="M3145" t="str">
        <f>CONCATENATE(LEFT(Master_ventas[[#This Row],[ProdUpper]],3),RIGHT(Master_ventas[[#This Row],[Ext-Year]],2),"-",MID(Master_ventas[[#This Row],[Category]],1,1))</f>
        <v>KEY24-A</v>
      </c>
      <c r="N3145" t="str">
        <f>MID(Master_ventas[[#This Row],[ProdUpper]],1,3)</f>
        <v>KEY</v>
      </c>
      <c r="O3145" t="str">
        <f>UPPER(IF(Master_ventas[[#This Row],[Profit]]&gt;500,"High","Std"))</f>
        <v>STD</v>
      </c>
      <c r="P3145">
        <v>3144</v>
      </c>
    </row>
    <row r="3146" spans="1:16" x14ac:dyDescent="0.3">
      <c r="A3146" s="1">
        <v>44862</v>
      </c>
      <c r="B3146" t="s">
        <v>7</v>
      </c>
      <c r="C3146" t="s">
        <v>8</v>
      </c>
      <c r="D3146" t="s">
        <v>12</v>
      </c>
      <c r="E3146">
        <v>9</v>
      </c>
      <c r="F3146" s="3">
        <v>1260</v>
      </c>
      <c r="G3146" s="2">
        <v>246.6</v>
      </c>
      <c r="H3146">
        <f>Master_ventas[[#This Row],[Profit]]/Master_ventas[[#This Row],[Sales]]</f>
        <v>0.1957142857142857</v>
      </c>
      <c r="I3146">
        <f ca="1">Referencia_Hoy-Master_ventas[[#This Row],[Order Date]]</f>
        <v>1461</v>
      </c>
      <c r="J3146" t="str">
        <f>UPPER(Master_ventas[[#This Row],[Product Name]])</f>
        <v>PRINTER</v>
      </c>
      <c r="K3146" t="str">
        <f>UPPER(Master_ventas[[#This Row],[Category]])</f>
        <v>OFFICE</v>
      </c>
      <c r="L3146">
        <f>YEAR(Master_ventas[[#This Row],[Order Date]])</f>
        <v>2022</v>
      </c>
      <c r="M3146" t="str">
        <f>CONCATENATE(LEFT(Master_ventas[[#This Row],[ProdUpper]],3),RIGHT(Master_ventas[[#This Row],[Ext-Year]],2),"-",MID(Master_ventas[[#This Row],[Category]],1,1))</f>
        <v>PRI22-O</v>
      </c>
      <c r="N3146" t="str">
        <f>MID(Master_ventas[[#This Row],[ProdUpper]],1,3)</f>
        <v>PRI</v>
      </c>
      <c r="O3146" t="str">
        <f>UPPER(IF(Master_ventas[[#This Row],[Profit]]&gt;500,"High","Std"))</f>
        <v>STD</v>
      </c>
      <c r="P3146">
        <v>3145</v>
      </c>
    </row>
    <row r="3147" spans="1:16" x14ac:dyDescent="0.3">
      <c r="A3147" s="1">
        <v>44579</v>
      </c>
      <c r="B3147" t="s">
        <v>22</v>
      </c>
      <c r="C3147" t="s">
        <v>11</v>
      </c>
      <c r="D3147" t="s">
        <v>15</v>
      </c>
      <c r="E3147">
        <v>1</v>
      </c>
      <c r="F3147" s="3">
        <v>466</v>
      </c>
      <c r="G3147" s="2">
        <v>102.48</v>
      </c>
      <c r="H3147">
        <f>Master_ventas[[#This Row],[Profit]]/Master_ventas[[#This Row],[Sales]]</f>
        <v>0.21991416309012876</v>
      </c>
      <c r="I3147">
        <f ca="1">Referencia_Hoy-Master_ventas[[#This Row],[Order Date]]</f>
        <v>1744</v>
      </c>
      <c r="J3147" t="str">
        <f>UPPER(Master_ventas[[#This Row],[Product Name]])</f>
        <v>KEYBOARD</v>
      </c>
      <c r="K3147" t="str">
        <f>UPPER(Master_ventas[[#This Row],[Category]])</f>
        <v>ACCESSORIES</v>
      </c>
      <c r="L3147">
        <f>YEAR(Master_ventas[[#This Row],[Order Date]])</f>
        <v>2022</v>
      </c>
      <c r="M3147" t="str">
        <f>CONCATENATE(LEFT(Master_ventas[[#This Row],[ProdUpper]],3),RIGHT(Master_ventas[[#This Row],[Ext-Year]],2),"-",MID(Master_ventas[[#This Row],[Category]],1,1))</f>
        <v>KEY22-A</v>
      </c>
      <c r="N3147" t="str">
        <f>MID(Master_ventas[[#This Row],[ProdUpper]],1,3)</f>
        <v>KEY</v>
      </c>
      <c r="O3147" t="str">
        <f>UPPER(IF(Master_ventas[[#This Row],[Profit]]&gt;500,"High","Std"))</f>
        <v>STD</v>
      </c>
      <c r="P3147">
        <v>3146</v>
      </c>
    </row>
    <row r="3148" spans="1:16" x14ac:dyDescent="0.3">
      <c r="A3148" s="1">
        <v>44979</v>
      </c>
      <c r="B3148" t="s">
        <v>23</v>
      </c>
      <c r="C3148" t="s">
        <v>14</v>
      </c>
      <c r="D3148" t="s">
        <v>16</v>
      </c>
      <c r="E3148">
        <v>3</v>
      </c>
      <c r="F3148" s="3">
        <v>867</v>
      </c>
      <c r="G3148" s="2">
        <v>58.2</v>
      </c>
      <c r="H3148">
        <f>Master_ventas[[#This Row],[Profit]]/Master_ventas[[#This Row],[Sales]]</f>
        <v>6.7128027681660901E-2</v>
      </c>
      <c r="I3148">
        <f ca="1">Referencia_Hoy-Master_ventas[[#This Row],[Order Date]]</f>
        <v>1344</v>
      </c>
      <c r="J3148" t="str">
        <f>UPPER(Master_ventas[[#This Row],[Product Name]])</f>
        <v>LAPTOP</v>
      </c>
      <c r="K3148" t="str">
        <f>UPPER(Master_ventas[[#This Row],[Category]])</f>
        <v>ELECTRONICS</v>
      </c>
      <c r="L3148">
        <f>YEAR(Master_ventas[[#This Row],[Order Date]])</f>
        <v>2023</v>
      </c>
      <c r="M3148" t="str">
        <f>CONCATENATE(LEFT(Master_ventas[[#This Row],[ProdUpper]],3),RIGHT(Master_ventas[[#This Row],[Ext-Year]],2),"-",MID(Master_ventas[[#This Row],[Category]],1,1))</f>
        <v>LAP23-E</v>
      </c>
      <c r="N3148" t="str">
        <f>MID(Master_ventas[[#This Row],[ProdUpper]],1,3)</f>
        <v>LAP</v>
      </c>
      <c r="O3148" t="str">
        <f>UPPER(IF(Master_ventas[[#This Row],[Profit]]&gt;500,"High","Std"))</f>
        <v>STD</v>
      </c>
      <c r="P3148">
        <v>3147</v>
      </c>
    </row>
    <row r="3149" spans="1:16" x14ac:dyDescent="0.3">
      <c r="A3149" s="1">
        <v>44981</v>
      </c>
      <c r="B3149" t="s">
        <v>20</v>
      </c>
      <c r="C3149" t="s">
        <v>11</v>
      </c>
      <c r="D3149" t="s">
        <v>15</v>
      </c>
      <c r="E3149">
        <v>6</v>
      </c>
      <c r="F3149" s="3">
        <v>3888</v>
      </c>
      <c r="G3149" s="2">
        <v>275.72000000000003</v>
      </c>
      <c r="H3149">
        <f>Master_ventas[[#This Row],[Profit]]/Master_ventas[[#This Row],[Sales]]</f>
        <v>7.0915637860082315E-2</v>
      </c>
      <c r="I3149">
        <f ca="1">Referencia_Hoy-Master_ventas[[#This Row],[Order Date]]</f>
        <v>1342</v>
      </c>
      <c r="J3149" t="str">
        <f>UPPER(Master_ventas[[#This Row],[Product Name]])</f>
        <v>MONITOR</v>
      </c>
      <c r="K3149" t="str">
        <f>UPPER(Master_ventas[[#This Row],[Category]])</f>
        <v>ACCESSORIES</v>
      </c>
      <c r="L3149">
        <f>YEAR(Master_ventas[[#This Row],[Order Date]])</f>
        <v>2023</v>
      </c>
      <c r="M3149" t="str">
        <f>CONCATENATE(LEFT(Master_ventas[[#This Row],[ProdUpper]],3),RIGHT(Master_ventas[[#This Row],[Ext-Year]],2),"-",MID(Master_ventas[[#This Row],[Category]],1,1))</f>
        <v>MON23-A</v>
      </c>
      <c r="N3149" t="str">
        <f>MID(Master_ventas[[#This Row],[ProdUpper]],1,3)</f>
        <v>MON</v>
      </c>
      <c r="O3149" t="str">
        <f>UPPER(IF(Master_ventas[[#This Row],[Profit]]&gt;500,"High","Std"))</f>
        <v>STD</v>
      </c>
      <c r="P3149">
        <v>3148</v>
      </c>
    </row>
    <row r="3150" spans="1:16" x14ac:dyDescent="0.3">
      <c r="A3150" s="1">
        <v>45394</v>
      </c>
      <c r="B3150" t="s">
        <v>13</v>
      </c>
      <c r="C3150" t="s">
        <v>14</v>
      </c>
      <c r="D3150" t="s">
        <v>9</v>
      </c>
      <c r="E3150">
        <v>4</v>
      </c>
      <c r="F3150" s="3">
        <v>3032</v>
      </c>
      <c r="G3150" s="2">
        <v>347.2</v>
      </c>
      <c r="H3150">
        <f>Master_ventas[[#This Row],[Profit]]/Master_ventas[[#This Row],[Sales]]</f>
        <v>0.11451187335092348</v>
      </c>
      <c r="I3150">
        <f ca="1">Referencia_Hoy-Master_ventas[[#This Row],[Order Date]]</f>
        <v>929</v>
      </c>
      <c r="J3150" t="str">
        <f>UPPER(Master_ventas[[#This Row],[Product Name]])</f>
        <v>TABLET</v>
      </c>
      <c r="K3150" t="str">
        <f>UPPER(Master_ventas[[#This Row],[Category]])</f>
        <v>ELECTRONICS</v>
      </c>
      <c r="L3150">
        <f>YEAR(Master_ventas[[#This Row],[Order Date]])</f>
        <v>2024</v>
      </c>
      <c r="M3150" t="str">
        <f>CONCATENATE(LEFT(Master_ventas[[#This Row],[ProdUpper]],3),RIGHT(Master_ventas[[#This Row],[Ext-Year]],2),"-",MID(Master_ventas[[#This Row],[Category]],1,1))</f>
        <v>TAB24-E</v>
      </c>
      <c r="N3150" t="str">
        <f>MID(Master_ventas[[#This Row],[ProdUpper]],1,3)</f>
        <v>TAB</v>
      </c>
      <c r="O3150" t="str">
        <f>UPPER(IF(Master_ventas[[#This Row],[Profit]]&gt;500,"High","Std"))</f>
        <v>STD</v>
      </c>
      <c r="P3150">
        <v>3149</v>
      </c>
    </row>
    <row r="3151" spans="1:16" x14ac:dyDescent="0.3">
      <c r="A3151" s="1">
        <v>45282</v>
      </c>
      <c r="B3151" t="s">
        <v>13</v>
      </c>
      <c r="C3151" t="s">
        <v>14</v>
      </c>
      <c r="D3151" t="s">
        <v>9</v>
      </c>
      <c r="E3151">
        <v>7</v>
      </c>
      <c r="F3151" s="3">
        <v>4704</v>
      </c>
      <c r="G3151" s="2">
        <v>978.81</v>
      </c>
      <c r="H3151">
        <f>Master_ventas[[#This Row],[Profit]]/Master_ventas[[#This Row],[Sales]]</f>
        <v>0.20808035714285714</v>
      </c>
      <c r="I3151">
        <f ca="1">Referencia_Hoy-Master_ventas[[#This Row],[Order Date]]</f>
        <v>1041</v>
      </c>
      <c r="J3151" t="str">
        <f>UPPER(Master_ventas[[#This Row],[Product Name]])</f>
        <v>TABLET</v>
      </c>
      <c r="K3151" t="str">
        <f>UPPER(Master_ventas[[#This Row],[Category]])</f>
        <v>ELECTRONICS</v>
      </c>
      <c r="L3151">
        <f>YEAR(Master_ventas[[#This Row],[Order Date]])</f>
        <v>2023</v>
      </c>
      <c r="M3151" t="str">
        <f>CONCATENATE(LEFT(Master_ventas[[#This Row],[ProdUpper]],3),RIGHT(Master_ventas[[#This Row],[Ext-Year]],2),"-",MID(Master_ventas[[#This Row],[Category]],1,1))</f>
        <v>TAB23-E</v>
      </c>
      <c r="N3151" t="str">
        <f>MID(Master_ventas[[#This Row],[ProdUpper]],1,3)</f>
        <v>TAB</v>
      </c>
      <c r="O3151" t="str">
        <f>UPPER(IF(Master_ventas[[#This Row],[Profit]]&gt;500,"High","Std"))</f>
        <v>HIGH</v>
      </c>
      <c r="P3151">
        <v>3150</v>
      </c>
    </row>
    <row r="3152" spans="1:16" x14ac:dyDescent="0.3">
      <c r="A3152" s="1">
        <v>44861</v>
      </c>
      <c r="B3152" t="s">
        <v>7</v>
      </c>
      <c r="C3152" t="s">
        <v>8</v>
      </c>
      <c r="D3152" t="s">
        <v>16</v>
      </c>
      <c r="E3152">
        <v>3</v>
      </c>
      <c r="F3152" s="3">
        <v>3186</v>
      </c>
      <c r="G3152" s="2">
        <v>527.75</v>
      </c>
      <c r="H3152">
        <f>Master_ventas[[#This Row],[Profit]]/Master_ventas[[#This Row],[Sales]]</f>
        <v>0.16564657878217201</v>
      </c>
      <c r="I3152">
        <f ca="1">Referencia_Hoy-Master_ventas[[#This Row],[Order Date]]</f>
        <v>1462</v>
      </c>
      <c r="J3152" t="str">
        <f>UPPER(Master_ventas[[#This Row],[Product Name]])</f>
        <v>PRINTER</v>
      </c>
      <c r="K3152" t="str">
        <f>UPPER(Master_ventas[[#This Row],[Category]])</f>
        <v>OFFICE</v>
      </c>
      <c r="L3152">
        <f>YEAR(Master_ventas[[#This Row],[Order Date]])</f>
        <v>2022</v>
      </c>
      <c r="M3152" t="str">
        <f>CONCATENATE(LEFT(Master_ventas[[#This Row],[ProdUpper]],3),RIGHT(Master_ventas[[#This Row],[Ext-Year]],2),"-",MID(Master_ventas[[#This Row],[Category]],1,1))</f>
        <v>PRI22-O</v>
      </c>
      <c r="N3152" t="str">
        <f>MID(Master_ventas[[#This Row],[ProdUpper]],1,3)</f>
        <v>PRI</v>
      </c>
      <c r="O3152" t="str">
        <f>UPPER(IF(Master_ventas[[#This Row],[Profit]]&gt;500,"High","Std"))</f>
        <v>HIGH</v>
      </c>
      <c r="P3152">
        <v>3151</v>
      </c>
    </row>
    <row r="3153" spans="1:16" x14ac:dyDescent="0.3">
      <c r="A3153" s="1">
        <v>45522</v>
      </c>
      <c r="B3153" t="s">
        <v>7</v>
      </c>
      <c r="C3153" t="s">
        <v>8</v>
      </c>
      <c r="D3153" t="s">
        <v>9</v>
      </c>
      <c r="E3153">
        <v>9</v>
      </c>
      <c r="F3153" s="3">
        <v>6183</v>
      </c>
      <c r="G3153" s="2">
        <v>359.54</v>
      </c>
      <c r="H3153">
        <f>Master_ventas[[#This Row],[Profit]]/Master_ventas[[#This Row],[Sales]]</f>
        <v>5.814976548601003E-2</v>
      </c>
      <c r="I3153">
        <f ca="1">Referencia_Hoy-Master_ventas[[#This Row],[Order Date]]</f>
        <v>801</v>
      </c>
      <c r="J3153" t="str">
        <f>UPPER(Master_ventas[[#This Row],[Product Name]])</f>
        <v>PRINTER</v>
      </c>
      <c r="K3153" t="str">
        <f>UPPER(Master_ventas[[#This Row],[Category]])</f>
        <v>OFFICE</v>
      </c>
      <c r="L3153">
        <f>YEAR(Master_ventas[[#This Row],[Order Date]])</f>
        <v>2024</v>
      </c>
      <c r="M3153" t="str">
        <f>CONCATENATE(LEFT(Master_ventas[[#This Row],[ProdUpper]],3),RIGHT(Master_ventas[[#This Row],[Ext-Year]],2),"-",MID(Master_ventas[[#This Row],[Category]],1,1))</f>
        <v>PRI24-O</v>
      </c>
      <c r="N3153" t="str">
        <f>MID(Master_ventas[[#This Row],[ProdUpper]],1,3)</f>
        <v>PRI</v>
      </c>
      <c r="O3153" t="str">
        <f>UPPER(IF(Master_ventas[[#This Row],[Profit]]&gt;500,"High","Std"))</f>
        <v>STD</v>
      </c>
      <c r="P3153">
        <v>3152</v>
      </c>
    </row>
    <row r="3154" spans="1:16" x14ac:dyDescent="0.3">
      <c r="A3154" s="1">
        <v>44848</v>
      </c>
      <c r="B3154" t="s">
        <v>19</v>
      </c>
      <c r="C3154" t="s">
        <v>14</v>
      </c>
      <c r="D3154" t="s">
        <v>16</v>
      </c>
      <c r="E3154">
        <v>1</v>
      </c>
      <c r="F3154" s="3">
        <v>243</v>
      </c>
      <c r="G3154" s="2">
        <v>21.75</v>
      </c>
      <c r="H3154">
        <f>Master_ventas[[#This Row],[Profit]]/Master_ventas[[#This Row],[Sales]]</f>
        <v>8.9506172839506168E-2</v>
      </c>
      <c r="I3154">
        <f ca="1">Referencia_Hoy-Master_ventas[[#This Row],[Order Date]]</f>
        <v>1475</v>
      </c>
      <c r="J3154" t="str">
        <f>UPPER(Master_ventas[[#This Row],[Product Name]])</f>
        <v>SMARTWATCH</v>
      </c>
      <c r="K3154" t="str">
        <f>UPPER(Master_ventas[[#This Row],[Category]])</f>
        <v>ELECTRONICS</v>
      </c>
      <c r="L3154">
        <f>YEAR(Master_ventas[[#This Row],[Order Date]])</f>
        <v>2022</v>
      </c>
      <c r="M3154" t="str">
        <f>CONCATENATE(LEFT(Master_ventas[[#This Row],[ProdUpper]],3),RIGHT(Master_ventas[[#This Row],[Ext-Year]],2),"-",MID(Master_ventas[[#This Row],[Category]],1,1))</f>
        <v>SMA22-E</v>
      </c>
      <c r="N3154" t="str">
        <f>MID(Master_ventas[[#This Row],[ProdUpper]],1,3)</f>
        <v>SMA</v>
      </c>
      <c r="O3154" t="str">
        <f>UPPER(IF(Master_ventas[[#This Row],[Profit]]&gt;500,"High","Std"))</f>
        <v>STD</v>
      </c>
      <c r="P3154">
        <v>3153</v>
      </c>
    </row>
    <row r="3155" spans="1:16" x14ac:dyDescent="0.3">
      <c r="A3155" s="1">
        <v>45097</v>
      </c>
      <c r="B3155" t="s">
        <v>21</v>
      </c>
      <c r="C3155" t="s">
        <v>14</v>
      </c>
      <c r="D3155" t="s">
        <v>9</v>
      </c>
      <c r="E3155">
        <v>3</v>
      </c>
      <c r="F3155" s="3">
        <v>897</v>
      </c>
      <c r="G3155" s="2">
        <v>235.67</v>
      </c>
      <c r="H3155">
        <f>Master_ventas[[#This Row],[Profit]]/Master_ventas[[#This Row],[Sales]]</f>
        <v>0.2627313266443701</v>
      </c>
      <c r="I3155">
        <f ca="1">Referencia_Hoy-Master_ventas[[#This Row],[Order Date]]</f>
        <v>1226</v>
      </c>
      <c r="J3155" t="str">
        <f>UPPER(Master_ventas[[#This Row],[Product Name]])</f>
        <v>SMARTPHONE</v>
      </c>
      <c r="K3155" t="str">
        <f>UPPER(Master_ventas[[#This Row],[Category]])</f>
        <v>ELECTRONICS</v>
      </c>
      <c r="L3155">
        <f>YEAR(Master_ventas[[#This Row],[Order Date]])</f>
        <v>2023</v>
      </c>
      <c r="M3155" t="str">
        <f>CONCATENATE(LEFT(Master_ventas[[#This Row],[ProdUpper]],3),RIGHT(Master_ventas[[#This Row],[Ext-Year]],2),"-",MID(Master_ventas[[#This Row],[Category]],1,1))</f>
        <v>SMA23-E</v>
      </c>
      <c r="N3155" t="str">
        <f>MID(Master_ventas[[#This Row],[ProdUpper]],1,3)</f>
        <v>SMA</v>
      </c>
      <c r="O3155" t="str">
        <f>UPPER(IF(Master_ventas[[#This Row],[Profit]]&gt;500,"High","Std"))</f>
        <v>STD</v>
      </c>
      <c r="P3155">
        <v>3154</v>
      </c>
    </row>
    <row r="3156" spans="1:16" x14ac:dyDescent="0.3">
      <c r="A3156" s="1">
        <v>45279</v>
      </c>
      <c r="B3156" t="s">
        <v>18</v>
      </c>
      <c r="C3156" t="s">
        <v>11</v>
      </c>
      <c r="D3156" t="s">
        <v>16</v>
      </c>
      <c r="E3156">
        <v>9</v>
      </c>
      <c r="F3156" s="3">
        <v>4563</v>
      </c>
      <c r="G3156" s="2">
        <v>675.62</v>
      </c>
      <c r="H3156">
        <f>Master_ventas[[#This Row],[Profit]]/Master_ventas[[#This Row],[Sales]]</f>
        <v>0.14806486960333115</v>
      </c>
      <c r="I3156">
        <f ca="1">Referencia_Hoy-Master_ventas[[#This Row],[Order Date]]</f>
        <v>1044</v>
      </c>
      <c r="J3156" t="str">
        <f>UPPER(Master_ventas[[#This Row],[Product Name]])</f>
        <v>HEADPHONES</v>
      </c>
      <c r="K3156" t="str">
        <f>UPPER(Master_ventas[[#This Row],[Category]])</f>
        <v>ACCESSORIES</v>
      </c>
      <c r="L3156">
        <f>YEAR(Master_ventas[[#This Row],[Order Date]])</f>
        <v>2023</v>
      </c>
      <c r="M3156" t="str">
        <f>CONCATENATE(LEFT(Master_ventas[[#This Row],[ProdUpper]],3),RIGHT(Master_ventas[[#This Row],[Ext-Year]],2),"-",MID(Master_ventas[[#This Row],[Category]],1,1))</f>
        <v>HEA23-A</v>
      </c>
      <c r="N3156" t="str">
        <f>MID(Master_ventas[[#This Row],[ProdUpper]],1,3)</f>
        <v>HEA</v>
      </c>
      <c r="O3156" t="str">
        <f>UPPER(IF(Master_ventas[[#This Row],[Profit]]&gt;500,"High","Std"))</f>
        <v>HIGH</v>
      </c>
      <c r="P3156">
        <v>3155</v>
      </c>
    </row>
    <row r="3157" spans="1:16" x14ac:dyDescent="0.3">
      <c r="A3157" s="1">
        <v>44822</v>
      </c>
      <c r="B3157" t="s">
        <v>23</v>
      </c>
      <c r="C3157" t="s">
        <v>14</v>
      </c>
      <c r="D3157" t="s">
        <v>15</v>
      </c>
      <c r="E3157">
        <v>4</v>
      </c>
      <c r="F3157" s="3">
        <v>628</v>
      </c>
      <c r="G3157" s="2">
        <v>156.97999999999999</v>
      </c>
      <c r="H3157">
        <f>Master_ventas[[#This Row],[Profit]]/Master_ventas[[#This Row],[Sales]]</f>
        <v>0.24996815286624202</v>
      </c>
      <c r="I3157">
        <f ca="1">Referencia_Hoy-Master_ventas[[#This Row],[Order Date]]</f>
        <v>1501</v>
      </c>
      <c r="J3157" t="str">
        <f>UPPER(Master_ventas[[#This Row],[Product Name]])</f>
        <v>LAPTOP</v>
      </c>
      <c r="K3157" t="str">
        <f>UPPER(Master_ventas[[#This Row],[Category]])</f>
        <v>ELECTRONICS</v>
      </c>
      <c r="L3157">
        <f>YEAR(Master_ventas[[#This Row],[Order Date]])</f>
        <v>2022</v>
      </c>
      <c r="M3157" t="str">
        <f>CONCATENATE(LEFT(Master_ventas[[#This Row],[ProdUpper]],3),RIGHT(Master_ventas[[#This Row],[Ext-Year]],2),"-",MID(Master_ventas[[#This Row],[Category]],1,1))</f>
        <v>LAP22-E</v>
      </c>
      <c r="N3157" t="str">
        <f>MID(Master_ventas[[#This Row],[ProdUpper]],1,3)</f>
        <v>LAP</v>
      </c>
      <c r="O3157" t="str">
        <f>UPPER(IF(Master_ventas[[#This Row],[Profit]]&gt;500,"High","Std"))</f>
        <v>STD</v>
      </c>
      <c r="P3157">
        <v>3156</v>
      </c>
    </row>
    <row r="3158" spans="1:16" x14ac:dyDescent="0.3">
      <c r="A3158" s="1">
        <v>45647</v>
      </c>
      <c r="B3158" t="s">
        <v>20</v>
      </c>
      <c r="C3158" t="s">
        <v>11</v>
      </c>
      <c r="D3158" t="s">
        <v>12</v>
      </c>
      <c r="E3158">
        <v>6</v>
      </c>
      <c r="F3158" s="3">
        <v>1050</v>
      </c>
      <c r="G3158" s="2">
        <v>172.83</v>
      </c>
      <c r="H3158">
        <f>Master_ventas[[#This Row],[Profit]]/Master_ventas[[#This Row],[Sales]]</f>
        <v>0.16460000000000002</v>
      </c>
      <c r="I3158">
        <f ca="1">Referencia_Hoy-Master_ventas[[#This Row],[Order Date]]</f>
        <v>676</v>
      </c>
      <c r="J3158" t="str">
        <f>UPPER(Master_ventas[[#This Row],[Product Name]])</f>
        <v>MONITOR</v>
      </c>
      <c r="K3158" t="str">
        <f>UPPER(Master_ventas[[#This Row],[Category]])</f>
        <v>ACCESSORIES</v>
      </c>
      <c r="L3158">
        <f>YEAR(Master_ventas[[#This Row],[Order Date]])</f>
        <v>2024</v>
      </c>
      <c r="M3158" t="str">
        <f>CONCATENATE(LEFT(Master_ventas[[#This Row],[ProdUpper]],3),RIGHT(Master_ventas[[#This Row],[Ext-Year]],2),"-",MID(Master_ventas[[#This Row],[Category]],1,1))</f>
        <v>MON24-A</v>
      </c>
      <c r="N3158" t="str">
        <f>MID(Master_ventas[[#This Row],[ProdUpper]],1,3)</f>
        <v>MON</v>
      </c>
      <c r="O3158" t="str">
        <f>UPPER(IF(Master_ventas[[#This Row],[Profit]]&gt;500,"High","Std"))</f>
        <v>STD</v>
      </c>
      <c r="P3158">
        <v>3157</v>
      </c>
    </row>
    <row r="3159" spans="1:16" x14ac:dyDescent="0.3">
      <c r="A3159" s="1">
        <v>44697</v>
      </c>
      <c r="B3159" t="s">
        <v>20</v>
      </c>
      <c r="C3159" t="s">
        <v>11</v>
      </c>
      <c r="D3159" t="s">
        <v>9</v>
      </c>
      <c r="E3159">
        <v>8</v>
      </c>
      <c r="F3159" s="3">
        <v>3032</v>
      </c>
      <c r="G3159" s="2">
        <v>278.85000000000002</v>
      </c>
      <c r="H3159">
        <f>Master_ventas[[#This Row],[Profit]]/Master_ventas[[#This Row],[Sales]]</f>
        <v>9.1968997361477581E-2</v>
      </c>
      <c r="I3159">
        <f ca="1">Referencia_Hoy-Master_ventas[[#This Row],[Order Date]]</f>
        <v>1626</v>
      </c>
      <c r="J3159" t="str">
        <f>UPPER(Master_ventas[[#This Row],[Product Name]])</f>
        <v>MONITOR</v>
      </c>
      <c r="K3159" t="str">
        <f>UPPER(Master_ventas[[#This Row],[Category]])</f>
        <v>ACCESSORIES</v>
      </c>
      <c r="L3159">
        <f>YEAR(Master_ventas[[#This Row],[Order Date]])</f>
        <v>2022</v>
      </c>
      <c r="M3159" t="str">
        <f>CONCATENATE(LEFT(Master_ventas[[#This Row],[ProdUpper]],3),RIGHT(Master_ventas[[#This Row],[Ext-Year]],2),"-",MID(Master_ventas[[#This Row],[Category]],1,1))</f>
        <v>MON22-A</v>
      </c>
      <c r="N3159" t="str">
        <f>MID(Master_ventas[[#This Row],[ProdUpper]],1,3)</f>
        <v>MON</v>
      </c>
      <c r="O3159" t="str">
        <f>UPPER(IF(Master_ventas[[#This Row],[Profit]]&gt;500,"High","Std"))</f>
        <v>STD</v>
      </c>
      <c r="P3159">
        <v>3158</v>
      </c>
    </row>
    <row r="3160" spans="1:16" x14ac:dyDescent="0.3">
      <c r="A3160" s="1">
        <v>45196</v>
      </c>
      <c r="B3160" t="s">
        <v>22</v>
      </c>
      <c r="C3160" t="s">
        <v>11</v>
      </c>
      <c r="D3160" t="s">
        <v>16</v>
      </c>
      <c r="E3160">
        <v>1</v>
      </c>
      <c r="F3160" s="3">
        <v>920</v>
      </c>
      <c r="G3160" s="2">
        <v>118.24</v>
      </c>
      <c r="H3160">
        <f>Master_ventas[[#This Row],[Profit]]/Master_ventas[[#This Row],[Sales]]</f>
        <v>0.12852173913043477</v>
      </c>
      <c r="I3160">
        <f ca="1">Referencia_Hoy-Master_ventas[[#This Row],[Order Date]]</f>
        <v>1127</v>
      </c>
      <c r="J3160" t="str">
        <f>UPPER(Master_ventas[[#This Row],[Product Name]])</f>
        <v>KEYBOARD</v>
      </c>
      <c r="K3160" t="str">
        <f>UPPER(Master_ventas[[#This Row],[Category]])</f>
        <v>ACCESSORIES</v>
      </c>
      <c r="L3160">
        <f>YEAR(Master_ventas[[#This Row],[Order Date]])</f>
        <v>2023</v>
      </c>
      <c r="M3160" t="str">
        <f>CONCATENATE(LEFT(Master_ventas[[#This Row],[ProdUpper]],3),RIGHT(Master_ventas[[#This Row],[Ext-Year]],2),"-",MID(Master_ventas[[#This Row],[Category]],1,1))</f>
        <v>KEY23-A</v>
      </c>
      <c r="N3160" t="str">
        <f>MID(Master_ventas[[#This Row],[ProdUpper]],1,3)</f>
        <v>KEY</v>
      </c>
      <c r="O3160" t="str">
        <f>UPPER(IF(Master_ventas[[#This Row],[Profit]]&gt;500,"High","Std"))</f>
        <v>STD</v>
      </c>
      <c r="P3160">
        <v>3159</v>
      </c>
    </row>
    <row r="3161" spans="1:16" x14ac:dyDescent="0.3">
      <c r="A3161" s="1">
        <v>45353</v>
      </c>
      <c r="B3161" t="s">
        <v>23</v>
      </c>
      <c r="C3161" t="s">
        <v>14</v>
      </c>
      <c r="D3161" t="s">
        <v>15</v>
      </c>
      <c r="E3161">
        <v>2</v>
      </c>
      <c r="F3161" s="3">
        <v>668</v>
      </c>
      <c r="G3161" s="2">
        <v>90.67</v>
      </c>
      <c r="H3161">
        <f>Master_ventas[[#This Row],[Profit]]/Master_ventas[[#This Row],[Sales]]</f>
        <v>0.13573353293413173</v>
      </c>
      <c r="I3161">
        <f ca="1">Referencia_Hoy-Master_ventas[[#This Row],[Order Date]]</f>
        <v>970</v>
      </c>
      <c r="J3161" t="str">
        <f>UPPER(Master_ventas[[#This Row],[Product Name]])</f>
        <v>LAPTOP</v>
      </c>
      <c r="K3161" t="str">
        <f>UPPER(Master_ventas[[#This Row],[Category]])</f>
        <v>ELECTRONICS</v>
      </c>
      <c r="L3161">
        <f>YEAR(Master_ventas[[#This Row],[Order Date]])</f>
        <v>2024</v>
      </c>
      <c r="M3161" t="str">
        <f>CONCATENATE(LEFT(Master_ventas[[#This Row],[ProdUpper]],3),RIGHT(Master_ventas[[#This Row],[Ext-Year]],2),"-",MID(Master_ventas[[#This Row],[Category]],1,1))</f>
        <v>LAP24-E</v>
      </c>
      <c r="N3161" t="str">
        <f>MID(Master_ventas[[#This Row],[ProdUpper]],1,3)</f>
        <v>LAP</v>
      </c>
      <c r="O3161" t="str">
        <f>UPPER(IF(Master_ventas[[#This Row],[Profit]]&gt;500,"High","Std"))</f>
        <v>STD</v>
      </c>
      <c r="P3161">
        <v>3160</v>
      </c>
    </row>
    <row r="3162" spans="1:16" x14ac:dyDescent="0.3">
      <c r="A3162" s="1">
        <v>45443</v>
      </c>
      <c r="B3162" t="s">
        <v>10</v>
      </c>
      <c r="C3162" t="s">
        <v>11</v>
      </c>
      <c r="D3162" t="s">
        <v>12</v>
      </c>
      <c r="E3162">
        <v>5</v>
      </c>
      <c r="F3162" s="3">
        <v>5990</v>
      </c>
      <c r="G3162" s="2">
        <v>1403.53</v>
      </c>
      <c r="H3162">
        <f>Master_ventas[[#This Row],[Profit]]/Master_ventas[[#This Row],[Sales]]</f>
        <v>0.23431218697829717</v>
      </c>
      <c r="I3162">
        <f ca="1">Referencia_Hoy-Master_ventas[[#This Row],[Order Date]]</f>
        <v>880</v>
      </c>
      <c r="J3162" t="str">
        <f>UPPER(Master_ventas[[#This Row],[Product Name]])</f>
        <v>MOUSE</v>
      </c>
      <c r="K3162" t="str">
        <f>UPPER(Master_ventas[[#This Row],[Category]])</f>
        <v>ACCESSORIES</v>
      </c>
      <c r="L3162">
        <f>YEAR(Master_ventas[[#This Row],[Order Date]])</f>
        <v>2024</v>
      </c>
      <c r="M3162" t="str">
        <f>CONCATENATE(LEFT(Master_ventas[[#This Row],[ProdUpper]],3),RIGHT(Master_ventas[[#This Row],[Ext-Year]],2),"-",MID(Master_ventas[[#This Row],[Category]],1,1))</f>
        <v>MOU24-A</v>
      </c>
      <c r="N3162" t="str">
        <f>MID(Master_ventas[[#This Row],[ProdUpper]],1,3)</f>
        <v>MOU</v>
      </c>
      <c r="O3162" t="str">
        <f>UPPER(IF(Master_ventas[[#This Row],[Profit]]&gt;500,"High","Std"))</f>
        <v>HIGH</v>
      </c>
      <c r="P3162">
        <v>3161</v>
      </c>
    </row>
    <row r="3163" spans="1:16" x14ac:dyDescent="0.3">
      <c r="A3163" s="1">
        <v>45355</v>
      </c>
      <c r="B3163" t="s">
        <v>13</v>
      </c>
      <c r="C3163" t="s">
        <v>14</v>
      </c>
      <c r="D3163" t="s">
        <v>15</v>
      </c>
      <c r="E3163">
        <v>9</v>
      </c>
      <c r="F3163" s="3">
        <v>9324</v>
      </c>
      <c r="G3163" s="2">
        <v>1223.9000000000001</v>
      </c>
      <c r="H3163">
        <f>Master_ventas[[#This Row],[Profit]]/Master_ventas[[#This Row],[Sales]]</f>
        <v>0.13126340626340627</v>
      </c>
      <c r="I3163">
        <f ca="1">Referencia_Hoy-Master_ventas[[#This Row],[Order Date]]</f>
        <v>968</v>
      </c>
      <c r="J3163" t="str">
        <f>UPPER(Master_ventas[[#This Row],[Product Name]])</f>
        <v>TABLET</v>
      </c>
      <c r="K3163" t="str">
        <f>UPPER(Master_ventas[[#This Row],[Category]])</f>
        <v>ELECTRONICS</v>
      </c>
      <c r="L3163">
        <f>YEAR(Master_ventas[[#This Row],[Order Date]])</f>
        <v>2024</v>
      </c>
      <c r="M3163" t="str">
        <f>CONCATENATE(LEFT(Master_ventas[[#This Row],[ProdUpper]],3),RIGHT(Master_ventas[[#This Row],[Ext-Year]],2),"-",MID(Master_ventas[[#This Row],[Category]],1,1))</f>
        <v>TAB24-E</v>
      </c>
      <c r="N3163" t="str">
        <f>MID(Master_ventas[[#This Row],[ProdUpper]],1,3)</f>
        <v>TAB</v>
      </c>
      <c r="O3163" t="str">
        <f>UPPER(IF(Master_ventas[[#This Row],[Profit]]&gt;500,"High","Std"))</f>
        <v>HIGH</v>
      </c>
      <c r="P3163">
        <v>3162</v>
      </c>
    </row>
    <row r="3164" spans="1:16" x14ac:dyDescent="0.3">
      <c r="A3164" s="1">
        <v>45027</v>
      </c>
      <c r="B3164" t="s">
        <v>22</v>
      </c>
      <c r="C3164" t="s">
        <v>11</v>
      </c>
      <c r="D3164" t="s">
        <v>12</v>
      </c>
      <c r="E3164">
        <v>8</v>
      </c>
      <c r="F3164" s="3">
        <v>5768</v>
      </c>
      <c r="G3164" s="2">
        <v>368.49</v>
      </c>
      <c r="H3164">
        <f>Master_ventas[[#This Row],[Profit]]/Master_ventas[[#This Row],[Sales]]</f>
        <v>6.3885228848821085E-2</v>
      </c>
      <c r="I3164">
        <f ca="1">Referencia_Hoy-Master_ventas[[#This Row],[Order Date]]</f>
        <v>1296</v>
      </c>
      <c r="J3164" t="str">
        <f>UPPER(Master_ventas[[#This Row],[Product Name]])</f>
        <v>KEYBOARD</v>
      </c>
      <c r="K3164" t="str">
        <f>UPPER(Master_ventas[[#This Row],[Category]])</f>
        <v>ACCESSORIES</v>
      </c>
      <c r="L3164">
        <f>YEAR(Master_ventas[[#This Row],[Order Date]])</f>
        <v>2023</v>
      </c>
      <c r="M3164" t="str">
        <f>CONCATENATE(LEFT(Master_ventas[[#This Row],[ProdUpper]],3),RIGHT(Master_ventas[[#This Row],[Ext-Year]],2),"-",MID(Master_ventas[[#This Row],[Category]],1,1))</f>
        <v>KEY23-A</v>
      </c>
      <c r="N3164" t="str">
        <f>MID(Master_ventas[[#This Row],[ProdUpper]],1,3)</f>
        <v>KEY</v>
      </c>
      <c r="O3164" t="str">
        <f>UPPER(IF(Master_ventas[[#This Row],[Profit]]&gt;500,"High","Std"))</f>
        <v>STD</v>
      </c>
      <c r="P3164">
        <v>3163</v>
      </c>
    </row>
    <row r="3165" spans="1:16" x14ac:dyDescent="0.3">
      <c r="A3165" s="1">
        <v>45413</v>
      </c>
      <c r="B3165" t="s">
        <v>23</v>
      </c>
      <c r="C3165" t="s">
        <v>14</v>
      </c>
      <c r="D3165" t="s">
        <v>9</v>
      </c>
      <c r="E3165">
        <v>1</v>
      </c>
      <c r="F3165" s="3">
        <v>1123</v>
      </c>
      <c r="G3165" s="2">
        <v>318.08999999999997</v>
      </c>
      <c r="H3165">
        <f>Master_ventas[[#This Row],[Profit]]/Master_ventas[[#This Row],[Sales]]</f>
        <v>0.28325022261798749</v>
      </c>
      <c r="I3165">
        <f ca="1">Referencia_Hoy-Master_ventas[[#This Row],[Order Date]]</f>
        <v>910</v>
      </c>
      <c r="J3165" t="str">
        <f>UPPER(Master_ventas[[#This Row],[Product Name]])</f>
        <v>LAPTOP</v>
      </c>
      <c r="K3165" t="str">
        <f>UPPER(Master_ventas[[#This Row],[Category]])</f>
        <v>ELECTRONICS</v>
      </c>
      <c r="L3165">
        <f>YEAR(Master_ventas[[#This Row],[Order Date]])</f>
        <v>2024</v>
      </c>
      <c r="M3165" t="str">
        <f>CONCATENATE(LEFT(Master_ventas[[#This Row],[ProdUpper]],3),RIGHT(Master_ventas[[#This Row],[Ext-Year]],2),"-",MID(Master_ventas[[#This Row],[Category]],1,1))</f>
        <v>LAP24-E</v>
      </c>
      <c r="N3165" t="str">
        <f>MID(Master_ventas[[#This Row],[ProdUpper]],1,3)</f>
        <v>LAP</v>
      </c>
      <c r="O3165" t="str">
        <f>UPPER(IF(Master_ventas[[#This Row],[Profit]]&gt;500,"High","Std"))</f>
        <v>STD</v>
      </c>
      <c r="P3165">
        <v>3164</v>
      </c>
    </row>
    <row r="3166" spans="1:16" x14ac:dyDescent="0.3">
      <c r="A3166" s="1">
        <v>45646</v>
      </c>
      <c r="B3166" t="s">
        <v>22</v>
      </c>
      <c r="C3166" t="s">
        <v>11</v>
      </c>
      <c r="D3166" t="s">
        <v>16</v>
      </c>
      <c r="E3166">
        <v>4</v>
      </c>
      <c r="F3166" s="3">
        <v>2336</v>
      </c>
      <c r="G3166" s="2">
        <v>453.04</v>
      </c>
      <c r="H3166">
        <f>Master_ventas[[#This Row],[Profit]]/Master_ventas[[#This Row],[Sales]]</f>
        <v>0.19393835616438357</v>
      </c>
      <c r="I3166">
        <f ca="1">Referencia_Hoy-Master_ventas[[#This Row],[Order Date]]</f>
        <v>677</v>
      </c>
      <c r="J3166" t="str">
        <f>UPPER(Master_ventas[[#This Row],[Product Name]])</f>
        <v>KEYBOARD</v>
      </c>
      <c r="K3166" t="str">
        <f>UPPER(Master_ventas[[#This Row],[Category]])</f>
        <v>ACCESSORIES</v>
      </c>
      <c r="L3166">
        <f>YEAR(Master_ventas[[#This Row],[Order Date]])</f>
        <v>2024</v>
      </c>
      <c r="M3166" t="str">
        <f>CONCATENATE(LEFT(Master_ventas[[#This Row],[ProdUpper]],3),RIGHT(Master_ventas[[#This Row],[Ext-Year]],2),"-",MID(Master_ventas[[#This Row],[Category]],1,1))</f>
        <v>KEY24-A</v>
      </c>
      <c r="N3166" t="str">
        <f>MID(Master_ventas[[#This Row],[ProdUpper]],1,3)</f>
        <v>KEY</v>
      </c>
      <c r="O3166" t="str">
        <f>UPPER(IF(Master_ventas[[#This Row],[Profit]]&gt;500,"High","Std"))</f>
        <v>STD</v>
      </c>
      <c r="P3166">
        <v>3165</v>
      </c>
    </row>
    <row r="3167" spans="1:16" x14ac:dyDescent="0.3">
      <c r="A3167" s="1">
        <v>45252</v>
      </c>
      <c r="B3167" t="s">
        <v>23</v>
      </c>
      <c r="C3167" t="s">
        <v>14</v>
      </c>
      <c r="D3167" t="s">
        <v>16</v>
      </c>
      <c r="E3167">
        <v>6</v>
      </c>
      <c r="F3167" s="3">
        <v>438</v>
      </c>
      <c r="G3167" s="2">
        <v>26.03</v>
      </c>
      <c r="H3167">
        <f>Master_ventas[[#This Row],[Profit]]/Master_ventas[[#This Row],[Sales]]</f>
        <v>5.9429223744292242E-2</v>
      </c>
      <c r="I3167">
        <f ca="1">Referencia_Hoy-Master_ventas[[#This Row],[Order Date]]</f>
        <v>1071</v>
      </c>
      <c r="J3167" t="str">
        <f>UPPER(Master_ventas[[#This Row],[Product Name]])</f>
        <v>LAPTOP</v>
      </c>
      <c r="K3167" t="str">
        <f>UPPER(Master_ventas[[#This Row],[Category]])</f>
        <v>ELECTRONICS</v>
      </c>
      <c r="L3167">
        <f>YEAR(Master_ventas[[#This Row],[Order Date]])</f>
        <v>2023</v>
      </c>
      <c r="M3167" t="str">
        <f>CONCATENATE(LEFT(Master_ventas[[#This Row],[ProdUpper]],3),RIGHT(Master_ventas[[#This Row],[Ext-Year]],2),"-",MID(Master_ventas[[#This Row],[Category]],1,1))</f>
        <v>LAP23-E</v>
      </c>
      <c r="N3167" t="str">
        <f>MID(Master_ventas[[#This Row],[ProdUpper]],1,3)</f>
        <v>LAP</v>
      </c>
      <c r="O3167" t="str">
        <f>UPPER(IF(Master_ventas[[#This Row],[Profit]]&gt;500,"High","Std"))</f>
        <v>STD</v>
      </c>
      <c r="P3167">
        <v>3166</v>
      </c>
    </row>
    <row r="3168" spans="1:16" x14ac:dyDescent="0.3">
      <c r="A3168" s="1">
        <v>44918</v>
      </c>
      <c r="B3168" t="s">
        <v>13</v>
      </c>
      <c r="C3168" t="s">
        <v>14</v>
      </c>
      <c r="D3168" t="s">
        <v>9</v>
      </c>
      <c r="E3168">
        <v>6</v>
      </c>
      <c r="F3168" s="3">
        <v>5940</v>
      </c>
      <c r="G3168" s="2">
        <v>318.72000000000003</v>
      </c>
      <c r="H3168">
        <f>Master_ventas[[#This Row],[Profit]]/Master_ventas[[#This Row],[Sales]]</f>
        <v>5.3656565656565659E-2</v>
      </c>
      <c r="I3168">
        <f ca="1">Referencia_Hoy-Master_ventas[[#This Row],[Order Date]]</f>
        <v>1405</v>
      </c>
      <c r="J3168" t="str">
        <f>UPPER(Master_ventas[[#This Row],[Product Name]])</f>
        <v>TABLET</v>
      </c>
      <c r="K3168" t="str">
        <f>UPPER(Master_ventas[[#This Row],[Category]])</f>
        <v>ELECTRONICS</v>
      </c>
      <c r="L3168">
        <f>YEAR(Master_ventas[[#This Row],[Order Date]])</f>
        <v>2022</v>
      </c>
      <c r="M3168" t="str">
        <f>CONCATENATE(LEFT(Master_ventas[[#This Row],[ProdUpper]],3),RIGHT(Master_ventas[[#This Row],[Ext-Year]],2),"-",MID(Master_ventas[[#This Row],[Category]],1,1))</f>
        <v>TAB22-E</v>
      </c>
      <c r="N3168" t="str">
        <f>MID(Master_ventas[[#This Row],[ProdUpper]],1,3)</f>
        <v>TAB</v>
      </c>
      <c r="O3168" t="str">
        <f>UPPER(IF(Master_ventas[[#This Row],[Profit]]&gt;500,"High","Std"))</f>
        <v>STD</v>
      </c>
      <c r="P3168">
        <v>3167</v>
      </c>
    </row>
    <row r="3169" spans="1:16" x14ac:dyDescent="0.3">
      <c r="A3169" s="1">
        <v>44734</v>
      </c>
      <c r="B3169" t="s">
        <v>17</v>
      </c>
      <c r="C3169" t="s">
        <v>14</v>
      </c>
      <c r="D3169" t="s">
        <v>16</v>
      </c>
      <c r="E3169">
        <v>3</v>
      </c>
      <c r="F3169" s="3">
        <v>1848</v>
      </c>
      <c r="G3169" s="2">
        <v>549.34</v>
      </c>
      <c r="H3169">
        <f>Master_ventas[[#This Row],[Profit]]/Master_ventas[[#This Row],[Sales]]</f>
        <v>0.29726190476190478</v>
      </c>
      <c r="I3169">
        <f ca="1">Referencia_Hoy-Master_ventas[[#This Row],[Order Date]]</f>
        <v>1589</v>
      </c>
      <c r="J3169" t="str">
        <f>UPPER(Master_ventas[[#This Row],[Product Name]])</f>
        <v>CAMERA</v>
      </c>
      <c r="K3169" t="str">
        <f>UPPER(Master_ventas[[#This Row],[Category]])</f>
        <v>ELECTRONICS</v>
      </c>
      <c r="L3169">
        <f>YEAR(Master_ventas[[#This Row],[Order Date]])</f>
        <v>2022</v>
      </c>
      <c r="M3169" t="str">
        <f>CONCATENATE(LEFT(Master_ventas[[#This Row],[ProdUpper]],3),RIGHT(Master_ventas[[#This Row],[Ext-Year]],2),"-",MID(Master_ventas[[#This Row],[Category]],1,1))</f>
        <v>CAM22-E</v>
      </c>
      <c r="N3169" t="str">
        <f>MID(Master_ventas[[#This Row],[ProdUpper]],1,3)</f>
        <v>CAM</v>
      </c>
      <c r="O3169" t="str">
        <f>UPPER(IF(Master_ventas[[#This Row],[Profit]]&gt;500,"High","Std"))</f>
        <v>HIGH</v>
      </c>
      <c r="P3169">
        <v>3168</v>
      </c>
    </row>
    <row r="3170" spans="1:16" x14ac:dyDescent="0.3">
      <c r="A3170" s="1">
        <v>45002</v>
      </c>
      <c r="B3170" t="s">
        <v>22</v>
      </c>
      <c r="C3170" t="s">
        <v>11</v>
      </c>
      <c r="D3170" t="s">
        <v>9</v>
      </c>
      <c r="E3170">
        <v>3</v>
      </c>
      <c r="F3170" s="3">
        <v>2118</v>
      </c>
      <c r="G3170" s="2">
        <v>321.05</v>
      </c>
      <c r="H3170">
        <f>Master_ventas[[#This Row],[Profit]]/Master_ventas[[#This Row],[Sales]]</f>
        <v>0.15158168083097262</v>
      </c>
      <c r="I3170">
        <f ca="1">Referencia_Hoy-Master_ventas[[#This Row],[Order Date]]</f>
        <v>1321</v>
      </c>
      <c r="J3170" t="str">
        <f>UPPER(Master_ventas[[#This Row],[Product Name]])</f>
        <v>KEYBOARD</v>
      </c>
      <c r="K3170" t="str">
        <f>UPPER(Master_ventas[[#This Row],[Category]])</f>
        <v>ACCESSORIES</v>
      </c>
      <c r="L3170">
        <f>YEAR(Master_ventas[[#This Row],[Order Date]])</f>
        <v>2023</v>
      </c>
      <c r="M3170" t="str">
        <f>CONCATENATE(LEFT(Master_ventas[[#This Row],[ProdUpper]],3),RIGHT(Master_ventas[[#This Row],[Ext-Year]],2),"-",MID(Master_ventas[[#This Row],[Category]],1,1))</f>
        <v>KEY23-A</v>
      </c>
      <c r="N3170" t="str">
        <f>MID(Master_ventas[[#This Row],[ProdUpper]],1,3)</f>
        <v>KEY</v>
      </c>
      <c r="O3170" t="str">
        <f>UPPER(IF(Master_ventas[[#This Row],[Profit]]&gt;500,"High","Std"))</f>
        <v>STD</v>
      </c>
      <c r="P3170">
        <v>3169</v>
      </c>
    </row>
    <row r="3171" spans="1:16" x14ac:dyDescent="0.3">
      <c r="A3171" s="1">
        <v>44577</v>
      </c>
      <c r="B3171" t="s">
        <v>21</v>
      </c>
      <c r="C3171" t="s">
        <v>14</v>
      </c>
      <c r="D3171" t="s">
        <v>9</v>
      </c>
      <c r="E3171">
        <v>3</v>
      </c>
      <c r="F3171" s="3">
        <v>231</v>
      </c>
      <c r="G3171" s="2">
        <v>36.729999999999997</v>
      </c>
      <c r="H3171">
        <f>Master_ventas[[#This Row],[Profit]]/Master_ventas[[#This Row],[Sales]]</f>
        <v>0.15900432900432898</v>
      </c>
      <c r="I3171">
        <f ca="1">Referencia_Hoy-Master_ventas[[#This Row],[Order Date]]</f>
        <v>1746</v>
      </c>
      <c r="J3171" t="str">
        <f>UPPER(Master_ventas[[#This Row],[Product Name]])</f>
        <v>SMARTPHONE</v>
      </c>
      <c r="K3171" t="str">
        <f>UPPER(Master_ventas[[#This Row],[Category]])</f>
        <v>ELECTRONICS</v>
      </c>
      <c r="L3171">
        <f>YEAR(Master_ventas[[#This Row],[Order Date]])</f>
        <v>2022</v>
      </c>
      <c r="M3171" t="str">
        <f>CONCATENATE(LEFT(Master_ventas[[#This Row],[ProdUpper]],3),RIGHT(Master_ventas[[#This Row],[Ext-Year]],2),"-",MID(Master_ventas[[#This Row],[Category]],1,1))</f>
        <v>SMA22-E</v>
      </c>
      <c r="N3171" t="str">
        <f>MID(Master_ventas[[#This Row],[ProdUpper]],1,3)</f>
        <v>SMA</v>
      </c>
      <c r="O3171" t="str">
        <f>UPPER(IF(Master_ventas[[#This Row],[Profit]]&gt;500,"High","Std"))</f>
        <v>STD</v>
      </c>
      <c r="P3171">
        <v>3170</v>
      </c>
    </row>
    <row r="3172" spans="1:16" x14ac:dyDescent="0.3">
      <c r="A3172" s="1">
        <v>45303</v>
      </c>
      <c r="B3172" t="s">
        <v>18</v>
      </c>
      <c r="C3172" t="s">
        <v>11</v>
      </c>
      <c r="D3172" t="s">
        <v>15</v>
      </c>
      <c r="E3172">
        <v>6</v>
      </c>
      <c r="F3172" s="3">
        <v>978</v>
      </c>
      <c r="G3172" s="2">
        <v>182.46</v>
      </c>
      <c r="H3172">
        <f>Master_ventas[[#This Row],[Profit]]/Master_ventas[[#This Row],[Sales]]</f>
        <v>0.18656441717791411</v>
      </c>
      <c r="I3172">
        <f ca="1">Referencia_Hoy-Master_ventas[[#This Row],[Order Date]]</f>
        <v>1020</v>
      </c>
      <c r="J3172" t="str">
        <f>UPPER(Master_ventas[[#This Row],[Product Name]])</f>
        <v>HEADPHONES</v>
      </c>
      <c r="K3172" t="str">
        <f>UPPER(Master_ventas[[#This Row],[Category]])</f>
        <v>ACCESSORIES</v>
      </c>
      <c r="L3172">
        <f>YEAR(Master_ventas[[#This Row],[Order Date]])</f>
        <v>2024</v>
      </c>
      <c r="M3172" t="str">
        <f>CONCATENATE(LEFT(Master_ventas[[#This Row],[ProdUpper]],3),RIGHT(Master_ventas[[#This Row],[Ext-Year]],2),"-",MID(Master_ventas[[#This Row],[Category]],1,1))</f>
        <v>HEA24-A</v>
      </c>
      <c r="N3172" t="str">
        <f>MID(Master_ventas[[#This Row],[ProdUpper]],1,3)</f>
        <v>HEA</v>
      </c>
      <c r="O3172" t="str">
        <f>UPPER(IF(Master_ventas[[#This Row],[Profit]]&gt;500,"High","Std"))</f>
        <v>STD</v>
      </c>
      <c r="P3172">
        <v>3171</v>
      </c>
    </row>
    <row r="3173" spans="1:16" x14ac:dyDescent="0.3">
      <c r="A3173" s="1">
        <v>45068</v>
      </c>
      <c r="B3173" t="s">
        <v>20</v>
      </c>
      <c r="C3173" t="s">
        <v>11</v>
      </c>
      <c r="D3173" t="s">
        <v>9</v>
      </c>
      <c r="E3173">
        <v>5</v>
      </c>
      <c r="F3173" s="3">
        <v>4960</v>
      </c>
      <c r="G3173" s="2">
        <v>420.98</v>
      </c>
      <c r="H3173">
        <f>Master_ventas[[#This Row],[Profit]]/Master_ventas[[#This Row],[Sales]]</f>
        <v>8.4875000000000006E-2</v>
      </c>
      <c r="I3173">
        <f ca="1">Referencia_Hoy-Master_ventas[[#This Row],[Order Date]]</f>
        <v>1255</v>
      </c>
      <c r="J3173" t="str">
        <f>UPPER(Master_ventas[[#This Row],[Product Name]])</f>
        <v>MONITOR</v>
      </c>
      <c r="K3173" t="str">
        <f>UPPER(Master_ventas[[#This Row],[Category]])</f>
        <v>ACCESSORIES</v>
      </c>
      <c r="L3173">
        <f>YEAR(Master_ventas[[#This Row],[Order Date]])</f>
        <v>2023</v>
      </c>
      <c r="M3173" t="str">
        <f>CONCATENATE(LEFT(Master_ventas[[#This Row],[ProdUpper]],3),RIGHT(Master_ventas[[#This Row],[Ext-Year]],2),"-",MID(Master_ventas[[#This Row],[Category]],1,1))</f>
        <v>MON23-A</v>
      </c>
      <c r="N3173" t="str">
        <f>MID(Master_ventas[[#This Row],[ProdUpper]],1,3)</f>
        <v>MON</v>
      </c>
      <c r="O3173" t="str">
        <f>UPPER(IF(Master_ventas[[#This Row],[Profit]]&gt;500,"High","Std"))</f>
        <v>STD</v>
      </c>
      <c r="P3173">
        <v>3172</v>
      </c>
    </row>
    <row r="3174" spans="1:16" x14ac:dyDescent="0.3">
      <c r="A3174" s="1">
        <v>44629</v>
      </c>
      <c r="B3174" t="s">
        <v>17</v>
      </c>
      <c r="C3174" t="s">
        <v>14</v>
      </c>
      <c r="D3174" t="s">
        <v>15</v>
      </c>
      <c r="E3174">
        <v>3</v>
      </c>
      <c r="F3174" s="3">
        <v>1377</v>
      </c>
      <c r="G3174" s="2">
        <v>330.44</v>
      </c>
      <c r="H3174">
        <f>Master_ventas[[#This Row],[Profit]]/Master_ventas[[#This Row],[Sales]]</f>
        <v>0.23997095134350035</v>
      </c>
      <c r="I3174">
        <f ca="1">Referencia_Hoy-Master_ventas[[#This Row],[Order Date]]</f>
        <v>1694</v>
      </c>
      <c r="J3174" t="str">
        <f>UPPER(Master_ventas[[#This Row],[Product Name]])</f>
        <v>CAMERA</v>
      </c>
      <c r="K3174" t="str">
        <f>UPPER(Master_ventas[[#This Row],[Category]])</f>
        <v>ELECTRONICS</v>
      </c>
      <c r="L3174">
        <f>YEAR(Master_ventas[[#This Row],[Order Date]])</f>
        <v>2022</v>
      </c>
      <c r="M3174" t="str">
        <f>CONCATENATE(LEFT(Master_ventas[[#This Row],[ProdUpper]],3),RIGHT(Master_ventas[[#This Row],[Ext-Year]],2),"-",MID(Master_ventas[[#This Row],[Category]],1,1))</f>
        <v>CAM22-E</v>
      </c>
      <c r="N3174" t="str">
        <f>MID(Master_ventas[[#This Row],[ProdUpper]],1,3)</f>
        <v>CAM</v>
      </c>
      <c r="O3174" t="str">
        <f>UPPER(IF(Master_ventas[[#This Row],[Profit]]&gt;500,"High","Std"))</f>
        <v>STD</v>
      </c>
      <c r="P3174">
        <v>3173</v>
      </c>
    </row>
    <row r="3175" spans="1:16" x14ac:dyDescent="0.3">
      <c r="A3175" s="1">
        <v>44966</v>
      </c>
      <c r="B3175" t="s">
        <v>17</v>
      </c>
      <c r="C3175" t="s">
        <v>14</v>
      </c>
      <c r="D3175" t="s">
        <v>16</v>
      </c>
      <c r="E3175">
        <v>2</v>
      </c>
      <c r="F3175" s="3">
        <v>1958</v>
      </c>
      <c r="G3175" s="2">
        <v>227.77</v>
      </c>
      <c r="H3175">
        <f>Master_ventas[[#This Row],[Profit]]/Master_ventas[[#This Row],[Sales]]</f>
        <v>0.11632788559754853</v>
      </c>
      <c r="I3175">
        <f ca="1">Referencia_Hoy-Master_ventas[[#This Row],[Order Date]]</f>
        <v>1357</v>
      </c>
      <c r="J3175" t="str">
        <f>UPPER(Master_ventas[[#This Row],[Product Name]])</f>
        <v>CAMERA</v>
      </c>
      <c r="K3175" t="str">
        <f>UPPER(Master_ventas[[#This Row],[Category]])</f>
        <v>ELECTRONICS</v>
      </c>
      <c r="L3175">
        <f>YEAR(Master_ventas[[#This Row],[Order Date]])</f>
        <v>2023</v>
      </c>
      <c r="M3175" t="str">
        <f>CONCATENATE(LEFT(Master_ventas[[#This Row],[ProdUpper]],3),RIGHT(Master_ventas[[#This Row],[Ext-Year]],2),"-",MID(Master_ventas[[#This Row],[Category]],1,1))</f>
        <v>CAM23-E</v>
      </c>
      <c r="N3175" t="str">
        <f>MID(Master_ventas[[#This Row],[ProdUpper]],1,3)</f>
        <v>CAM</v>
      </c>
      <c r="O3175" t="str">
        <f>UPPER(IF(Master_ventas[[#This Row],[Profit]]&gt;500,"High","Std"))</f>
        <v>STD</v>
      </c>
      <c r="P3175">
        <v>3174</v>
      </c>
    </row>
    <row r="3176" spans="1:16" x14ac:dyDescent="0.3">
      <c r="A3176" s="1">
        <v>45089</v>
      </c>
      <c r="B3176" t="s">
        <v>10</v>
      </c>
      <c r="C3176" t="s">
        <v>11</v>
      </c>
      <c r="D3176" t="s">
        <v>16</v>
      </c>
      <c r="E3176">
        <v>7</v>
      </c>
      <c r="F3176" s="3">
        <v>5607</v>
      </c>
      <c r="G3176" s="2">
        <v>1288.04</v>
      </c>
      <c r="H3176">
        <f>Master_ventas[[#This Row],[Profit]]/Master_ventas[[#This Row],[Sales]]</f>
        <v>0.22971999286606026</v>
      </c>
      <c r="I3176">
        <f ca="1">Referencia_Hoy-Master_ventas[[#This Row],[Order Date]]</f>
        <v>1234</v>
      </c>
      <c r="J3176" t="str">
        <f>UPPER(Master_ventas[[#This Row],[Product Name]])</f>
        <v>MOUSE</v>
      </c>
      <c r="K3176" t="str">
        <f>UPPER(Master_ventas[[#This Row],[Category]])</f>
        <v>ACCESSORIES</v>
      </c>
      <c r="L3176">
        <f>YEAR(Master_ventas[[#This Row],[Order Date]])</f>
        <v>2023</v>
      </c>
      <c r="M3176" t="str">
        <f>CONCATENATE(LEFT(Master_ventas[[#This Row],[ProdUpper]],3),RIGHT(Master_ventas[[#This Row],[Ext-Year]],2),"-",MID(Master_ventas[[#This Row],[Category]],1,1))</f>
        <v>MOU23-A</v>
      </c>
      <c r="N3176" t="str">
        <f>MID(Master_ventas[[#This Row],[ProdUpper]],1,3)</f>
        <v>MOU</v>
      </c>
      <c r="O3176" t="str">
        <f>UPPER(IF(Master_ventas[[#This Row],[Profit]]&gt;500,"High","Std"))</f>
        <v>HIGH</v>
      </c>
      <c r="P3176">
        <v>3175</v>
      </c>
    </row>
    <row r="3177" spans="1:16" x14ac:dyDescent="0.3">
      <c r="A3177" s="1">
        <v>44889</v>
      </c>
      <c r="B3177" t="s">
        <v>19</v>
      </c>
      <c r="C3177" t="s">
        <v>14</v>
      </c>
      <c r="D3177" t="s">
        <v>15</v>
      </c>
      <c r="E3177">
        <v>6</v>
      </c>
      <c r="F3177" s="3">
        <v>3504</v>
      </c>
      <c r="G3177" s="2">
        <v>980.7</v>
      </c>
      <c r="H3177">
        <f>Master_ventas[[#This Row],[Profit]]/Master_ventas[[#This Row],[Sales]]</f>
        <v>0.27988013698630138</v>
      </c>
      <c r="I3177">
        <f ca="1">Referencia_Hoy-Master_ventas[[#This Row],[Order Date]]</f>
        <v>1434</v>
      </c>
      <c r="J3177" t="str">
        <f>UPPER(Master_ventas[[#This Row],[Product Name]])</f>
        <v>SMARTWATCH</v>
      </c>
      <c r="K3177" t="str">
        <f>UPPER(Master_ventas[[#This Row],[Category]])</f>
        <v>ELECTRONICS</v>
      </c>
      <c r="L3177">
        <f>YEAR(Master_ventas[[#This Row],[Order Date]])</f>
        <v>2022</v>
      </c>
      <c r="M3177" t="str">
        <f>CONCATENATE(LEFT(Master_ventas[[#This Row],[ProdUpper]],3),RIGHT(Master_ventas[[#This Row],[Ext-Year]],2),"-",MID(Master_ventas[[#This Row],[Category]],1,1))</f>
        <v>SMA22-E</v>
      </c>
      <c r="N3177" t="str">
        <f>MID(Master_ventas[[#This Row],[ProdUpper]],1,3)</f>
        <v>SMA</v>
      </c>
      <c r="O3177" t="str">
        <f>UPPER(IF(Master_ventas[[#This Row],[Profit]]&gt;500,"High","Std"))</f>
        <v>HIGH</v>
      </c>
      <c r="P3177">
        <v>3176</v>
      </c>
    </row>
    <row r="3178" spans="1:16" x14ac:dyDescent="0.3">
      <c r="A3178" s="1">
        <v>45617</v>
      </c>
      <c r="B3178" t="s">
        <v>10</v>
      </c>
      <c r="C3178" t="s">
        <v>11</v>
      </c>
      <c r="D3178" t="s">
        <v>9</v>
      </c>
      <c r="E3178">
        <v>4</v>
      </c>
      <c r="F3178" s="3">
        <v>796</v>
      </c>
      <c r="G3178" s="2">
        <v>75.150000000000006</v>
      </c>
      <c r="H3178">
        <f>Master_ventas[[#This Row],[Profit]]/Master_ventas[[#This Row],[Sales]]</f>
        <v>9.4409547738693478E-2</v>
      </c>
      <c r="I3178">
        <f ca="1">Referencia_Hoy-Master_ventas[[#This Row],[Order Date]]</f>
        <v>706</v>
      </c>
      <c r="J3178" t="str">
        <f>UPPER(Master_ventas[[#This Row],[Product Name]])</f>
        <v>MOUSE</v>
      </c>
      <c r="K3178" t="str">
        <f>UPPER(Master_ventas[[#This Row],[Category]])</f>
        <v>ACCESSORIES</v>
      </c>
      <c r="L3178">
        <f>YEAR(Master_ventas[[#This Row],[Order Date]])</f>
        <v>2024</v>
      </c>
      <c r="M3178" t="str">
        <f>CONCATENATE(LEFT(Master_ventas[[#This Row],[ProdUpper]],3),RIGHT(Master_ventas[[#This Row],[Ext-Year]],2),"-",MID(Master_ventas[[#This Row],[Category]],1,1))</f>
        <v>MOU24-A</v>
      </c>
      <c r="N3178" t="str">
        <f>MID(Master_ventas[[#This Row],[ProdUpper]],1,3)</f>
        <v>MOU</v>
      </c>
      <c r="O3178" t="str">
        <f>UPPER(IF(Master_ventas[[#This Row],[Profit]]&gt;500,"High","Std"))</f>
        <v>STD</v>
      </c>
      <c r="P3178">
        <v>3177</v>
      </c>
    </row>
    <row r="3179" spans="1:16" x14ac:dyDescent="0.3">
      <c r="A3179" s="1">
        <v>45518</v>
      </c>
      <c r="B3179" t="s">
        <v>20</v>
      </c>
      <c r="C3179" t="s">
        <v>11</v>
      </c>
      <c r="D3179" t="s">
        <v>9</v>
      </c>
      <c r="E3179">
        <v>1</v>
      </c>
      <c r="F3179" s="3">
        <v>342</v>
      </c>
      <c r="G3179" s="2">
        <v>37.64</v>
      </c>
      <c r="H3179">
        <f>Master_ventas[[#This Row],[Profit]]/Master_ventas[[#This Row],[Sales]]</f>
        <v>0.11005847953216374</v>
      </c>
      <c r="I3179">
        <f ca="1">Referencia_Hoy-Master_ventas[[#This Row],[Order Date]]</f>
        <v>805</v>
      </c>
      <c r="J3179" t="str">
        <f>UPPER(Master_ventas[[#This Row],[Product Name]])</f>
        <v>MONITOR</v>
      </c>
      <c r="K3179" t="str">
        <f>UPPER(Master_ventas[[#This Row],[Category]])</f>
        <v>ACCESSORIES</v>
      </c>
      <c r="L3179">
        <f>YEAR(Master_ventas[[#This Row],[Order Date]])</f>
        <v>2024</v>
      </c>
      <c r="M3179" t="str">
        <f>CONCATENATE(LEFT(Master_ventas[[#This Row],[ProdUpper]],3),RIGHT(Master_ventas[[#This Row],[Ext-Year]],2),"-",MID(Master_ventas[[#This Row],[Category]],1,1))</f>
        <v>MON24-A</v>
      </c>
      <c r="N3179" t="str">
        <f>MID(Master_ventas[[#This Row],[ProdUpper]],1,3)</f>
        <v>MON</v>
      </c>
      <c r="O3179" t="str">
        <f>UPPER(IF(Master_ventas[[#This Row],[Profit]]&gt;500,"High","Std"))</f>
        <v>STD</v>
      </c>
      <c r="P3179">
        <v>3178</v>
      </c>
    </row>
    <row r="3180" spans="1:16" x14ac:dyDescent="0.3">
      <c r="A3180" s="1">
        <v>45518</v>
      </c>
      <c r="B3180" t="s">
        <v>20</v>
      </c>
      <c r="C3180" t="s">
        <v>11</v>
      </c>
      <c r="D3180" t="s">
        <v>15</v>
      </c>
      <c r="E3180">
        <v>7</v>
      </c>
      <c r="F3180" s="3">
        <v>6769</v>
      </c>
      <c r="G3180" s="2">
        <v>1549.67</v>
      </c>
      <c r="H3180">
        <f>Master_ventas[[#This Row],[Profit]]/Master_ventas[[#This Row],[Sales]]</f>
        <v>0.22893632737479688</v>
      </c>
      <c r="I3180">
        <f ca="1">Referencia_Hoy-Master_ventas[[#This Row],[Order Date]]</f>
        <v>805</v>
      </c>
      <c r="J3180" t="str">
        <f>UPPER(Master_ventas[[#This Row],[Product Name]])</f>
        <v>MONITOR</v>
      </c>
      <c r="K3180" t="str">
        <f>UPPER(Master_ventas[[#This Row],[Category]])</f>
        <v>ACCESSORIES</v>
      </c>
      <c r="L3180">
        <f>YEAR(Master_ventas[[#This Row],[Order Date]])</f>
        <v>2024</v>
      </c>
      <c r="M3180" t="str">
        <f>CONCATENATE(LEFT(Master_ventas[[#This Row],[ProdUpper]],3),RIGHT(Master_ventas[[#This Row],[Ext-Year]],2),"-",MID(Master_ventas[[#This Row],[Category]],1,1))</f>
        <v>MON24-A</v>
      </c>
      <c r="N3180" t="str">
        <f>MID(Master_ventas[[#This Row],[ProdUpper]],1,3)</f>
        <v>MON</v>
      </c>
      <c r="O3180" t="str">
        <f>UPPER(IF(Master_ventas[[#This Row],[Profit]]&gt;500,"High","Std"))</f>
        <v>HIGH</v>
      </c>
      <c r="P3180">
        <v>3179</v>
      </c>
    </row>
    <row r="3181" spans="1:16" x14ac:dyDescent="0.3">
      <c r="A3181" s="1">
        <v>45167</v>
      </c>
      <c r="B3181" t="s">
        <v>18</v>
      </c>
      <c r="C3181" t="s">
        <v>11</v>
      </c>
      <c r="D3181" t="s">
        <v>15</v>
      </c>
      <c r="E3181">
        <v>9</v>
      </c>
      <c r="F3181" s="3">
        <v>10080</v>
      </c>
      <c r="G3181" s="2">
        <v>1794.73</v>
      </c>
      <c r="H3181">
        <f>Master_ventas[[#This Row],[Profit]]/Master_ventas[[#This Row],[Sales]]</f>
        <v>0.17804861111111112</v>
      </c>
      <c r="I3181">
        <f ca="1">Referencia_Hoy-Master_ventas[[#This Row],[Order Date]]</f>
        <v>1156</v>
      </c>
      <c r="J3181" t="str">
        <f>UPPER(Master_ventas[[#This Row],[Product Name]])</f>
        <v>HEADPHONES</v>
      </c>
      <c r="K3181" t="str">
        <f>UPPER(Master_ventas[[#This Row],[Category]])</f>
        <v>ACCESSORIES</v>
      </c>
      <c r="L3181">
        <f>YEAR(Master_ventas[[#This Row],[Order Date]])</f>
        <v>2023</v>
      </c>
      <c r="M3181" t="str">
        <f>CONCATENATE(LEFT(Master_ventas[[#This Row],[ProdUpper]],3),RIGHT(Master_ventas[[#This Row],[Ext-Year]],2),"-",MID(Master_ventas[[#This Row],[Category]],1,1))</f>
        <v>HEA23-A</v>
      </c>
      <c r="N3181" t="str">
        <f>MID(Master_ventas[[#This Row],[ProdUpper]],1,3)</f>
        <v>HEA</v>
      </c>
      <c r="O3181" t="str">
        <f>UPPER(IF(Master_ventas[[#This Row],[Profit]]&gt;500,"High","Std"))</f>
        <v>HIGH</v>
      </c>
      <c r="P3181">
        <v>3180</v>
      </c>
    </row>
    <row r="3182" spans="1:16" x14ac:dyDescent="0.3">
      <c r="A3182" s="1">
        <v>45302</v>
      </c>
      <c r="B3182" t="s">
        <v>19</v>
      </c>
      <c r="C3182" t="s">
        <v>14</v>
      </c>
      <c r="D3182" t="s">
        <v>12</v>
      </c>
      <c r="E3182">
        <v>7</v>
      </c>
      <c r="F3182" s="3">
        <v>3948</v>
      </c>
      <c r="G3182" s="2">
        <v>758.36</v>
      </c>
      <c r="H3182">
        <f>Master_ventas[[#This Row],[Profit]]/Master_ventas[[#This Row],[Sales]]</f>
        <v>0.1920871327254306</v>
      </c>
      <c r="I3182">
        <f ca="1">Referencia_Hoy-Master_ventas[[#This Row],[Order Date]]</f>
        <v>1021</v>
      </c>
      <c r="J3182" t="str">
        <f>UPPER(Master_ventas[[#This Row],[Product Name]])</f>
        <v>SMARTWATCH</v>
      </c>
      <c r="K3182" t="str">
        <f>UPPER(Master_ventas[[#This Row],[Category]])</f>
        <v>ELECTRONICS</v>
      </c>
      <c r="L3182">
        <f>YEAR(Master_ventas[[#This Row],[Order Date]])</f>
        <v>2024</v>
      </c>
      <c r="M3182" t="str">
        <f>CONCATENATE(LEFT(Master_ventas[[#This Row],[ProdUpper]],3),RIGHT(Master_ventas[[#This Row],[Ext-Year]],2),"-",MID(Master_ventas[[#This Row],[Category]],1,1))</f>
        <v>SMA24-E</v>
      </c>
      <c r="N3182" t="str">
        <f>MID(Master_ventas[[#This Row],[ProdUpper]],1,3)</f>
        <v>SMA</v>
      </c>
      <c r="O3182" t="str">
        <f>UPPER(IF(Master_ventas[[#This Row],[Profit]]&gt;500,"High","Std"))</f>
        <v>HIGH</v>
      </c>
      <c r="P3182">
        <v>3181</v>
      </c>
    </row>
    <row r="3183" spans="1:16" x14ac:dyDescent="0.3">
      <c r="A3183" s="1">
        <v>45104</v>
      </c>
      <c r="B3183" t="s">
        <v>18</v>
      </c>
      <c r="C3183" t="s">
        <v>11</v>
      </c>
      <c r="D3183" t="s">
        <v>15</v>
      </c>
      <c r="E3183">
        <v>4</v>
      </c>
      <c r="F3183" s="3">
        <v>1488</v>
      </c>
      <c r="G3183" s="2">
        <v>74.52</v>
      </c>
      <c r="H3183">
        <f>Master_ventas[[#This Row],[Profit]]/Master_ventas[[#This Row],[Sales]]</f>
        <v>5.0080645161290321E-2</v>
      </c>
      <c r="I3183">
        <f ca="1">Referencia_Hoy-Master_ventas[[#This Row],[Order Date]]</f>
        <v>1219</v>
      </c>
      <c r="J3183" t="str">
        <f>UPPER(Master_ventas[[#This Row],[Product Name]])</f>
        <v>HEADPHONES</v>
      </c>
      <c r="K3183" t="str">
        <f>UPPER(Master_ventas[[#This Row],[Category]])</f>
        <v>ACCESSORIES</v>
      </c>
      <c r="L3183">
        <f>YEAR(Master_ventas[[#This Row],[Order Date]])</f>
        <v>2023</v>
      </c>
      <c r="M3183" t="str">
        <f>CONCATENATE(LEFT(Master_ventas[[#This Row],[ProdUpper]],3),RIGHT(Master_ventas[[#This Row],[Ext-Year]],2),"-",MID(Master_ventas[[#This Row],[Category]],1,1))</f>
        <v>HEA23-A</v>
      </c>
      <c r="N3183" t="str">
        <f>MID(Master_ventas[[#This Row],[ProdUpper]],1,3)</f>
        <v>HEA</v>
      </c>
      <c r="O3183" t="str">
        <f>UPPER(IF(Master_ventas[[#This Row],[Profit]]&gt;500,"High","Std"))</f>
        <v>STD</v>
      </c>
      <c r="P3183">
        <v>3182</v>
      </c>
    </row>
    <row r="3184" spans="1:16" x14ac:dyDescent="0.3">
      <c r="A3184" s="1">
        <v>45308</v>
      </c>
      <c r="B3184" t="s">
        <v>10</v>
      </c>
      <c r="C3184" t="s">
        <v>11</v>
      </c>
      <c r="D3184" t="s">
        <v>15</v>
      </c>
      <c r="E3184">
        <v>5</v>
      </c>
      <c r="F3184" s="3">
        <v>1200</v>
      </c>
      <c r="G3184" s="2">
        <v>201.8</v>
      </c>
      <c r="H3184">
        <f>Master_ventas[[#This Row],[Profit]]/Master_ventas[[#This Row],[Sales]]</f>
        <v>0.16816666666666669</v>
      </c>
      <c r="I3184">
        <f ca="1">Referencia_Hoy-Master_ventas[[#This Row],[Order Date]]</f>
        <v>1015</v>
      </c>
      <c r="J3184" t="str">
        <f>UPPER(Master_ventas[[#This Row],[Product Name]])</f>
        <v>MOUSE</v>
      </c>
      <c r="K3184" t="str">
        <f>UPPER(Master_ventas[[#This Row],[Category]])</f>
        <v>ACCESSORIES</v>
      </c>
      <c r="L3184">
        <f>YEAR(Master_ventas[[#This Row],[Order Date]])</f>
        <v>2024</v>
      </c>
      <c r="M3184" t="str">
        <f>CONCATENATE(LEFT(Master_ventas[[#This Row],[ProdUpper]],3),RIGHT(Master_ventas[[#This Row],[Ext-Year]],2),"-",MID(Master_ventas[[#This Row],[Category]],1,1))</f>
        <v>MOU24-A</v>
      </c>
      <c r="N3184" t="str">
        <f>MID(Master_ventas[[#This Row],[ProdUpper]],1,3)</f>
        <v>MOU</v>
      </c>
      <c r="O3184" t="str">
        <f>UPPER(IF(Master_ventas[[#This Row],[Profit]]&gt;500,"High","Std"))</f>
        <v>STD</v>
      </c>
      <c r="P3184">
        <v>3183</v>
      </c>
    </row>
    <row r="3185" spans="1:16" x14ac:dyDescent="0.3">
      <c r="A3185" s="1">
        <v>44936</v>
      </c>
      <c r="B3185" t="s">
        <v>19</v>
      </c>
      <c r="C3185" t="s">
        <v>14</v>
      </c>
      <c r="D3185" t="s">
        <v>9</v>
      </c>
      <c r="E3185">
        <v>4</v>
      </c>
      <c r="F3185" s="3">
        <v>4476</v>
      </c>
      <c r="G3185" s="2">
        <v>977.6</v>
      </c>
      <c r="H3185">
        <f>Master_ventas[[#This Row],[Profit]]/Master_ventas[[#This Row],[Sales]]</f>
        <v>0.21840929401251116</v>
      </c>
      <c r="I3185">
        <f ca="1">Referencia_Hoy-Master_ventas[[#This Row],[Order Date]]</f>
        <v>1387</v>
      </c>
      <c r="J3185" t="str">
        <f>UPPER(Master_ventas[[#This Row],[Product Name]])</f>
        <v>SMARTWATCH</v>
      </c>
      <c r="K3185" t="str">
        <f>UPPER(Master_ventas[[#This Row],[Category]])</f>
        <v>ELECTRONICS</v>
      </c>
      <c r="L3185">
        <f>YEAR(Master_ventas[[#This Row],[Order Date]])</f>
        <v>2023</v>
      </c>
      <c r="M3185" t="str">
        <f>CONCATENATE(LEFT(Master_ventas[[#This Row],[ProdUpper]],3),RIGHT(Master_ventas[[#This Row],[Ext-Year]],2),"-",MID(Master_ventas[[#This Row],[Category]],1,1))</f>
        <v>SMA23-E</v>
      </c>
      <c r="N3185" t="str">
        <f>MID(Master_ventas[[#This Row],[ProdUpper]],1,3)</f>
        <v>SMA</v>
      </c>
      <c r="O3185" t="str">
        <f>UPPER(IF(Master_ventas[[#This Row],[Profit]]&gt;500,"High","Std"))</f>
        <v>HIGH</v>
      </c>
      <c r="P3185">
        <v>3184</v>
      </c>
    </row>
    <row r="3186" spans="1:16" x14ac:dyDescent="0.3">
      <c r="A3186" s="1">
        <v>45139</v>
      </c>
      <c r="B3186" t="s">
        <v>20</v>
      </c>
      <c r="C3186" t="s">
        <v>11</v>
      </c>
      <c r="D3186" t="s">
        <v>16</v>
      </c>
      <c r="E3186">
        <v>1</v>
      </c>
      <c r="F3186" s="3">
        <v>1178</v>
      </c>
      <c r="G3186" s="2">
        <v>292.14999999999998</v>
      </c>
      <c r="H3186">
        <f>Master_ventas[[#This Row],[Profit]]/Master_ventas[[#This Row],[Sales]]</f>
        <v>0.24800509337860779</v>
      </c>
      <c r="I3186">
        <f ca="1">Referencia_Hoy-Master_ventas[[#This Row],[Order Date]]</f>
        <v>1184</v>
      </c>
      <c r="J3186" t="str">
        <f>UPPER(Master_ventas[[#This Row],[Product Name]])</f>
        <v>MONITOR</v>
      </c>
      <c r="K3186" t="str">
        <f>UPPER(Master_ventas[[#This Row],[Category]])</f>
        <v>ACCESSORIES</v>
      </c>
      <c r="L3186">
        <f>YEAR(Master_ventas[[#This Row],[Order Date]])</f>
        <v>2023</v>
      </c>
      <c r="M3186" t="str">
        <f>CONCATENATE(LEFT(Master_ventas[[#This Row],[ProdUpper]],3),RIGHT(Master_ventas[[#This Row],[Ext-Year]],2),"-",MID(Master_ventas[[#This Row],[Category]],1,1))</f>
        <v>MON23-A</v>
      </c>
      <c r="N3186" t="str">
        <f>MID(Master_ventas[[#This Row],[ProdUpper]],1,3)</f>
        <v>MON</v>
      </c>
      <c r="O3186" t="str">
        <f>UPPER(IF(Master_ventas[[#This Row],[Profit]]&gt;500,"High","Std"))</f>
        <v>STD</v>
      </c>
      <c r="P3186">
        <v>3185</v>
      </c>
    </row>
    <row r="3187" spans="1:16" x14ac:dyDescent="0.3">
      <c r="A3187" s="1">
        <v>45652</v>
      </c>
      <c r="B3187" t="s">
        <v>19</v>
      </c>
      <c r="C3187" t="s">
        <v>14</v>
      </c>
      <c r="D3187" t="s">
        <v>15</v>
      </c>
      <c r="E3187">
        <v>8</v>
      </c>
      <c r="F3187" s="3">
        <v>2888</v>
      </c>
      <c r="G3187" s="2">
        <v>149.91999999999999</v>
      </c>
      <c r="H3187">
        <f>Master_ventas[[#This Row],[Profit]]/Master_ventas[[#This Row],[Sales]]</f>
        <v>5.1911357340720214E-2</v>
      </c>
      <c r="I3187">
        <f ca="1">Referencia_Hoy-Master_ventas[[#This Row],[Order Date]]</f>
        <v>671</v>
      </c>
      <c r="J3187" t="str">
        <f>UPPER(Master_ventas[[#This Row],[Product Name]])</f>
        <v>SMARTWATCH</v>
      </c>
      <c r="K3187" t="str">
        <f>UPPER(Master_ventas[[#This Row],[Category]])</f>
        <v>ELECTRONICS</v>
      </c>
      <c r="L3187">
        <f>YEAR(Master_ventas[[#This Row],[Order Date]])</f>
        <v>2024</v>
      </c>
      <c r="M3187" t="str">
        <f>CONCATENATE(LEFT(Master_ventas[[#This Row],[ProdUpper]],3),RIGHT(Master_ventas[[#This Row],[Ext-Year]],2),"-",MID(Master_ventas[[#This Row],[Category]],1,1))</f>
        <v>SMA24-E</v>
      </c>
      <c r="N3187" t="str">
        <f>MID(Master_ventas[[#This Row],[ProdUpper]],1,3)</f>
        <v>SMA</v>
      </c>
      <c r="O3187" t="str">
        <f>UPPER(IF(Master_ventas[[#This Row],[Profit]]&gt;500,"High","Std"))</f>
        <v>STD</v>
      </c>
      <c r="P3187">
        <v>3186</v>
      </c>
    </row>
    <row r="3188" spans="1:16" x14ac:dyDescent="0.3">
      <c r="A3188" s="1">
        <v>45639</v>
      </c>
      <c r="B3188" t="s">
        <v>21</v>
      </c>
      <c r="C3188" t="s">
        <v>14</v>
      </c>
      <c r="D3188" t="s">
        <v>15</v>
      </c>
      <c r="E3188">
        <v>6</v>
      </c>
      <c r="F3188" s="3">
        <v>1704</v>
      </c>
      <c r="G3188" s="2">
        <v>193.18</v>
      </c>
      <c r="H3188">
        <f>Master_ventas[[#This Row],[Profit]]/Master_ventas[[#This Row],[Sales]]</f>
        <v>0.11336854460093897</v>
      </c>
      <c r="I3188">
        <f ca="1">Referencia_Hoy-Master_ventas[[#This Row],[Order Date]]</f>
        <v>684</v>
      </c>
      <c r="J3188" t="str">
        <f>UPPER(Master_ventas[[#This Row],[Product Name]])</f>
        <v>SMARTPHONE</v>
      </c>
      <c r="K3188" t="str">
        <f>UPPER(Master_ventas[[#This Row],[Category]])</f>
        <v>ELECTRONICS</v>
      </c>
      <c r="L3188">
        <f>YEAR(Master_ventas[[#This Row],[Order Date]])</f>
        <v>2024</v>
      </c>
      <c r="M3188" t="str">
        <f>CONCATENATE(LEFT(Master_ventas[[#This Row],[ProdUpper]],3),RIGHT(Master_ventas[[#This Row],[Ext-Year]],2),"-",MID(Master_ventas[[#This Row],[Category]],1,1))</f>
        <v>SMA24-E</v>
      </c>
      <c r="N3188" t="str">
        <f>MID(Master_ventas[[#This Row],[ProdUpper]],1,3)</f>
        <v>SMA</v>
      </c>
      <c r="O3188" t="str">
        <f>UPPER(IF(Master_ventas[[#This Row],[Profit]]&gt;500,"High","Std"))</f>
        <v>STD</v>
      </c>
      <c r="P3188">
        <v>3187</v>
      </c>
    </row>
    <row r="3189" spans="1:16" x14ac:dyDescent="0.3">
      <c r="A3189" s="1">
        <v>44851</v>
      </c>
      <c r="B3189" t="s">
        <v>7</v>
      </c>
      <c r="C3189" t="s">
        <v>8</v>
      </c>
      <c r="D3189" t="s">
        <v>16</v>
      </c>
      <c r="E3189">
        <v>8</v>
      </c>
      <c r="F3189" s="3">
        <v>4200</v>
      </c>
      <c r="G3189" s="2">
        <v>1017.94</v>
      </c>
      <c r="H3189">
        <f>Master_ventas[[#This Row],[Profit]]/Master_ventas[[#This Row],[Sales]]</f>
        <v>0.24236666666666667</v>
      </c>
      <c r="I3189">
        <f ca="1">Referencia_Hoy-Master_ventas[[#This Row],[Order Date]]</f>
        <v>1472</v>
      </c>
      <c r="J3189" t="str">
        <f>UPPER(Master_ventas[[#This Row],[Product Name]])</f>
        <v>PRINTER</v>
      </c>
      <c r="K3189" t="str">
        <f>UPPER(Master_ventas[[#This Row],[Category]])</f>
        <v>OFFICE</v>
      </c>
      <c r="L3189">
        <f>YEAR(Master_ventas[[#This Row],[Order Date]])</f>
        <v>2022</v>
      </c>
      <c r="M3189" t="str">
        <f>CONCATENATE(LEFT(Master_ventas[[#This Row],[ProdUpper]],3),RIGHT(Master_ventas[[#This Row],[Ext-Year]],2),"-",MID(Master_ventas[[#This Row],[Category]],1,1))</f>
        <v>PRI22-O</v>
      </c>
      <c r="N3189" t="str">
        <f>MID(Master_ventas[[#This Row],[ProdUpper]],1,3)</f>
        <v>PRI</v>
      </c>
      <c r="O3189" t="str">
        <f>UPPER(IF(Master_ventas[[#This Row],[Profit]]&gt;500,"High","Std"))</f>
        <v>HIGH</v>
      </c>
      <c r="P3189">
        <v>3188</v>
      </c>
    </row>
    <row r="3190" spans="1:16" x14ac:dyDescent="0.3">
      <c r="A3190" s="1">
        <v>45363</v>
      </c>
      <c r="B3190" t="s">
        <v>22</v>
      </c>
      <c r="C3190" t="s">
        <v>11</v>
      </c>
      <c r="D3190" t="s">
        <v>12</v>
      </c>
      <c r="E3190">
        <v>7</v>
      </c>
      <c r="F3190" s="3">
        <v>4417</v>
      </c>
      <c r="G3190" s="2">
        <v>562.79</v>
      </c>
      <c r="H3190">
        <f>Master_ventas[[#This Row],[Profit]]/Master_ventas[[#This Row],[Sales]]</f>
        <v>0.12741453475209416</v>
      </c>
      <c r="I3190">
        <f ca="1">Referencia_Hoy-Master_ventas[[#This Row],[Order Date]]</f>
        <v>960</v>
      </c>
      <c r="J3190" t="str">
        <f>UPPER(Master_ventas[[#This Row],[Product Name]])</f>
        <v>KEYBOARD</v>
      </c>
      <c r="K3190" t="str">
        <f>UPPER(Master_ventas[[#This Row],[Category]])</f>
        <v>ACCESSORIES</v>
      </c>
      <c r="L3190">
        <f>YEAR(Master_ventas[[#This Row],[Order Date]])</f>
        <v>2024</v>
      </c>
      <c r="M3190" t="str">
        <f>CONCATENATE(LEFT(Master_ventas[[#This Row],[ProdUpper]],3),RIGHT(Master_ventas[[#This Row],[Ext-Year]],2),"-",MID(Master_ventas[[#This Row],[Category]],1,1))</f>
        <v>KEY24-A</v>
      </c>
      <c r="N3190" t="str">
        <f>MID(Master_ventas[[#This Row],[ProdUpper]],1,3)</f>
        <v>KEY</v>
      </c>
      <c r="O3190" t="str">
        <f>UPPER(IF(Master_ventas[[#This Row],[Profit]]&gt;500,"High","Std"))</f>
        <v>HIGH</v>
      </c>
      <c r="P3190">
        <v>3189</v>
      </c>
    </row>
    <row r="3191" spans="1:16" x14ac:dyDescent="0.3">
      <c r="A3191" s="1">
        <v>45432</v>
      </c>
      <c r="B3191" t="s">
        <v>17</v>
      </c>
      <c r="C3191" t="s">
        <v>14</v>
      </c>
      <c r="D3191" t="s">
        <v>16</v>
      </c>
      <c r="E3191">
        <v>4</v>
      </c>
      <c r="F3191" s="3">
        <v>764</v>
      </c>
      <c r="G3191" s="2">
        <v>178.83</v>
      </c>
      <c r="H3191">
        <f>Master_ventas[[#This Row],[Profit]]/Master_ventas[[#This Row],[Sales]]</f>
        <v>0.23407068062827227</v>
      </c>
      <c r="I3191">
        <f ca="1">Referencia_Hoy-Master_ventas[[#This Row],[Order Date]]</f>
        <v>891</v>
      </c>
      <c r="J3191" t="str">
        <f>UPPER(Master_ventas[[#This Row],[Product Name]])</f>
        <v>CAMERA</v>
      </c>
      <c r="K3191" t="str">
        <f>UPPER(Master_ventas[[#This Row],[Category]])</f>
        <v>ELECTRONICS</v>
      </c>
      <c r="L3191">
        <f>YEAR(Master_ventas[[#This Row],[Order Date]])</f>
        <v>2024</v>
      </c>
      <c r="M3191" t="str">
        <f>CONCATENATE(LEFT(Master_ventas[[#This Row],[ProdUpper]],3),RIGHT(Master_ventas[[#This Row],[Ext-Year]],2),"-",MID(Master_ventas[[#This Row],[Category]],1,1))</f>
        <v>CAM24-E</v>
      </c>
      <c r="N3191" t="str">
        <f>MID(Master_ventas[[#This Row],[ProdUpper]],1,3)</f>
        <v>CAM</v>
      </c>
      <c r="O3191" t="str">
        <f>UPPER(IF(Master_ventas[[#This Row],[Profit]]&gt;500,"High","Std"))</f>
        <v>STD</v>
      </c>
      <c r="P3191">
        <v>3190</v>
      </c>
    </row>
    <row r="3192" spans="1:16" x14ac:dyDescent="0.3">
      <c r="A3192" s="1">
        <v>45471</v>
      </c>
      <c r="B3192" t="s">
        <v>18</v>
      </c>
      <c r="C3192" t="s">
        <v>11</v>
      </c>
      <c r="D3192" t="s">
        <v>15</v>
      </c>
      <c r="E3192">
        <v>4</v>
      </c>
      <c r="F3192" s="3">
        <v>4000</v>
      </c>
      <c r="G3192" s="2">
        <v>964.43</v>
      </c>
      <c r="H3192">
        <f>Master_ventas[[#This Row],[Profit]]/Master_ventas[[#This Row],[Sales]]</f>
        <v>0.24110749999999997</v>
      </c>
      <c r="I3192">
        <f ca="1">Referencia_Hoy-Master_ventas[[#This Row],[Order Date]]</f>
        <v>852</v>
      </c>
      <c r="J3192" t="str">
        <f>UPPER(Master_ventas[[#This Row],[Product Name]])</f>
        <v>HEADPHONES</v>
      </c>
      <c r="K3192" t="str">
        <f>UPPER(Master_ventas[[#This Row],[Category]])</f>
        <v>ACCESSORIES</v>
      </c>
      <c r="L3192">
        <f>YEAR(Master_ventas[[#This Row],[Order Date]])</f>
        <v>2024</v>
      </c>
      <c r="M3192" t="str">
        <f>CONCATENATE(LEFT(Master_ventas[[#This Row],[ProdUpper]],3),RIGHT(Master_ventas[[#This Row],[Ext-Year]],2),"-",MID(Master_ventas[[#This Row],[Category]],1,1))</f>
        <v>HEA24-A</v>
      </c>
      <c r="N3192" t="str">
        <f>MID(Master_ventas[[#This Row],[ProdUpper]],1,3)</f>
        <v>HEA</v>
      </c>
      <c r="O3192" t="str">
        <f>UPPER(IF(Master_ventas[[#This Row],[Profit]]&gt;500,"High","Std"))</f>
        <v>HIGH</v>
      </c>
      <c r="P3192">
        <v>3191</v>
      </c>
    </row>
    <row r="3193" spans="1:16" x14ac:dyDescent="0.3">
      <c r="A3193" s="1">
        <v>45586</v>
      </c>
      <c r="B3193" t="s">
        <v>20</v>
      </c>
      <c r="C3193" t="s">
        <v>11</v>
      </c>
      <c r="D3193" t="s">
        <v>12</v>
      </c>
      <c r="E3193">
        <v>9</v>
      </c>
      <c r="F3193" s="3">
        <v>2331</v>
      </c>
      <c r="G3193" s="2">
        <v>558</v>
      </c>
      <c r="H3193">
        <f>Master_ventas[[#This Row],[Profit]]/Master_ventas[[#This Row],[Sales]]</f>
        <v>0.23938223938223938</v>
      </c>
      <c r="I3193">
        <f ca="1">Referencia_Hoy-Master_ventas[[#This Row],[Order Date]]</f>
        <v>737</v>
      </c>
      <c r="J3193" t="str">
        <f>UPPER(Master_ventas[[#This Row],[Product Name]])</f>
        <v>MONITOR</v>
      </c>
      <c r="K3193" t="str">
        <f>UPPER(Master_ventas[[#This Row],[Category]])</f>
        <v>ACCESSORIES</v>
      </c>
      <c r="L3193">
        <f>YEAR(Master_ventas[[#This Row],[Order Date]])</f>
        <v>2024</v>
      </c>
      <c r="M3193" t="str">
        <f>CONCATENATE(LEFT(Master_ventas[[#This Row],[ProdUpper]],3),RIGHT(Master_ventas[[#This Row],[Ext-Year]],2),"-",MID(Master_ventas[[#This Row],[Category]],1,1))</f>
        <v>MON24-A</v>
      </c>
      <c r="N3193" t="str">
        <f>MID(Master_ventas[[#This Row],[ProdUpper]],1,3)</f>
        <v>MON</v>
      </c>
      <c r="O3193" t="str">
        <f>UPPER(IF(Master_ventas[[#This Row],[Profit]]&gt;500,"High","Std"))</f>
        <v>HIGH</v>
      </c>
      <c r="P3193">
        <v>3192</v>
      </c>
    </row>
    <row r="3194" spans="1:16" x14ac:dyDescent="0.3">
      <c r="A3194" s="1">
        <v>44957</v>
      </c>
      <c r="B3194" t="s">
        <v>10</v>
      </c>
      <c r="C3194" t="s">
        <v>11</v>
      </c>
      <c r="D3194" t="s">
        <v>16</v>
      </c>
      <c r="E3194">
        <v>9</v>
      </c>
      <c r="F3194" s="3">
        <v>8172</v>
      </c>
      <c r="G3194" s="2">
        <v>1296.29</v>
      </c>
      <c r="H3194">
        <f>Master_ventas[[#This Row],[Profit]]/Master_ventas[[#This Row],[Sales]]</f>
        <v>0.15862579539892316</v>
      </c>
      <c r="I3194">
        <f ca="1">Referencia_Hoy-Master_ventas[[#This Row],[Order Date]]</f>
        <v>1366</v>
      </c>
      <c r="J3194" t="str">
        <f>UPPER(Master_ventas[[#This Row],[Product Name]])</f>
        <v>MOUSE</v>
      </c>
      <c r="K3194" t="str">
        <f>UPPER(Master_ventas[[#This Row],[Category]])</f>
        <v>ACCESSORIES</v>
      </c>
      <c r="L3194">
        <f>YEAR(Master_ventas[[#This Row],[Order Date]])</f>
        <v>2023</v>
      </c>
      <c r="M3194" t="str">
        <f>CONCATENATE(LEFT(Master_ventas[[#This Row],[ProdUpper]],3),RIGHT(Master_ventas[[#This Row],[Ext-Year]],2),"-",MID(Master_ventas[[#This Row],[Category]],1,1))</f>
        <v>MOU23-A</v>
      </c>
      <c r="N3194" t="str">
        <f>MID(Master_ventas[[#This Row],[ProdUpper]],1,3)</f>
        <v>MOU</v>
      </c>
      <c r="O3194" t="str">
        <f>UPPER(IF(Master_ventas[[#This Row],[Profit]]&gt;500,"High","Std"))</f>
        <v>HIGH</v>
      </c>
      <c r="P3194">
        <v>3193</v>
      </c>
    </row>
    <row r="3195" spans="1:16" x14ac:dyDescent="0.3">
      <c r="A3195" s="1">
        <v>45646</v>
      </c>
      <c r="B3195" t="s">
        <v>23</v>
      </c>
      <c r="C3195" t="s">
        <v>14</v>
      </c>
      <c r="D3195" t="s">
        <v>9</v>
      </c>
      <c r="E3195">
        <v>1</v>
      </c>
      <c r="F3195" s="3">
        <v>761</v>
      </c>
      <c r="G3195" s="2">
        <v>61.15</v>
      </c>
      <c r="H3195">
        <f>Master_ventas[[#This Row],[Profit]]/Master_ventas[[#This Row],[Sales]]</f>
        <v>8.035479632063075E-2</v>
      </c>
      <c r="I3195">
        <f ca="1">Referencia_Hoy-Master_ventas[[#This Row],[Order Date]]</f>
        <v>677</v>
      </c>
      <c r="J3195" t="str">
        <f>UPPER(Master_ventas[[#This Row],[Product Name]])</f>
        <v>LAPTOP</v>
      </c>
      <c r="K3195" t="str">
        <f>UPPER(Master_ventas[[#This Row],[Category]])</f>
        <v>ELECTRONICS</v>
      </c>
      <c r="L3195">
        <f>YEAR(Master_ventas[[#This Row],[Order Date]])</f>
        <v>2024</v>
      </c>
      <c r="M3195" t="str">
        <f>CONCATENATE(LEFT(Master_ventas[[#This Row],[ProdUpper]],3),RIGHT(Master_ventas[[#This Row],[Ext-Year]],2),"-",MID(Master_ventas[[#This Row],[Category]],1,1))</f>
        <v>LAP24-E</v>
      </c>
      <c r="N3195" t="str">
        <f>MID(Master_ventas[[#This Row],[ProdUpper]],1,3)</f>
        <v>LAP</v>
      </c>
      <c r="O3195" t="str">
        <f>UPPER(IF(Master_ventas[[#This Row],[Profit]]&gt;500,"High","Std"))</f>
        <v>STD</v>
      </c>
      <c r="P3195">
        <v>3194</v>
      </c>
    </row>
    <row r="3196" spans="1:16" x14ac:dyDescent="0.3">
      <c r="A3196" s="1">
        <v>45255</v>
      </c>
      <c r="B3196" t="s">
        <v>17</v>
      </c>
      <c r="C3196" t="s">
        <v>14</v>
      </c>
      <c r="D3196" t="s">
        <v>12</v>
      </c>
      <c r="E3196">
        <v>2</v>
      </c>
      <c r="F3196" s="3">
        <v>494</v>
      </c>
      <c r="G3196" s="2">
        <v>56.41</v>
      </c>
      <c r="H3196">
        <f>Master_ventas[[#This Row],[Profit]]/Master_ventas[[#This Row],[Sales]]</f>
        <v>0.11419028340080971</v>
      </c>
      <c r="I3196">
        <f ca="1">Referencia_Hoy-Master_ventas[[#This Row],[Order Date]]</f>
        <v>1068</v>
      </c>
      <c r="J3196" t="str">
        <f>UPPER(Master_ventas[[#This Row],[Product Name]])</f>
        <v>CAMERA</v>
      </c>
      <c r="K3196" t="str">
        <f>UPPER(Master_ventas[[#This Row],[Category]])</f>
        <v>ELECTRONICS</v>
      </c>
      <c r="L3196">
        <f>YEAR(Master_ventas[[#This Row],[Order Date]])</f>
        <v>2023</v>
      </c>
      <c r="M3196" t="str">
        <f>CONCATENATE(LEFT(Master_ventas[[#This Row],[ProdUpper]],3),RIGHT(Master_ventas[[#This Row],[Ext-Year]],2),"-",MID(Master_ventas[[#This Row],[Category]],1,1))</f>
        <v>CAM23-E</v>
      </c>
      <c r="N3196" t="str">
        <f>MID(Master_ventas[[#This Row],[ProdUpper]],1,3)</f>
        <v>CAM</v>
      </c>
      <c r="O3196" t="str">
        <f>UPPER(IF(Master_ventas[[#This Row],[Profit]]&gt;500,"High","Std"))</f>
        <v>STD</v>
      </c>
      <c r="P3196">
        <v>3195</v>
      </c>
    </row>
    <row r="3197" spans="1:16" x14ac:dyDescent="0.3">
      <c r="A3197" s="1">
        <v>45174</v>
      </c>
      <c r="B3197" t="s">
        <v>18</v>
      </c>
      <c r="C3197" t="s">
        <v>11</v>
      </c>
      <c r="D3197" t="s">
        <v>12</v>
      </c>
      <c r="E3197">
        <v>2</v>
      </c>
      <c r="F3197" s="3">
        <v>194</v>
      </c>
      <c r="G3197" s="2">
        <v>52.16</v>
      </c>
      <c r="H3197">
        <f>Master_ventas[[#This Row],[Profit]]/Master_ventas[[#This Row],[Sales]]</f>
        <v>0.2688659793814433</v>
      </c>
      <c r="I3197">
        <f ca="1">Referencia_Hoy-Master_ventas[[#This Row],[Order Date]]</f>
        <v>1149</v>
      </c>
      <c r="J3197" t="str">
        <f>UPPER(Master_ventas[[#This Row],[Product Name]])</f>
        <v>HEADPHONES</v>
      </c>
      <c r="K3197" t="str">
        <f>UPPER(Master_ventas[[#This Row],[Category]])</f>
        <v>ACCESSORIES</v>
      </c>
      <c r="L3197">
        <f>YEAR(Master_ventas[[#This Row],[Order Date]])</f>
        <v>2023</v>
      </c>
      <c r="M3197" t="str">
        <f>CONCATENATE(LEFT(Master_ventas[[#This Row],[ProdUpper]],3),RIGHT(Master_ventas[[#This Row],[Ext-Year]],2),"-",MID(Master_ventas[[#This Row],[Category]],1,1))</f>
        <v>HEA23-A</v>
      </c>
      <c r="N3197" t="str">
        <f>MID(Master_ventas[[#This Row],[ProdUpper]],1,3)</f>
        <v>HEA</v>
      </c>
      <c r="O3197" t="str">
        <f>UPPER(IF(Master_ventas[[#This Row],[Profit]]&gt;500,"High","Std"))</f>
        <v>STD</v>
      </c>
      <c r="P3197">
        <v>3196</v>
      </c>
    </row>
    <row r="3198" spans="1:16" x14ac:dyDescent="0.3">
      <c r="A3198" s="1">
        <v>45371</v>
      </c>
      <c r="B3198" t="s">
        <v>13</v>
      </c>
      <c r="C3198" t="s">
        <v>14</v>
      </c>
      <c r="D3198" t="s">
        <v>16</v>
      </c>
      <c r="E3198">
        <v>6</v>
      </c>
      <c r="F3198" s="3">
        <v>5820</v>
      </c>
      <c r="G3198" s="2">
        <v>1423.67</v>
      </c>
      <c r="H3198">
        <f>Master_ventas[[#This Row],[Profit]]/Master_ventas[[#This Row],[Sales]]</f>
        <v>0.24461683848797253</v>
      </c>
      <c r="I3198">
        <f ca="1">Referencia_Hoy-Master_ventas[[#This Row],[Order Date]]</f>
        <v>952</v>
      </c>
      <c r="J3198" t="str">
        <f>UPPER(Master_ventas[[#This Row],[Product Name]])</f>
        <v>TABLET</v>
      </c>
      <c r="K3198" t="str">
        <f>UPPER(Master_ventas[[#This Row],[Category]])</f>
        <v>ELECTRONICS</v>
      </c>
      <c r="L3198">
        <f>YEAR(Master_ventas[[#This Row],[Order Date]])</f>
        <v>2024</v>
      </c>
      <c r="M3198" t="str">
        <f>CONCATENATE(LEFT(Master_ventas[[#This Row],[ProdUpper]],3),RIGHT(Master_ventas[[#This Row],[Ext-Year]],2),"-",MID(Master_ventas[[#This Row],[Category]],1,1))</f>
        <v>TAB24-E</v>
      </c>
      <c r="N3198" t="str">
        <f>MID(Master_ventas[[#This Row],[ProdUpper]],1,3)</f>
        <v>TAB</v>
      </c>
      <c r="O3198" t="str">
        <f>UPPER(IF(Master_ventas[[#This Row],[Profit]]&gt;500,"High","Std"))</f>
        <v>HIGH</v>
      </c>
      <c r="P3198">
        <v>3197</v>
      </c>
    </row>
    <row r="3199" spans="1:16" x14ac:dyDescent="0.3">
      <c r="A3199" s="1">
        <v>44662</v>
      </c>
      <c r="B3199" t="s">
        <v>17</v>
      </c>
      <c r="C3199" t="s">
        <v>14</v>
      </c>
      <c r="D3199" t="s">
        <v>9</v>
      </c>
      <c r="E3199">
        <v>5</v>
      </c>
      <c r="F3199" s="3">
        <v>410</v>
      </c>
      <c r="G3199" s="2">
        <v>121.77</v>
      </c>
      <c r="H3199">
        <f>Master_ventas[[#This Row],[Profit]]/Master_ventas[[#This Row],[Sales]]</f>
        <v>0.29699999999999999</v>
      </c>
      <c r="I3199">
        <f ca="1">Referencia_Hoy-Master_ventas[[#This Row],[Order Date]]</f>
        <v>1661</v>
      </c>
      <c r="J3199" t="str">
        <f>UPPER(Master_ventas[[#This Row],[Product Name]])</f>
        <v>CAMERA</v>
      </c>
      <c r="K3199" t="str">
        <f>UPPER(Master_ventas[[#This Row],[Category]])</f>
        <v>ELECTRONICS</v>
      </c>
      <c r="L3199">
        <f>YEAR(Master_ventas[[#This Row],[Order Date]])</f>
        <v>2022</v>
      </c>
      <c r="M3199" t="str">
        <f>CONCATENATE(LEFT(Master_ventas[[#This Row],[ProdUpper]],3),RIGHT(Master_ventas[[#This Row],[Ext-Year]],2),"-",MID(Master_ventas[[#This Row],[Category]],1,1))</f>
        <v>CAM22-E</v>
      </c>
      <c r="N3199" t="str">
        <f>MID(Master_ventas[[#This Row],[ProdUpper]],1,3)</f>
        <v>CAM</v>
      </c>
      <c r="O3199" t="str">
        <f>UPPER(IF(Master_ventas[[#This Row],[Profit]]&gt;500,"High","Std"))</f>
        <v>STD</v>
      </c>
      <c r="P3199">
        <v>3198</v>
      </c>
    </row>
    <row r="3200" spans="1:16" x14ac:dyDescent="0.3">
      <c r="A3200" s="1">
        <v>45632</v>
      </c>
      <c r="B3200" t="s">
        <v>21</v>
      </c>
      <c r="C3200" t="s">
        <v>14</v>
      </c>
      <c r="D3200" t="s">
        <v>12</v>
      </c>
      <c r="E3200">
        <v>6</v>
      </c>
      <c r="F3200" s="3">
        <v>1254</v>
      </c>
      <c r="G3200" s="2">
        <v>360.87</v>
      </c>
      <c r="H3200">
        <f>Master_ventas[[#This Row],[Profit]]/Master_ventas[[#This Row],[Sales]]</f>
        <v>0.28777511961722491</v>
      </c>
      <c r="I3200">
        <f ca="1">Referencia_Hoy-Master_ventas[[#This Row],[Order Date]]</f>
        <v>691</v>
      </c>
      <c r="J3200" t="str">
        <f>UPPER(Master_ventas[[#This Row],[Product Name]])</f>
        <v>SMARTPHONE</v>
      </c>
      <c r="K3200" t="str">
        <f>UPPER(Master_ventas[[#This Row],[Category]])</f>
        <v>ELECTRONICS</v>
      </c>
      <c r="L3200">
        <f>YEAR(Master_ventas[[#This Row],[Order Date]])</f>
        <v>2024</v>
      </c>
      <c r="M3200" t="str">
        <f>CONCATENATE(LEFT(Master_ventas[[#This Row],[ProdUpper]],3),RIGHT(Master_ventas[[#This Row],[Ext-Year]],2),"-",MID(Master_ventas[[#This Row],[Category]],1,1))</f>
        <v>SMA24-E</v>
      </c>
      <c r="N3200" t="str">
        <f>MID(Master_ventas[[#This Row],[ProdUpper]],1,3)</f>
        <v>SMA</v>
      </c>
      <c r="O3200" t="str">
        <f>UPPER(IF(Master_ventas[[#This Row],[Profit]]&gt;500,"High","Std"))</f>
        <v>STD</v>
      </c>
      <c r="P3200">
        <v>3199</v>
      </c>
    </row>
    <row r="3201" spans="1:16" x14ac:dyDescent="0.3">
      <c r="A3201" s="1">
        <v>44716</v>
      </c>
      <c r="B3201" t="s">
        <v>13</v>
      </c>
      <c r="C3201" t="s">
        <v>14</v>
      </c>
      <c r="D3201" t="s">
        <v>12</v>
      </c>
      <c r="E3201">
        <v>6</v>
      </c>
      <c r="F3201" s="3">
        <v>3432</v>
      </c>
      <c r="G3201" s="2">
        <v>452.4</v>
      </c>
      <c r="H3201">
        <f>Master_ventas[[#This Row],[Profit]]/Master_ventas[[#This Row],[Sales]]</f>
        <v>0.13181818181818181</v>
      </c>
      <c r="I3201">
        <f ca="1">Referencia_Hoy-Master_ventas[[#This Row],[Order Date]]</f>
        <v>1607</v>
      </c>
      <c r="J3201" t="str">
        <f>UPPER(Master_ventas[[#This Row],[Product Name]])</f>
        <v>TABLET</v>
      </c>
      <c r="K3201" t="str">
        <f>UPPER(Master_ventas[[#This Row],[Category]])</f>
        <v>ELECTRONICS</v>
      </c>
      <c r="L3201">
        <f>YEAR(Master_ventas[[#This Row],[Order Date]])</f>
        <v>2022</v>
      </c>
      <c r="M3201" t="str">
        <f>CONCATENATE(LEFT(Master_ventas[[#This Row],[ProdUpper]],3),RIGHT(Master_ventas[[#This Row],[Ext-Year]],2),"-",MID(Master_ventas[[#This Row],[Category]],1,1))</f>
        <v>TAB22-E</v>
      </c>
      <c r="N3201" t="str">
        <f>MID(Master_ventas[[#This Row],[ProdUpper]],1,3)</f>
        <v>TAB</v>
      </c>
      <c r="O3201" t="str">
        <f>UPPER(IF(Master_ventas[[#This Row],[Profit]]&gt;500,"High","Std"))</f>
        <v>STD</v>
      </c>
      <c r="P3201">
        <v>3200</v>
      </c>
    </row>
    <row r="3202" spans="1:16" x14ac:dyDescent="0.3">
      <c r="A3202" s="1">
        <v>45373</v>
      </c>
      <c r="B3202" t="s">
        <v>17</v>
      </c>
      <c r="C3202" t="s">
        <v>14</v>
      </c>
      <c r="D3202" t="s">
        <v>9</v>
      </c>
      <c r="E3202">
        <v>4</v>
      </c>
      <c r="F3202" s="3">
        <v>3792</v>
      </c>
      <c r="G3202" s="2">
        <v>997.99</v>
      </c>
      <c r="H3202">
        <f>Master_ventas[[#This Row],[Profit]]/Master_ventas[[#This Row],[Sales]]</f>
        <v>0.26318301687763712</v>
      </c>
      <c r="I3202">
        <f ca="1">Referencia_Hoy-Master_ventas[[#This Row],[Order Date]]</f>
        <v>950</v>
      </c>
      <c r="J3202" t="str">
        <f>UPPER(Master_ventas[[#This Row],[Product Name]])</f>
        <v>CAMERA</v>
      </c>
      <c r="K3202" t="str">
        <f>UPPER(Master_ventas[[#This Row],[Category]])</f>
        <v>ELECTRONICS</v>
      </c>
      <c r="L3202">
        <f>YEAR(Master_ventas[[#This Row],[Order Date]])</f>
        <v>2024</v>
      </c>
      <c r="M3202" t="str">
        <f>CONCATENATE(LEFT(Master_ventas[[#This Row],[ProdUpper]],3),RIGHT(Master_ventas[[#This Row],[Ext-Year]],2),"-",MID(Master_ventas[[#This Row],[Category]],1,1))</f>
        <v>CAM24-E</v>
      </c>
      <c r="N3202" t="str">
        <f>MID(Master_ventas[[#This Row],[ProdUpper]],1,3)</f>
        <v>CAM</v>
      </c>
      <c r="O3202" t="str">
        <f>UPPER(IF(Master_ventas[[#This Row],[Profit]]&gt;500,"High","Std"))</f>
        <v>HIGH</v>
      </c>
      <c r="P3202">
        <v>3201</v>
      </c>
    </row>
    <row r="3203" spans="1:16" x14ac:dyDescent="0.3">
      <c r="A3203" s="1">
        <v>45615</v>
      </c>
      <c r="B3203" t="s">
        <v>13</v>
      </c>
      <c r="C3203" t="s">
        <v>14</v>
      </c>
      <c r="D3203" t="s">
        <v>16</v>
      </c>
      <c r="E3203">
        <v>7</v>
      </c>
      <c r="F3203" s="3">
        <v>546</v>
      </c>
      <c r="G3203" s="2">
        <v>117.9</v>
      </c>
      <c r="H3203">
        <f>Master_ventas[[#This Row],[Profit]]/Master_ventas[[#This Row],[Sales]]</f>
        <v>0.21593406593406594</v>
      </c>
      <c r="I3203">
        <f ca="1">Referencia_Hoy-Master_ventas[[#This Row],[Order Date]]</f>
        <v>708</v>
      </c>
      <c r="J3203" t="str">
        <f>UPPER(Master_ventas[[#This Row],[Product Name]])</f>
        <v>TABLET</v>
      </c>
      <c r="K3203" t="str">
        <f>UPPER(Master_ventas[[#This Row],[Category]])</f>
        <v>ELECTRONICS</v>
      </c>
      <c r="L3203">
        <f>YEAR(Master_ventas[[#This Row],[Order Date]])</f>
        <v>2024</v>
      </c>
      <c r="M3203" t="str">
        <f>CONCATENATE(LEFT(Master_ventas[[#This Row],[ProdUpper]],3),RIGHT(Master_ventas[[#This Row],[Ext-Year]],2),"-",MID(Master_ventas[[#This Row],[Category]],1,1))</f>
        <v>TAB24-E</v>
      </c>
      <c r="N3203" t="str">
        <f>MID(Master_ventas[[#This Row],[ProdUpper]],1,3)</f>
        <v>TAB</v>
      </c>
      <c r="O3203" t="str">
        <f>UPPER(IF(Master_ventas[[#This Row],[Profit]]&gt;500,"High","Std"))</f>
        <v>STD</v>
      </c>
      <c r="P3203">
        <v>3202</v>
      </c>
    </row>
    <row r="3204" spans="1:16" x14ac:dyDescent="0.3">
      <c r="A3204" s="1">
        <v>44616</v>
      </c>
      <c r="B3204" t="s">
        <v>19</v>
      </c>
      <c r="C3204" t="s">
        <v>14</v>
      </c>
      <c r="D3204" t="s">
        <v>12</v>
      </c>
      <c r="E3204">
        <v>3</v>
      </c>
      <c r="F3204" s="3">
        <v>1452</v>
      </c>
      <c r="G3204" s="2">
        <v>217.06</v>
      </c>
      <c r="H3204">
        <f>Master_ventas[[#This Row],[Profit]]/Master_ventas[[#This Row],[Sales]]</f>
        <v>0.14949035812672176</v>
      </c>
      <c r="I3204">
        <f ca="1">Referencia_Hoy-Master_ventas[[#This Row],[Order Date]]</f>
        <v>1707</v>
      </c>
      <c r="J3204" t="str">
        <f>UPPER(Master_ventas[[#This Row],[Product Name]])</f>
        <v>SMARTWATCH</v>
      </c>
      <c r="K3204" t="str">
        <f>UPPER(Master_ventas[[#This Row],[Category]])</f>
        <v>ELECTRONICS</v>
      </c>
      <c r="L3204">
        <f>YEAR(Master_ventas[[#This Row],[Order Date]])</f>
        <v>2022</v>
      </c>
      <c r="M3204" t="str">
        <f>CONCATENATE(LEFT(Master_ventas[[#This Row],[ProdUpper]],3),RIGHT(Master_ventas[[#This Row],[Ext-Year]],2),"-",MID(Master_ventas[[#This Row],[Category]],1,1))</f>
        <v>SMA22-E</v>
      </c>
      <c r="N3204" t="str">
        <f>MID(Master_ventas[[#This Row],[ProdUpper]],1,3)</f>
        <v>SMA</v>
      </c>
      <c r="O3204" t="str">
        <f>UPPER(IF(Master_ventas[[#This Row],[Profit]]&gt;500,"High","Std"))</f>
        <v>STD</v>
      </c>
      <c r="P3204">
        <v>3203</v>
      </c>
    </row>
    <row r="3205" spans="1:16" x14ac:dyDescent="0.3">
      <c r="A3205" s="1">
        <v>44879</v>
      </c>
      <c r="B3205" t="s">
        <v>22</v>
      </c>
      <c r="C3205" t="s">
        <v>11</v>
      </c>
      <c r="D3205" t="s">
        <v>16</v>
      </c>
      <c r="E3205">
        <v>8</v>
      </c>
      <c r="F3205" s="3">
        <v>9296</v>
      </c>
      <c r="G3205" s="2">
        <v>1556.05</v>
      </c>
      <c r="H3205">
        <f>Master_ventas[[#This Row],[Profit]]/Master_ventas[[#This Row],[Sales]]</f>
        <v>0.1673891996557659</v>
      </c>
      <c r="I3205">
        <f ca="1">Referencia_Hoy-Master_ventas[[#This Row],[Order Date]]</f>
        <v>1444</v>
      </c>
      <c r="J3205" t="str">
        <f>UPPER(Master_ventas[[#This Row],[Product Name]])</f>
        <v>KEYBOARD</v>
      </c>
      <c r="K3205" t="str">
        <f>UPPER(Master_ventas[[#This Row],[Category]])</f>
        <v>ACCESSORIES</v>
      </c>
      <c r="L3205">
        <f>YEAR(Master_ventas[[#This Row],[Order Date]])</f>
        <v>2022</v>
      </c>
      <c r="M3205" t="str">
        <f>CONCATENATE(LEFT(Master_ventas[[#This Row],[ProdUpper]],3),RIGHT(Master_ventas[[#This Row],[Ext-Year]],2),"-",MID(Master_ventas[[#This Row],[Category]],1,1))</f>
        <v>KEY22-A</v>
      </c>
      <c r="N3205" t="str">
        <f>MID(Master_ventas[[#This Row],[ProdUpper]],1,3)</f>
        <v>KEY</v>
      </c>
      <c r="O3205" t="str">
        <f>UPPER(IF(Master_ventas[[#This Row],[Profit]]&gt;500,"High","Std"))</f>
        <v>HIGH</v>
      </c>
      <c r="P3205">
        <v>3204</v>
      </c>
    </row>
    <row r="3206" spans="1:16" x14ac:dyDescent="0.3">
      <c r="A3206" s="1">
        <v>45261</v>
      </c>
      <c r="B3206" t="s">
        <v>10</v>
      </c>
      <c r="C3206" t="s">
        <v>11</v>
      </c>
      <c r="D3206" t="s">
        <v>9</v>
      </c>
      <c r="E3206">
        <v>1</v>
      </c>
      <c r="F3206" s="3">
        <v>1160</v>
      </c>
      <c r="G3206" s="2">
        <v>149.81</v>
      </c>
      <c r="H3206">
        <f>Master_ventas[[#This Row],[Profit]]/Master_ventas[[#This Row],[Sales]]</f>
        <v>0.12914655172413794</v>
      </c>
      <c r="I3206">
        <f ca="1">Referencia_Hoy-Master_ventas[[#This Row],[Order Date]]</f>
        <v>1062</v>
      </c>
      <c r="J3206" t="str">
        <f>UPPER(Master_ventas[[#This Row],[Product Name]])</f>
        <v>MOUSE</v>
      </c>
      <c r="K3206" t="str">
        <f>UPPER(Master_ventas[[#This Row],[Category]])</f>
        <v>ACCESSORIES</v>
      </c>
      <c r="L3206">
        <f>YEAR(Master_ventas[[#This Row],[Order Date]])</f>
        <v>2023</v>
      </c>
      <c r="M3206" t="str">
        <f>CONCATENATE(LEFT(Master_ventas[[#This Row],[ProdUpper]],3),RIGHT(Master_ventas[[#This Row],[Ext-Year]],2),"-",MID(Master_ventas[[#This Row],[Category]],1,1))</f>
        <v>MOU23-A</v>
      </c>
      <c r="N3206" t="str">
        <f>MID(Master_ventas[[#This Row],[ProdUpper]],1,3)</f>
        <v>MOU</v>
      </c>
      <c r="O3206" t="str">
        <f>UPPER(IF(Master_ventas[[#This Row],[Profit]]&gt;500,"High","Std"))</f>
        <v>STD</v>
      </c>
      <c r="P3206">
        <v>3205</v>
      </c>
    </row>
    <row r="3207" spans="1:16" x14ac:dyDescent="0.3">
      <c r="A3207" s="1">
        <v>45305</v>
      </c>
      <c r="B3207" t="s">
        <v>23</v>
      </c>
      <c r="C3207" t="s">
        <v>14</v>
      </c>
      <c r="D3207" t="s">
        <v>16</v>
      </c>
      <c r="E3207">
        <v>6</v>
      </c>
      <c r="F3207" s="3">
        <v>4728</v>
      </c>
      <c r="G3207" s="2">
        <v>682.01</v>
      </c>
      <c r="H3207">
        <f>Master_ventas[[#This Row],[Profit]]/Master_ventas[[#This Row],[Sales]]</f>
        <v>0.14424915397631133</v>
      </c>
      <c r="I3207">
        <f ca="1">Referencia_Hoy-Master_ventas[[#This Row],[Order Date]]</f>
        <v>1018</v>
      </c>
      <c r="J3207" t="str">
        <f>UPPER(Master_ventas[[#This Row],[Product Name]])</f>
        <v>LAPTOP</v>
      </c>
      <c r="K3207" t="str">
        <f>UPPER(Master_ventas[[#This Row],[Category]])</f>
        <v>ELECTRONICS</v>
      </c>
      <c r="L3207">
        <f>YEAR(Master_ventas[[#This Row],[Order Date]])</f>
        <v>2024</v>
      </c>
      <c r="M3207" t="str">
        <f>CONCATENATE(LEFT(Master_ventas[[#This Row],[ProdUpper]],3),RIGHT(Master_ventas[[#This Row],[Ext-Year]],2),"-",MID(Master_ventas[[#This Row],[Category]],1,1))</f>
        <v>LAP24-E</v>
      </c>
      <c r="N3207" t="str">
        <f>MID(Master_ventas[[#This Row],[ProdUpper]],1,3)</f>
        <v>LAP</v>
      </c>
      <c r="O3207" t="str">
        <f>UPPER(IF(Master_ventas[[#This Row],[Profit]]&gt;500,"High","Std"))</f>
        <v>HIGH</v>
      </c>
      <c r="P3207">
        <v>3206</v>
      </c>
    </row>
    <row r="3208" spans="1:16" x14ac:dyDescent="0.3">
      <c r="A3208" s="1">
        <v>44969</v>
      </c>
      <c r="B3208" t="s">
        <v>17</v>
      </c>
      <c r="C3208" t="s">
        <v>14</v>
      </c>
      <c r="D3208" t="s">
        <v>9</v>
      </c>
      <c r="E3208">
        <v>6</v>
      </c>
      <c r="F3208" s="3">
        <v>1836</v>
      </c>
      <c r="G3208" s="2">
        <v>508.81</v>
      </c>
      <c r="H3208">
        <f>Master_ventas[[#This Row],[Profit]]/Master_ventas[[#This Row],[Sales]]</f>
        <v>0.27712962962962961</v>
      </c>
      <c r="I3208">
        <f ca="1">Referencia_Hoy-Master_ventas[[#This Row],[Order Date]]</f>
        <v>1354</v>
      </c>
      <c r="J3208" t="str">
        <f>UPPER(Master_ventas[[#This Row],[Product Name]])</f>
        <v>CAMERA</v>
      </c>
      <c r="K3208" t="str">
        <f>UPPER(Master_ventas[[#This Row],[Category]])</f>
        <v>ELECTRONICS</v>
      </c>
      <c r="L3208">
        <f>YEAR(Master_ventas[[#This Row],[Order Date]])</f>
        <v>2023</v>
      </c>
      <c r="M3208" t="str">
        <f>CONCATENATE(LEFT(Master_ventas[[#This Row],[ProdUpper]],3),RIGHT(Master_ventas[[#This Row],[Ext-Year]],2),"-",MID(Master_ventas[[#This Row],[Category]],1,1))</f>
        <v>CAM23-E</v>
      </c>
      <c r="N3208" t="str">
        <f>MID(Master_ventas[[#This Row],[ProdUpper]],1,3)</f>
        <v>CAM</v>
      </c>
      <c r="O3208" t="str">
        <f>UPPER(IF(Master_ventas[[#This Row],[Profit]]&gt;500,"High","Std"))</f>
        <v>HIGH</v>
      </c>
      <c r="P3208">
        <v>3207</v>
      </c>
    </row>
    <row r="3209" spans="1:16" x14ac:dyDescent="0.3">
      <c r="A3209" s="1">
        <v>45182</v>
      </c>
      <c r="B3209" t="s">
        <v>19</v>
      </c>
      <c r="C3209" t="s">
        <v>14</v>
      </c>
      <c r="D3209" t="s">
        <v>15</v>
      </c>
      <c r="E3209">
        <v>7</v>
      </c>
      <c r="F3209" s="3">
        <v>6237</v>
      </c>
      <c r="G3209" s="2">
        <v>1784.89</v>
      </c>
      <c r="H3209">
        <f>Master_ventas[[#This Row],[Profit]]/Master_ventas[[#This Row],[Sales]]</f>
        <v>0.28617764951098285</v>
      </c>
      <c r="I3209">
        <f ca="1">Referencia_Hoy-Master_ventas[[#This Row],[Order Date]]</f>
        <v>1141</v>
      </c>
      <c r="J3209" t="str">
        <f>UPPER(Master_ventas[[#This Row],[Product Name]])</f>
        <v>SMARTWATCH</v>
      </c>
      <c r="K3209" t="str">
        <f>UPPER(Master_ventas[[#This Row],[Category]])</f>
        <v>ELECTRONICS</v>
      </c>
      <c r="L3209">
        <f>YEAR(Master_ventas[[#This Row],[Order Date]])</f>
        <v>2023</v>
      </c>
      <c r="M3209" t="str">
        <f>CONCATENATE(LEFT(Master_ventas[[#This Row],[ProdUpper]],3),RIGHT(Master_ventas[[#This Row],[Ext-Year]],2),"-",MID(Master_ventas[[#This Row],[Category]],1,1))</f>
        <v>SMA23-E</v>
      </c>
      <c r="N3209" t="str">
        <f>MID(Master_ventas[[#This Row],[ProdUpper]],1,3)</f>
        <v>SMA</v>
      </c>
      <c r="O3209" t="str">
        <f>UPPER(IF(Master_ventas[[#This Row],[Profit]]&gt;500,"High","Std"))</f>
        <v>HIGH</v>
      </c>
      <c r="P3209">
        <v>3208</v>
      </c>
    </row>
    <row r="3210" spans="1:16" x14ac:dyDescent="0.3">
      <c r="A3210" s="1">
        <v>45536</v>
      </c>
      <c r="B3210" t="s">
        <v>23</v>
      </c>
      <c r="C3210" t="s">
        <v>14</v>
      </c>
      <c r="D3210" t="s">
        <v>16</v>
      </c>
      <c r="E3210">
        <v>5</v>
      </c>
      <c r="F3210" s="3">
        <v>5845</v>
      </c>
      <c r="G3210" s="2">
        <v>941.79</v>
      </c>
      <c r="H3210">
        <f>Master_ventas[[#This Row],[Profit]]/Master_ventas[[#This Row],[Sales]]</f>
        <v>0.16112745936698031</v>
      </c>
      <c r="I3210">
        <f ca="1">Referencia_Hoy-Master_ventas[[#This Row],[Order Date]]</f>
        <v>787</v>
      </c>
      <c r="J3210" t="str">
        <f>UPPER(Master_ventas[[#This Row],[Product Name]])</f>
        <v>LAPTOP</v>
      </c>
      <c r="K3210" t="str">
        <f>UPPER(Master_ventas[[#This Row],[Category]])</f>
        <v>ELECTRONICS</v>
      </c>
      <c r="L3210">
        <f>YEAR(Master_ventas[[#This Row],[Order Date]])</f>
        <v>2024</v>
      </c>
      <c r="M3210" t="str">
        <f>CONCATENATE(LEFT(Master_ventas[[#This Row],[ProdUpper]],3),RIGHT(Master_ventas[[#This Row],[Ext-Year]],2),"-",MID(Master_ventas[[#This Row],[Category]],1,1))</f>
        <v>LAP24-E</v>
      </c>
      <c r="N3210" t="str">
        <f>MID(Master_ventas[[#This Row],[ProdUpper]],1,3)</f>
        <v>LAP</v>
      </c>
      <c r="O3210" t="str">
        <f>UPPER(IF(Master_ventas[[#This Row],[Profit]]&gt;500,"High","Std"))</f>
        <v>HIGH</v>
      </c>
      <c r="P3210">
        <v>3209</v>
      </c>
    </row>
    <row r="3211" spans="1:16" x14ac:dyDescent="0.3">
      <c r="A3211" s="1">
        <v>45287</v>
      </c>
      <c r="B3211" t="s">
        <v>20</v>
      </c>
      <c r="C3211" t="s">
        <v>11</v>
      </c>
      <c r="D3211" t="s">
        <v>15</v>
      </c>
      <c r="E3211">
        <v>9</v>
      </c>
      <c r="F3211" s="3">
        <v>6138</v>
      </c>
      <c r="G3211" s="2">
        <v>851.14</v>
      </c>
      <c r="H3211">
        <f>Master_ventas[[#This Row],[Profit]]/Master_ventas[[#This Row],[Sales]]</f>
        <v>0.13866731834473769</v>
      </c>
      <c r="I3211">
        <f ca="1">Referencia_Hoy-Master_ventas[[#This Row],[Order Date]]</f>
        <v>1036</v>
      </c>
      <c r="J3211" t="str">
        <f>UPPER(Master_ventas[[#This Row],[Product Name]])</f>
        <v>MONITOR</v>
      </c>
      <c r="K3211" t="str">
        <f>UPPER(Master_ventas[[#This Row],[Category]])</f>
        <v>ACCESSORIES</v>
      </c>
      <c r="L3211">
        <f>YEAR(Master_ventas[[#This Row],[Order Date]])</f>
        <v>2023</v>
      </c>
      <c r="M3211" t="str">
        <f>CONCATENATE(LEFT(Master_ventas[[#This Row],[ProdUpper]],3),RIGHT(Master_ventas[[#This Row],[Ext-Year]],2),"-",MID(Master_ventas[[#This Row],[Category]],1,1))</f>
        <v>MON23-A</v>
      </c>
      <c r="N3211" t="str">
        <f>MID(Master_ventas[[#This Row],[ProdUpper]],1,3)</f>
        <v>MON</v>
      </c>
      <c r="O3211" t="str">
        <f>UPPER(IF(Master_ventas[[#This Row],[Profit]]&gt;500,"High","Std"))</f>
        <v>HIGH</v>
      </c>
      <c r="P3211">
        <v>3210</v>
      </c>
    </row>
    <row r="3212" spans="1:16" x14ac:dyDescent="0.3">
      <c r="A3212" s="1">
        <v>44643</v>
      </c>
      <c r="B3212" t="s">
        <v>17</v>
      </c>
      <c r="C3212" t="s">
        <v>14</v>
      </c>
      <c r="D3212" t="s">
        <v>16</v>
      </c>
      <c r="E3212">
        <v>2</v>
      </c>
      <c r="F3212" s="3">
        <v>1416</v>
      </c>
      <c r="G3212" s="2">
        <v>136.75</v>
      </c>
      <c r="H3212">
        <f>Master_ventas[[#This Row],[Profit]]/Master_ventas[[#This Row],[Sales]]</f>
        <v>9.6574858757062149E-2</v>
      </c>
      <c r="I3212">
        <f ca="1">Referencia_Hoy-Master_ventas[[#This Row],[Order Date]]</f>
        <v>1680</v>
      </c>
      <c r="J3212" t="str">
        <f>UPPER(Master_ventas[[#This Row],[Product Name]])</f>
        <v>CAMERA</v>
      </c>
      <c r="K3212" t="str">
        <f>UPPER(Master_ventas[[#This Row],[Category]])</f>
        <v>ELECTRONICS</v>
      </c>
      <c r="L3212">
        <f>YEAR(Master_ventas[[#This Row],[Order Date]])</f>
        <v>2022</v>
      </c>
      <c r="M3212" t="str">
        <f>CONCATENATE(LEFT(Master_ventas[[#This Row],[ProdUpper]],3),RIGHT(Master_ventas[[#This Row],[Ext-Year]],2),"-",MID(Master_ventas[[#This Row],[Category]],1,1))</f>
        <v>CAM22-E</v>
      </c>
      <c r="N3212" t="str">
        <f>MID(Master_ventas[[#This Row],[ProdUpper]],1,3)</f>
        <v>CAM</v>
      </c>
      <c r="O3212" t="str">
        <f>UPPER(IF(Master_ventas[[#This Row],[Profit]]&gt;500,"High","Std"))</f>
        <v>STD</v>
      </c>
      <c r="P3212">
        <v>3211</v>
      </c>
    </row>
    <row r="3213" spans="1:16" x14ac:dyDescent="0.3">
      <c r="A3213" s="1">
        <v>45653</v>
      </c>
      <c r="B3213" t="s">
        <v>22</v>
      </c>
      <c r="C3213" t="s">
        <v>11</v>
      </c>
      <c r="D3213" t="s">
        <v>16</v>
      </c>
      <c r="E3213">
        <v>3</v>
      </c>
      <c r="F3213" s="3">
        <v>1851</v>
      </c>
      <c r="G3213" s="2">
        <v>348.9</v>
      </c>
      <c r="H3213">
        <f>Master_ventas[[#This Row],[Profit]]/Master_ventas[[#This Row],[Sales]]</f>
        <v>0.18849270664505671</v>
      </c>
      <c r="I3213">
        <f ca="1">Referencia_Hoy-Master_ventas[[#This Row],[Order Date]]</f>
        <v>670</v>
      </c>
      <c r="J3213" t="str">
        <f>UPPER(Master_ventas[[#This Row],[Product Name]])</f>
        <v>KEYBOARD</v>
      </c>
      <c r="K3213" t="str">
        <f>UPPER(Master_ventas[[#This Row],[Category]])</f>
        <v>ACCESSORIES</v>
      </c>
      <c r="L3213">
        <f>YEAR(Master_ventas[[#This Row],[Order Date]])</f>
        <v>2024</v>
      </c>
      <c r="M3213" t="str">
        <f>CONCATENATE(LEFT(Master_ventas[[#This Row],[ProdUpper]],3),RIGHT(Master_ventas[[#This Row],[Ext-Year]],2),"-",MID(Master_ventas[[#This Row],[Category]],1,1))</f>
        <v>KEY24-A</v>
      </c>
      <c r="N3213" t="str">
        <f>MID(Master_ventas[[#This Row],[ProdUpper]],1,3)</f>
        <v>KEY</v>
      </c>
      <c r="O3213" t="str">
        <f>UPPER(IF(Master_ventas[[#This Row],[Profit]]&gt;500,"High","Std"))</f>
        <v>STD</v>
      </c>
      <c r="P3213">
        <v>3212</v>
      </c>
    </row>
    <row r="3214" spans="1:16" x14ac:dyDescent="0.3">
      <c r="A3214" s="1">
        <v>44875</v>
      </c>
      <c r="B3214" t="s">
        <v>7</v>
      </c>
      <c r="C3214" t="s">
        <v>8</v>
      </c>
      <c r="D3214" t="s">
        <v>15</v>
      </c>
      <c r="E3214">
        <v>9</v>
      </c>
      <c r="F3214" s="3">
        <v>7452</v>
      </c>
      <c r="G3214" s="2">
        <v>1259.82</v>
      </c>
      <c r="H3214">
        <f>Master_ventas[[#This Row],[Profit]]/Master_ventas[[#This Row],[Sales]]</f>
        <v>0.16905797101449274</v>
      </c>
      <c r="I3214">
        <f ca="1">Referencia_Hoy-Master_ventas[[#This Row],[Order Date]]</f>
        <v>1448</v>
      </c>
      <c r="J3214" t="str">
        <f>UPPER(Master_ventas[[#This Row],[Product Name]])</f>
        <v>PRINTER</v>
      </c>
      <c r="K3214" t="str">
        <f>UPPER(Master_ventas[[#This Row],[Category]])</f>
        <v>OFFICE</v>
      </c>
      <c r="L3214">
        <f>YEAR(Master_ventas[[#This Row],[Order Date]])</f>
        <v>2022</v>
      </c>
      <c r="M3214" t="str">
        <f>CONCATENATE(LEFT(Master_ventas[[#This Row],[ProdUpper]],3),RIGHT(Master_ventas[[#This Row],[Ext-Year]],2),"-",MID(Master_ventas[[#This Row],[Category]],1,1))</f>
        <v>PRI22-O</v>
      </c>
      <c r="N3214" t="str">
        <f>MID(Master_ventas[[#This Row],[ProdUpper]],1,3)</f>
        <v>PRI</v>
      </c>
      <c r="O3214" t="str">
        <f>UPPER(IF(Master_ventas[[#This Row],[Profit]]&gt;500,"High","Std"))</f>
        <v>HIGH</v>
      </c>
      <c r="P3214">
        <v>3213</v>
      </c>
    </row>
    <row r="3215" spans="1:16" x14ac:dyDescent="0.3">
      <c r="A3215" s="1">
        <v>45259</v>
      </c>
      <c r="B3215" t="s">
        <v>13</v>
      </c>
      <c r="C3215" t="s">
        <v>14</v>
      </c>
      <c r="D3215" t="s">
        <v>9</v>
      </c>
      <c r="E3215">
        <v>5</v>
      </c>
      <c r="F3215" s="3">
        <v>1630</v>
      </c>
      <c r="G3215" s="2">
        <v>190.38</v>
      </c>
      <c r="H3215">
        <f>Master_ventas[[#This Row],[Profit]]/Master_ventas[[#This Row],[Sales]]</f>
        <v>0.11679754601226994</v>
      </c>
      <c r="I3215">
        <f ca="1">Referencia_Hoy-Master_ventas[[#This Row],[Order Date]]</f>
        <v>1064</v>
      </c>
      <c r="J3215" t="str">
        <f>UPPER(Master_ventas[[#This Row],[Product Name]])</f>
        <v>TABLET</v>
      </c>
      <c r="K3215" t="str">
        <f>UPPER(Master_ventas[[#This Row],[Category]])</f>
        <v>ELECTRONICS</v>
      </c>
      <c r="L3215">
        <f>YEAR(Master_ventas[[#This Row],[Order Date]])</f>
        <v>2023</v>
      </c>
      <c r="M3215" t="str">
        <f>CONCATENATE(LEFT(Master_ventas[[#This Row],[ProdUpper]],3),RIGHT(Master_ventas[[#This Row],[Ext-Year]],2),"-",MID(Master_ventas[[#This Row],[Category]],1,1))</f>
        <v>TAB23-E</v>
      </c>
      <c r="N3215" t="str">
        <f>MID(Master_ventas[[#This Row],[ProdUpper]],1,3)</f>
        <v>TAB</v>
      </c>
      <c r="O3215" t="str">
        <f>UPPER(IF(Master_ventas[[#This Row],[Profit]]&gt;500,"High","Std"))</f>
        <v>STD</v>
      </c>
      <c r="P3215">
        <v>3214</v>
      </c>
    </row>
    <row r="3216" spans="1:16" x14ac:dyDescent="0.3">
      <c r="A3216" s="1">
        <v>44789</v>
      </c>
      <c r="B3216" t="s">
        <v>17</v>
      </c>
      <c r="C3216" t="s">
        <v>14</v>
      </c>
      <c r="D3216" t="s">
        <v>16</v>
      </c>
      <c r="E3216">
        <v>6</v>
      </c>
      <c r="F3216" s="3">
        <v>4800</v>
      </c>
      <c r="G3216" s="2">
        <v>930.44</v>
      </c>
      <c r="H3216">
        <f>Master_ventas[[#This Row],[Profit]]/Master_ventas[[#This Row],[Sales]]</f>
        <v>0.19384166666666669</v>
      </c>
      <c r="I3216">
        <f ca="1">Referencia_Hoy-Master_ventas[[#This Row],[Order Date]]</f>
        <v>1534</v>
      </c>
      <c r="J3216" t="str">
        <f>UPPER(Master_ventas[[#This Row],[Product Name]])</f>
        <v>CAMERA</v>
      </c>
      <c r="K3216" t="str">
        <f>UPPER(Master_ventas[[#This Row],[Category]])</f>
        <v>ELECTRONICS</v>
      </c>
      <c r="L3216">
        <f>YEAR(Master_ventas[[#This Row],[Order Date]])</f>
        <v>2022</v>
      </c>
      <c r="M3216" t="str">
        <f>CONCATENATE(LEFT(Master_ventas[[#This Row],[ProdUpper]],3),RIGHT(Master_ventas[[#This Row],[Ext-Year]],2),"-",MID(Master_ventas[[#This Row],[Category]],1,1))</f>
        <v>CAM22-E</v>
      </c>
      <c r="N3216" t="str">
        <f>MID(Master_ventas[[#This Row],[ProdUpper]],1,3)</f>
        <v>CAM</v>
      </c>
      <c r="O3216" t="str">
        <f>UPPER(IF(Master_ventas[[#This Row],[Profit]]&gt;500,"High","Std"))</f>
        <v>HIGH</v>
      </c>
      <c r="P3216">
        <v>3215</v>
      </c>
    </row>
    <row r="3217" spans="1:16" x14ac:dyDescent="0.3">
      <c r="A3217" s="1">
        <v>45253</v>
      </c>
      <c r="B3217" t="s">
        <v>19</v>
      </c>
      <c r="C3217" t="s">
        <v>14</v>
      </c>
      <c r="D3217" t="s">
        <v>15</v>
      </c>
      <c r="E3217">
        <v>1</v>
      </c>
      <c r="F3217" s="3">
        <v>61</v>
      </c>
      <c r="G3217" s="2">
        <v>16.11</v>
      </c>
      <c r="H3217">
        <f>Master_ventas[[#This Row],[Profit]]/Master_ventas[[#This Row],[Sales]]</f>
        <v>0.26409836065573772</v>
      </c>
      <c r="I3217">
        <f ca="1">Referencia_Hoy-Master_ventas[[#This Row],[Order Date]]</f>
        <v>1070</v>
      </c>
      <c r="J3217" t="str">
        <f>UPPER(Master_ventas[[#This Row],[Product Name]])</f>
        <v>SMARTWATCH</v>
      </c>
      <c r="K3217" t="str">
        <f>UPPER(Master_ventas[[#This Row],[Category]])</f>
        <v>ELECTRONICS</v>
      </c>
      <c r="L3217">
        <f>YEAR(Master_ventas[[#This Row],[Order Date]])</f>
        <v>2023</v>
      </c>
      <c r="M3217" t="str">
        <f>CONCATENATE(LEFT(Master_ventas[[#This Row],[ProdUpper]],3),RIGHT(Master_ventas[[#This Row],[Ext-Year]],2),"-",MID(Master_ventas[[#This Row],[Category]],1,1))</f>
        <v>SMA23-E</v>
      </c>
      <c r="N3217" t="str">
        <f>MID(Master_ventas[[#This Row],[ProdUpper]],1,3)</f>
        <v>SMA</v>
      </c>
      <c r="O3217" t="str">
        <f>UPPER(IF(Master_ventas[[#This Row],[Profit]]&gt;500,"High","Std"))</f>
        <v>STD</v>
      </c>
      <c r="P3217">
        <v>3216</v>
      </c>
    </row>
    <row r="3218" spans="1:16" x14ac:dyDescent="0.3">
      <c r="A3218" s="1">
        <v>45190</v>
      </c>
      <c r="B3218" t="s">
        <v>20</v>
      </c>
      <c r="C3218" t="s">
        <v>11</v>
      </c>
      <c r="D3218" t="s">
        <v>12</v>
      </c>
      <c r="E3218">
        <v>6</v>
      </c>
      <c r="F3218" s="3">
        <v>942</v>
      </c>
      <c r="G3218" s="2">
        <v>80.27</v>
      </c>
      <c r="H3218">
        <f>Master_ventas[[#This Row],[Profit]]/Master_ventas[[#This Row],[Sales]]</f>
        <v>8.5212314225053071E-2</v>
      </c>
      <c r="I3218">
        <f ca="1">Referencia_Hoy-Master_ventas[[#This Row],[Order Date]]</f>
        <v>1133</v>
      </c>
      <c r="J3218" t="str">
        <f>UPPER(Master_ventas[[#This Row],[Product Name]])</f>
        <v>MONITOR</v>
      </c>
      <c r="K3218" t="str">
        <f>UPPER(Master_ventas[[#This Row],[Category]])</f>
        <v>ACCESSORIES</v>
      </c>
      <c r="L3218">
        <f>YEAR(Master_ventas[[#This Row],[Order Date]])</f>
        <v>2023</v>
      </c>
      <c r="M3218" t="str">
        <f>CONCATENATE(LEFT(Master_ventas[[#This Row],[ProdUpper]],3),RIGHT(Master_ventas[[#This Row],[Ext-Year]],2),"-",MID(Master_ventas[[#This Row],[Category]],1,1))</f>
        <v>MON23-A</v>
      </c>
      <c r="N3218" t="str">
        <f>MID(Master_ventas[[#This Row],[ProdUpper]],1,3)</f>
        <v>MON</v>
      </c>
      <c r="O3218" t="str">
        <f>UPPER(IF(Master_ventas[[#This Row],[Profit]]&gt;500,"High","Std"))</f>
        <v>STD</v>
      </c>
      <c r="P3218">
        <v>3217</v>
      </c>
    </row>
    <row r="3219" spans="1:16" x14ac:dyDescent="0.3">
      <c r="A3219" s="1">
        <v>45137</v>
      </c>
      <c r="B3219" t="s">
        <v>21</v>
      </c>
      <c r="C3219" t="s">
        <v>14</v>
      </c>
      <c r="D3219" t="s">
        <v>15</v>
      </c>
      <c r="E3219">
        <v>8</v>
      </c>
      <c r="F3219" s="3">
        <v>7640</v>
      </c>
      <c r="G3219" s="2">
        <v>1663.63</v>
      </c>
      <c r="H3219">
        <f>Master_ventas[[#This Row],[Profit]]/Master_ventas[[#This Row],[Sales]]</f>
        <v>0.21775261780104713</v>
      </c>
      <c r="I3219">
        <f ca="1">Referencia_Hoy-Master_ventas[[#This Row],[Order Date]]</f>
        <v>1186</v>
      </c>
      <c r="J3219" t="str">
        <f>UPPER(Master_ventas[[#This Row],[Product Name]])</f>
        <v>SMARTPHONE</v>
      </c>
      <c r="K3219" t="str">
        <f>UPPER(Master_ventas[[#This Row],[Category]])</f>
        <v>ELECTRONICS</v>
      </c>
      <c r="L3219">
        <f>YEAR(Master_ventas[[#This Row],[Order Date]])</f>
        <v>2023</v>
      </c>
      <c r="M3219" t="str">
        <f>CONCATENATE(LEFT(Master_ventas[[#This Row],[ProdUpper]],3),RIGHT(Master_ventas[[#This Row],[Ext-Year]],2),"-",MID(Master_ventas[[#This Row],[Category]],1,1))</f>
        <v>SMA23-E</v>
      </c>
      <c r="N3219" t="str">
        <f>MID(Master_ventas[[#This Row],[ProdUpper]],1,3)</f>
        <v>SMA</v>
      </c>
      <c r="O3219" t="str">
        <f>UPPER(IF(Master_ventas[[#This Row],[Profit]]&gt;500,"High","Std"))</f>
        <v>HIGH</v>
      </c>
      <c r="P3219">
        <v>3218</v>
      </c>
    </row>
    <row r="3220" spans="1:16" x14ac:dyDescent="0.3">
      <c r="A3220" s="1">
        <v>44693</v>
      </c>
      <c r="B3220" t="s">
        <v>17</v>
      </c>
      <c r="C3220" t="s">
        <v>14</v>
      </c>
      <c r="D3220" t="s">
        <v>15</v>
      </c>
      <c r="E3220">
        <v>5</v>
      </c>
      <c r="F3220" s="3">
        <v>4540</v>
      </c>
      <c r="G3220" s="2">
        <v>939.71</v>
      </c>
      <c r="H3220">
        <f>Master_ventas[[#This Row],[Profit]]/Master_ventas[[#This Row],[Sales]]</f>
        <v>0.20698458149779736</v>
      </c>
      <c r="I3220">
        <f ca="1">Referencia_Hoy-Master_ventas[[#This Row],[Order Date]]</f>
        <v>1630</v>
      </c>
      <c r="J3220" t="str">
        <f>UPPER(Master_ventas[[#This Row],[Product Name]])</f>
        <v>CAMERA</v>
      </c>
      <c r="K3220" t="str">
        <f>UPPER(Master_ventas[[#This Row],[Category]])</f>
        <v>ELECTRONICS</v>
      </c>
      <c r="L3220">
        <f>YEAR(Master_ventas[[#This Row],[Order Date]])</f>
        <v>2022</v>
      </c>
      <c r="M3220" t="str">
        <f>CONCATENATE(LEFT(Master_ventas[[#This Row],[ProdUpper]],3),RIGHT(Master_ventas[[#This Row],[Ext-Year]],2),"-",MID(Master_ventas[[#This Row],[Category]],1,1))</f>
        <v>CAM22-E</v>
      </c>
      <c r="N3220" t="str">
        <f>MID(Master_ventas[[#This Row],[ProdUpper]],1,3)</f>
        <v>CAM</v>
      </c>
      <c r="O3220" t="str">
        <f>UPPER(IF(Master_ventas[[#This Row],[Profit]]&gt;500,"High","Std"))</f>
        <v>HIGH</v>
      </c>
      <c r="P3220">
        <v>3219</v>
      </c>
    </row>
    <row r="3221" spans="1:16" x14ac:dyDescent="0.3">
      <c r="A3221" s="1">
        <v>44892</v>
      </c>
      <c r="B3221" t="s">
        <v>18</v>
      </c>
      <c r="C3221" t="s">
        <v>11</v>
      </c>
      <c r="D3221" t="s">
        <v>9</v>
      </c>
      <c r="E3221">
        <v>1</v>
      </c>
      <c r="F3221" s="3">
        <v>1030</v>
      </c>
      <c r="G3221" s="2">
        <v>190.47</v>
      </c>
      <c r="H3221">
        <f>Master_ventas[[#This Row],[Profit]]/Master_ventas[[#This Row],[Sales]]</f>
        <v>0.18492233009708739</v>
      </c>
      <c r="I3221">
        <f ca="1">Referencia_Hoy-Master_ventas[[#This Row],[Order Date]]</f>
        <v>1431</v>
      </c>
      <c r="J3221" t="str">
        <f>UPPER(Master_ventas[[#This Row],[Product Name]])</f>
        <v>HEADPHONES</v>
      </c>
      <c r="K3221" t="str">
        <f>UPPER(Master_ventas[[#This Row],[Category]])</f>
        <v>ACCESSORIES</v>
      </c>
      <c r="L3221">
        <f>YEAR(Master_ventas[[#This Row],[Order Date]])</f>
        <v>2022</v>
      </c>
      <c r="M3221" t="str">
        <f>CONCATENATE(LEFT(Master_ventas[[#This Row],[ProdUpper]],3),RIGHT(Master_ventas[[#This Row],[Ext-Year]],2),"-",MID(Master_ventas[[#This Row],[Category]],1,1))</f>
        <v>HEA22-A</v>
      </c>
      <c r="N3221" t="str">
        <f>MID(Master_ventas[[#This Row],[ProdUpper]],1,3)</f>
        <v>HEA</v>
      </c>
      <c r="O3221" t="str">
        <f>UPPER(IF(Master_ventas[[#This Row],[Profit]]&gt;500,"High","Std"))</f>
        <v>STD</v>
      </c>
      <c r="P3221">
        <v>3220</v>
      </c>
    </row>
    <row r="3222" spans="1:16" x14ac:dyDescent="0.3">
      <c r="A3222" s="1">
        <v>45189</v>
      </c>
      <c r="B3222" t="s">
        <v>7</v>
      </c>
      <c r="C3222" t="s">
        <v>8</v>
      </c>
      <c r="D3222" t="s">
        <v>9</v>
      </c>
      <c r="E3222">
        <v>2</v>
      </c>
      <c r="F3222" s="3">
        <v>384</v>
      </c>
      <c r="G3222" s="2">
        <v>30.84</v>
      </c>
      <c r="H3222">
        <f>Master_ventas[[#This Row],[Profit]]/Master_ventas[[#This Row],[Sales]]</f>
        <v>8.0312499999999995E-2</v>
      </c>
      <c r="I3222">
        <f ca="1">Referencia_Hoy-Master_ventas[[#This Row],[Order Date]]</f>
        <v>1134</v>
      </c>
      <c r="J3222" t="str">
        <f>UPPER(Master_ventas[[#This Row],[Product Name]])</f>
        <v>PRINTER</v>
      </c>
      <c r="K3222" t="str">
        <f>UPPER(Master_ventas[[#This Row],[Category]])</f>
        <v>OFFICE</v>
      </c>
      <c r="L3222">
        <f>YEAR(Master_ventas[[#This Row],[Order Date]])</f>
        <v>2023</v>
      </c>
      <c r="M3222" t="str">
        <f>CONCATENATE(LEFT(Master_ventas[[#This Row],[ProdUpper]],3),RIGHT(Master_ventas[[#This Row],[Ext-Year]],2),"-",MID(Master_ventas[[#This Row],[Category]],1,1))</f>
        <v>PRI23-O</v>
      </c>
      <c r="N3222" t="str">
        <f>MID(Master_ventas[[#This Row],[ProdUpper]],1,3)</f>
        <v>PRI</v>
      </c>
      <c r="O3222" t="str">
        <f>UPPER(IF(Master_ventas[[#This Row],[Profit]]&gt;500,"High","Std"))</f>
        <v>STD</v>
      </c>
      <c r="P3222">
        <v>3221</v>
      </c>
    </row>
    <row r="3223" spans="1:16" x14ac:dyDescent="0.3">
      <c r="A3223" s="1">
        <v>45620</v>
      </c>
      <c r="B3223" t="s">
        <v>19</v>
      </c>
      <c r="C3223" t="s">
        <v>14</v>
      </c>
      <c r="D3223" t="s">
        <v>16</v>
      </c>
      <c r="E3223">
        <v>8</v>
      </c>
      <c r="F3223" s="3">
        <v>8560</v>
      </c>
      <c r="G3223" s="2">
        <v>991.94</v>
      </c>
      <c r="H3223">
        <f>Master_ventas[[#This Row],[Profit]]/Master_ventas[[#This Row],[Sales]]</f>
        <v>0.11588084112149534</v>
      </c>
      <c r="I3223">
        <f ca="1">Referencia_Hoy-Master_ventas[[#This Row],[Order Date]]</f>
        <v>703</v>
      </c>
      <c r="J3223" t="str">
        <f>UPPER(Master_ventas[[#This Row],[Product Name]])</f>
        <v>SMARTWATCH</v>
      </c>
      <c r="K3223" t="str">
        <f>UPPER(Master_ventas[[#This Row],[Category]])</f>
        <v>ELECTRONICS</v>
      </c>
      <c r="L3223">
        <f>YEAR(Master_ventas[[#This Row],[Order Date]])</f>
        <v>2024</v>
      </c>
      <c r="M3223" t="str">
        <f>CONCATENATE(LEFT(Master_ventas[[#This Row],[ProdUpper]],3),RIGHT(Master_ventas[[#This Row],[Ext-Year]],2),"-",MID(Master_ventas[[#This Row],[Category]],1,1))</f>
        <v>SMA24-E</v>
      </c>
      <c r="N3223" t="str">
        <f>MID(Master_ventas[[#This Row],[ProdUpper]],1,3)</f>
        <v>SMA</v>
      </c>
      <c r="O3223" t="str">
        <f>UPPER(IF(Master_ventas[[#This Row],[Profit]]&gt;500,"High","Std"))</f>
        <v>HIGH</v>
      </c>
      <c r="P3223">
        <v>3222</v>
      </c>
    </row>
    <row r="3224" spans="1:16" x14ac:dyDescent="0.3">
      <c r="A3224" s="1">
        <v>44796</v>
      </c>
      <c r="B3224" t="s">
        <v>17</v>
      </c>
      <c r="C3224" t="s">
        <v>14</v>
      </c>
      <c r="D3224" t="s">
        <v>16</v>
      </c>
      <c r="E3224">
        <v>9</v>
      </c>
      <c r="F3224" s="3">
        <v>1557</v>
      </c>
      <c r="G3224" s="2">
        <v>117.36</v>
      </c>
      <c r="H3224">
        <f>Master_ventas[[#This Row],[Profit]]/Master_ventas[[#This Row],[Sales]]</f>
        <v>7.5375722543352605E-2</v>
      </c>
      <c r="I3224">
        <f ca="1">Referencia_Hoy-Master_ventas[[#This Row],[Order Date]]</f>
        <v>1527</v>
      </c>
      <c r="J3224" t="str">
        <f>UPPER(Master_ventas[[#This Row],[Product Name]])</f>
        <v>CAMERA</v>
      </c>
      <c r="K3224" t="str">
        <f>UPPER(Master_ventas[[#This Row],[Category]])</f>
        <v>ELECTRONICS</v>
      </c>
      <c r="L3224">
        <f>YEAR(Master_ventas[[#This Row],[Order Date]])</f>
        <v>2022</v>
      </c>
      <c r="M3224" t="str">
        <f>CONCATENATE(LEFT(Master_ventas[[#This Row],[ProdUpper]],3),RIGHT(Master_ventas[[#This Row],[Ext-Year]],2),"-",MID(Master_ventas[[#This Row],[Category]],1,1))</f>
        <v>CAM22-E</v>
      </c>
      <c r="N3224" t="str">
        <f>MID(Master_ventas[[#This Row],[ProdUpper]],1,3)</f>
        <v>CAM</v>
      </c>
      <c r="O3224" t="str">
        <f>UPPER(IF(Master_ventas[[#This Row],[Profit]]&gt;500,"High","Std"))</f>
        <v>STD</v>
      </c>
      <c r="P3224">
        <v>3223</v>
      </c>
    </row>
    <row r="3225" spans="1:16" x14ac:dyDescent="0.3">
      <c r="A3225" s="1">
        <v>45050</v>
      </c>
      <c r="B3225" t="s">
        <v>13</v>
      </c>
      <c r="C3225" t="s">
        <v>14</v>
      </c>
      <c r="D3225" t="s">
        <v>12</v>
      </c>
      <c r="E3225">
        <v>7</v>
      </c>
      <c r="F3225" s="3">
        <v>707</v>
      </c>
      <c r="G3225" s="2">
        <v>124.59</v>
      </c>
      <c r="H3225">
        <f>Master_ventas[[#This Row],[Profit]]/Master_ventas[[#This Row],[Sales]]</f>
        <v>0.17622347949080622</v>
      </c>
      <c r="I3225">
        <f ca="1">Referencia_Hoy-Master_ventas[[#This Row],[Order Date]]</f>
        <v>1273</v>
      </c>
      <c r="J3225" t="str">
        <f>UPPER(Master_ventas[[#This Row],[Product Name]])</f>
        <v>TABLET</v>
      </c>
      <c r="K3225" t="str">
        <f>UPPER(Master_ventas[[#This Row],[Category]])</f>
        <v>ELECTRONICS</v>
      </c>
      <c r="L3225">
        <f>YEAR(Master_ventas[[#This Row],[Order Date]])</f>
        <v>2023</v>
      </c>
      <c r="M3225" t="str">
        <f>CONCATENATE(LEFT(Master_ventas[[#This Row],[ProdUpper]],3),RIGHT(Master_ventas[[#This Row],[Ext-Year]],2),"-",MID(Master_ventas[[#This Row],[Category]],1,1))</f>
        <v>TAB23-E</v>
      </c>
      <c r="N3225" t="str">
        <f>MID(Master_ventas[[#This Row],[ProdUpper]],1,3)</f>
        <v>TAB</v>
      </c>
      <c r="O3225" t="str">
        <f>UPPER(IF(Master_ventas[[#This Row],[Profit]]&gt;500,"High","Std"))</f>
        <v>STD</v>
      </c>
      <c r="P3225">
        <v>3224</v>
      </c>
    </row>
    <row r="3226" spans="1:16" x14ac:dyDescent="0.3">
      <c r="A3226" s="1">
        <v>44778</v>
      </c>
      <c r="B3226" t="s">
        <v>10</v>
      </c>
      <c r="C3226" t="s">
        <v>11</v>
      </c>
      <c r="D3226" t="s">
        <v>16</v>
      </c>
      <c r="E3226">
        <v>5</v>
      </c>
      <c r="F3226" s="3">
        <v>3405</v>
      </c>
      <c r="G3226" s="2">
        <v>476.39</v>
      </c>
      <c r="H3226">
        <f>Master_ventas[[#This Row],[Profit]]/Master_ventas[[#This Row],[Sales]]</f>
        <v>0.13990895741556533</v>
      </c>
      <c r="I3226">
        <f ca="1">Referencia_Hoy-Master_ventas[[#This Row],[Order Date]]</f>
        <v>1545</v>
      </c>
      <c r="J3226" t="str">
        <f>UPPER(Master_ventas[[#This Row],[Product Name]])</f>
        <v>MOUSE</v>
      </c>
      <c r="K3226" t="str">
        <f>UPPER(Master_ventas[[#This Row],[Category]])</f>
        <v>ACCESSORIES</v>
      </c>
      <c r="L3226">
        <f>YEAR(Master_ventas[[#This Row],[Order Date]])</f>
        <v>2022</v>
      </c>
      <c r="M3226" t="str">
        <f>CONCATENATE(LEFT(Master_ventas[[#This Row],[ProdUpper]],3),RIGHT(Master_ventas[[#This Row],[Ext-Year]],2),"-",MID(Master_ventas[[#This Row],[Category]],1,1))</f>
        <v>MOU22-A</v>
      </c>
      <c r="N3226" t="str">
        <f>MID(Master_ventas[[#This Row],[ProdUpper]],1,3)</f>
        <v>MOU</v>
      </c>
      <c r="O3226" t="str">
        <f>UPPER(IF(Master_ventas[[#This Row],[Profit]]&gt;500,"High","Std"))</f>
        <v>STD</v>
      </c>
      <c r="P3226">
        <v>3225</v>
      </c>
    </row>
    <row r="3227" spans="1:16" x14ac:dyDescent="0.3">
      <c r="A3227" s="1">
        <v>45611</v>
      </c>
      <c r="B3227" t="s">
        <v>13</v>
      </c>
      <c r="C3227" t="s">
        <v>14</v>
      </c>
      <c r="D3227" t="s">
        <v>16</v>
      </c>
      <c r="E3227">
        <v>6</v>
      </c>
      <c r="F3227" s="3">
        <v>4722</v>
      </c>
      <c r="G3227" s="2">
        <v>522.16</v>
      </c>
      <c r="H3227">
        <f>Master_ventas[[#This Row],[Profit]]/Master_ventas[[#This Row],[Sales]]</f>
        <v>0.11058026260059296</v>
      </c>
      <c r="I3227">
        <f ca="1">Referencia_Hoy-Master_ventas[[#This Row],[Order Date]]</f>
        <v>712</v>
      </c>
      <c r="J3227" t="str">
        <f>UPPER(Master_ventas[[#This Row],[Product Name]])</f>
        <v>TABLET</v>
      </c>
      <c r="K3227" t="str">
        <f>UPPER(Master_ventas[[#This Row],[Category]])</f>
        <v>ELECTRONICS</v>
      </c>
      <c r="L3227">
        <f>YEAR(Master_ventas[[#This Row],[Order Date]])</f>
        <v>2024</v>
      </c>
      <c r="M3227" t="str">
        <f>CONCATENATE(LEFT(Master_ventas[[#This Row],[ProdUpper]],3),RIGHT(Master_ventas[[#This Row],[Ext-Year]],2),"-",MID(Master_ventas[[#This Row],[Category]],1,1))</f>
        <v>TAB24-E</v>
      </c>
      <c r="N3227" t="str">
        <f>MID(Master_ventas[[#This Row],[ProdUpper]],1,3)</f>
        <v>TAB</v>
      </c>
      <c r="O3227" t="str">
        <f>UPPER(IF(Master_ventas[[#This Row],[Profit]]&gt;500,"High","Std"))</f>
        <v>HIGH</v>
      </c>
      <c r="P3227">
        <v>3226</v>
      </c>
    </row>
    <row r="3228" spans="1:16" x14ac:dyDescent="0.3">
      <c r="A3228" s="1">
        <v>44565</v>
      </c>
      <c r="B3228" t="s">
        <v>18</v>
      </c>
      <c r="C3228" t="s">
        <v>11</v>
      </c>
      <c r="D3228" t="s">
        <v>9</v>
      </c>
      <c r="E3228">
        <v>2</v>
      </c>
      <c r="F3228" s="3">
        <v>2150</v>
      </c>
      <c r="G3228" s="2">
        <v>625.92999999999995</v>
      </c>
      <c r="H3228">
        <f>Master_ventas[[#This Row],[Profit]]/Master_ventas[[#This Row],[Sales]]</f>
        <v>0.29113023255813952</v>
      </c>
      <c r="I3228">
        <f ca="1">Referencia_Hoy-Master_ventas[[#This Row],[Order Date]]</f>
        <v>1758</v>
      </c>
      <c r="J3228" t="str">
        <f>UPPER(Master_ventas[[#This Row],[Product Name]])</f>
        <v>HEADPHONES</v>
      </c>
      <c r="K3228" t="str">
        <f>UPPER(Master_ventas[[#This Row],[Category]])</f>
        <v>ACCESSORIES</v>
      </c>
      <c r="L3228">
        <f>YEAR(Master_ventas[[#This Row],[Order Date]])</f>
        <v>2022</v>
      </c>
      <c r="M3228" t="str">
        <f>CONCATENATE(LEFT(Master_ventas[[#This Row],[ProdUpper]],3),RIGHT(Master_ventas[[#This Row],[Ext-Year]],2),"-",MID(Master_ventas[[#This Row],[Category]],1,1))</f>
        <v>HEA22-A</v>
      </c>
      <c r="N3228" t="str">
        <f>MID(Master_ventas[[#This Row],[ProdUpper]],1,3)</f>
        <v>HEA</v>
      </c>
      <c r="O3228" t="str">
        <f>UPPER(IF(Master_ventas[[#This Row],[Profit]]&gt;500,"High","Std"))</f>
        <v>HIGH</v>
      </c>
      <c r="P3228">
        <v>3227</v>
      </c>
    </row>
    <row r="3229" spans="1:16" x14ac:dyDescent="0.3">
      <c r="A3229" s="1">
        <v>44869</v>
      </c>
      <c r="B3229" t="s">
        <v>20</v>
      </c>
      <c r="C3229" t="s">
        <v>11</v>
      </c>
      <c r="D3229" t="s">
        <v>16</v>
      </c>
      <c r="E3229">
        <v>7</v>
      </c>
      <c r="F3229" s="3">
        <v>3619</v>
      </c>
      <c r="G3229" s="2">
        <v>827.39</v>
      </c>
      <c r="H3229">
        <f>Master_ventas[[#This Row],[Profit]]/Master_ventas[[#This Row],[Sales]]</f>
        <v>0.22862392926222713</v>
      </c>
      <c r="I3229">
        <f ca="1">Referencia_Hoy-Master_ventas[[#This Row],[Order Date]]</f>
        <v>1454</v>
      </c>
      <c r="J3229" t="str">
        <f>UPPER(Master_ventas[[#This Row],[Product Name]])</f>
        <v>MONITOR</v>
      </c>
      <c r="K3229" t="str">
        <f>UPPER(Master_ventas[[#This Row],[Category]])</f>
        <v>ACCESSORIES</v>
      </c>
      <c r="L3229">
        <f>YEAR(Master_ventas[[#This Row],[Order Date]])</f>
        <v>2022</v>
      </c>
      <c r="M3229" t="str">
        <f>CONCATENATE(LEFT(Master_ventas[[#This Row],[ProdUpper]],3),RIGHT(Master_ventas[[#This Row],[Ext-Year]],2),"-",MID(Master_ventas[[#This Row],[Category]],1,1))</f>
        <v>MON22-A</v>
      </c>
      <c r="N3229" t="str">
        <f>MID(Master_ventas[[#This Row],[ProdUpper]],1,3)</f>
        <v>MON</v>
      </c>
      <c r="O3229" t="str">
        <f>UPPER(IF(Master_ventas[[#This Row],[Profit]]&gt;500,"High","Std"))</f>
        <v>HIGH</v>
      </c>
      <c r="P3229">
        <v>3228</v>
      </c>
    </row>
    <row r="3230" spans="1:16" x14ac:dyDescent="0.3">
      <c r="A3230" s="1">
        <v>45147</v>
      </c>
      <c r="B3230" t="s">
        <v>19</v>
      </c>
      <c r="C3230" t="s">
        <v>14</v>
      </c>
      <c r="D3230" t="s">
        <v>15</v>
      </c>
      <c r="E3230">
        <v>4</v>
      </c>
      <c r="F3230" s="3">
        <v>3892</v>
      </c>
      <c r="G3230" s="2">
        <v>909.22</v>
      </c>
      <c r="H3230">
        <f>Master_ventas[[#This Row],[Profit]]/Master_ventas[[#This Row],[Sales]]</f>
        <v>0.2336125385405961</v>
      </c>
      <c r="I3230">
        <f ca="1">Referencia_Hoy-Master_ventas[[#This Row],[Order Date]]</f>
        <v>1176</v>
      </c>
      <c r="J3230" t="str">
        <f>UPPER(Master_ventas[[#This Row],[Product Name]])</f>
        <v>SMARTWATCH</v>
      </c>
      <c r="K3230" t="str">
        <f>UPPER(Master_ventas[[#This Row],[Category]])</f>
        <v>ELECTRONICS</v>
      </c>
      <c r="L3230">
        <f>YEAR(Master_ventas[[#This Row],[Order Date]])</f>
        <v>2023</v>
      </c>
      <c r="M3230" t="str">
        <f>CONCATENATE(LEFT(Master_ventas[[#This Row],[ProdUpper]],3),RIGHT(Master_ventas[[#This Row],[Ext-Year]],2),"-",MID(Master_ventas[[#This Row],[Category]],1,1))</f>
        <v>SMA23-E</v>
      </c>
      <c r="N3230" t="str">
        <f>MID(Master_ventas[[#This Row],[ProdUpper]],1,3)</f>
        <v>SMA</v>
      </c>
      <c r="O3230" t="str">
        <f>UPPER(IF(Master_ventas[[#This Row],[Profit]]&gt;500,"High","Std"))</f>
        <v>HIGH</v>
      </c>
      <c r="P3230">
        <v>3229</v>
      </c>
    </row>
    <row r="3231" spans="1:16" x14ac:dyDescent="0.3">
      <c r="A3231" s="1">
        <v>44775</v>
      </c>
      <c r="B3231" t="s">
        <v>17</v>
      </c>
      <c r="C3231" t="s">
        <v>14</v>
      </c>
      <c r="D3231" t="s">
        <v>15</v>
      </c>
      <c r="E3231">
        <v>1</v>
      </c>
      <c r="F3231" s="3">
        <v>54</v>
      </c>
      <c r="G3231" s="2">
        <v>13.29</v>
      </c>
      <c r="H3231">
        <f>Master_ventas[[#This Row],[Profit]]/Master_ventas[[#This Row],[Sales]]</f>
        <v>0.24611111111111109</v>
      </c>
      <c r="I3231">
        <f ca="1">Referencia_Hoy-Master_ventas[[#This Row],[Order Date]]</f>
        <v>1548</v>
      </c>
      <c r="J3231" t="str">
        <f>UPPER(Master_ventas[[#This Row],[Product Name]])</f>
        <v>CAMERA</v>
      </c>
      <c r="K3231" t="str">
        <f>UPPER(Master_ventas[[#This Row],[Category]])</f>
        <v>ELECTRONICS</v>
      </c>
      <c r="L3231">
        <f>YEAR(Master_ventas[[#This Row],[Order Date]])</f>
        <v>2022</v>
      </c>
      <c r="M3231" t="str">
        <f>CONCATENATE(LEFT(Master_ventas[[#This Row],[ProdUpper]],3),RIGHT(Master_ventas[[#This Row],[Ext-Year]],2),"-",MID(Master_ventas[[#This Row],[Category]],1,1))</f>
        <v>CAM22-E</v>
      </c>
      <c r="N3231" t="str">
        <f>MID(Master_ventas[[#This Row],[ProdUpper]],1,3)</f>
        <v>CAM</v>
      </c>
      <c r="O3231" t="str">
        <f>UPPER(IF(Master_ventas[[#This Row],[Profit]]&gt;500,"High","Std"))</f>
        <v>STD</v>
      </c>
      <c r="P3231">
        <v>3230</v>
      </c>
    </row>
    <row r="3232" spans="1:16" x14ac:dyDescent="0.3">
      <c r="A3232" s="1">
        <v>45264</v>
      </c>
      <c r="B3232" t="s">
        <v>22</v>
      </c>
      <c r="C3232" t="s">
        <v>11</v>
      </c>
      <c r="D3232" t="s">
        <v>15</v>
      </c>
      <c r="E3232">
        <v>1</v>
      </c>
      <c r="F3232" s="3">
        <v>612</v>
      </c>
      <c r="G3232" s="2">
        <v>136.25</v>
      </c>
      <c r="H3232">
        <f>Master_ventas[[#This Row],[Profit]]/Master_ventas[[#This Row],[Sales]]</f>
        <v>0.22263071895424835</v>
      </c>
      <c r="I3232">
        <f ca="1">Referencia_Hoy-Master_ventas[[#This Row],[Order Date]]</f>
        <v>1059</v>
      </c>
      <c r="J3232" t="str">
        <f>UPPER(Master_ventas[[#This Row],[Product Name]])</f>
        <v>KEYBOARD</v>
      </c>
      <c r="K3232" t="str">
        <f>UPPER(Master_ventas[[#This Row],[Category]])</f>
        <v>ACCESSORIES</v>
      </c>
      <c r="L3232">
        <f>YEAR(Master_ventas[[#This Row],[Order Date]])</f>
        <v>2023</v>
      </c>
      <c r="M3232" t="str">
        <f>CONCATENATE(LEFT(Master_ventas[[#This Row],[ProdUpper]],3),RIGHT(Master_ventas[[#This Row],[Ext-Year]],2),"-",MID(Master_ventas[[#This Row],[Category]],1,1))</f>
        <v>KEY23-A</v>
      </c>
      <c r="N3232" t="str">
        <f>MID(Master_ventas[[#This Row],[ProdUpper]],1,3)</f>
        <v>KEY</v>
      </c>
      <c r="O3232" t="str">
        <f>UPPER(IF(Master_ventas[[#This Row],[Profit]]&gt;500,"High","Std"))</f>
        <v>STD</v>
      </c>
      <c r="P3232">
        <v>3231</v>
      </c>
    </row>
    <row r="3233" spans="1:16" x14ac:dyDescent="0.3">
      <c r="A3233" s="1">
        <v>44807</v>
      </c>
      <c r="B3233" t="s">
        <v>20</v>
      </c>
      <c r="C3233" t="s">
        <v>11</v>
      </c>
      <c r="D3233" t="s">
        <v>12</v>
      </c>
      <c r="E3233">
        <v>5</v>
      </c>
      <c r="F3233" s="3">
        <v>3850</v>
      </c>
      <c r="G3233" s="2">
        <v>419.55</v>
      </c>
      <c r="H3233">
        <f>Master_ventas[[#This Row],[Profit]]/Master_ventas[[#This Row],[Sales]]</f>
        <v>0.10897402597402597</v>
      </c>
      <c r="I3233">
        <f ca="1">Referencia_Hoy-Master_ventas[[#This Row],[Order Date]]</f>
        <v>1516</v>
      </c>
      <c r="J3233" t="str">
        <f>UPPER(Master_ventas[[#This Row],[Product Name]])</f>
        <v>MONITOR</v>
      </c>
      <c r="K3233" t="str">
        <f>UPPER(Master_ventas[[#This Row],[Category]])</f>
        <v>ACCESSORIES</v>
      </c>
      <c r="L3233">
        <f>YEAR(Master_ventas[[#This Row],[Order Date]])</f>
        <v>2022</v>
      </c>
      <c r="M3233" t="str">
        <f>CONCATENATE(LEFT(Master_ventas[[#This Row],[ProdUpper]],3),RIGHT(Master_ventas[[#This Row],[Ext-Year]],2),"-",MID(Master_ventas[[#This Row],[Category]],1,1))</f>
        <v>MON22-A</v>
      </c>
      <c r="N3233" t="str">
        <f>MID(Master_ventas[[#This Row],[ProdUpper]],1,3)</f>
        <v>MON</v>
      </c>
      <c r="O3233" t="str">
        <f>UPPER(IF(Master_ventas[[#This Row],[Profit]]&gt;500,"High","Std"))</f>
        <v>STD</v>
      </c>
      <c r="P3233">
        <v>3232</v>
      </c>
    </row>
    <row r="3234" spans="1:16" x14ac:dyDescent="0.3">
      <c r="A3234" s="1">
        <v>45402</v>
      </c>
      <c r="B3234" t="s">
        <v>17</v>
      </c>
      <c r="C3234" t="s">
        <v>14</v>
      </c>
      <c r="D3234" t="s">
        <v>12</v>
      </c>
      <c r="E3234">
        <v>5</v>
      </c>
      <c r="F3234" s="3">
        <v>3005</v>
      </c>
      <c r="G3234" s="2">
        <v>389.93</v>
      </c>
      <c r="H3234">
        <f>Master_ventas[[#This Row],[Profit]]/Master_ventas[[#This Row],[Sales]]</f>
        <v>0.12976039933444261</v>
      </c>
      <c r="I3234">
        <f ca="1">Referencia_Hoy-Master_ventas[[#This Row],[Order Date]]</f>
        <v>921</v>
      </c>
      <c r="J3234" t="str">
        <f>UPPER(Master_ventas[[#This Row],[Product Name]])</f>
        <v>CAMERA</v>
      </c>
      <c r="K3234" t="str">
        <f>UPPER(Master_ventas[[#This Row],[Category]])</f>
        <v>ELECTRONICS</v>
      </c>
      <c r="L3234">
        <f>YEAR(Master_ventas[[#This Row],[Order Date]])</f>
        <v>2024</v>
      </c>
      <c r="M3234" t="str">
        <f>CONCATENATE(LEFT(Master_ventas[[#This Row],[ProdUpper]],3),RIGHT(Master_ventas[[#This Row],[Ext-Year]],2),"-",MID(Master_ventas[[#This Row],[Category]],1,1))</f>
        <v>CAM24-E</v>
      </c>
      <c r="N3234" t="str">
        <f>MID(Master_ventas[[#This Row],[ProdUpper]],1,3)</f>
        <v>CAM</v>
      </c>
      <c r="O3234" t="str">
        <f>UPPER(IF(Master_ventas[[#This Row],[Profit]]&gt;500,"High","Std"))</f>
        <v>STD</v>
      </c>
      <c r="P3234">
        <v>3233</v>
      </c>
    </row>
    <row r="3235" spans="1:16" x14ac:dyDescent="0.3">
      <c r="A3235" s="1">
        <v>45488</v>
      </c>
      <c r="B3235" t="s">
        <v>18</v>
      </c>
      <c r="C3235" t="s">
        <v>11</v>
      </c>
      <c r="D3235" t="s">
        <v>9</v>
      </c>
      <c r="E3235">
        <v>9</v>
      </c>
      <c r="F3235" s="3">
        <v>5256</v>
      </c>
      <c r="G3235" s="2">
        <v>1296.6500000000001</v>
      </c>
      <c r="H3235">
        <f>Master_ventas[[#This Row],[Profit]]/Master_ventas[[#This Row],[Sales]]</f>
        <v>0.24669901065449013</v>
      </c>
      <c r="I3235">
        <f ca="1">Referencia_Hoy-Master_ventas[[#This Row],[Order Date]]</f>
        <v>835</v>
      </c>
      <c r="J3235" t="str">
        <f>UPPER(Master_ventas[[#This Row],[Product Name]])</f>
        <v>HEADPHONES</v>
      </c>
      <c r="K3235" t="str">
        <f>UPPER(Master_ventas[[#This Row],[Category]])</f>
        <v>ACCESSORIES</v>
      </c>
      <c r="L3235">
        <f>YEAR(Master_ventas[[#This Row],[Order Date]])</f>
        <v>2024</v>
      </c>
      <c r="M3235" t="str">
        <f>CONCATENATE(LEFT(Master_ventas[[#This Row],[ProdUpper]],3),RIGHT(Master_ventas[[#This Row],[Ext-Year]],2),"-",MID(Master_ventas[[#This Row],[Category]],1,1))</f>
        <v>HEA24-A</v>
      </c>
      <c r="N3235" t="str">
        <f>MID(Master_ventas[[#This Row],[ProdUpper]],1,3)</f>
        <v>HEA</v>
      </c>
      <c r="O3235" t="str">
        <f>UPPER(IF(Master_ventas[[#This Row],[Profit]]&gt;500,"High","Std"))</f>
        <v>HIGH</v>
      </c>
      <c r="P3235">
        <v>3234</v>
      </c>
    </row>
    <row r="3236" spans="1:16" x14ac:dyDescent="0.3">
      <c r="A3236" s="1">
        <v>44998</v>
      </c>
      <c r="B3236" t="s">
        <v>7</v>
      </c>
      <c r="C3236" t="s">
        <v>8</v>
      </c>
      <c r="D3236" t="s">
        <v>12</v>
      </c>
      <c r="E3236">
        <v>6</v>
      </c>
      <c r="F3236" s="3">
        <v>3576</v>
      </c>
      <c r="G3236" s="2">
        <v>1033.3</v>
      </c>
      <c r="H3236">
        <f>Master_ventas[[#This Row],[Profit]]/Master_ventas[[#This Row],[Sales]]</f>
        <v>0.28895413870246084</v>
      </c>
      <c r="I3236">
        <f ca="1">Referencia_Hoy-Master_ventas[[#This Row],[Order Date]]</f>
        <v>1325</v>
      </c>
      <c r="J3236" t="str">
        <f>UPPER(Master_ventas[[#This Row],[Product Name]])</f>
        <v>PRINTER</v>
      </c>
      <c r="K3236" t="str">
        <f>UPPER(Master_ventas[[#This Row],[Category]])</f>
        <v>OFFICE</v>
      </c>
      <c r="L3236">
        <f>YEAR(Master_ventas[[#This Row],[Order Date]])</f>
        <v>2023</v>
      </c>
      <c r="M3236" t="str">
        <f>CONCATENATE(LEFT(Master_ventas[[#This Row],[ProdUpper]],3),RIGHT(Master_ventas[[#This Row],[Ext-Year]],2),"-",MID(Master_ventas[[#This Row],[Category]],1,1))</f>
        <v>PRI23-O</v>
      </c>
      <c r="N3236" t="str">
        <f>MID(Master_ventas[[#This Row],[ProdUpper]],1,3)</f>
        <v>PRI</v>
      </c>
      <c r="O3236" t="str">
        <f>UPPER(IF(Master_ventas[[#This Row],[Profit]]&gt;500,"High","Std"))</f>
        <v>HIGH</v>
      </c>
      <c r="P3236">
        <v>3235</v>
      </c>
    </row>
    <row r="3237" spans="1:16" x14ac:dyDescent="0.3">
      <c r="A3237" s="1">
        <v>44873</v>
      </c>
      <c r="B3237" t="s">
        <v>13</v>
      </c>
      <c r="C3237" t="s">
        <v>14</v>
      </c>
      <c r="D3237" t="s">
        <v>16</v>
      </c>
      <c r="E3237">
        <v>5</v>
      </c>
      <c r="F3237" s="3">
        <v>3415</v>
      </c>
      <c r="G3237" s="2">
        <v>496.48</v>
      </c>
      <c r="H3237">
        <f>Master_ventas[[#This Row],[Profit]]/Master_ventas[[#This Row],[Sales]]</f>
        <v>0.14538213762811128</v>
      </c>
      <c r="I3237">
        <f ca="1">Referencia_Hoy-Master_ventas[[#This Row],[Order Date]]</f>
        <v>1450</v>
      </c>
      <c r="J3237" t="str">
        <f>UPPER(Master_ventas[[#This Row],[Product Name]])</f>
        <v>TABLET</v>
      </c>
      <c r="K3237" t="str">
        <f>UPPER(Master_ventas[[#This Row],[Category]])</f>
        <v>ELECTRONICS</v>
      </c>
      <c r="L3237">
        <f>YEAR(Master_ventas[[#This Row],[Order Date]])</f>
        <v>2022</v>
      </c>
      <c r="M3237" t="str">
        <f>CONCATENATE(LEFT(Master_ventas[[#This Row],[ProdUpper]],3),RIGHT(Master_ventas[[#This Row],[Ext-Year]],2),"-",MID(Master_ventas[[#This Row],[Category]],1,1))</f>
        <v>TAB22-E</v>
      </c>
      <c r="N3237" t="str">
        <f>MID(Master_ventas[[#This Row],[ProdUpper]],1,3)</f>
        <v>TAB</v>
      </c>
      <c r="O3237" t="str">
        <f>UPPER(IF(Master_ventas[[#This Row],[Profit]]&gt;500,"High","Std"))</f>
        <v>STD</v>
      </c>
      <c r="P3237">
        <v>3236</v>
      </c>
    </row>
    <row r="3238" spans="1:16" x14ac:dyDescent="0.3">
      <c r="A3238" s="1">
        <v>44939</v>
      </c>
      <c r="B3238" t="s">
        <v>17</v>
      </c>
      <c r="C3238" t="s">
        <v>14</v>
      </c>
      <c r="D3238" t="s">
        <v>16</v>
      </c>
      <c r="E3238">
        <v>3</v>
      </c>
      <c r="F3238" s="3">
        <v>1722</v>
      </c>
      <c r="G3238" s="2">
        <v>203.04</v>
      </c>
      <c r="H3238">
        <f>Master_ventas[[#This Row],[Profit]]/Master_ventas[[#This Row],[Sales]]</f>
        <v>0.11790940766550523</v>
      </c>
      <c r="I3238">
        <f ca="1">Referencia_Hoy-Master_ventas[[#This Row],[Order Date]]</f>
        <v>1384</v>
      </c>
      <c r="J3238" t="str">
        <f>UPPER(Master_ventas[[#This Row],[Product Name]])</f>
        <v>CAMERA</v>
      </c>
      <c r="K3238" t="str">
        <f>UPPER(Master_ventas[[#This Row],[Category]])</f>
        <v>ELECTRONICS</v>
      </c>
      <c r="L3238">
        <f>YEAR(Master_ventas[[#This Row],[Order Date]])</f>
        <v>2023</v>
      </c>
      <c r="M3238" t="str">
        <f>CONCATENATE(LEFT(Master_ventas[[#This Row],[ProdUpper]],3),RIGHT(Master_ventas[[#This Row],[Ext-Year]],2),"-",MID(Master_ventas[[#This Row],[Category]],1,1))</f>
        <v>CAM23-E</v>
      </c>
      <c r="N3238" t="str">
        <f>MID(Master_ventas[[#This Row],[ProdUpper]],1,3)</f>
        <v>CAM</v>
      </c>
      <c r="O3238" t="str">
        <f>UPPER(IF(Master_ventas[[#This Row],[Profit]]&gt;500,"High","Std"))</f>
        <v>STD</v>
      </c>
      <c r="P3238">
        <v>3237</v>
      </c>
    </row>
    <row r="3239" spans="1:16" x14ac:dyDescent="0.3">
      <c r="A3239" s="1">
        <v>44665</v>
      </c>
      <c r="B3239" t="s">
        <v>10</v>
      </c>
      <c r="C3239" t="s">
        <v>11</v>
      </c>
      <c r="D3239" t="s">
        <v>12</v>
      </c>
      <c r="E3239">
        <v>8</v>
      </c>
      <c r="F3239" s="3">
        <v>4088</v>
      </c>
      <c r="G3239" s="2">
        <v>853.36</v>
      </c>
      <c r="H3239">
        <f>Master_ventas[[#This Row],[Profit]]/Master_ventas[[#This Row],[Sales]]</f>
        <v>0.20874755381604698</v>
      </c>
      <c r="I3239">
        <f ca="1">Referencia_Hoy-Master_ventas[[#This Row],[Order Date]]</f>
        <v>1658</v>
      </c>
      <c r="J3239" t="str">
        <f>UPPER(Master_ventas[[#This Row],[Product Name]])</f>
        <v>MOUSE</v>
      </c>
      <c r="K3239" t="str">
        <f>UPPER(Master_ventas[[#This Row],[Category]])</f>
        <v>ACCESSORIES</v>
      </c>
      <c r="L3239">
        <f>YEAR(Master_ventas[[#This Row],[Order Date]])</f>
        <v>2022</v>
      </c>
      <c r="M3239" t="str">
        <f>CONCATENATE(LEFT(Master_ventas[[#This Row],[ProdUpper]],3),RIGHT(Master_ventas[[#This Row],[Ext-Year]],2),"-",MID(Master_ventas[[#This Row],[Category]],1,1))</f>
        <v>MOU22-A</v>
      </c>
      <c r="N3239" t="str">
        <f>MID(Master_ventas[[#This Row],[ProdUpper]],1,3)</f>
        <v>MOU</v>
      </c>
      <c r="O3239" t="str">
        <f>UPPER(IF(Master_ventas[[#This Row],[Profit]]&gt;500,"High","Std"))</f>
        <v>HIGH</v>
      </c>
      <c r="P3239">
        <v>3238</v>
      </c>
    </row>
    <row r="3240" spans="1:16" x14ac:dyDescent="0.3">
      <c r="A3240" s="1">
        <v>45331</v>
      </c>
      <c r="B3240" t="s">
        <v>18</v>
      </c>
      <c r="C3240" t="s">
        <v>11</v>
      </c>
      <c r="D3240" t="s">
        <v>16</v>
      </c>
      <c r="E3240">
        <v>5</v>
      </c>
      <c r="F3240" s="3">
        <v>5320</v>
      </c>
      <c r="G3240" s="2">
        <v>882.84</v>
      </c>
      <c r="H3240">
        <f>Master_ventas[[#This Row],[Profit]]/Master_ventas[[#This Row],[Sales]]</f>
        <v>0.16594736842105265</v>
      </c>
      <c r="I3240">
        <f ca="1">Referencia_Hoy-Master_ventas[[#This Row],[Order Date]]</f>
        <v>992</v>
      </c>
      <c r="J3240" t="str">
        <f>UPPER(Master_ventas[[#This Row],[Product Name]])</f>
        <v>HEADPHONES</v>
      </c>
      <c r="K3240" t="str">
        <f>UPPER(Master_ventas[[#This Row],[Category]])</f>
        <v>ACCESSORIES</v>
      </c>
      <c r="L3240">
        <f>YEAR(Master_ventas[[#This Row],[Order Date]])</f>
        <v>2024</v>
      </c>
      <c r="M3240" t="str">
        <f>CONCATENATE(LEFT(Master_ventas[[#This Row],[ProdUpper]],3),RIGHT(Master_ventas[[#This Row],[Ext-Year]],2),"-",MID(Master_ventas[[#This Row],[Category]],1,1))</f>
        <v>HEA24-A</v>
      </c>
      <c r="N3240" t="str">
        <f>MID(Master_ventas[[#This Row],[ProdUpper]],1,3)</f>
        <v>HEA</v>
      </c>
      <c r="O3240" t="str">
        <f>UPPER(IF(Master_ventas[[#This Row],[Profit]]&gt;500,"High","Std"))</f>
        <v>HIGH</v>
      </c>
      <c r="P3240">
        <v>3239</v>
      </c>
    </row>
    <row r="3241" spans="1:16" x14ac:dyDescent="0.3">
      <c r="A3241" s="1">
        <v>44892</v>
      </c>
      <c r="B3241" t="s">
        <v>10</v>
      </c>
      <c r="C3241" t="s">
        <v>11</v>
      </c>
      <c r="D3241" t="s">
        <v>16</v>
      </c>
      <c r="E3241">
        <v>6</v>
      </c>
      <c r="F3241" s="3">
        <v>3660</v>
      </c>
      <c r="G3241" s="2">
        <v>1079</v>
      </c>
      <c r="H3241">
        <f>Master_ventas[[#This Row],[Profit]]/Master_ventas[[#This Row],[Sales]]</f>
        <v>0.29480874316939892</v>
      </c>
      <c r="I3241">
        <f ca="1">Referencia_Hoy-Master_ventas[[#This Row],[Order Date]]</f>
        <v>1431</v>
      </c>
      <c r="J3241" t="str">
        <f>UPPER(Master_ventas[[#This Row],[Product Name]])</f>
        <v>MOUSE</v>
      </c>
      <c r="K3241" t="str">
        <f>UPPER(Master_ventas[[#This Row],[Category]])</f>
        <v>ACCESSORIES</v>
      </c>
      <c r="L3241">
        <f>YEAR(Master_ventas[[#This Row],[Order Date]])</f>
        <v>2022</v>
      </c>
      <c r="M3241" t="str">
        <f>CONCATENATE(LEFT(Master_ventas[[#This Row],[ProdUpper]],3),RIGHT(Master_ventas[[#This Row],[Ext-Year]],2),"-",MID(Master_ventas[[#This Row],[Category]],1,1))</f>
        <v>MOU22-A</v>
      </c>
      <c r="N3241" t="str">
        <f>MID(Master_ventas[[#This Row],[ProdUpper]],1,3)</f>
        <v>MOU</v>
      </c>
      <c r="O3241" t="str">
        <f>UPPER(IF(Master_ventas[[#This Row],[Profit]]&gt;500,"High","Std"))</f>
        <v>HIGH</v>
      </c>
      <c r="P3241">
        <v>3240</v>
      </c>
    </row>
    <row r="3242" spans="1:16" x14ac:dyDescent="0.3">
      <c r="A3242" s="1">
        <v>45425</v>
      </c>
      <c r="B3242" t="s">
        <v>17</v>
      </c>
      <c r="C3242" t="s">
        <v>14</v>
      </c>
      <c r="D3242" t="s">
        <v>16</v>
      </c>
      <c r="E3242">
        <v>6</v>
      </c>
      <c r="F3242" s="3">
        <v>5250</v>
      </c>
      <c r="G3242" s="2">
        <v>1228.49</v>
      </c>
      <c r="H3242">
        <f>Master_ventas[[#This Row],[Profit]]/Master_ventas[[#This Row],[Sales]]</f>
        <v>0.23399809523809523</v>
      </c>
      <c r="I3242">
        <f ca="1">Referencia_Hoy-Master_ventas[[#This Row],[Order Date]]</f>
        <v>898</v>
      </c>
      <c r="J3242" t="str">
        <f>UPPER(Master_ventas[[#This Row],[Product Name]])</f>
        <v>CAMERA</v>
      </c>
      <c r="K3242" t="str">
        <f>UPPER(Master_ventas[[#This Row],[Category]])</f>
        <v>ELECTRONICS</v>
      </c>
      <c r="L3242">
        <f>YEAR(Master_ventas[[#This Row],[Order Date]])</f>
        <v>2024</v>
      </c>
      <c r="M3242" t="str">
        <f>CONCATENATE(LEFT(Master_ventas[[#This Row],[ProdUpper]],3),RIGHT(Master_ventas[[#This Row],[Ext-Year]],2),"-",MID(Master_ventas[[#This Row],[Category]],1,1))</f>
        <v>CAM24-E</v>
      </c>
      <c r="N3242" t="str">
        <f>MID(Master_ventas[[#This Row],[ProdUpper]],1,3)</f>
        <v>CAM</v>
      </c>
      <c r="O3242" t="str">
        <f>UPPER(IF(Master_ventas[[#This Row],[Profit]]&gt;500,"High","Std"))</f>
        <v>HIGH</v>
      </c>
      <c r="P3242">
        <v>3241</v>
      </c>
    </row>
    <row r="3243" spans="1:16" x14ac:dyDescent="0.3">
      <c r="A3243" s="1">
        <v>44668</v>
      </c>
      <c r="B3243" t="s">
        <v>23</v>
      </c>
      <c r="C3243" t="s">
        <v>14</v>
      </c>
      <c r="D3243" t="s">
        <v>9</v>
      </c>
      <c r="E3243">
        <v>4</v>
      </c>
      <c r="F3243" s="3">
        <v>328</v>
      </c>
      <c r="G3243" s="2">
        <v>90.89</v>
      </c>
      <c r="H3243">
        <f>Master_ventas[[#This Row],[Profit]]/Master_ventas[[#This Row],[Sales]]</f>
        <v>0.27710365853658536</v>
      </c>
      <c r="I3243">
        <f ca="1">Referencia_Hoy-Master_ventas[[#This Row],[Order Date]]</f>
        <v>1655</v>
      </c>
      <c r="J3243" t="str">
        <f>UPPER(Master_ventas[[#This Row],[Product Name]])</f>
        <v>LAPTOP</v>
      </c>
      <c r="K3243" t="str">
        <f>UPPER(Master_ventas[[#This Row],[Category]])</f>
        <v>ELECTRONICS</v>
      </c>
      <c r="L3243">
        <f>YEAR(Master_ventas[[#This Row],[Order Date]])</f>
        <v>2022</v>
      </c>
      <c r="M3243" t="str">
        <f>CONCATENATE(LEFT(Master_ventas[[#This Row],[ProdUpper]],3),RIGHT(Master_ventas[[#This Row],[Ext-Year]],2),"-",MID(Master_ventas[[#This Row],[Category]],1,1))</f>
        <v>LAP22-E</v>
      </c>
      <c r="N3243" t="str">
        <f>MID(Master_ventas[[#This Row],[ProdUpper]],1,3)</f>
        <v>LAP</v>
      </c>
      <c r="O3243" t="str">
        <f>UPPER(IF(Master_ventas[[#This Row],[Profit]]&gt;500,"High","Std"))</f>
        <v>STD</v>
      </c>
      <c r="P3243">
        <v>3242</v>
      </c>
    </row>
    <row r="3244" spans="1:16" x14ac:dyDescent="0.3">
      <c r="A3244" s="1">
        <v>45198</v>
      </c>
      <c r="B3244" t="s">
        <v>21</v>
      </c>
      <c r="C3244" t="s">
        <v>14</v>
      </c>
      <c r="D3244" t="s">
        <v>16</v>
      </c>
      <c r="E3244">
        <v>7</v>
      </c>
      <c r="F3244" s="3">
        <v>1596</v>
      </c>
      <c r="G3244" s="2">
        <v>359.71</v>
      </c>
      <c r="H3244">
        <f>Master_ventas[[#This Row],[Profit]]/Master_ventas[[#This Row],[Sales]]</f>
        <v>0.22538220551378446</v>
      </c>
      <c r="I3244">
        <f ca="1">Referencia_Hoy-Master_ventas[[#This Row],[Order Date]]</f>
        <v>1125</v>
      </c>
      <c r="J3244" t="str">
        <f>UPPER(Master_ventas[[#This Row],[Product Name]])</f>
        <v>SMARTPHONE</v>
      </c>
      <c r="K3244" t="str">
        <f>UPPER(Master_ventas[[#This Row],[Category]])</f>
        <v>ELECTRONICS</v>
      </c>
      <c r="L3244">
        <f>YEAR(Master_ventas[[#This Row],[Order Date]])</f>
        <v>2023</v>
      </c>
      <c r="M3244" t="str">
        <f>CONCATENATE(LEFT(Master_ventas[[#This Row],[ProdUpper]],3),RIGHT(Master_ventas[[#This Row],[Ext-Year]],2),"-",MID(Master_ventas[[#This Row],[Category]],1,1))</f>
        <v>SMA23-E</v>
      </c>
      <c r="N3244" t="str">
        <f>MID(Master_ventas[[#This Row],[ProdUpper]],1,3)</f>
        <v>SMA</v>
      </c>
      <c r="O3244" t="str">
        <f>UPPER(IF(Master_ventas[[#This Row],[Profit]]&gt;500,"High","Std"))</f>
        <v>STD</v>
      </c>
      <c r="P3244">
        <v>3243</v>
      </c>
    </row>
    <row r="3245" spans="1:16" x14ac:dyDescent="0.3">
      <c r="A3245" s="1">
        <v>44968</v>
      </c>
      <c r="B3245" t="s">
        <v>7</v>
      </c>
      <c r="C3245" t="s">
        <v>8</v>
      </c>
      <c r="D3245" t="s">
        <v>15</v>
      </c>
      <c r="E3245">
        <v>7</v>
      </c>
      <c r="F3245" s="3">
        <v>2443</v>
      </c>
      <c r="G3245" s="2">
        <v>661.21</v>
      </c>
      <c r="H3245">
        <f>Master_ventas[[#This Row],[Profit]]/Master_ventas[[#This Row],[Sales]]</f>
        <v>0.27065493246009009</v>
      </c>
      <c r="I3245">
        <f ca="1">Referencia_Hoy-Master_ventas[[#This Row],[Order Date]]</f>
        <v>1355</v>
      </c>
      <c r="J3245" t="str">
        <f>UPPER(Master_ventas[[#This Row],[Product Name]])</f>
        <v>PRINTER</v>
      </c>
      <c r="K3245" t="str">
        <f>UPPER(Master_ventas[[#This Row],[Category]])</f>
        <v>OFFICE</v>
      </c>
      <c r="L3245">
        <f>YEAR(Master_ventas[[#This Row],[Order Date]])</f>
        <v>2023</v>
      </c>
      <c r="M3245" t="str">
        <f>CONCATENATE(LEFT(Master_ventas[[#This Row],[ProdUpper]],3),RIGHT(Master_ventas[[#This Row],[Ext-Year]],2),"-",MID(Master_ventas[[#This Row],[Category]],1,1))</f>
        <v>PRI23-O</v>
      </c>
      <c r="N3245" t="str">
        <f>MID(Master_ventas[[#This Row],[ProdUpper]],1,3)</f>
        <v>PRI</v>
      </c>
      <c r="O3245" t="str">
        <f>UPPER(IF(Master_ventas[[#This Row],[Profit]]&gt;500,"High","Std"))</f>
        <v>HIGH</v>
      </c>
      <c r="P3245">
        <v>3244</v>
      </c>
    </row>
    <row r="3246" spans="1:16" x14ac:dyDescent="0.3">
      <c r="A3246" s="1">
        <v>45130</v>
      </c>
      <c r="B3246" t="s">
        <v>19</v>
      </c>
      <c r="C3246" t="s">
        <v>14</v>
      </c>
      <c r="D3246" t="s">
        <v>12</v>
      </c>
      <c r="E3246">
        <v>7</v>
      </c>
      <c r="F3246" s="3">
        <v>5432</v>
      </c>
      <c r="G3246" s="2">
        <v>870.08</v>
      </c>
      <c r="H3246">
        <f>Master_ventas[[#This Row],[Profit]]/Master_ventas[[#This Row],[Sales]]</f>
        <v>0.16017673048600883</v>
      </c>
      <c r="I3246">
        <f ca="1">Referencia_Hoy-Master_ventas[[#This Row],[Order Date]]</f>
        <v>1193</v>
      </c>
      <c r="J3246" t="str">
        <f>UPPER(Master_ventas[[#This Row],[Product Name]])</f>
        <v>SMARTWATCH</v>
      </c>
      <c r="K3246" t="str">
        <f>UPPER(Master_ventas[[#This Row],[Category]])</f>
        <v>ELECTRONICS</v>
      </c>
      <c r="L3246">
        <f>YEAR(Master_ventas[[#This Row],[Order Date]])</f>
        <v>2023</v>
      </c>
      <c r="M3246" t="str">
        <f>CONCATENATE(LEFT(Master_ventas[[#This Row],[ProdUpper]],3),RIGHT(Master_ventas[[#This Row],[Ext-Year]],2),"-",MID(Master_ventas[[#This Row],[Category]],1,1))</f>
        <v>SMA23-E</v>
      </c>
      <c r="N3246" t="str">
        <f>MID(Master_ventas[[#This Row],[ProdUpper]],1,3)</f>
        <v>SMA</v>
      </c>
      <c r="O3246" t="str">
        <f>UPPER(IF(Master_ventas[[#This Row],[Profit]]&gt;500,"High","Std"))</f>
        <v>HIGH</v>
      </c>
      <c r="P3246">
        <v>3245</v>
      </c>
    </row>
    <row r="3247" spans="1:16" x14ac:dyDescent="0.3">
      <c r="A3247" s="1">
        <v>44655</v>
      </c>
      <c r="B3247" t="s">
        <v>7</v>
      </c>
      <c r="C3247" t="s">
        <v>8</v>
      </c>
      <c r="D3247" t="s">
        <v>9</v>
      </c>
      <c r="E3247">
        <v>3</v>
      </c>
      <c r="F3247" s="3">
        <v>1254</v>
      </c>
      <c r="G3247" s="2">
        <v>221.19</v>
      </c>
      <c r="H3247">
        <f>Master_ventas[[#This Row],[Profit]]/Master_ventas[[#This Row],[Sales]]</f>
        <v>0.17638755980861243</v>
      </c>
      <c r="I3247">
        <f ca="1">Referencia_Hoy-Master_ventas[[#This Row],[Order Date]]</f>
        <v>1668</v>
      </c>
      <c r="J3247" t="str">
        <f>UPPER(Master_ventas[[#This Row],[Product Name]])</f>
        <v>PRINTER</v>
      </c>
      <c r="K3247" t="str">
        <f>UPPER(Master_ventas[[#This Row],[Category]])</f>
        <v>OFFICE</v>
      </c>
      <c r="L3247">
        <f>YEAR(Master_ventas[[#This Row],[Order Date]])</f>
        <v>2022</v>
      </c>
      <c r="M3247" t="str">
        <f>CONCATENATE(LEFT(Master_ventas[[#This Row],[ProdUpper]],3),RIGHT(Master_ventas[[#This Row],[Ext-Year]],2),"-",MID(Master_ventas[[#This Row],[Category]],1,1))</f>
        <v>PRI22-O</v>
      </c>
      <c r="N3247" t="str">
        <f>MID(Master_ventas[[#This Row],[ProdUpper]],1,3)</f>
        <v>PRI</v>
      </c>
      <c r="O3247" t="str">
        <f>UPPER(IF(Master_ventas[[#This Row],[Profit]]&gt;500,"High","Std"))</f>
        <v>STD</v>
      </c>
      <c r="P3247">
        <v>3246</v>
      </c>
    </row>
    <row r="3248" spans="1:16" x14ac:dyDescent="0.3">
      <c r="A3248" s="1">
        <v>44611</v>
      </c>
      <c r="B3248" t="s">
        <v>13</v>
      </c>
      <c r="C3248" t="s">
        <v>14</v>
      </c>
      <c r="D3248" t="s">
        <v>12</v>
      </c>
      <c r="E3248">
        <v>5</v>
      </c>
      <c r="F3248" s="3">
        <v>5495</v>
      </c>
      <c r="G3248" s="2">
        <v>1276.27</v>
      </c>
      <c r="H3248">
        <f>Master_ventas[[#This Row],[Profit]]/Master_ventas[[#This Row],[Sales]]</f>
        <v>0.23226023657870792</v>
      </c>
      <c r="I3248">
        <f ca="1">Referencia_Hoy-Master_ventas[[#This Row],[Order Date]]</f>
        <v>1712</v>
      </c>
      <c r="J3248" t="str">
        <f>UPPER(Master_ventas[[#This Row],[Product Name]])</f>
        <v>TABLET</v>
      </c>
      <c r="K3248" t="str">
        <f>UPPER(Master_ventas[[#This Row],[Category]])</f>
        <v>ELECTRONICS</v>
      </c>
      <c r="L3248">
        <f>YEAR(Master_ventas[[#This Row],[Order Date]])</f>
        <v>2022</v>
      </c>
      <c r="M3248" t="str">
        <f>CONCATENATE(LEFT(Master_ventas[[#This Row],[ProdUpper]],3),RIGHT(Master_ventas[[#This Row],[Ext-Year]],2),"-",MID(Master_ventas[[#This Row],[Category]],1,1))</f>
        <v>TAB22-E</v>
      </c>
      <c r="N3248" t="str">
        <f>MID(Master_ventas[[#This Row],[ProdUpper]],1,3)</f>
        <v>TAB</v>
      </c>
      <c r="O3248" t="str">
        <f>UPPER(IF(Master_ventas[[#This Row],[Profit]]&gt;500,"High","Std"))</f>
        <v>HIGH</v>
      </c>
      <c r="P3248">
        <v>3247</v>
      </c>
    </row>
    <row r="3249" spans="1:16" x14ac:dyDescent="0.3">
      <c r="A3249" s="1">
        <v>45267</v>
      </c>
      <c r="B3249" t="s">
        <v>18</v>
      </c>
      <c r="C3249" t="s">
        <v>11</v>
      </c>
      <c r="D3249" t="s">
        <v>9</v>
      </c>
      <c r="E3249">
        <v>4</v>
      </c>
      <c r="F3249" s="3">
        <v>596</v>
      </c>
      <c r="G3249" s="2">
        <v>72.650000000000006</v>
      </c>
      <c r="H3249">
        <f>Master_ventas[[#This Row],[Profit]]/Master_ventas[[#This Row],[Sales]]</f>
        <v>0.12189597315436243</v>
      </c>
      <c r="I3249">
        <f ca="1">Referencia_Hoy-Master_ventas[[#This Row],[Order Date]]</f>
        <v>1056</v>
      </c>
      <c r="J3249" t="str">
        <f>UPPER(Master_ventas[[#This Row],[Product Name]])</f>
        <v>HEADPHONES</v>
      </c>
      <c r="K3249" t="str">
        <f>UPPER(Master_ventas[[#This Row],[Category]])</f>
        <v>ACCESSORIES</v>
      </c>
      <c r="L3249">
        <f>YEAR(Master_ventas[[#This Row],[Order Date]])</f>
        <v>2023</v>
      </c>
      <c r="M3249" t="str">
        <f>CONCATENATE(LEFT(Master_ventas[[#This Row],[ProdUpper]],3),RIGHT(Master_ventas[[#This Row],[Ext-Year]],2),"-",MID(Master_ventas[[#This Row],[Category]],1,1))</f>
        <v>HEA23-A</v>
      </c>
      <c r="N3249" t="str">
        <f>MID(Master_ventas[[#This Row],[ProdUpper]],1,3)</f>
        <v>HEA</v>
      </c>
      <c r="O3249" t="str">
        <f>UPPER(IF(Master_ventas[[#This Row],[Profit]]&gt;500,"High","Std"))</f>
        <v>STD</v>
      </c>
      <c r="P3249">
        <v>3248</v>
      </c>
    </row>
    <row r="3250" spans="1:16" x14ac:dyDescent="0.3">
      <c r="A3250" s="1">
        <v>45583</v>
      </c>
      <c r="B3250" t="s">
        <v>7</v>
      </c>
      <c r="C3250" t="s">
        <v>8</v>
      </c>
      <c r="D3250" t="s">
        <v>15</v>
      </c>
      <c r="E3250">
        <v>6</v>
      </c>
      <c r="F3250" s="3">
        <v>3696</v>
      </c>
      <c r="G3250" s="2">
        <v>597.66</v>
      </c>
      <c r="H3250">
        <f>Master_ventas[[#This Row],[Profit]]/Master_ventas[[#This Row],[Sales]]</f>
        <v>0.16170454545454543</v>
      </c>
      <c r="I3250">
        <f ca="1">Referencia_Hoy-Master_ventas[[#This Row],[Order Date]]</f>
        <v>740</v>
      </c>
      <c r="J3250" t="str">
        <f>UPPER(Master_ventas[[#This Row],[Product Name]])</f>
        <v>PRINTER</v>
      </c>
      <c r="K3250" t="str">
        <f>UPPER(Master_ventas[[#This Row],[Category]])</f>
        <v>OFFICE</v>
      </c>
      <c r="L3250">
        <f>YEAR(Master_ventas[[#This Row],[Order Date]])</f>
        <v>2024</v>
      </c>
      <c r="M3250" t="str">
        <f>CONCATENATE(LEFT(Master_ventas[[#This Row],[ProdUpper]],3),RIGHT(Master_ventas[[#This Row],[Ext-Year]],2),"-",MID(Master_ventas[[#This Row],[Category]],1,1))</f>
        <v>PRI24-O</v>
      </c>
      <c r="N3250" t="str">
        <f>MID(Master_ventas[[#This Row],[ProdUpper]],1,3)</f>
        <v>PRI</v>
      </c>
      <c r="O3250" t="str">
        <f>UPPER(IF(Master_ventas[[#This Row],[Profit]]&gt;500,"High","Std"))</f>
        <v>HIGH</v>
      </c>
      <c r="P3250">
        <v>3249</v>
      </c>
    </row>
    <row r="3251" spans="1:16" x14ac:dyDescent="0.3">
      <c r="A3251" s="1">
        <v>44669</v>
      </c>
      <c r="B3251" t="s">
        <v>10</v>
      </c>
      <c r="C3251" t="s">
        <v>11</v>
      </c>
      <c r="D3251" t="s">
        <v>9</v>
      </c>
      <c r="E3251">
        <v>6</v>
      </c>
      <c r="F3251" s="3">
        <v>4488</v>
      </c>
      <c r="G3251" s="2">
        <v>939.05</v>
      </c>
      <c r="H3251">
        <f>Master_ventas[[#This Row],[Profit]]/Master_ventas[[#This Row],[Sales]]</f>
        <v>0.20923573975044563</v>
      </c>
      <c r="I3251">
        <f ca="1">Referencia_Hoy-Master_ventas[[#This Row],[Order Date]]</f>
        <v>1654</v>
      </c>
      <c r="J3251" t="str">
        <f>UPPER(Master_ventas[[#This Row],[Product Name]])</f>
        <v>MOUSE</v>
      </c>
      <c r="K3251" t="str">
        <f>UPPER(Master_ventas[[#This Row],[Category]])</f>
        <v>ACCESSORIES</v>
      </c>
      <c r="L3251">
        <f>YEAR(Master_ventas[[#This Row],[Order Date]])</f>
        <v>2022</v>
      </c>
      <c r="M3251" t="str">
        <f>CONCATENATE(LEFT(Master_ventas[[#This Row],[ProdUpper]],3),RIGHT(Master_ventas[[#This Row],[Ext-Year]],2),"-",MID(Master_ventas[[#This Row],[Category]],1,1))</f>
        <v>MOU22-A</v>
      </c>
      <c r="N3251" t="str">
        <f>MID(Master_ventas[[#This Row],[ProdUpper]],1,3)</f>
        <v>MOU</v>
      </c>
      <c r="O3251" t="str">
        <f>UPPER(IF(Master_ventas[[#This Row],[Profit]]&gt;500,"High","Std"))</f>
        <v>HIGH</v>
      </c>
      <c r="P3251">
        <v>3250</v>
      </c>
    </row>
    <row r="3252" spans="1:16" x14ac:dyDescent="0.3">
      <c r="A3252" s="1">
        <v>45217</v>
      </c>
      <c r="B3252" t="s">
        <v>17</v>
      </c>
      <c r="C3252" t="s">
        <v>14</v>
      </c>
      <c r="D3252" t="s">
        <v>16</v>
      </c>
      <c r="E3252">
        <v>6</v>
      </c>
      <c r="F3252" s="3">
        <v>6846</v>
      </c>
      <c r="G3252" s="2">
        <v>932.21</v>
      </c>
      <c r="H3252">
        <f>Master_ventas[[#This Row],[Profit]]/Master_ventas[[#This Row],[Sales]]</f>
        <v>0.1361685655857435</v>
      </c>
      <c r="I3252">
        <f ca="1">Referencia_Hoy-Master_ventas[[#This Row],[Order Date]]</f>
        <v>1106</v>
      </c>
      <c r="J3252" t="str">
        <f>UPPER(Master_ventas[[#This Row],[Product Name]])</f>
        <v>CAMERA</v>
      </c>
      <c r="K3252" t="str">
        <f>UPPER(Master_ventas[[#This Row],[Category]])</f>
        <v>ELECTRONICS</v>
      </c>
      <c r="L3252">
        <f>YEAR(Master_ventas[[#This Row],[Order Date]])</f>
        <v>2023</v>
      </c>
      <c r="M3252" t="str">
        <f>CONCATENATE(LEFT(Master_ventas[[#This Row],[ProdUpper]],3),RIGHT(Master_ventas[[#This Row],[Ext-Year]],2),"-",MID(Master_ventas[[#This Row],[Category]],1,1))</f>
        <v>CAM23-E</v>
      </c>
      <c r="N3252" t="str">
        <f>MID(Master_ventas[[#This Row],[ProdUpper]],1,3)</f>
        <v>CAM</v>
      </c>
      <c r="O3252" t="str">
        <f>UPPER(IF(Master_ventas[[#This Row],[Profit]]&gt;500,"High","Std"))</f>
        <v>HIGH</v>
      </c>
      <c r="P3252">
        <v>3251</v>
      </c>
    </row>
    <row r="3253" spans="1:16" x14ac:dyDescent="0.3">
      <c r="A3253" s="1">
        <v>45289</v>
      </c>
      <c r="B3253" t="s">
        <v>10</v>
      </c>
      <c r="C3253" t="s">
        <v>11</v>
      </c>
      <c r="D3253" t="s">
        <v>16</v>
      </c>
      <c r="E3253">
        <v>8</v>
      </c>
      <c r="F3253" s="3">
        <v>2960</v>
      </c>
      <c r="G3253" s="2">
        <v>607.64</v>
      </c>
      <c r="H3253">
        <f>Master_ventas[[#This Row],[Profit]]/Master_ventas[[#This Row],[Sales]]</f>
        <v>0.20528378378378379</v>
      </c>
      <c r="I3253">
        <f ca="1">Referencia_Hoy-Master_ventas[[#This Row],[Order Date]]</f>
        <v>1034</v>
      </c>
      <c r="J3253" t="str">
        <f>UPPER(Master_ventas[[#This Row],[Product Name]])</f>
        <v>MOUSE</v>
      </c>
      <c r="K3253" t="str">
        <f>UPPER(Master_ventas[[#This Row],[Category]])</f>
        <v>ACCESSORIES</v>
      </c>
      <c r="L3253">
        <f>YEAR(Master_ventas[[#This Row],[Order Date]])</f>
        <v>2023</v>
      </c>
      <c r="M3253" t="str">
        <f>CONCATENATE(LEFT(Master_ventas[[#This Row],[ProdUpper]],3),RIGHT(Master_ventas[[#This Row],[Ext-Year]],2),"-",MID(Master_ventas[[#This Row],[Category]],1,1))</f>
        <v>MOU23-A</v>
      </c>
      <c r="N3253" t="str">
        <f>MID(Master_ventas[[#This Row],[ProdUpper]],1,3)</f>
        <v>MOU</v>
      </c>
      <c r="O3253" t="str">
        <f>UPPER(IF(Master_ventas[[#This Row],[Profit]]&gt;500,"High","Std"))</f>
        <v>HIGH</v>
      </c>
      <c r="P3253">
        <v>3252</v>
      </c>
    </row>
    <row r="3254" spans="1:16" x14ac:dyDescent="0.3">
      <c r="A3254" s="1">
        <v>45138</v>
      </c>
      <c r="B3254" t="s">
        <v>21</v>
      </c>
      <c r="C3254" t="s">
        <v>14</v>
      </c>
      <c r="D3254" t="s">
        <v>15</v>
      </c>
      <c r="E3254">
        <v>1</v>
      </c>
      <c r="F3254" s="3">
        <v>419</v>
      </c>
      <c r="G3254" s="2">
        <v>99.5</v>
      </c>
      <c r="H3254">
        <f>Master_ventas[[#This Row],[Profit]]/Master_ventas[[#This Row],[Sales]]</f>
        <v>0.23747016706443913</v>
      </c>
      <c r="I3254">
        <f ca="1">Referencia_Hoy-Master_ventas[[#This Row],[Order Date]]</f>
        <v>1185</v>
      </c>
      <c r="J3254" t="str">
        <f>UPPER(Master_ventas[[#This Row],[Product Name]])</f>
        <v>SMARTPHONE</v>
      </c>
      <c r="K3254" t="str">
        <f>UPPER(Master_ventas[[#This Row],[Category]])</f>
        <v>ELECTRONICS</v>
      </c>
      <c r="L3254">
        <f>YEAR(Master_ventas[[#This Row],[Order Date]])</f>
        <v>2023</v>
      </c>
      <c r="M3254" t="str">
        <f>CONCATENATE(LEFT(Master_ventas[[#This Row],[ProdUpper]],3),RIGHT(Master_ventas[[#This Row],[Ext-Year]],2),"-",MID(Master_ventas[[#This Row],[Category]],1,1))</f>
        <v>SMA23-E</v>
      </c>
      <c r="N3254" t="str">
        <f>MID(Master_ventas[[#This Row],[ProdUpper]],1,3)</f>
        <v>SMA</v>
      </c>
      <c r="O3254" t="str">
        <f>UPPER(IF(Master_ventas[[#This Row],[Profit]]&gt;500,"High","Std"))</f>
        <v>STD</v>
      </c>
      <c r="P3254">
        <v>3253</v>
      </c>
    </row>
    <row r="3255" spans="1:16" x14ac:dyDescent="0.3">
      <c r="A3255" s="1">
        <v>45538</v>
      </c>
      <c r="B3255" t="s">
        <v>23</v>
      </c>
      <c r="C3255" t="s">
        <v>14</v>
      </c>
      <c r="D3255" t="s">
        <v>16</v>
      </c>
      <c r="E3255">
        <v>6</v>
      </c>
      <c r="F3255" s="3">
        <v>6246</v>
      </c>
      <c r="G3255" s="2">
        <v>327.14</v>
      </c>
      <c r="H3255">
        <f>Master_ventas[[#This Row],[Profit]]/Master_ventas[[#This Row],[Sales]]</f>
        <v>5.2375920589177075E-2</v>
      </c>
      <c r="I3255">
        <f ca="1">Referencia_Hoy-Master_ventas[[#This Row],[Order Date]]</f>
        <v>785</v>
      </c>
      <c r="J3255" t="str">
        <f>UPPER(Master_ventas[[#This Row],[Product Name]])</f>
        <v>LAPTOP</v>
      </c>
      <c r="K3255" t="str">
        <f>UPPER(Master_ventas[[#This Row],[Category]])</f>
        <v>ELECTRONICS</v>
      </c>
      <c r="L3255">
        <f>YEAR(Master_ventas[[#This Row],[Order Date]])</f>
        <v>2024</v>
      </c>
      <c r="M3255" t="str">
        <f>CONCATENATE(LEFT(Master_ventas[[#This Row],[ProdUpper]],3),RIGHT(Master_ventas[[#This Row],[Ext-Year]],2),"-",MID(Master_ventas[[#This Row],[Category]],1,1))</f>
        <v>LAP24-E</v>
      </c>
      <c r="N3255" t="str">
        <f>MID(Master_ventas[[#This Row],[ProdUpper]],1,3)</f>
        <v>LAP</v>
      </c>
      <c r="O3255" t="str">
        <f>UPPER(IF(Master_ventas[[#This Row],[Profit]]&gt;500,"High","Std"))</f>
        <v>STD</v>
      </c>
      <c r="P3255">
        <v>3254</v>
      </c>
    </row>
    <row r="3256" spans="1:16" x14ac:dyDescent="0.3">
      <c r="A3256" s="1">
        <v>44816</v>
      </c>
      <c r="B3256" t="s">
        <v>13</v>
      </c>
      <c r="C3256" t="s">
        <v>14</v>
      </c>
      <c r="D3256" t="s">
        <v>15</v>
      </c>
      <c r="E3256">
        <v>4</v>
      </c>
      <c r="F3256" s="3">
        <v>1900</v>
      </c>
      <c r="G3256" s="2">
        <v>372.18</v>
      </c>
      <c r="H3256">
        <f>Master_ventas[[#This Row],[Profit]]/Master_ventas[[#This Row],[Sales]]</f>
        <v>0.1958842105263158</v>
      </c>
      <c r="I3256">
        <f ca="1">Referencia_Hoy-Master_ventas[[#This Row],[Order Date]]</f>
        <v>1507</v>
      </c>
      <c r="J3256" t="str">
        <f>UPPER(Master_ventas[[#This Row],[Product Name]])</f>
        <v>TABLET</v>
      </c>
      <c r="K3256" t="str">
        <f>UPPER(Master_ventas[[#This Row],[Category]])</f>
        <v>ELECTRONICS</v>
      </c>
      <c r="L3256">
        <f>YEAR(Master_ventas[[#This Row],[Order Date]])</f>
        <v>2022</v>
      </c>
      <c r="M3256" t="str">
        <f>CONCATENATE(LEFT(Master_ventas[[#This Row],[ProdUpper]],3),RIGHT(Master_ventas[[#This Row],[Ext-Year]],2),"-",MID(Master_ventas[[#This Row],[Category]],1,1))</f>
        <v>TAB22-E</v>
      </c>
      <c r="N3256" t="str">
        <f>MID(Master_ventas[[#This Row],[ProdUpper]],1,3)</f>
        <v>TAB</v>
      </c>
      <c r="O3256" t="str">
        <f>UPPER(IF(Master_ventas[[#This Row],[Profit]]&gt;500,"High","Std"))</f>
        <v>STD</v>
      </c>
      <c r="P3256">
        <v>3255</v>
      </c>
    </row>
    <row r="3257" spans="1:16" x14ac:dyDescent="0.3">
      <c r="A3257" s="1">
        <v>45085</v>
      </c>
      <c r="B3257" t="s">
        <v>20</v>
      </c>
      <c r="C3257" t="s">
        <v>11</v>
      </c>
      <c r="D3257" t="s">
        <v>9</v>
      </c>
      <c r="E3257">
        <v>7</v>
      </c>
      <c r="F3257" s="3">
        <v>3451</v>
      </c>
      <c r="G3257" s="2">
        <v>397.29</v>
      </c>
      <c r="H3257">
        <f>Master_ventas[[#This Row],[Profit]]/Master_ventas[[#This Row],[Sales]]</f>
        <v>0.11512315270935961</v>
      </c>
      <c r="I3257">
        <f ca="1">Referencia_Hoy-Master_ventas[[#This Row],[Order Date]]</f>
        <v>1238</v>
      </c>
      <c r="J3257" t="str">
        <f>UPPER(Master_ventas[[#This Row],[Product Name]])</f>
        <v>MONITOR</v>
      </c>
      <c r="K3257" t="str">
        <f>UPPER(Master_ventas[[#This Row],[Category]])</f>
        <v>ACCESSORIES</v>
      </c>
      <c r="L3257">
        <f>YEAR(Master_ventas[[#This Row],[Order Date]])</f>
        <v>2023</v>
      </c>
      <c r="M3257" t="str">
        <f>CONCATENATE(LEFT(Master_ventas[[#This Row],[ProdUpper]],3),RIGHT(Master_ventas[[#This Row],[Ext-Year]],2),"-",MID(Master_ventas[[#This Row],[Category]],1,1))</f>
        <v>MON23-A</v>
      </c>
      <c r="N3257" t="str">
        <f>MID(Master_ventas[[#This Row],[ProdUpper]],1,3)</f>
        <v>MON</v>
      </c>
      <c r="O3257" t="str">
        <f>UPPER(IF(Master_ventas[[#This Row],[Profit]]&gt;500,"High","Std"))</f>
        <v>STD</v>
      </c>
      <c r="P3257">
        <v>3256</v>
      </c>
    </row>
    <row r="3258" spans="1:16" x14ac:dyDescent="0.3">
      <c r="A3258" s="1">
        <v>45620</v>
      </c>
      <c r="B3258" t="s">
        <v>21</v>
      </c>
      <c r="C3258" t="s">
        <v>14</v>
      </c>
      <c r="D3258" t="s">
        <v>16</v>
      </c>
      <c r="E3258">
        <v>2</v>
      </c>
      <c r="F3258" s="3">
        <v>1612</v>
      </c>
      <c r="G3258" s="2">
        <v>344.37</v>
      </c>
      <c r="H3258">
        <f>Master_ventas[[#This Row],[Profit]]/Master_ventas[[#This Row],[Sales]]</f>
        <v>0.21362903225806451</v>
      </c>
      <c r="I3258">
        <f ca="1">Referencia_Hoy-Master_ventas[[#This Row],[Order Date]]</f>
        <v>703</v>
      </c>
      <c r="J3258" t="str">
        <f>UPPER(Master_ventas[[#This Row],[Product Name]])</f>
        <v>SMARTPHONE</v>
      </c>
      <c r="K3258" t="str">
        <f>UPPER(Master_ventas[[#This Row],[Category]])</f>
        <v>ELECTRONICS</v>
      </c>
      <c r="L3258">
        <f>YEAR(Master_ventas[[#This Row],[Order Date]])</f>
        <v>2024</v>
      </c>
      <c r="M3258" t="str">
        <f>CONCATENATE(LEFT(Master_ventas[[#This Row],[ProdUpper]],3),RIGHT(Master_ventas[[#This Row],[Ext-Year]],2),"-",MID(Master_ventas[[#This Row],[Category]],1,1))</f>
        <v>SMA24-E</v>
      </c>
      <c r="N3258" t="str">
        <f>MID(Master_ventas[[#This Row],[ProdUpper]],1,3)</f>
        <v>SMA</v>
      </c>
      <c r="O3258" t="str">
        <f>UPPER(IF(Master_ventas[[#This Row],[Profit]]&gt;500,"High","Std"))</f>
        <v>STD</v>
      </c>
      <c r="P3258">
        <v>3257</v>
      </c>
    </row>
    <row r="3259" spans="1:16" x14ac:dyDescent="0.3">
      <c r="A3259" s="1">
        <v>44786</v>
      </c>
      <c r="B3259" t="s">
        <v>23</v>
      </c>
      <c r="C3259" t="s">
        <v>14</v>
      </c>
      <c r="D3259" t="s">
        <v>15</v>
      </c>
      <c r="E3259">
        <v>5</v>
      </c>
      <c r="F3259" s="3">
        <v>4445</v>
      </c>
      <c r="G3259" s="2">
        <v>642.83000000000004</v>
      </c>
      <c r="H3259">
        <f>Master_ventas[[#This Row],[Profit]]/Master_ventas[[#This Row],[Sales]]</f>
        <v>0.14461867266591677</v>
      </c>
      <c r="I3259">
        <f ca="1">Referencia_Hoy-Master_ventas[[#This Row],[Order Date]]</f>
        <v>1537</v>
      </c>
      <c r="J3259" t="str">
        <f>UPPER(Master_ventas[[#This Row],[Product Name]])</f>
        <v>LAPTOP</v>
      </c>
      <c r="K3259" t="str">
        <f>UPPER(Master_ventas[[#This Row],[Category]])</f>
        <v>ELECTRONICS</v>
      </c>
      <c r="L3259">
        <f>YEAR(Master_ventas[[#This Row],[Order Date]])</f>
        <v>2022</v>
      </c>
      <c r="M3259" t="str">
        <f>CONCATENATE(LEFT(Master_ventas[[#This Row],[ProdUpper]],3),RIGHT(Master_ventas[[#This Row],[Ext-Year]],2),"-",MID(Master_ventas[[#This Row],[Category]],1,1))</f>
        <v>LAP22-E</v>
      </c>
      <c r="N3259" t="str">
        <f>MID(Master_ventas[[#This Row],[ProdUpper]],1,3)</f>
        <v>LAP</v>
      </c>
      <c r="O3259" t="str">
        <f>UPPER(IF(Master_ventas[[#This Row],[Profit]]&gt;500,"High","Std"))</f>
        <v>HIGH</v>
      </c>
      <c r="P3259">
        <v>3258</v>
      </c>
    </row>
    <row r="3260" spans="1:16" x14ac:dyDescent="0.3">
      <c r="A3260" s="1">
        <v>45510</v>
      </c>
      <c r="B3260" t="s">
        <v>19</v>
      </c>
      <c r="C3260" t="s">
        <v>14</v>
      </c>
      <c r="D3260" t="s">
        <v>9</v>
      </c>
      <c r="E3260">
        <v>5</v>
      </c>
      <c r="F3260" s="3">
        <v>720</v>
      </c>
      <c r="G3260" s="2">
        <v>63.84</v>
      </c>
      <c r="H3260">
        <f>Master_ventas[[#This Row],[Profit]]/Master_ventas[[#This Row],[Sales]]</f>
        <v>8.8666666666666671E-2</v>
      </c>
      <c r="I3260">
        <f ca="1">Referencia_Hoy-Master_ventas[[#This Row],[Order Date]]</f>
        <v>813</v>
      </c>
      <c r="J3260" t="str">
        <f>UPPER(Master_ventas[[#This Row],[Product Name]])</f>
        <v>SMARTWATCH</v>
      </c>
      <c r="K3260" t="str">
        <f>UPPER(Master_ventas[[#This Row],[Category]])</f>
        <v>ELECTRONICS</v>
      </c>
      <c r="L3260">
        <f>YEAR(Master_ventas[[#This Row],[Order Date]])</f>
        <v>2024</v>
      </c>
      <c r="M3260" t="str">
        <f>CONCATENATE(LEFT(Master_ventas[[#This Row],[ProdUpper]],3),RIGHT(Master_ventas[[#This Row],[Ext-Year]],2),"-",MID(Master_ventas[[#This Row],[Category]],1,1))</f>
        <v>SMA24-E</v>
      </c>
      <c r="N3260" t="str">
        <f>MID(Master_ventas[[#This Row],[ProdUpper]],1,3)</f>
        <v>SMA</v>
      </c>
      <c r="O3260" t="str">
        <f>UPPER(IF(Master_ventas[[#This Row],[Profit]]&gt;500,"High","Std"))</f>
        <v>STD</v>
      </c>
      <c r="P3260">
        <v>3259</v>
      </c>
    </row>
    <row r="3261" spans="1:16" x14ac:dyDescent="0.3">
      <c r="A3261" s="1">
        <v>45398</v>
      </c>
      <c r="B3261" t="s">
        <v>10</v>
      </c>
      <c r="C3261" t="s">
        <v>11</v>
      </c>
      <c r="D3261" t="s">
        <v>12</v>
      </c>
      <c r="E3261">
        <v>2</v>
      </c>
      <c r="F3261" s="3">
        <v>1428</v>
      </c>
      <c r="G3261" s="2">
        <v>234.49</v>
      </c>
      <c r="H3261">
        <f>Master_ventas[[#This Row],[Profit]]/Master_ventas[[#This Row],[Sales]]</f>
        <v>0.16420868347338935</v>
      </c>
      <c r="I3261">
        <f ca="1">Referencia_Hoy-Master_ventas[[#This Row],[Order Date]]</f>
        <v>925</v>
      </c>
      <c r="J3261" t="str">
        <f>UPPER(Master_ventas[[#This Row],[Product Name]])</f>
        <v>MOUSE</v>
      </c>
      <c r="K3261" t="str">
        <f>UPPER(Master_ventas[[#This Row],[Category]])</f>
        <v>ACCESSORIES</v>
      </c>
      <c r="L3261">
        <f>YEAR(Master_ventas[[#This Row],[Order Date]])</f>
        <v>2024</v>
      </c>
      <c r="M3261" t="str">
        <f>CONCATENATE(LEFT(Master_ventas[[#This Row],[ProdUpper]],3),RIGHT(Master_ventas[[#This Row],[Ext-Year]],2),"-",MID(Master_ventas[[#This Row],[Category]],1,1))</f>
        <v>MOU24-A</v>
      </c>
      <c r="N3261" t="str">
        <f>MID(Master_ventas[[#This Row],[ProdUpper]],1,3)</f>
        <v>MOU</v>
      </c>
      <c r="O3261" t="str">
        <f>UPPER(IF(Master_ventas[[#This Row],[Profit]]&gt;500,"High","Std"))</f>
        <v>STD</v>
      </c>
      <c r="P3261">
        <v>3260</v>
      </c>
    </row>
    <row r="3262" spans="1:16" x14ac:dyDescent="0.3">
      <c r="A3262" s="1">
        <v>45653</v>
      </c>
      <c r="B3262" t="s">
        <v>13</v>
      </c>
      <c r="C3262" t="s">
        <v>14</v>
      </c>
      <c r="D3262" t="s">
        <v>12</v>
      </c>
      <c r="E3262">
        <v>4</v>
      </c>
      <c r="F3262" s="3">
        <v>3532</v>
      </c>
      <c r="G3262" s="2">
        <v>665.2</v>
      </c>
      <c r="H3262">
        <f>Master_ventas[[#This Row],[Profit]]/Master_ventas[[#This Row],[Sales]]</f>
        <v>0.1883352208380521</v>
      </c>
      <c r="I3262">
        <f ca="1">Referencia_Hoy-Master_ventas[[#This Row],[Order Date]]</f>
        <v>670</v>
      </c>
      <c r="J3262" t="str">
        <f>UPPER(Master_ventas[[#This Row],[Product Name]])</f>
        <v>TABLET</v>
      </c>
      <c r="K3262" t="str">
        <f>UPPER(Master_ventas[[#This Row],[Category]])</f>
        <v>ELECTRONICS</v>
      </c>
      <c r="L3262">
        <f>YEAR(Master_ventas[[#This Row],[Order Date]])</f>
        <v>2024</v>
      </c>
      <c r="M3262" t="str">
        <f>CONCATENATE(LEFT(Master_ventas[[#This Row],[ProdUpper]],3),RIGHT(Master_ventas[[#This Row],[Ext-Year]],2),"-",MID(Master_ventas[[#This Row],[Category]],1,1))</f>
        <v>TAB24-E</v>
      </c>
      <c r="N3262" t="str">
        <f>MID(Master_ventas[[#This Row],[ProdUpper]],1,3)</f>
        <v>TAB</v>
      </c>
      <c r="O3262" t="str">
        <f>UPPER(IF(Master_ventas[[#This Row],[Profit]]&gt;500,"High","Std"))</f>
        <v>HIGH</v>
      </c>
      <c r="P3262">
        <v>3261</v>
      </c>
    </row>
    <row r="3263" spans="1:16" x14ac:dyDescent="0.3">
      <c r="A3263" s="1">
        <v>45543</v>
      </c>
      <c r="B3263" t="s">
        <v>17</v>
      </c>
      <c r="C3263" t="s">
        <v>14</v>
      </c>
      <c r="D3263" t="s">
        <v>9</v>
      </c>
      <c r="E3263">
        <v>6</v>
      </c>
      <c r="F3263" s="3">
        <v>6528</v>
      </c>
      <c r="G3263" s="2">
        <v>549.62</v>
      </c>
      <c r="H3263">
        <f>Master_ventas[[#This Row],[Profit]]/Master_ventas[[#This Row],[Sales]]</f>
        <v>8.4194240196078435E-2</v>
      </c>
      <c r="I3263">
        <f ca="1">Referencia_Hoy-Master_ventas[[#This Row],[Order Date]]</f>
        <v>780</v>
      </c>
      <c r="J3263" t="str">
        <f>UPPER(Master_ventas[[#This Row],[Product Name]])</f>
        <v>CAMERA</v>
      </c>
      <c r="K3263" t="str">
        <f>UPPER(Master_ventas[[#This Row],[Category]])</f>
        <v>ELECTRONICS</v>
      </c>
      <c r="L3263">
        <f>YEAR(Master_ventas[[#This Row],[Order Date]])</f>
        <v>2024</v>
      </c>
      <c r="M3263" t="str">
        <f>CONCATENATE(LEFT(Master_ventas[[#This Row],[ProdUpper]],3),RIGHT(Master_ventas[[#This Row],[Ext-Year]],2),"-",MID(Master_ventas[[#This Row],[Category]],1,1))</f>
        <v>CAM24-E</v>
      </c>
      <c r="N3263" t="str">
        <f>MID(Master_ventas[[#This Row],[ProdUpper]],1,3)</f>
        <v>CAM</v>
      </c>
      <c r="O3263" t="str">
        <f>UPPER(IF(Master_ventas[[#This Row],[Profit]]&gt;500,"High","Std"))</f>
        <v>HIGH</v>
      </c>
      <c r="P3263">
        <v>3262</v>
      </c>
    </row>
    <row r="3264" spans="1:16" x14ac:dyDescent="0.3">
      <c r="A3264" s="1">
        <v>45173</v>
      </c>
      <c r="B3264" t="s">
        <v>20</v>
      </c>
      <c r="C3264" t="s">
        <v>11</v>
      </c>
      <c r="D3264" t="s">
        <v>12</v>
      </c>
      <c r="E3264">
        <v>1</v>
      </c>
      <c r="F3264" s="3">
        <v>743</v>
      </c>
      <c r="G3264" s="2">
        <v>216.5</v>
      </c>
      <c r="H3264">
        <f>Master_ventas[[#This Row],[Profit]]/Master_ventas[[#This Row],[Sales]]</f>
        <v>0.29138627187079408</v>
      </c>
      <c r="I3264">
        <f ca="1">Referencia_Hoy-Master_ventas[[#This Row],[Order Date]]</f>
        <v>1150</v>
      </c>
      <c r="J3264" t="str">
        <f>UPPER(Master_ventas[[#This Row],[Product Name]])</f>
        <v>MONITOR</v>
      </c>
      <c r="K3264" t="str">
        <f>UPPER(Master_ventas[[#This Row],[Category]])</f>
        <v>ACCESSORIES</v>
      </c>
      <c r="L3264">
        <f>YEAR(Master_ventas[[#This Row],[Order Date]])</f>
        <v>2023</v>
      </c>
      <c r="M3264" t="str">
        <f>CONCATENATE(LEFT(Master_ventas[[#This Row],[ProdUpper]],3),RIGHT(Master_ventas[[#This Row],[Ext-Year]],2),"-",MID(Master_ventas[[#This Row],[Category]],1,1))</f>
        <v>MON23-A</v>
      </c>
      <c r="N3264" t="str">
        <f>MID(Master_ventas[[#This Row],[ProdUpper]],1,3)</f>
        <v>MON</v>
      </c>
      <c r="O3264" t="str">
        <f>UPPER(IF(Master_ventas[[#This Row],[Profit]]&gt;500,"High","Std"))</f>
        <v>STD</v>
      </c>
      <c r="P3264">
        <v>3263</v>
      </c>
    </row>
    <row r="3265" spans="1:16" x14ac:dyDescent="0.3">
      <c r="A3265" s="1">
        <v>45212</v>
      </c>
      <c r="B3265" t="s">
        <v>19</v>
      </c>
      <c r="C3265" t="s">
        <v>14</v>
      </c>
      <c r="D3265" t="s">
        <v>12</v>
      </c>
      <c r="E3265">
        <v>6</v>
      </c>
      <c r="F3265" s="3">
        <v>1758</v>
      </c>
      <c r="G3265" s="2">
        <v>287.36</v>
      </c>
      <c r="H3265">
        <f>Master_ventas[[#This Row],[Profit]]/Master_ventas[[#This Row],[Sales]]</f>
        <v>0.16345847554038681</v>
      </c>
      <c r="I3265">
        <f ca="1">Referencia_Hoy-Master_ventas[[#This Row],[Order Date]]</f>
        <v>1111</v>
      </c>
      <c r="J3265" t="str">
        <f>UPPER(Master_ventas[[#This Row],[Product Name]])</f>
        <v>SMARTWATCH</v>
      </c>
      <c r="K3265" t="str">
        <f>UPPER(Master_ventas[[#This Row],[Category]])</f>
        <v>ELECTRONICS</v>
      </c>
      <c r="L3265">
        <f>YEAR(Master_ventas[[#This Row],[Order Date]])</f>
        <v>2023</v>
      </c>
      <c r="M3265" t="str">
        <f>CONCATENATE(LEFT(Master_ventas[[#This Row],[ProdUpper]],3),RIGHT(Master_ventas[[#This Row],[Ext-Year]],2),"-",MID(Master_ventas[[#This Row],[Category]],1,1))</f>
        <v>SMA23-E</v>
      </c>
      <c r="N3265" t="str">
        <f>MID(Master_ventas[[#This Row],[ProdUpper]],1,3)</f>
        <v>SMA</v>
      </c>
      <c r="O3265" t="str">
        <f>UPPER(IF(Master_ventas[[#This Row],[Profit]]&gt;500,"High","Std"))</f>
        <v>STD</v>
      </c>
      <c r="P3265">
        <v>3264</v>
      </c>
    </row>
    <row r="3266" spans="1:16" x14ac:dyDescent="0.3">
      <c r="A3266" s="1">
        <v>45259</v>
      </c>
      <c r="B3266" t="s">
        <v>18</v>
      </c>
      <c r="C3266" t="s">
        <v>11</v>
      </c>
      <c r="D3266" t="s">
        <v>15</v>
      </c>
      <c r="E3266">
        <v>8</v>
      </c>
      <c r="F3266" s="3">
        <v>1008</v>
      </c>
      <c r="G3266" s="2">
        <v>100.61</v>
      </c>
      <c r="H3266">
        <f>Master_ventas[[#This Row],[Profit]]/Master_ventas[[#This Row],[Sales]]</f>
        <v>9.9811507936507934E-2</v>
      </c>
      <c r="I3266">
        <f ca="1">Referencia_Hoy-Master_ventas[[#This Row],[Order Date]]</f>
        <v>1064</v>
      </c>
      <c r="J3266" t="str">
        <f>UPPER(Master_ventas[[#This Row],[Product Name]])</f>
        <v>HEADPHONES</v>
      </c>
      <c r="K3266" t="str">
        <f>UPPER(Master_ventas[[#This Row],[Category]])</f>
        <v>ACCESSORIES</v>
      </c>
      <c r="L3266">
        <f>YEAR(Master_ventas[[#This Row],[Order Date]])</f>
        <v>2023</v>
      </c>
      <c r="M3266" t="str">
        <f>CONCATENATE(LEFT(Master_ventas[[#This Row],[ProdUpper]],3),RIGHT(Master_ventas[[#This Row],[Ext-Year]],2),"-",MID(Master_ventas[[#This Row],[Category]],1,1))</f>
        <v>HEA23-A</v>
      </c>
      <c r="N3266" t="str">
        <f>MID(Master_ventas[[#This Row],[ProdUpper]],1,3)</f>
        <v>HEA</v>
      </c>
      <c r="O3266" t="str">
        <f>UPPER(IF(Master_ventas[[#This Row],[Profit]]&gt;500,"High","Std"))</f>
        <v>STD</v>
      </c>
      <c r="P3266">
        <v>3265</v>
      </c>
    </row>
    <row r="3267" spans="1:16" x14ac:dyDescent="0.3">
      <c r="A3267" s="1">
        <v>45586</v>
      </c>
      <c r="B3267" t="s">
        <v>21</v>
      </c>
      <c r="C3267" t="s">
        <v>14</v>
      </c>
      <c r="D3267" t="s">
        <v>12</v>
      </c>
      <c r="E3267">
        <v>1</v>
      </c>
      <c r="F3267" s="3">
        <v>995</v>
      </c>
      <c r="G3267" s="2">
        <v>149.86000000000001</v>
      </c>
      <c r="H3267">
        <f>Master_ventas[[#This Row],[Profit]]/Master_ventas[[#This Row],[Sales]]</f>
        <v>0.15061306532663318</v>
      </c>
      <c r="I3267">
        <f ca="1">Referencia_Hoy-Master_ventas[[#This Row],[Order Date]]</f>
        <v>737</v>
      </c>
      <c r="J3267" t="str">
        <f>UPPER(Master_ventas[[#This Row],[Product Name]])</f>
        <v>SMARTPHONE</v>
      </c>
      <c r="K3267" t="str">
        <f>UPPER(Master_ventas[[#This Row],[Category]])</f>
        <v>ELECTRONICS</v>
      </c>
      <c r="L3267">
        <f>YEAR(Master_ventas[[#This Row],[Order Date]])</f>
        <v>2024</v>
      </c>
      <c r="M3267" t="str">
        <f>CONCATENATE(LEFT(Master_ventas[[#This Row],[ProdUpper]],3),RIGHT(Master_ventas[[#This Row],[Ext-Year]],2),"-",MID(Master_ventas[[#This Row],[Category]],1,1))</f>
        <v>SMA24-E</v>
      </c>
      <c r="N3267" t="str">
        <f>MID(Master_ventas[[#This Row],[ProdUpper]],1,3)</f>
        <v>SMA</v>
      </c>
      <c r="O3267" t="str">
        <f>UPPER(IF(Master_ventas[[#This Row],[Profit]]&gt;500,"High","Std"))</f>
        <v>STD</v>
      </c>
      <c r="P3267">
        <v>3266</v>
      </c>
    </row>
    <row r="3268" spans="1:16" x14ac:dyDescent="0.3">
      <c r="A3268" s="1">
        <v>45570</v>
      </c>
      <c r="B3268" t="s">
        <v>22</v>
      </c>
      <c r="C3268" t="s">
        <v>11</v>
      </c>
      <c r="D3268" t="s">
        <v>16</v>
      </c>
      <c r="E3268">
        <v>9</v>
      </c>
      <c r="F3268" s="3">
        <v>4032</v>
      </c>
      <c r="G3268" s="2">
        <v>876.91</v>
      </c>
      <c r="H3268">
        <f>Master_ventas[[#This Row],[Profit]]/Master_ventas[[#This Row],[Sales]]</f>
        <v>0.21748759920634919</v>
      </c>
      <c r="I3268">
        <f ca="1">Referencia_Hoy-Master_ventas[[#This Row],[Order Date]]</f>
        <v>753</v>
      </c>
      <c r="J3268" t="str">
        <f>UPPER(Master_ventas[[#This Row],[Product Name]])</f>
        <v>KEYBOARD</v>
      </c>
      <c r="K3268" t="str">
        <f>UPPER(Master_ventas[[#This Row],[Category]])</f>
        <v>ACCESSORIES</v>
      </c>
      <c r="L3268">
        <f>YEAR(Master_ventas[[#This Row],[Order Date]])</f>
        <v>2024</v>
      </c>
      <c r="M3268" t="str">
        <f>CONCATENATE(LEFT(Master_ventas[[#This Row],[ProdUpper]],3),RIGHT(Master_ventas[[#This Row],[Ext-Year]],2),"-",MID(Master_ventas[[#This Row],[Category]],1,1))</f>
        <v>KEY24-A</v>
      </c>
      <c r="N3268" t="str">
        <f>MID(Master_ventas[[#This Row],[ProdUpper]],1,3)</f>
        <v>KEY</v>
      </c>
      <c r="O3268" t="str">
        <f>UPPER(IF(Master_ventas[[#This Row],[Profit]]&gt;500,"High","Std"))</f>
        <v>HIGH</v>
      </c>
      <c r="P3268">
        <v>3267</v>
      </c>
    </row>
    <row r="3269" spans="1:16" x14ac:dyDescent="0.3">
      <c r="A3269" s="1">
        <v>44863</v>
      </c>
      <c r="B3269" t="s">
        <v>21</v>
      </c>
      <c r="C3269" t="s">
        <v>14</v>
      </c>
      <c r="D3269" t="s">
        <v>12</v>
      </c>
      <c r="E3269">
        <v>6</v>
      </c>
      <c r="F3269" s="3">
        <v>480</v>
      </c>
      <c r="G3269" s="2">
        <v>131.08000000000001</v>
      </c>
      <c r="H3269">
        <f>Master_ventas[[#This Row],[Profit]]/Master_ventas[[#This Row],[Sales]]</f>
        <v>0.27308333333333334</v>
      </c>
      <c r="I3269">
        <f ca="1">Referencia_Hoy-Master_ventas[[#This Row],[Order Date]]</f>
        <v>1460</v>
      </c>
      <c r="J3269" t="str">
        <f>UPPER(Master_ventas[[#This Row],[Product Name]])</f>
        <v>SMARTPHONE</v>
      </c>
      <c r="K3269" t="str">
        <f>UPPER(Master_ventas[[#This Row],[Category]])</f>
        <v>ELECTRONICS</v>
      </c>
      <c r="L3269">
        <f>YEAR(Master_ventas[[#This Row],[Order Date]])</f>
        <v>2022</v>
      </c>
      <c r="M3269" t="str">
        <f>CONCATENATE(LEFT(Master_ventas[[#This Row],[ProdUpper]],3),RIGHT(Master_ventas[[#This Row],[Ext-Year]],2),"-",MID(Master_ventas[[#This Row],[Category]],1,1))</f>
        <v>SMA22-E</v>
      </c>
      <c r="N3269" t="str">
        <f>MID(Master_ventas[[#This Row],[ProdUpper]],1,3)</f>
        <v>SMA</v>
      </c>
      <c r="O3269" t="str">
        <f>UPPER(IF(Master_ventas[[#This Row],[Profit]]&gt;500,"High","Std"))</f>
        <v>STD</v>
      </c>
      <c r="P3269">
        <v>3268</v>
      </c>
    </row>
    <row r="3270" spans="1:16" x14ac:dyDescent="0.3">
      <c r="A3270" s="1">
        <v>45590</v>
      </c>
      <c r="B3270" t="s">
        <v>23</v>
      </c>
      <c r="C3270" t="s">
        <v>14</v>
      </c>
      <c r="D3270" t="s">
        <v>12</v>
      </c>
      <c r="E3270">
        <v>1</v>
      </c>
      <c r="F3270" s="3">
        <v>989</v>
      </c>
      <c r="G3270" s="2">
        <v>149.99</v>
      </c>
      <c r="H3270">
        <f>Master_ventas[[#This Row],[Profit]]/Master_ventas[[#This Row],[Sales]]</f>
        <v>0.1516582406471183</v>
      </c>
      <c r="I3270">
        <f ca="1">Referencia_Hoy-Master_ventas[[#This Row],[Order Date]]</f>
        <v>733</v>
      </c>
      <c r="J3270" t="str">
        <f>UPPER(Master_ventas[[#This Row],[Product Name]])</f>
        <v>LAPTOP</v>
      </c>
      <c r="K3270" t="str">
        <f>UPPER(Master_ventas[[#This Row],[Category]])</f>
        <v>ELECTRONICS</v>
      </c>
      <c r="L3270">
        <f>YEAR(Master_ventas[[#This Row],[Order Date]])</f>
        <v>2024</v>
      </c>
      <c r="M3270" t="str">
        <f>CONCATENATE(LEFT(Master_ventas[[#This Row],[ProdUpper]],3),RIGHT(Master_ventas[[#This Row],[Ext-Year]],2),"-",MID(Master_ventas[[#This Row],[Category]],1,1))</f>
        <v>LAP24-E</v>
      </c>
      <c r="N3270" t="str">
        <f>MID(Master_ventas[[#This Row],[ProdUpper]],1,3)</f>
        <v>LAP</v>
      </c>
      <c r="O3270" t="str">
        <f>UPPER(IF(Master_ventas[[#This Row],[Profit]]&gt;500,"High","Std"))</f>
        <v>STD</v>
      </c>
      <c r="P3270">
        <v>3269</v>
      </c>
    </row>
    <row r="3271" spans="1:16" x14ac:dyDescent="0.3">
      <c r="A3271" s="1">
        <v>44585</v>
      </c>
      <c r="B3271" t="s">
        <v>21</v>
      </c>
      <c r="C3271" t="s">
        <v>14</v>
      </c>
      <c r="D3271" t="s">
        <v>9</v>
      </c>
      <c r="E3271">
        <v>9</v>
      </c>
      <c r="F3271" s="3">
        <v>6606</v>
      </c>
      <c r="G3271" s="2">
        <v>759.55</v>
      </c>
      <c r="H3271">
        <f>Master_ventas[[#This Row],[Profit]]/Master_ventas[[#This Row],[Sales]]</f>
        <v>0.11497880714501968</v>
      </c>
      <c r="I3271">
        <f ca="1">Referencia_Hoy-Master_ventas[[#This Row],[Order Date]]</f>
        <v>1738</v>
      </c>
      <c r="J3271" t="str">
        <f>UPPER(Master_ventas[[#This Row],[Product Name]])</f>
        <v>SMARTPHONE</v>
      </c>
      <c r="K3271" t="str">
        <f>UPPER(Master_ventas[[#This Row],[Category]])</f>
        <v>ELECTRONICS</v>
      </c>
      <c r="L3271">
        <f>YEAR(Master_ventas[[#This Row],[Order Date]])</f>
        <v>2022</v>
      </c>
      <c r="M3271" t="str">
        <f>CONCATENATE(LEFT(Master_ventas[[#This Row],[ProdUpper]],3),RIGHT(Master_ventas[[#This Row],[Ext-Year]],2),"-",MID(Master_ventas[[#This Row],[Category]],1,1))</f>
        <v>SMA22-E</v>
      </c>
      <c r="N3271" t="str">
        <f>MID(Master_ventas[[#This Row],[ProdUpper]],1,3)</f>
        <v>SMA</v>
      </c>
      <c r="O3271" t="str">
        <f>UPPER(IF(Master_ventas[[#This Row],[Profit]]&gt;500,"High","Std"))</f>
        <v>HIGH</v>
      </c>
      <c r="P3271">
        <v>3270</v>
      </c>
    </row>
    <row r="3272" spans="1:16" x14ac:dyDescent="0.3">
      <c r="A3272" s="1">
        <v>45328</v>
      </c>
      <c r="B3272" t="s">
        <v>19</v>
      </c>
      <c r="C3272" t="s">
        <v>14</v>
      </c>
      <c r="D3272" t="s">
        <v>12</v>
      </c>
      <c r="E3272">
        <v>6</v>
      </c>
      <c r="F3272" s="3">
        <v>912</v>
      </c>
      <c r="G3272" s="2">
        <v>256.58</v>
      </c>
      <c r="H3272">
        <f>Master_ventas[[#This Row],[Profit]]/Master_ventas[[#This Row],[Sales]]</f>
        <v>0.28133771929824558</v>
      </c>
      <c r="I3272">
        <f ca="1">Referencia_Hoy-Master_ventas[[#This Row],[Order Date]]</f>
        <v>995</v>
      </c>
      <c r="J3272" t="str">
        <f>UPPER(Master_ventas[[#This Row],[Product Name]])</f>
        <v>SMARTWATCH</v>
      </c>
      <c r="K3272" t="str">
        <f>UPPER(Master_ventas[[#This Row],[Category]])</f>
        <v>ELECTRONICS</v>
      </c>
      <c r="L3272">
        <f>YEAR(Master_ventas[[#This Row],[Order Date]])</f>
        <v>2024</v>
      </c>
      <c r="M3272" t="str">
        <f>CONCATENATE(LEFT(Master_ventas[[#This Row],[ProdUpper]],3),RIGHT(Master_ventas[[#This Row],[Ext-Year]],2),"-",MID(Master_ventas[[#This Row],[Category]],1,1))</f>
        <v>SMA24-E</v>
      </c>
      <c r="N3272" t="str">
        <f>MID(Master_ventas[[#This Row],[ProdUpper]],1,3)</f>
        <v>SMA</v>
      </c>
      <c r="O3272" t="str">
        <f>UPPER(IF(Master_ventas[[#This Row],[Profit]]&gt;500,"High","Std"))</f>
        <v>STD</v>
      </c>
      <c r="P3272">
        <v>3271</v>
      </c>
    </row>
    <row r="3273" spans="1:16" x14ac:dyDescent="0.3">
      <c r="A3273" s="1">
        <v>44763</v>
      </c>
      <c r="B3273" t="s">
        <v>10</v>
      </c>
      <c r="C3273" t="s">
        <v>11</v>
      </c>
      <c r="D3273" t="s">
        <v>15</v>
      </c>
      <c r="E3273">
        <v>4</v>
      </c>
      <c r="F3273" s="3">
        <v>2912</v>
      </c>
      <c r="G3273" s="2">
        <v>331.11</v>
      </c>
      <c r="H3273">
        <f>Master_ventas[[#This Row],[Profit]]/Master_ventas[[#This Row],[Sales]]</f>
        <v>0.11370535714285715</v>
      </c>
      <c r="I3273">
        <f ca="1">Referencia_Hoy-Master_ventas[[#This Row],[Order Date]]</f>
        <v>1560</v>
      </c>
      <c r="J3273" t="str">
        <f>UPPER(Master_ventas[[#This Row],[Product Name]])</f>
        <v>MOUSE</v>
      </c>
      <c r="K3273" t="str">
        <f>UPPER(Master_ventas[[#This Row],[Category]])</f>
        <v>ACCESSORIES</v>
      </c>
      <c r="L3273">
        <f>YEAR(Master_ventas[[#This Row],[Order Date]])</f>
        <v>2022</v>
      </c>
      <c r="M3273" t="str">
        <f>CONCATENATE(LEFT(Master_ventas[[#This Row],[ProdUpper]],3),RIGHT(Master_ventas[[#This Row],[Ext-Year]],2),"-",MID(Master_ventas[[#This Row],[Category]],1,1))</f>
        <v>MOU22-A</v>
      </c>
      <c r="N3273" t="str">
        <f>MID(Master_ventas[[#This Row],[ProdUpper]],1,3)</f>
        <v>MOU</v>
      </c>
      <c r="O3273" t="str">
        <f>UPPER(IF(Master_ventas[[#This Row],[Profit]]&gt;500,"High","Std"))</f>
        <v>STD</v>
      </c>
      <c r="P3273">
        <v>3272</v>
      </c>
    </row>
    <row r="3274" spans="1:16" x14ac:dyDescent="0.3">
      <c r="A3274" s="1">
        <v>44960</v>
      </c>
      <c r="B3274" t="s">
        <v>17</v>
      </c>
      <c r="C3274" t="s">
        <v>14</v>
      </c>
      <c r="D3274" t="s">
        <v>16</v>
      </c>
      <c r="E3274">
        <v>5</v>
      </c>
      <c r="F3274" s="3">
        <v>845</v>
      </c>
      <c r="G3274" s="2">
        <v>69.349999999999994</v>
      </c>
      <c r="H3274">
        <f>Master_ventas[[#This Row],[Profit]]/Master_ventas[[#This Row],[Sales]]</f>
        <v>8.2071005917159753E-2</v>
      </c>
      <c r="I3274">
        <f ca="1">Referencia_Hoy-Master_ventas[[#This Row],[Order Date]]</f>
        <v>1363</v>
      </c>
      <c r="J3274" t="str">
        <f>UPPER(Master_ventas[[#This Row],[Product Name]])</f>
        <v>CAMERA</v>
      </c>
      <c r="K3274" t="str">
        <f>UPPER(Master_ventas[[#This Row],[Category]])</f>
        <v>ELECTRONICS</v>
      </c>
      <c r="L3274">
        <f>YEAR(Master_ventas[[#This Row],[Order Date]])</f>
        <v>2023</v>
      </c>
      <c r="M3274" t="str">
        <f>CONCATENATE(LEFT(Master_ventas[[#This Row],[ProdUpper]],3),RIGHT(Master_ventas[[#This Row],[Ext-Year]],2),"-",MID(Master_ventas[[#This Row],[Category]],1,1))</f>
        <v>CAM23-E</v>
      </c>
      <c r="N3274" t="str">
        <f>MID(Master_ventas[[#This Row],[ProdUpper]],1,3)</f>
        <v>CAM</v>
      </c>
      <c r="O3274" t="str">
        <f>UPPER(IF(Master_ventas[[#This Row],[Profit]]&gt;500,"High","Std"))</f>
        <v>STD</v>
      </c>
      <c r="P3274">
        <v>3273</v>
      </c>
    </row>
    <row r="3275" spans="1:16" x14ac:dyDescent="0.3">
      <c r="A3275" s="1">
        <v>45148</v>
      </c>
      <c r="B3275" t="s">
        <v>20</v>
      </c>
      <c r="C3275" t="s">
        <v>11</v>
      </c>
      <c r="D3275" t="s">
        <v>15</v>
      </c>
      <c r="E3275">
        <v>4</v>
      </c>
      <c r="F3275" s="3">
        <v>2804</v>
      </c>
      <c r="G3275" s="2">
        <v>382.82</v>
      </c>
      <c r="H3275">
        <f>Master_ventas[[#This Row],[Profit]]/Master_ventas[[#This Row],[Sales]]</f>
        <v>0.13652639087018545</v>
      </c>
      <c r="I3275">
        <f ca="1">Referencia_Hoy-Master_ventas[[#This Row],[Order Date]]</f>
        <v>1175</v>
      </c>
      <c r="J3275" t="str">
        <f>UPPER(Master_ventas[[#This Row],[Product Name]])</f>
        <v>MONITOR</v>
      </c>
      <c r="K3275" t="str">
        <f>UPPER(Master_ventas[[#This Row],[Category]])</f>
        <v>ACCESSORIES</v>
      </c>
      <c r="L3275">
        <f>YEAR(Master_ventas[[#This Row],[Order Date]])</f>
        <v>2023</v>
      </c>
      <c r="M3275" t="str">
        <f>CONCATENATE(LEFT(Master_ventas[[#This Row],[ProdUpper]],3),RIGHT(Master_ventas[[#This Row],[Ext-Year]],2),"-",MID(Master_ventas[[#This Row],[Category]],1,1))</f>
        <v>MON23-A</v>
      </c>
      <c r="N3275" t="str">
        <f>MID(Master_ventas[[#This Row],[ProdUpper]],1,3)</f>
        <v>MON</v>
      </c>
      <c r="O3275" t="str">
        <f>UPPER(IF(Master_ventas[[#This Row],[Profit]]&gt;500,"High","Std"))</f>
        <v>STD</v>
      </c>
      <c r="P3275">
        <v>3274</v>
      </c>
    </row>
    <row r="3276" spans="1:16" x14ac:dyDescent="0.3">
      <c r="A3276" s="1">
        <v>45654</v>
      </c>
      <c r="B3276" t="s">
        <v>23</v>
      </c>
      <c r="C3276" t="s">
        <v>14</v>
      </c>
      <c r="D3276" t="s">
        <v>12</v>
      </c>
      <c r="E3276">
        <v>2</v>
      </c>
      <c r="F3276" s="3">
        <v>208</v>
      </c>
      <c r="G3276" s="2">
        <v>11.53</v>
      </c>
      <c r="H3276">
        <f>Master_ventas[[#This Row],[Profit]]/Master_ventas[[#This Row],[Sales]]</f>
        <v>5.5432692307692308E-2</v>
      </c>
      <c r="I3276">
        <f ca="1">Referencia_Hoy-Master_ventas[[#This Row],[Order Date]]</f>
        <v>669</v>
      </c>
      <c r="J3276" t="str">
        <f>UPPER(Master_ventas[[#This Row],[Product Name]])</f>
        <v>LAPTOP</v>
      </c>
      <c r="K3276" t="str">
        <f>UPPER(Master_ventas[[#This Row],[Category]])</f>
        <v>ELECTRONICS</v>
      </c>
      <c r="L3276">
        <f>YEAR(Master_ventas[[#This Row],[Order Date]])</f>
        <v>2024</v>
      </c>
      <c r="M3276" t="str">
        <f>CONCATENATE(LEFT(Master_ventas[[#This Row],[ProdUpper]],3),RIGHT(Master_ventas[[#This Row],[Ext-Year]],2),"-",MID(Master_ventas[[#This Row],[Category]],1,1))</f>
        <v>LAP24-E</v>
      </c>
      <c r="N3276" t="str">
        <f>MID(Master_ventas[[#This Row],[ProdUpper]],1,3)</f>
        <v>LAP</v>
      </c>
      <c r="O3276" t="str">
        <f>UPPER(IF(Master_ventas[[#This Row],[Profit]]&gt;500,"High","Std"))</f>
        <v>STD</v>
      </c>
      <c r="P3276">
        <v>3275</v>
      </c>
    </row>
    <row r="3277" spans="1:16" x14ac:dyDescent="0.3">
      <c r="A3277" s="1">
        <v>44884</v>
      </c>
      <c r="B3277" t="s">
        <v>19</v>
      </c>
      <c r="C3277" t="s">
        <v>14</v>
      </c>
      <c r="D3277" t="s">
        <v>12</v>
      </c>
      <c r="E3277">
        <v>1</v>
      </c>
      <c r="F3277" s="3">
        <v>379</v>
      </c>
      <c r="G3277" s="2">
        <v>42.24</v>
      </c>
      <c r="H3277">
        <f>Master_ventas[[#This Row],[Profit]]/Master_ventas[[#This Row],[Sales]]</f>
        <v>0.11145118733509235</v>
      </c>
      <c r="I3277">
        <f ca="1">Referencia_Hoy-Master_ventas[[#This Row],[Order Date]]</f>
        <v>1439</v>
      </c>
      <c r="J3277" t="str">
        <f>UPPER(Master_ventas[[#This Row],[Product Name]])</f>
        <v>SMARTWATCH</v>
      </c>
      <c r="K3277" t="str">
        <f>UPPER(Master_ventas[[#This Row],[Category]])</f>
        <v>ELECTRONICS</v>
      </c>
      <c r="L3277">
        <f>YEAR(Master_ventas[[#This Row],[Order Date]])</f>
        <v>2022</v>
      </c>
      <c r="M3277" t="str">
        <f>CONCATENATE(LEFT(Master_ventas[[#This Row],[ProdUpper]],3),RIGHT(Master_ventas[[#This Row],[Ext-Year]],2),"-",MID(Master_ventas[[#This Row],[Category]],1,1))</f>
        <v>SMA22-E</v>
      </c>
      <c r="N3277" t="str">
        <f>MID(Master_ventas[[#This Row],[ProdUpper]],1,3)</f>
        <v>SMA</v>
      </c>
      <c r="O3277" t="str">
        <f>UPPER(IF(Master_ventas[[#This Row],[Profit]]&gt;500,"High","Std"))</f>
        <v>STD</v>
      </c>
      <c r="P3277">
        <v>3276</v>
      </c>
    </row>
    <row r="3278" spans="1:16" x14ac:dyDescent="0.3">
      <c r="A3278" s="1">
        <v>45430</v>
      </c>
      <c r="B3278" t="s">
        <v>10</v>
      </c>
      <c r="C3278" t="s">
        <v>11</v>
      </c>
      <c r="D3278" t="s">
        <v>16</v>
      </c>
      <c r="E3278">
        <v>3</v>
      </c>
      <c r="F3278" s="3">
        <v>1227</v>
      </c>
      <c r="G3278" s="2">
        <v>113.38</v>
      </c>
      <c r="H3278">
        <f>Master_ventas[[#This Row],[Profit]]/Master_ventas[[#This Row],[Sales]]</f>
        <v>9.2404237978810103E-2</v>
      </c>
      <c r="I3278">
        <f ca="1">Referencia_Hoy-Master_ventas[[#This Row],[Order Date]]</f>
        <v>893</v>
      </c>
      <c r="J3278" t="str">
        <f>UPPER(Master_ventas[[#This Row],[Product Name]])</f>
        <v>MOUSE</v>
      </c>
      <c r="K3278" t="str">
        <f>UPPER(Master_ventas[[#This Row],[Category]])</f>
        <v>ACCESSORIES</v>
      </c>
      <c r="L3278">
        <f>YEAR(Master_ventas[[#This Row],[Order Date]])</f>
        <v>2024</v>
      </c>
      <c r="M3278" t="str">
        <f>CONCATENATE(LEFT(Master_ventas[[#This Row],[ProdUpper]],3),RIGHT(Master_ventas[[#This Row],[Ext-Year]],2),"-",MID(Master_ventas[[#This Row],[Category]],1,1))</f>
        <v>MOU24-A</v>
      </c>
      <c r="N3278" t="str">
        <f>MID(Master_ventas[[#This Row],[ProdUpper]],1,3)</f>
        <v>MOU</v>
      </c>
      <c r="O3278" t="str">
        <f>UPPER(IF(Master_ventas[[#This Row],[Profit]]&gt;500,"High","Std"))</f>
        <v>STD</v>
      </c>
      <c r="P3278">
        <v>3277</v>
      </c>
    </row>
    <row r="3279" spans="1:16" x14ac:dyDescent="0.3">
      <c r="A3279" s="1">
        <v>45141</v>
      </c>
      <c r="B3279" t="s">
        <v>18</v>
      </c>
      <c r="C3279" t="s">
        <v>11</v>
      </c>
      <c r="D3279" t="s">
        <v>12</v>
      </c>
      <c r="E3279">
        <v>7</v>
      </c>
      <c r="F3279" s="3">
        <v>5551</v>
      </c>
      <c r="G3279" s="2">
        <v>392.37</v>
      </c>
      <c r="H3279">
        <f>Master_ventas[[#This Row],[Profit]]/Master_ventas[[#This Row],[Sales]]</f>
        <v>7.0684561340299046E-2</v>
      </c>
      <c r="I3279">
        <f ca="1">Referencia_Hoy-Master_ventas[[#This Row],[Order Date]]</f>
        <v>1182</v>
      </c>
      <c r="J3279" t="str">
        <f>UPPER(Master_ventas[[#This Row],[Product Name]])</f>
        <v>HEADPHONES</v>
      </c>
      <c r="K3279" t="str">
        <f>UPPER(Master_ventas[[#This Row],[Category]])</f>
        <v>ACCESSORIES</v>
      </c>
      <c r="L3279">
        <f>YEAR(Master_ventas[[#This Row],[Order Date]])</f>
        <v>2023</v>
      </c>
      <c r="M3279" t="str">
        <f>CONCATENATE(LEFT(Master_ventas[[#This Row],[ProdUpper]],3),RIGHT(Master_ventas[[#This Row],[Ext-Year]],2),"-",MID(Master_ventas[[#This Row],[Category]],1,1))</f>
        <v>HEA23-A</v>
      </c>
      <c r="N3279" t="str">
        <f>MID(Master_ventas[[#This Row],[ProdUpper]],1,3)</f>
        <v>HEA</v>
      </c>
      <c r="O3279" t="str">
        <f>UPPER(IF(Master_ventas[[#This Row],[Profit]]&gt;500,"High","Std"))</f>
        <v>STD</v>
      </c>
      <c r="P3279">
        <v>3278</v>
      </c>
    </row>
    <row r="3280" spans="1:16" x14ac:dyDescent="0.3">
      <c r="A3280" s="1">
        <v>44779</v>
      </c>
      <c r="B3280" t="s">
        <v>18</v>
      </c>
      <c r="C3280" t="s">
        <v>11</v>
      </c>
      <c r="D3280" t="s">
        <v>16</v>
      </c>
      <c r="E3280">
        <v>1</v>
      </c>
      <c r="F3280" s="3">
        <v>423</v>
      </c>
      <c r="G3280" s="2">
        <v>115.44</v>
      </c>
      <c r="H3280">
        <f>Master_ventas[[#This Row],[Profit]]/Master_ventas[[#This Row],[Sales]]</f>
        <v>0.27290780141843973</v>
      </c>
      <c r="I3280">
        <f ca="1">Referencia_Hoy-Master_ventas[[#This Row],[Order Date]]</f>
        <v>1544</v>
      </c>
      <c r="J3280" t="str">
        <f>UPPER(Master_ventas[[#This Row],[Product Name]])</f>
        <v>HEADPHONES</v>
      </c>
      <c r="K3280" t="str">
        <f>UPPER(Master_ventas[[#This Row],[Category]])</f>
        <v>ACCESSORIES</v>
      </c>
      <c r="L3280">
        <f>YEAR(Master_ventas[[#This Row],[Order Date]])</f>
        <v>2022</v>
      </c>
      <c r="M3280" t="str">
        <f>CONCATENATE(LEFT(Master_ventas[[#This Row],[ProdUpper]],3),RIGHT(Master_ventas[[#This Row],[Ext-Year]],2),"-",MID(Master_ventas[[#This Row],[Category]],1,1))</f>
        <v>HEA22-A</v>
      </c>
      <c r="N3280" t="str">
        <f>MID(Master_ventas[[#This Row],[ProdUpper]],1,3)</f>
        <v>HEA</v>
      </c>
      <c r="O3280" t="str">
        <f>UPPER(IF(Master_ventas[[#This Row],[Profit]]&gt;500,"High","Std"))</f>
        <v>STD</v>
      </c>
      <c r="P3280">
        <v>3279</v>
      </c>
    </row>
    <row r="3281" spans="1:16" x14ac:dyDescent="0.3">
      <c r="A3281" s="1">
        <v>44587</v>
      </c>
      <c r="B3281" t="s">
        <v>18</v>
      </c>
      <c r="C3281" t="s">
        <v>11</v>
      </c>
      <c r="D3281" t="s">
        <v>16</v>
      </c>
      <c r="E3281">
        <v>6</v>
      </c>
      <c r="F3281" s="3">
        <v>5982</v>
      </c>
      <c r="G3281" s="2">
        <v>944.81</v>
      </c>
      <c r="H3281">
        <f>Master_ventas[[#This Row],[Profit]]/Master_ventas[[#This Row],[Sales]]</f>
        <v>0.15794215981277163</v>
      </c>
      <c r="I3281">
        <f ca="1">Referencia_Hoy-Master_ventas[[#This Row],[Order Date]]</f>
        <v>1736</v>
      </c>
      <c r="J3281" t="str">
        <f>UPPER(Master_ventas[[#This Row],[Product Name]])</f>
        <v>HEADPHONES</v>
      </c>
      <c r="K3281" t="str">
        <f>UPPER(Master_ventas[[#This Row],[Category]])</f>
        <v>ACCESSORIES</v>
      </c>
      <c r="L3281">
        <f>YEAR(Master_ventas[[#This Row],[Order Date]])</f>
        <v>2022</v>
      </c>
      <c r="M3281" t="str">
        <f>CONCATENATE(LEFT(Master_ventas[[#This Row],[ProdUpper]],3),RIGHT(Master_ventas[[#This Row],[Ext-Year]],2),"-",MID(Master_ventas[[#This Row],[Category]],1,1))</f>
        <v>HEA22-A</v>
      </c>
      <c r="N3281" t="str">
        <f>MID(Master_ventas[[#This Row],[ProdUpper]],1,3)</f>
        <v>HEA</v>
      </c>
      <c r="O3281" t="str">
        <f>UPPER(IF(Master_ventas[[#This Row],[Profit]]&gt;500,"High","Std"))</f>
        <v>HIGH</v>
      </c>
      <c r="P3281">
        <v>3280</v>
      </c>
    </row>
    <row r="3282" spans="1:16" x14ac:dyDescent="0.3">
      <c r="A3282" s="1">
        <v>44902</v>
      </c>
      <c r="B3282" t="s">
        <v>21</v>
      </c>
      <c r="C3282" t="s">
        <v>14</v>
      </c>
      <c r="D3282" t="s">
        <v>16</v>
      </c>
      <c r="E3282">
        <v>4</v>
      </c>
      <c r="F3282" s="3">
        <v>3732</v>
      </c>
      <c r="G3282" s="2">
        <v>468.6</v>
      </c>
      <c r="H3282">
        <f>Master_ventas[[#This Row],[Profit]]/Master_ventas[[#This Row],[Sales]]</f>
        <v>0.12556270096463024</v>
      </c>
      <c r="I3282">
        <f ca="1">Referencia_Hoy-Master_ventas[[#This Row],[Order Date]]</f>
        <v>1421</v>
      </c>
      <c r="J3282" t="str">
        <f>UPPER(Master_ventas[[#This Row],[Product Name]])</f>
        <v>SMARTPHONE</v>
      </c>
      <c r="K3282" t="str">
        <f>UPPER(Master_ventas[[#This Row],[Category]])</f>
        <v>ELECTRONICS</v>
      </c>
      <c r="L3282">
        <f>YEAR(Master_ventas[[#This Row],[Order Date]])</f>
        <v>2022</v>
      </c>
      <c r="M3282" t="str">
        <f>CONCATENATE(LEFT(Master_ventas[[#This Row],[ProdUpper]],3),RIGHT(Master_ventas[[#This Row],[Ext-Year]],2),"-",MID(Master_ventas[[#This Row],[Category]],1,1))</f>
        <v>SMA22-E</v>
      </c>
      <c r="N3282" t="str">
        <f>MID(Master_ventas[[#This Row],[ProdUpper]],1,3)</f>
        <v>SMA</v>
      </c>
      <c r="O3282" t="str">
        <f>UPPER(IF(Master_ventas[[#This Row],[Profit]]&gt;500,"High","Std"))</f>
        <v>STD</v>
      </c>
      <c r="P3282">
        <v>3281</v>
      </c>
    </row>
    <row r="3283" spans="1:16" x14ac:dyDescent="0.3">
      <c r="A3283" s="1">
        <v>44987</v>
      </c>
      <c r="B3283" t="s">
        <v>7</v>
      </c>
      <c r="C3283" t="s">
        <v>8</v>
      </c>
      <c r="D3283" t="s">
        <v>9</v>
      </c>
      <c r="E3283">
        <v>9</v>
      </c>
      <c r="F3283" s="3">
        <v>5904</v>
      </c>
      <c r="G3283" s="2">
        <v>1152.23</v>
      </c>
      <c r="H3283">
        <f>Master_ventas[[#This Row],[Profit]]/Master_ventas[[#This Row],[Sales]]</f>
        <v>0.19516090785907858</v>
      </c>
      <c r="I3283">
        <f ca="1">Referencia_Hoy-Master_ventas[[#This Row],[Order Date]]</f>
        <v>1336</v>
      </c>
      <c r="J3283" t="str">
        <f>UPPER(Master_ventas[[#This Row],[Product Name]])</f>
        <v>PRINTER</v>
      </c>
      <c r="K3283" t="str">
        <f>UPPER(Master_ventas[[#This Row],[Category]])</f>
        <v>OFFICE</v>
      </c>
      <c r="L3283">
        <f>YEAR(Master_ventas[[#This Row],[Order Date]])</f>
        <v>2023</v>
      </c>
      <c r="M3283" t="str">
        <f>CONCATENATE(LEFT(Master_ventas[[#This Row],[ProdUpper]],3),RIGHT(Master_ventas[[#This Row],[Ext-Year]],2),"-",MID(Master_ventas[[#This Row],[Category]],1,1))</f>
        <v>PRI23-O</v>
      </c>
      <c r="N3283" t="str">
        <f>MID(Master_ventas[[#This Row],[ProdUpper]],1,3)</f>
        <v>PRI</v>
      </c>
      <c r="O3283" t="str">
        <f>UPPER(IF(Master_ventas[[#This Row],[Profit]]&gt;500,"High","Std"))</f>
        <v>HIGH</v>
      </c>
      <c r="P3283">
        <v>3282</v>
      </c>
    </row>
    <row r="3284" spans="1:16" x14ac:dyDescent="0.3">
      <c r="A3284" s="1">
        <v>45323</v>
      </c>
      <c r="B3284" t="s">
        <v>18</v>
      </c>
      <c r="C3284" t="s">
        <v>11</v>
      </c>
      <c r="D3284" t="s">
        <v>12</v>
      </c>
      <c r="E3284">
        <v>5</v>
      </c>
      <c r="F3284" s="3">
        <v>1810</v>
      </c>
      <c r="G3284" s="2">
        <v>171.47</v>
      </c>
      <c r="H3284">
        <f>Master_ventas[[#This Row],[Profit]]/Master_ventas[[#This Row],[Sales]]</f>
        <v>9.4734806629834259E-2</v>
      </c>
      <c r="I3284">
        <f ca="1">Referencia_Hoy-Master_ventas[[#This Row],[Order Date]]</f>
        <v>1000</v>
      </c>
      <c r="J3284" t="str">
        <f>UPPER(Master_ventas[[#This Row],[Product Name]])</f>
        <v>HEADPHONES</v>
      </c>
      <c r="K3284" t="str">
        <f>UPPER(Master_ventas[[#This Row],[Category]])</f>
        <v>ACCESSORIES</v>
      </c>
      <c r="L3284">
        <f>YEAR(Master_ventas[[#This Row],[Order Date]])</f>
        <v>2024</v>
      </c>
      <c r="M3284" t="str">
        <f>CONCATENATE(LEFT(Master_ventas[[#This Row],[ProdUpper]],3),RIGHT(Master_ventas[[#This Row],[Ext-Year]],2),"-",MID(Master_ventas[[#This Row],[Category]],1,1))</f>
        <v>HEA24-A</v>
      </c>
      <c r="N3284" t="str">
        <f>MID(Master_ventas[[#This Row],[ProdUpper]],1,3)</f>
        <v>HEA</v>
      </c>
      <c r="O3284" t="str">
        <f>UPPER(IF(Master_ventas[[#This Row],[Profit]]&gt;500,"High","Std"))</f>
        <v>STD</v>
      </c>
      <c r="P3284">
        <v>3283</v>
      </c>
    </row>
    <row r="3285" spans="1:16" x14ac:dyDescent="0.3">
      <c r="A3285" s="1">
        <v>44956</v>
      </c>
      <c r="B3285" t="s">
        <v>21</v>
      </c>
      <c r="C3285" t="s">
        <v>14</v>
      </c>
      <c r="D3285" t="s">
        <v>15</v>
      </c>
      <c r="E3285">
        <v>6</v>
      </c>
      <c r="F3285" s="3">
        <v>5604</v>
      </c>
      <c r="G3285" s="2">
        <v>615.07000000000005</v>
      </c>
      <c r="H3285">
        <f>Master_ventas[[#This Row],[Profit]]/Master_ventas[[#This Row],[Sales]]</f>
        <v>0.10975553176302642</v>
      </c>
      <c r="I3285">
        <f ca="1">Referencia_Hoy-Master_ventas[[#This Row],[Order Date]]</f>
        <v>1367</v>
      </c>
      <c r="J3285" t="str">
        <f>UPPER(Master_ventas[[#This Row],[Product Name]])</f>
        <v>SMARTPHONE</v>
      </c>
      <c r="K3285" t="str">
        <f>UPPER(Master_ventas[[#This Row],[Category]])</f>
        <v>ELECTRONICS</v>
      </c>
      <c r="L3285">
        <f>YEAR(Master_ventas[[#This Row],[Order Date]])</f>
        <v>2023</v>
      </c>
      <c r="M3285" t="str">
        <f>CONCATENATE(LEFT(Master_ventas[[#This Row],[ProdUpper]],3),RIGHT(Master_ventas[[#This Row],[Ext-Year]],2),"-",MID(Master_ventas[[#This Row],[Category]],1,1))</f>
        <v>SMA23-E</v>
      </c>
      <c r="N3285" t="str">
        <f>MID(Master_ventas[[#This Row],[ProdUpper]],1,3)</f>
        <v>SMA</v>
      </c>
      <c r="O3285" t="str">
        <f>UPPER(IF(Master_ventas[[#This Row],[Profit]]&gt;500,"High","Std"))</f>
        <v>HIGH</v>
      </c>
      <c r="P3285">
        <v>3284</v>
      </c>
    </row>
    <row r="3286" spans="1:16" x14ac:dyDescent="0.3">
      <c r="A3286" s="1">
        <v>44679</v>
      </c>
      <c r="B3286" t="s">
        <v>23</v>
      </c>
      <c r="C3286" t="s">
        <v>14</v>
      </c>
      <c r="D3286" t="s">
        <v>16</v>
      </c>
      <c r="E3286">
        <v>2</v>
      </c>
      <c r="F3286" s="3">
        <v>432</v>
      </c>
      <c r="G3286" s="2">
        <v>81.31</v>
      </c>
      <c r="H3286">
        <f>Master_ventas[[#This Row],[Profit]]/Master_ventas[[#This Row],[Sales]]</f>
        <v>0.1882175925925926</v>
      </c>
      <c r="I3286">
        <f ca="1">Referencia_Hoy-Master_ventas[[#This Row],[Order Date]]</f>
        <v>1644</v>
      </c>
      <c r="J3286" t="str">
        <f>UPPER(Master_ventas[[#This Row],[Product Name]])</f>
        <v>LAPTOP</v>
      </c>
      <c r="K3286" t="str">
        <f>UPPER(Master_ventas[[#This Row],[Category]])</f>
        <v>ELECTRONICS</v>
      </c>
      <c r="L3286">
        <f>YEAR(Master_ventas[[#This Row],[Order Date]])</f>
        <v>2022</v>
      </c>
      <c r="M3286" t="str">
        <f>CONCATENATE(LEFT(Master_ventas[[#This Row],[ProdUpper]],3),RIGHT(Master_ventas[[#This Row],[Ext-Year]],2),"-",MID(Master_ventas[[#This Row],[Category]],1,1))</f>
        <v>LAP22-E</v>
      </c>
      <c r="N3286" t="str">
        <f>MID(Master_ventas[[#This Row],[ProdUpper]],1,3)</f>
        <v>LAP</v>
      </c>
      <c r="O3286" t="str">
        <f>UPPER(IF(Master_ventas[[#This Row],[Profit]]&gt;500,"High","Std"))</f>
        <v>STD</v>
      </c>
      <c r="P3286">
        <v>3285</v>
      </c>
    </row>
    <row r="3287" spans="1:16" x14ac:dyDescent="0.3">
      <c r="A3287" s="1">
        <v>45623</v>
      </c>
      <c r="B3287" t="s">
        <v>22</v>
      </c>
      <c r="C3287" t="s">
        <v>11</v>
      </c>
      <c r="D3287" t="s">
        <v>12</v>
      </c>
      <c r="E3287">
        <v>2</v>
      </c>
      <c r="F3287" s="3">
        <v>416</v>
      </c>
      <c r="G3287" s="2">
        <v>68.58</v>
      </c>
      <c r="H3287">
        <f>Master_ventas[[#This Row],[Profit]]/Master_ventas[[#This Row],[Sales]]</f>
        <v>0.16485576923076922</v>
      </c>
      <c r="I3287">
        <f ca="1">Referencia_Hoy-Master_ventas[[#This Row],[Order Date]]</f>
        <v>700</v>
      </c>
      <c r="J3287" t="str">
        <f>UPPER(Master_ventas[[#This Row],[Product Name]])</f>
        <v>KEYBOARD</v>
      </c>
      <c r="K3287" t="str">
        <f>UPPER(Master_ventas[[#This Row],[Category]])</f>
        <v>ACCESSORIES</v>
      </c>
      <c r="L3287">
        <f>YEAR(Master_ventas[[#This Row],[Order Date]])</f>
        <v>2024</v>
      </c>
      <c r="M3287" t="str">
        <f>CONCATENATE(LEFT(Master_ventas[[#This Row],[ProdUpper]],3),RIGHT(Master_ventas[[#This Row],[Ext-Year]],2),"-",MID(Master_ventas[[#This Row],[Category]],1,1))</f>
        <v>KEY24-A</v>
      </c>
      <c r="N3287" t="str">
        <f>MID(Master_ventas[[#This Row],[ProdUpper]],1,3)</f>
        <v>KEY</v>
      </c>
      <c r="O3287" t="str">
        <f>UPPER(IF(Master_ventas[[#This Row],[Profit]]&gt;500,"High","Std"))</f>
        <v>STD</v>
      </c>
      <c r="P3287">
        <v>3286</v>
      </c>
    </row>
    <row r="3288" spans="1:16" x14ac:dyDescent="0.3">
      <c r="A3288" s="1">
        <v>44811</v>
      </c>
      <c r="B3288" t="s">
        <v>20</v>
      </c>
      <c r="C3288" t="s">
        <v>11</v>
      </c>
      <c r="D3288" t="s">
        <v>9</v>
      </c>
      <c r="E3288">
        <v>8</v>
      </c>
      <c r="F3288" s="3">
        <v>1224</v>
      </c>
      <c r="G3288" s="2">
        <v>281.43</v>
      </c>
      <c r="H3288">
        <f>Master_ventas[[#This Row],[Profit]]/Master_ventas[[#This Row],[Sales]]</f>
        <v>0.22992647058823529</v>
      </c>
      <c r="I3288">
        <f ca="1">Referencia_Hoy-Master_ventas[[#This Row],[Order Date]]</f>
        <v>1512</v>
      </c>
      <c r="J3288" t="str">
        <f>UPPER(Master_ventas[[#This Row],[Product Name]])</f>
        <v>MONITOR</v>
      </c>
      <c r="K3288" t="str">
        <f>UPPER(Master_ventas[[#This Row],[Category]])</f>
        <v>ACCESSORIES</v>
      </c>
      <c r="L3288">
        <f>YEAR(Master_ventas[[#This Row],[Order Date]])</f>
        <v>2022</v>
      </c>
      <c r="M3288" t="str">
        <f>CONCATENATE(LEFT(Master_ventas[[#This Row],[ProdUpper]],3),RIGHT(Master_ventas[[#This Row],[Ext-Year]],2),"-",MID(Master_ventas[[#This Row],[Category]],1,1))</f>
        <v>MON22-A</v>
      </c>
      <c r="N3288" t="str">
        <f>MID(Master_ventas[[#This Row],[ProdUpper]],1,3)</f>
        <v>MON</v>
      </c>
      <c r="O3288" t="str">
        <f>UPPER(IF(Master_ventas[[#This Row],[Profit]]&gt;500,"High","Std"))</f>
        <v>STD</v>
      </c>
      <c r="P3288">
        <v>3287</v>
      </c>
    </row>
    <row r="3289" spans="1:16" x14ac:dyDescent="0.3">
      <c r="A3289" s="1">
        <v>44632</v>
      </c>
      <c r="B3289" t="s">
        <v>7</v>
      </c>
      <c r="C3289" t="s">
        <v>8</v>
      </c>
      <c r="D3289" t="s">
        <v>16</v>
      </c>
      <c r="E3289">
        <v>8</v>
      </c>
      <c r="F3289" s="3">
        <v>5168</v>
      </c>
      <c r="G3289" s="2">
        <v>672.6</v>
      </c>
      <c r="H3289">
        <f>Master_ventas[[#This Row],[Profit]]/Master_ventas[[#This Row],[Sales]]</f>
        <v>0.13014705882352942</v>
      </c>
      <c r="I3289">
        <f ca="1">Referencia_Hoy-Master_ventas[[#This Row],[Order Date]]</f>
        <v>1691</v>
      </c>
      <c r="J3289" t="str">
        <f>UPPER(Master_ventas[[#This Row],[Product Name]])</f>
        <v>PRINTER</v>
      </c>
      <c r="K3289" t="str">
        <f>UPPER(Master_ventas[[#This Row],[Category]])</f>
        <v>OFFICE</v>
      </c>
      <c r="L3289">
        <f>YEAR(Master_ventas[[#This Row],[Order Date]])</f>
        <v>2022</v>
      </c>
      <c r="M3289" t="str">
        <f>CONCATENATE(LEFT(Master_ventas[[#This Row],[ProdUpper]],3),RIGHT(Master_ventas[[#This Row],[Ext-Year]],2),"-",MID(Master_ventas[[#This Row],[Category]],1,1))</f>
        <v>PRI22-O</v>
      </c>
      <c r="N3289" t="str">
        <f>MID(Master_ventas[[#This Row],[ProdUpper]],1,3)</f>
        <v>PRI</v>
      </c>
      <c r="O3289" t="str">
        <f>UPPER(IF(Master_ventas[[#This Row],[Profit]]&gt;500,"High","Std"))</f>
        <v>HIGH</v>
      </c>
      <c r="P3289">
        <v>3288</v>
      </c>
    </row>
    <row r="3290" spans="1:16" x14ac:dyDescent="0.3">
      <c r="A3290" s="1">
        <v>44875</v>
      </c>
      <c r="B3290" t="s">
        <v>20</v>
      </c>
      <c r="C3290" t="s">
        <v>11</v>
      </c>
      <c r="D3290" t="s">
        <v>12</v>
      </c>
      <c r="E3290">
        <v>6</v>
      </c>
      <c r="F3290" s="3">
        <v>6522</v>
      </c>
      <c r="G3290" s="2">
        <v>502.98</v>
      </c>
      <c r="H3290">
        <f>Master_ventas[[#This Row],[Profit]]/Master_ventas[[#This Row],[Sales]]</f>
        <v>7.7120515179392821E-2</v>
      </c>
      <c r="I3290">
        <f ca="1">Referencia_Hoy-Master_ventas[[#This Row],[Order Date]]</f>
        <v>1448</v>
      </c>
      <c r="J3290" t="str">
        <f>UPPER(Master_ventas[[#This Row],[Product Name]])</f>
        <v>MONITOR</v>
      </c>
      <c r="K3290" t="str">
        <f>UPPER(Master_ventas[[#This Row],[Category]])</f>
        <v>ACCESSORIES</v>
      </c>
      <c r="L3290">
        <f>YEAR(Master_ventas[[#This Row],[Order Date]])</f>
        <v>2022</v>
      </c>
      <c r="M3290" t="str">
        <f>CONCATENATE(LEFT(Master_ventas[[#This Row],[ProdUpper]],3),RIGHT(Master_ventas[[#This Row],[Ext-Year]],2),"-",MID(Master_ventas[[#This Row],[Category]],1,1))</f>
        <v>MON22-A</v>
      </c>
      <c r="N3290" t="str">
        <f>MID(Master_ventas[[#This Row],[ProdUpper]],1,3)</f>
        <v>MON</v>
      </c>
      <c r="O3290" t="str">
        <f>UPPER(IF(Master_ventas[[#This Row],[Profit]]&gt;500,"High","Std"))</f>
        <v>HIGH</v>
      </c>
      <c r="P3290">
        <v>3289</v>
      </c>
    </row>
    <row r="3291" spans="1:16" x14ac:dyDescent="0.3">
      <c r="A3291" s="1">
        <v>44807</v>
      </c>
      <c r="B3291" t="s">
        <v>22</v>
      </c>
      <c r="C3291" t="s">
        <v>11</v>
      </c>
      <c r="D3291" t="s">
        <v>15</v>
      </c>
      <c r="E3291">
        <v>5</v>
      </c>
      <c r="F3291" s="3">
        <v>1090</v>
      </c>
      <c r="G3291" s="2">
        <v>140.69999999999999</v>
      </c>
      <c r="H3291">
        <f>Master_ventas[[#This Row],[Profit]]/Master_ventas[[#This Row],[Sales]]</f>
        <v>0.12908256880733943</v>
      </c>
      <c r="I3291">
        <f ca="1">Referencia_Hoy-Master_ventas[[#This Row],[Order Date]]</f>
        <v>1516</v>
      </c>
      <c r="J3291" t="str">
        <f>UPPER(Master_ventas[[#This Row],[Product Name]])</f>
        <v>KEYBOARD</v>
      </c>
      <c r="K3291" t="str">
        <f>UPPER(Master_ventas[[#This Row],[Category]])</f>
        <v>ACCESSORIES</v>
      </c>
      <c r="L3291">
        <f>YEAR(Master_ventas[[#This Row],[Order Date]])</f>
        <v>2022</v>
      </c>
      <c r="M3291" t="str">
        <f>CONCATENATE(LEFT(Master_ventas[[#This Row],[ProdUpper]],3),RIGHT(Master_ventas[[#This Row],[Ext-Year]],2),"-",MID(Master_ventas[[#This Row],[Category]],1,1))</f>
        <v>KEY22-A</v>
      </c>
      <c r="N3291" t="str">
        <f>MID(Master_ventas[[#This Row],[ProdUpper]],1,3)</f>
        <v>KEY</v>
      </c>
      <c r="O3291" t="str">
        <f>UPPER(IF(Master_ventas[[#This Row],[Profit]]&gt;500,"High","Std"))</f>
        <v>STD</v>
      </c>
      <c r="P3291">
        <v>3290</v>
      </c>
    </row>
    <row r="3292" spans="1:16" x14ac:dyDescent="0.3">
      <c r="A3292" s="1">
        <v>45565</v>
      </c>
      <c r="B3292" t="s">
        <v>23</v>
      </c>
      <c r="C3292" t="s">
        <v>14</v>
      </c>
      <c r="D3292" t="s">
        <v>15</v>
      </c>
      <c r="E3292">
        <v>3</v>
      </c>
      <c r="F3292" s="3">
        <v>1737</v>
      </c>
      <c r="G3292" s="2">
        <v>353.17</v>
      </c>
      <c r="H3292">
        <f>Master_ventas[[#This Row],[Profit]]/Master_ventas[[#This Row],[Sales]]</f>
        <v>0.203321819228555</v>
      </c>
      <c r="I3292">
        <f ca="1">Referencia_Hoy-Master_ventas[[#This Row],[Order Date]]</f>
        <v>758</v>
      </c>
      <c r="J3292" t="str">
        <f>UPPER(Master_ventas[[#This Row],[Product Name]])</f>
        <v>LAPTOP</v>
      </c>
      <c r="K3292" t="str">
        <f>UPPER(Master_ventas[[#This Row],[Category]])</f>
        <v>ELECTRONICS</v>
      </c>
      <c r="L3292">
        <f>YEAR(Master_ventas[[#This Row],[Order Date]])</f>
        <v>2024</v>
      </c>
      <c r="M3292" t="str">
        <f>CONCATENATE(LEFT(Master_ventas[[#This Row],[ProdUpper]],3),RIGHT(Master_ventas[[#This Row],[Ext-Year]],2),"-",MID(Master_ventas[[#This Row],[Category]],1,1))</f>
        <v>LAP24-E</v>
      </c>
      <c r="N3292" t="str">
        <f>MID(Master_ventas[[#This Row],[ProdUpper]],1,3)</f>
        <v>LAP</v>
      </c>
      <c r="O3292" t="str">
        <f>UPPER(IF(Master_ventas[[#This Row],[Profit]]&gt;500,"High","Std"))</f>
        <v>STD</v>
      </c>
      <c r="P3292">
        <v>3291</v>
      </c>
    </row>
    <row r="3293" spans="1:16" x14ac:dyDescent="0.3">
      <c r="A3293" s="1">
        <v>45359</v>
      </c>
      <c r="B3293" t="s">
        <v>7</v>
      </c>
      <c r="C3293" t="s">
        <v>8</v>
      </c>
      <c r="D3293" t="s">
        <v>16</v>
      </c>
      <c r="E3293">
        <v>9</v>
      </c>
      <c r="F3293" s="3">
        <v>7281</v>
      </c>
      <c r="G3293" s="2">
        <v>1358.17</v>
      </c>
      <c r="H3293">
        <f>Master_ventas[[#This Row],[Profit]]/Master_ventas[[#This Row],[Sales]]</f>
        <v>0.18653619008377972</v>
      </c>
      <c r="I3293">
        <f ca="1">Referencia_Hoy-Master_ventas[[#This Row],[Order Date]]</f>
        <v>964</v>
      </c>
      <c r="J3293" t="str">
        <f>UPPER(Master_ventas[[#This Row],[Product Name]])</f>
        <v>PRINTER</v>
      </c>
      <c r="K3293" t="str">
        <f>UPPER(Master_ventas[[#This Row],[Category]])</f>
        <v>OFFICE</v>
      </c>
      <c r="L3293">
        <f>YEAR(Master_ventas[[#This Row],[Order Date]])</f>
        <v>2024</v>
      </c>
      <c r="M3293" t="str">
        <f>CONCATENATE(LEFT(Master_ventas[[#This Row],[ProdUpper]],3),RIGHT(Master_ventas[[#This Row],[Ext-Year]],2),"-",MID(Master_ventas[[#This Row],[Category]],1,1))</f>
        <v>PRI24-O</v>
      </c>
      <c r="N3293" t="str">
        <f>MID(Master_ventas[[#This Row],[ProdUpper]],1,3)</f>
        <v>PRI</v>
      </c>
      <c r="O3293" t="str">
        <f>UPPER(IF(Master_ventas[[#This Row],[Profit]]&gt;500,"High","Std"))</f>
        <v>HIGH</v>
      </c>
      <c r="P3293">
        <v>3292</v>
      </c>
    </row>
    <row r="3294" spans="1:16" x14ac:dyDescent="0.3">
      <c r="A3294" s="1">
        <v>45370</v>
      </c>
      <c r="B3294" t="s">
        <v>19</v>
      </c>
      <c r="C3294" t="s">
        <v>14</v>
      </c>
      <c r="D3294" t="s">
        <v>15</v>
      </c>
      <c r="E3294">
        <v>9</v>
      </c>
      <c r="F3294" s="3">
        <v>5832</v>
      </c>
      <c r="G3294" s="2">
        <v>1007.54</v>
      </c>
      <c r="H3294">
        <f>Master_ventas[[#This Row],[Profit]]/Master_ventas[[#This Row],[Sales]]</f>
        <v>0.17276063100137173</v>
      </c>
      <c r="I3294">
        <f ca="1">Referencia_Hoy-Master_ventas[[#This Row],[Order Date]]</f>
        <v>953</v>
      </c>
      <c r="J3294" t="str">
        <f>UPPER(Master_ventas[[#This Row],[Product Name]])</f>
        <v>SMARTWATCH</v>
      </c>
      <c r="K3294" t="str">
        <f>UPPER(Master_ventas[[#This Row],[Category]])</f>
        <v>ELECTRONICS</v>
      </c>
      <c r="L3294">
        <f>YEAR(Master_ventas[[#This Row],[Order Date]])</f>
        <v>2024</v>
      </c>
      <c r="M3294" t="str">
        <f>CONCATENATE(LEFT(Master_ventas[[#This Row],[ProdUpper]],3),RIGHT(Master_ventas[[#This Row],[Ext-Year]],2),"-",MID(Master_ventas[[#This Row],[Category]],1,1))</f>
        <v>SMA24-E</v>
      </c>
      <c r="N3294" t="str">
        <f>MID(Master_ventas[[#This Row],[ProdUpper]],1,3)</f>
        <v>SMA</v>
      </c>
      <c r="O3294" t="str">
        <f>UPPER(IF(Master_ventas[[#This Row],[Profit]]&gt;500,"High","Std"))</f>
        <v>HIGH</v>
      </c>
      <c r="P3294">
        <v>3293</v>
      </c>
    </row>
    <row r="3295" spans="1:16" x14ac:dyDescent="0.3">
      <c r="A3295" s="1">
        <v>45494</v>
      </c>
      <c r="B3295" t="s">
        <v>7</v>
      </c>
      <c r="C3295" t="s">
        <v>8</v>
      </c>
      <c r="D3295" t="s">
        <v>12</v>
      </c>
      <c r="E3295">
        <v>9</v>
      </c>
      <c r="F3295" s="3">
        <v>7020</v>
      </c>
      <c r="G3295" s="2">
        <v>623.97</v>
      </c>
      <c r="H3295">
        <f>Master_ventas[[#This Row],[Profit]]/Master_ventas[[#This Row],[Sales]]</f>
        <v>8.8884615384615395E-2</v>
      </c>
      <c r="I3295">
        <f ca="1">Referencia_Hoy-Master_ventas[[#This Row],[Order Date]]</f>
        <v>829</v>
      </c>
      <c r="J3295" t="str">
        <f>UPPER(Master_ventas[[#This Row],[Product Name]])</f>
        <v>PRINTER</v>
      </c>
      <c r="K3295" t="str">
        <f>UPPER(Master_ventas[[#This Row],[Category]])</f>
        <v>OFFICE</v>
      </c>
      <c r="L3295">
        <f>YEAR(Master_ventas[[#This Row],[Order Date]])</f>
        <v>2024</v>
      </c>
      <c r="M3295" t="str">
        <f>CONCATENATE(LEFT(Master_ventas[[#This Row],[ProdUpper]],3),RIGHT(Master_ventas[[#This Row],[Ext-Year]],2),"-",MID(Master_ventas[[#This Row],[Category]],1,1))</f>
        <v>PRI24-O</v>
      </c>
      <c r="N3295" t="str">
        <f>MID(Master_ventas[[#This Row],[ProdUpper]],1,3)</f>
        <v>PRI</v>
      </c>
      <c r="O3295" t="str">
        <f>UPPER(IF(Master_ventas[[#This Row],[Profit]]&gt;500,"High","Std"))</f>
        <v>HIGH</v>
      </c>
      <c r="P3295">
        <v>3294</v>
      </c>
    </row>
    <row r="3296" spans="1:16" x14ac:dyDescent="0.3">
      <c r="A3296" s="1">
        <v>45084</v>
      </c>
      <c r="B3296" t="s">
        <v>10</v>
      </c>
      <c r="C3296" t="s">
        <v>11</v>
      </c>
      <c r="D3296" t="s">
        <v>15</v>
      </c>
      <c r="E3296">
        <v>3</v>
      </c>
      <c r="F3296" s="3">
        <v>2001</v>
      </c>
      <c r="G3296" s="2">
        <v>420.08</v>
      </c>
      <c r="H3296">
        <f>Master_ventas[[#This Row],[Profit]]/Master_ventas[[#This Row],[Sales]]</f>
        <v>0.20993503248375811</v>
      </c>
      <c r="I3296">
        <f ca="1">Referencia_Hoy-Master_ventas[[#This Row],[Order Date]]</f>
        <v>1239</v>
      </c>
      <c r="J3296" t="str">
        <f>UPPER(Master_ventas[[#This Row],[Product Name]])</f>
        <v>MOUSE</v>
      </c>
      <c r="K3296" t="str">
        <f>UPPER(Master_ventas[[#This Row],[Category]])</f>
        <v>ACCESSORIES</v>
      </c>
      <c r="L3296">
        <f>YEAR(Master_ventas[[#This Row],[Order Date]])</f>
        <v>2023</v>
      </c>
      <c r="M3296" t="str">
        <f>CONCATENATE(LEFT(Master_ventas[[#This Row],[ProdUpper]],3),RIGHT(Master_ventas[[#This Row],[Ext-Year]],2),"-",MID(Master_ventas[[#This Row],[Category]],1,1))</f>
        <v>MOU23-A</v>
      </c>
      <c r="N3296" t="str">
        <f>MID(Master_ventas[[#This Row],[ProdUpper]],1,3)</f>
        <v>MOU</v>
      </c>
      <c r="O3296" t="str">
        <f>UPPER(IF(Master_ventas[[#This Row],[Profit]]&gt;500,"High","Std"))</f>
        <v>STD</v>
      </c>
      <c r="P3296">
        <v>3295</v>
      </c>
    </row>
    <row r="3297" spans="1:16" x14ac:dyDescent="0.3">
      <c r="A3297" s="1">
        <v>45517</v>
      </c>
      <c r="B3297" t="s">
        <v>20</v>
      </c>
      <c r="C3297" t="s">
        <v>11</v>
      </c>
      <c r="D3297" t="s">
        <v>16</v>
      </c>
      <c r="E3297">
        <v>2</v>
      </c>
      <c r="F3297" s="3">
        <v>1832</v>
      </c>
      <c r="G3297" s="2">
        <v>489.21</v>
      </c>
      <c r="H3297">
        <f>Master_ventas[[#This Row],[Profit]]/Master_ventas[[#This Row],[Sales]]</f>
        <v>0.26703602620087336</v>
      </c>
      <c r="I3297">
        <f ca="1">Referencia_Hoy-Master_ventas[[#This Row],[Order Date]]</f>
        <v>806</v>
      </c>
      <c r="J3297" t="str">
        <f>UPPER(Master_ventas[[#This Row],[Product Name]])</f>
        <v>MONITOR</v>
      </c>
      <c r="K3297" t="str">
        <f>UPPER(Master_ventas[[#This Row],[Category]])</f>
        <v>ACCESSORIES</v>
      </c>
      <c r="L3297">
        <f>YEAR(Master_ventas[[#This Row],[Order Date]])</f>
        <v>2024</v>
      </c>
      <c r="M3297" t="str">
        <f>CONCATENATE(LEFT(Master_ventas[[#This Row],[ProdUpper]],3),RIGHT(Master_ventas[[#This Row],[Ext-Year]],2),"-",MID(Master_ventas[[#This Row],[Category]],1,1))</f>
        <v>MON24-A</v>
      </c>
      <c r="N3297" t="str">
        <f>MID(Master_ventas[[#This Row],[ProdUpper]],1,3)</f>
        <v>MON</v>
      </c>
      <c r="O3297" t="str">
        <f>UPPER(IF(Master_ventas[[#This Row],[Profit]]&gt;500,"High","Std"))</f>
        <v>STD</v>
      </c>
      <c r="P3297">
        <v>3296</v>
      </c>
    </row>
    <row r="3298" spans="1:16" x14ac:dyDescent="0.3">
      <c r="A3298" s="1">
        <v>45417</v>
      </c>
      <c r="B3298" t="s">
        <v>19</v>
      </c>
      <c r="C3298" t="s">
        <v>14</v>
      </c>
      <c r="D3298" t="s">
        <v>12</v>
      </c>
      <c r="E3298">
        <v>6</v>
      </c>
      <c r="F3298" s="3">
        <v>3372</v>
      </c>
      <c r="G3298" s="2">
        <v>934.42</v>
      </c>
      <c r="H3298">
        <f>Master_ventas[[#This Row],[Profit]]/Master_ventas[[#This Row],[Sales]]</f>
        <v>0.27711150652431787</v>
      </c>
      <c r="I3298">
        <f ca="1">Referencia_Hoy-Master_ventas[[#This Row],[Order Date]]</f>
        <v>906</v>
      </c>
      <c r="J3298" t="str">
        <f>UPPER(Master_ventas[[#This Row],[Product Name]])</f>
        <v>SMARTWATCH</v>
      </c>
      <c r="K3298" t="str">
        <f>UPPER(Master_ventas[[#This Row],[Category]])</f>
        <v>ELECTRONICS</v>
      </c>
      <c r="L3298">
        <f>YEAR(Master_ventas[[#This Row],[Order Date]])</f>
        <v>2024</v>
      </c>
      <c r="M3298" t="str">
        <f>CONCATENATE(LEFT(Master_ventas[[#This Row],[ProdUpper]],3),RIGHT(Master_ventas[[#This Row],[Ext-Year]],2),"-",MID(Master_ventas[[#This Row],[Category]],1,1))</f>
        <v>SMA24-E</v>
      </c>
      <c r="N3298" t="str">
        <f>MID(Master_ventas[[#This Row],[ProdUpper]],1,3)</f>
        <v>SMA</v>
      </c>
      <c r="O3298" t="str">
        <f>UPPER(IF(Master_ventas[[#This Row],[Profit]]&gt;500,"High","Std"))</f>
        <v>HIGH</v>
      </c>
      <c r="P3298">
        <v>3297</v>
      </c>
    </row>
    <row r="3299" spans="1:16" x14ac:dyDescent="0.3">
      <c r="A3299" s="1">
        <v>45646</v>
      </c>
      <c r="B3299" t="s">
        <v>13</v>
      </c>
      <c r="C3299" t="s">
        <v>14</v>
      </c>
      <c r="D3299" t="s">
        <v>16</v>
      </c>
      <c r="E3299">
        <v>6</v>
      </c>
      <c r="F3299" s="3">
        <v>3384</v>
      </c>
      <c r="G3299" s="2">
        <v>503.86</v>
      </c>
      <c r="H3299">
        <f>Master_ventas[[#This Row],[Profit]]/Master_ventas[[#This Row],[Sales]]</f>
        <v>0.14889479905437353</v>
      </c>
      <c r="I3299">
        <f ca="1">Referencia_Hoy-Master_ventas[[#This Row],[Order Date]]</f>
        <v>677</v>
      </c>
      <c r="J3299" t="str">
        <f>UPPER(Master_ventas[[#This Row],[Product Name]])</f>
        <v>TABLET</v>
      </c>
      <c r="K3299" t="str">
        <f>UPPER(Master_ventas[[#This Row],[Category]])</f>
        <v>ELECTRONICS</v>
      </c>
      <c r="L3299">
        <f>YEAR(Master_ventas[[#This Row],[Order Date]])</f>
        <v>2024</v>
      </c>
      <c r="M3299" t="str">
        <f>CONCATENATE(LEFT(Master_ventas[[#This Row],[ProdUpper]],3),RIGHT(Master_ventas[[#This Row],[Ext-Year]],2),"-",MID(Master_ventas[[#This Row],[Category]],1,1))</f>
        <v>TAB24-E</v>
      </c>
      <c r="N3299" t="str">
        <f>MID(Master_ventas[[#This Row],[ProdUpper]],1,3)</f>
        <v>TAB</v>
      </c>
      <c r="O3299" t="str">
        <f>UPPER(IF(Master_ventas[[#This Row],[Profit]]&gt;500,"High","Std"))</f>
        <v>HIGH</v>
      </c>
      <c r="P3299">
        <v>3298</v>
      </c>
    </row>
    <row r="3300" spans="1:16" x14ac:dyDescent="0.3">
      <c r="A3300" s="1">
        <v>45626</v>
      </c>
      <c r="B3300" t="s">
        <v>20</v>
      </c>
      <c r="C3300" t="s">
        <v>11</v>
      </c>
      <c r="D3300" t="s">
        <v>12</v>
      </c>
      <c r="E3300">
        <v>1</v>
      </c>
      <c r="F3300" s="3">
        <v>351</v>
      </c>
      <c r="G3300" s="2">
        <v>31.95</v>
      </c>
      <c r="H3300">
        <f>Master_ventas[[#This Row],[Profit]]/Master_ventas[[#This Row],[Sales]]</f>
        <v>9.1025641025641021E-2</v>
      </c>
      <c r="I3300">
        <f ca="1">Referencia_Hoy-Master_ventas[[#This Row],[Order Date]]</f>
        <v>697</v>
      </c>
      <c r="J3300" t="str">
        <f>UPPER(Master_ventas[[#This Row],[Product Name]])</f>
        <v>MONITOR</v>
      </c>
      <c r="K3300" t="str">
        <f>UPPER(Master_ventas[[#This Row],[Category]])</f>
        <v>ACCESSORIES</v>
      </c>
      <c r="L3300">
        <f>YEAR(Master_ventas[[#This Row],[Order Date]])</f>
        <v>2024</v>
      </c>
      <c r="M3300" t="str">
        <f>CONCATENATE(LEFT(Master_ventas[[#This Row],[ProdUpper]],3),RIGHT(Master_ventas[[#This Row],[Ext-Year]],2),"-",MID(Master_ventas[[#This Row],[Category]],1,1))</f>
        <v>MON24-A</v>
      </c>
      <c r="N3300" t="str">
        <f>MID(Master_ventas[[#This Row],[ProdUpper]],1,3)</f>
        <v>MON</v>
      </c>
      <c r="O3300" t="str">
        <f>UPPER(IF(Master_ventas[[#This Row],[Profit]]&gt;500,"High","Std"))</f>
        <v>STD</v>
      </c>
      <c r="P3300">
        <v>3299</v>
      </c>
    </row>
    <row r="3301" spans="1:16" x14ac:dyDescent="0.3">
      <c r="A3301" s="1">
        <v>45642</v>
      </c>
      <c r="B3301" t="s">
        <v>17</v>
      </c>
      <c r="C3301" t="s">
        <v>14</v>
      </c>
      <c r="D3301" t="s">
        <v>15</v>
      </c>
      <c r="E3301">
        <v>2</v>
      </c>
      <c r="F3301" s="3">
        <v>2092</v>
      </c>
      <c r="G3301" s="2">
        <v>549.41999999999996</v>
      </c>
      <c r="H3301">
        <f>Master_ventas[[#This Row],[Profit]]/Master_ventas[[#This Row],[Sales]]</f>
        <v>0.26262906309751433</v>
      </c>
      <c r="I3301">
        <f ca="1">Referencia_Hoy-Master_ventas[[#This Row],[Order Date]]</f>
        <v>681</v>
      </c>
      <c r="J3301" t="str">
        <f>UPPER(Master_ventas[[#This Row],[Product Name]])</f>
        <v>CAMERA</v>
      </c>
      <c r="K3301" t="str">
        <f>UPPER(Master_ventas[[#This Row],[Category]])</f>
        <v>ELECTRONICS</v>
      </c>
      <c r="L3301">
        <f>YEAR(Master_ventas[[#This Row],[Order Date]])</f>
        <v>2024</v>
      </c>
      <c r="M3301" t="str">
        <f>CONCATENATE(LEFT(Master_ventas[[#This Row],[ProdUpper]],3),RIGHT(Master_ventas[[#This Row],[Ext-Year]],2),"-",MID(Master_ventas[[#This Row],[Category]],1,1))</f>
        <v>CAM24-E</v>
      </c>
      <c r="N3301" t="str">
        <f>MID(Master_ventas[[#This Row],[ProdUpper]],1,3)</f>
        <v>CAM</v>
      </c>
      <c r="O3301" t="str">
        <f>UPPER(IF(Master_ventas[[#This Row],[Profit]]&gt;500,"High","Std"))</f>
        <v>HIGH</v>
      </c>
      <c r="P3301">
        <v>3300</v>
      </c>
    </row>
    <row r="3302" spans="1:16" x14ac:dyDescent="0.3">
      <c r="A3302" s="1">
        <v>45004</v>
      </c>
      <c r="B3302" t="s">
        <v>20</v>
      </c>
      <c r="C3302" t="s">
        <v>11</v>
      </c>
      <c r="D3302" t="s">
        <v>15</v>
      </c>
      <c r="E3302">
        <v>7</v>
      </c>
      <c r="F3302" s="3">
        <v>1309</v>
      </c>
      <c r="G3302" s="2">
        <v>138.46</v>
      </c>
      <c r="H3302">
        <f>Master_ventas[[#This Row],[Profit]]/Master_ventas[[#This Row],[Sales]]</f>
        <v>0.10577540106951873</v>
      </c>
      <c r="I3302">
        <f ca="1">Referencia_Hoy-Master_ventas[[#This Row],[Order Date]]</f>
        <v>1319</v>
      </c>
      <c r="J3302" t="str">
        <f>UPPER(Master_ventas[[#This Row],[Product Name]])</f>
        <v>MONITOR</v>
      </c>
      <c r="K3302" t="str">
        <f>UPPER(Master_ventas[[#This Row],[Category]])</f>
        <v>ACCESSORIES</v>
      </c>
      <c r="L3302">
        <f>YEAR(Master_ventas[[#This Row],[Order Date]])</f>
        <v>2023</v>
      </c>
      <c r="M3302" t="str">
        <f>CONCATENATE(LEFT(Master_ventas[[#This Row],[ProdUpper]],3),RIGHT(Master_ventas[[#This Row],[Ext-Year]],2),"-",MID(Master_ventas[[#This Row],[Category]],1,1))</f>
        <v>MON23-A</v>
      </c>
      <c r="N3302" t="str">
        <f>MID(Master_ventas[[#This Row],[ProdUpper]],1,3)</f>
        <v>MON</v>
      </c>
      <c r="O3302" t="str">
        <f>UPPER(IF(Master_ventas[[#This Row],[Profit]]&gt;500,"High","Std"))</f>
        <v>STD</v>
      </c>
      <c r="P3302">
        <v>3301</v>
      </c>
    </row>
    <row r="3303" spans="1:16" x14ac:dyDescent="0.3">
      <c r="A3303" s="1">
        <v>45410</v>
      </c>
      <c r="B3303" t="s">
        <v>22</v>
      </c>
      <c r="C3303" t="s">
        <v>11</v>
      </c>
      <c r="D3303" t="s">
        <v>9</v>
      </c>
      <c r="E3303">
        <v>9</v>
      </c>
      <c r="F3303" s="3">
        <v>6696</v>
      </c>
      <c r="G3303" s="2">
        <v>407.36</v>
      </c>
      <c r="H3303">
        <f>Master_ventas[[#This Row],[Profit]]/Master_ventas[[#This Row],[Sales]]</f>
        <v>6.08363201911589E-2</v>
      </c>
      <c r="I3303">
        <f ca="1">Referencia_Hoy-Master_ventas[[#This Row],[Order Date]]</f>
        <v>913</v>
      </c>
      <c r="J3303" t="str">
        <f>UPPER(Master_ventas[[#This Row],[Product Name]])</f>
        <v>KEYBOARD</v>
      </c>
      <c r="K3303" t="str">
        <f>UPPER(Master_ventas[[#This Row],[Category]])</f>
        <v>ACCESSORIES</v>
      </c>
      <c r="L3303">
        <f>YEAR(Master_ventas[[#This Row],[Order Date]])</f>
        <v>2024</v>
      </c>
      <c r="M3303" t="str">
        <f>CONCATENATE(LEFT(Master_ventas[[#This Row],[ProdUpper]],3),RIGHT(Master_ventas[[#This Row],[Ext-Year]],2),"-",MID(Master_ventas[[#This Row],[Category]],1,1))</f>
        <v>KEY24-A</v>
      </c>
      <c r="N3303" t="str">
        <f>MID(Master_ventas[[#This Row],[ProdUpper]],1,3)</f>
        <v>KEY</v>
      </c>
      <c r="O3303" t="str">
        <f>UPPER(IF(Master_ventas[[#This Row],[Profit]]&gt;500,"High","Std"))</f>
        <v>STD</v>
      </c>
      <c r="P3303">
        <v>3302</v>
      </c>
    </row>
    <row r="3304" spans="1:16" x14ac:dyDescent="0.3">
      <c r="A3304" s="1">
        <v>44833</v>
      </c>
      <c r="B3304" t="s">
        <v>22</v>
      </c>
      <c r="C3304" t="s">
        <v>11</v>
      </c>
      <c r="D3304" t="s">
        <v>12</v>
      </c>
      <c r="E3304">
        <v>5</v>
      </c>
      <c r="F3304" s="3">
        <v>1020</v>
      </c>
      <c r="G3304" s="2">
        <v>162.36000000000001</v>
      </c>
      <c r="H3304">
        <f>Master_ventas[[#This Row],[Profit]]/Master_ventas[[#This Row],[Sales]]</f>
        <v>0.15917647058823531</v>
      </c>
      <c r="I3304">
        <f ca="1">Referencia_Hoy-Master_ventas[[#This Row],[Order Date]]</f>
        <v>1490</v>
      </c>
      <c r="J3304" t="str">
        <f>UPPER(Master_ventas[[#This Row],[Product Name]])</f>
        <v>KEYBOARD</v>
      </c>
      <c r="K3304" t="str">
        <f>UPPER(Master_ventas[[#This Row],[Category]])</f>
        <v>ACCESSORIES</v>
      </c>
      <c r="L3304">
        <f>YEAR(Master_ventas[[#This Row],[Order Date]])</f>
        <v>2022</v>
      </c>
      <c r="M3304" t="str">
        <f>CONCATENATE(LEFT(Master_ventas[[#This Row],[ProdUpper]],3),RIGHT(Master_ventas[[#This Row],[Ext-Year]],2),"-",MID(Master_ventas[[#This Row],[Category]],1,1))</f>
        <v>KEY22-A</v>
      </c>
      <c r="N3304" t="str">
        <f>MID(Master_ventas[[#This Row],[ProdUpper]],1,3)</f>
        <v>KEY</v>
      </c>
      <c r="O3304" t="str">
        <f>UPPER(IF(Master_ventas[[#This Row],[Profit]]&gt;500,"High","Std"))</f>
        <v>STD</v>
      </c>
      <c r="P3304">
        <v>3303</v>
      </c>
    </row>
    <row r="3305" spans="1:16" x14ac:dyDescent="0.3">
      <c r="A3305" s="1">
        <v>44711</v>
      </c>
      <c r="B3305" t="s">
        <v>22</v>
      </c>
      <c r="C3305" t="s">
        <v>11</v>
      </c>
      <c r="D3305" t="s">
        <v>12</v>
      </c>
      <c r="E3305">
        <v>8</v>
      </c>
      <c r="F3305" s="3">
        <v>8240</v>
      </c>
      <c r="G3305" s="2">
        <v>2006.72</v>
      </c>
      <c r="H3305">
        <f>Master_ventas[[#This Row],[Profit]]/Master_ventas[[#This Row],[Sales]]</f>
        <v>0.24353398058252426</v>
      </c>
      <c r="I3305">
        <f ca="1">Referencia_Hoy-Master_ventas[[#This Row],[Order Date]]</f>
        <v>1612</v>
      </c>
      <c r="J3305" t="str">
        <f>UPPER(Master_ventas[[#This Row],[Product Name]])</f>
        <v>KEYBOARD</v>
      </c>
      <c r="K3305" t="str">
        <f>UPPER(Master_ventas[[#This Row],[Category]])</f>
        <v>ACCESSORIES</v>
      </c>
      <c r="L3305">
        <f>YEAR(Master_ventas[[#This Row],[Order Date]])</f>
        <v>2022</v>
      </c>
      <c r="M3305" t="str">
        <f>CONCATENATE(LEFT(Master_ventas[[#This Row],[ProdUpper]],3),RIGHT(Master_ventas[[#This Row],[Ext-Year]],2),"-",MID(Master_ventas[[#This Row],[Category]],1,1))</f>
        <v>KEY22-A</v>
      </c>
      <c r="N3305" t="str">
        <f>MID(Master_ventas[[#This Row],[ProdUpper]],1,3)</f>
        <v>KEY</v>
      </c>
      <c r="O3305" t="str">
        <f>UPPER(IF(Master_ventas[[#This Row],[Profit]]&gt;500,"High","Std"))</f>
        <v>HIGH</v>
      </c>
      <c r="P3305">
        <v>3304</v>
      </c>
    </row>
    <row r="3306" spans="1:16" x14ac:dyDescent="0.3">
      <c r="A3306" s="1">
        <v>44841</v>
      </c>
      <c r="B3306" t="s">
        <v>18</v>
      </c>
      <c r="C3306" t="s">
        <v>11</v>
      </c>
      <c r="D3306" t="s">
        <v>15</v>
      </c>
      <c r="E3306">
        <v>9</v>
      </c>
      <c r="F3306" s="3">
        <v>9810</v>
      </c>
      <c r="G3306" s="2">
        <v>1008.6</v>
      </c>
      <c r="H3306">
        <f>Master_ventas[[#This Row],[Profit]]/Master_ventas[[#This Row],[Sales]]</f>
        <v>0.10281345565749235</v>
      </c>
      <c r="I3306">
        <f ca="1">Referencia_Hoy-Master_ventas[[#This Row],[Order Date]]</f>
        <v>1482</v>
      </c>
      <c r="J3306" t="str">
        <f>UPPER(Master_ventas[[#This Row],[Product Name]])</f>
        <v>HEADPHONES</v>
      </c>
      <c r="K3306" t="str">
        <f>UPPER(Master_ventas[[#This Row],[Category]])</f>
        <v>ACCESSORIES</v>
      </c>
      <c r="L3306">
        <f>YEAR(Master_ventas[[#This Row],[Order Date]])</f>
        <v>2022</v>
      </c>
      <c r="M3306" t="str">
        <f>CONCATENATE(LEFT(Master_ventas[[#This Row],[ProdUpper]],3),RIGHT(Master_ventas[[#This Row],[Ext-Year]],2),"-",MID(Master_ventas[[#This Row],[Category]],1,1))</f>
        <v>HEA22-A</v>
      </c>
      <c r="N3306" t="str">
        <f>MID(Master_ventas[[#This Row],[ProdUpper]],1,3)</f>
        <v>HEA</v>
      </c>
      <c r="O3306" t="str">
        <f>UPPER(IF(Master_ventas[[#This Row],[Profit]]&gt;500,"High","Std"))</f>
        <v>HIGH</v>
      </c>
      <c r="P3306">
        <v>3305</v>
      </c>
    </row>
    <row r="3307" spans="1:16" x14ac:dyDescent="0.3">
      <c r="A3307" s="1">
        <v>44939</v>
      </c>
      <c r="B3307" t="s">
        <v>13</v>
      </c>
      <c r="C3307" t="s">
        <v>14</v>
      </c>
      <c r="D3307" t="s">
        <v>16</v>
      </c>
      <c r="E3307">
        <v>1</v>
      </c>
      <c r="F3307" s="3">
        <v>853</v>
      </c>
      <c r="G3307" s="2">
        <v>97.5</v>
      </c>
      <c r="H3307">
        <f>Master_ventas[[#This Row],[Profit]]/Master_ventas[[#This Row],[Sales]]</f>
        <v>0.11430246189917936</v>
      </c>
      <c r="I3307">
        <f ca="1">Referencia_Hoy-Master_ventas[[#This Row],[Order Date]]</f>
        <v>1384</v>
      </c>
      <c r="J3307" t="str">
        <f>UPPER(Master_ventas[[#This Row],[Product Name]])</f>
        <v>TABLET</v>
      </c>
      <c r="K3307" t="str">
        <f>UPPER(Master_ventas[[#This Row],[Category]])</f>
        <v>ELECTRONICS</v>
      </c>
      <c r="L3307">
        <f>YEAR(Master_ventas[[#This Row],[Order Date]])</f>
        <v>2023</v>
      </c>
      <c r="M3307" t="str">
        <f>CONCATENATE(LEFT(Master_ventas[[#This Row],[ProdUpper]],3),RIGHT(Master_ventas[[#This Row],[Ext-Year]],2),"-",MID(Master_ventas[[#This Row],[Category]],1,1))</f>
        <v>TAB23-E</v>
      </c>
      <c r="N3307" t="str">
        <f>MID(Master_ventas[[#This Row],[ProdUpper]],1,3)</f>
        <v>TAB</v>
      </c>
      <c r="O3307" t="str">
        <f>UPPER(IF(Master_ventas[[#This Row],[Profit]]&gt;500,"High","Std"))</f>
        <v>STD</v>
      </c>
      <c r="P3307">
        <v>3306</v>
      </c>
    </row>
    <row r="3308" spans="1:16" x14ac:dyDescent="0.3">
      <c r="A3308" s="1">
        <v>44932</v>
      </c>
      <c r="B3308" t="s">
        <v>17</v>
      </c>
      <c r="C3308" t="s">
        <v>14</v>
      </c>
      <c r="D3308" t="s">
        <v>12</v>
      </c>
      <c r="E3308">
        <v>4</v>
      </c>
      <c r="F3308" s="3">
        <v>4416</v>
      </c>
      <c r="G3308" s="2">
        <v>1081.53</v>
      </c>
      <c r="H3308">
        <f>Master_ventas[[#This Row],[Profit]]/Master_ventas[[#This Row],[Sales]]</f>
        <v>0.24491168478260869</v>
      </c>
      <c r="I3308">
        <f ca="1">Referencia_Hoy-Master_ventas[[#This Row],[Order Date]]</f>
        <v>1391</v>
      </c>
      <c r="J3308" t="str">
        <f>UPPER(Master_ventas[[#This Row],[Product Name]])</f>
        <v>CAMERA</v>
      </c>
      <c r="K3308" t="str">
        <f>UPPER(Master_ventas[[#This Row],[Category]])</f>
        <v>ELECTRONICS</v>
      </c>
      <c r="L3308">
        <f>YEAR(Master_ventas[[#This Row],[Order Date]])</f>
        <v>2023</v>
      </c>
      <c r="M3308" t="str">
        <f>CONCATENATE(LEFT(Master_ventas[[#This Row],[ProdUpper]],3),RIGHT(Master_ventas[[#This Row],[Ext-Year]],2),"-",MID(Master_ventas[[#This Row],[Category]],1,1))</f>
        <v>CAM23-E</v>
      </c>
      <c r="N3308" t="str">
        <f>MID(Master_ventas[[#This Row],[ProdUpper]],1,3)</f>
        <v>CAM</v>
      </c>
      <c r="O3308" t="str">
        <f>UPPER(IF(Master_ventas[[#This Row],[Profit]]&gt;500,"High","Std"))</f>
        <v>HIGH</v>
      </c>
      <c r="P3308">
        <v>3307</v>
      </c>
    </row>
    <row r="3309" spans="1:16" x14ac:dyDescent="0.3">
      <c r="A3309" s="1">
        <v>44937</v>
      </c>
      <c r="B3309" t="s">
        <v>18</v>
      </c>
      <c r="C3309" t="s">
        <v>11</v>
      </c>
      <c r="D3309" t="s">
        <v>9</v>
      </c>
      <c r="E3309">
        <v>8</v>
      </c>
      <c r="F3309" s="3">
        <v>3832</v>
      </c>
      <c r="G3309" s="2">
        <v>741.44</v>
      </c>
      <c r="H3309">
        <f>Master_ventas[[#This Row],[Profit]]/Master_ventas[[#This Row],[Sales]]</f>
        <v>0.1934864300626305</v>
      </c>
      <c r="I3309">
        <f ca="1">Referencia_Hoy-Master_ventas[[#This Row],[Order Date]]</f>
        <v>1386</v>
      </c>
      <c r="J3309" t="str">
        <f>UPPER(Master_ventas[[#This Row],[Product Name]])</f>
        <v>HEADPHONES</v>
      </c>
      <c r="K3309" t="str">
        <f>UPPER(Master_ventas[[#This Row],[Category]])</f>
        <v>ACCESSORIES</v>
      </c>
      <c r="L3309">
        <f>YEAR(Master_ventas[[#This Row],[Order Date]])</f>
        <v>2023</v>
      </c>
      <c r="M3309" t="str">
        <f>CONCATENATE(LEFT(Master_ventas[[#This Row],[ProdUpper]],3),RIGHT(Master_ventas[[#This Row],[Ext-Year]],2),"-",MID(Master_ventas[[#This Row],[Category]],1,1))</f>
        <v>HEA23-A</v>
      </c>
      <c r="N3309" t="str">
        <f>MID(Master_ventas[[#This Row],[ProdUpper]],1,3)</f>
        <v>HEA</v>
      </c>
      <c r="O3309" t="str">
        <f>UPPER(IF(Master_ventas[[#This Row],[Profit]]&gt;500,"High","Std"))</f>
        <v>HIGH</v>
      </c>
      <c r="P3309">
        <v>3308</v>
      </c>
    </row>
    <row r="3310" spans="1:16" x14ac:dyDescent="0.3">
      <c r="A3310" s="1">
        <v>45642</v>
      </c>
      <c r="B3310" t="s">
        <v>20</v>
      </c>
      <c r="C3310" t="s">
        <v>11</v>
      </c>
      <c r="D3310" t="s">
        <v>15</v>
      </c>
      <c r="E3310">
        <v>4</v>
      </c>
      <c r="F3310" s="3">
        <v>1876</v>
      </c>
      <c r="G3310" s="2">
        <v>221.18</v>
      </c>
      <c r="H3310">
        <f>Master_ventas[[#This Row],[Profit]]/Master_ventas[[#This Row],[Sales]]</f>
        <v>0.11789978678038381</v>
      </c>
      <c r="I3310">
        <f ca="1">Referencia_Hoy-Master_ventas[[#This Row],[Order Date]]</f>
        <v>681</v>
      </c>
      <c r="J3310" t="str">
        <f>UPPER(Master_ventas[[#This Row],[Product Name]])</f>
        <v>MONITOR</v>
      </c>
      <c r="K3310" t="str">
        <f>UPPER(Master_ventas[[#This Row],[Category]])</f>
        <v>ACCESSORIES</v>
      </c>
      <c r="L3310">
        <f>YEAR(Master_ventas[[#This Row],[Order Date]])</f>
        <v>2024</v>
      </c>
      <c r="M3310" t="str">
        <f>CONCATENATE(LEFT(Master_ventas[[#This Row],[ProdUpper]],3),RIGHT(Master_ventas[[#This Row],[Ext-Year]],2),"-",MID(Master_ventas[[#This Row],[Category]],1,1))</f>
        <v>MON24-A</v>
      </c>
      <c r="N3310" t="str">
        <f>MID(Master_ventas[[#This Row],[ProdUpper]],1,3)</f>
        <v>MON</v>
      </c>
      <c r="O3310" t="str">
        <f>UPPER(IF(Master_ventas[[#This Row],[Profit]]&gt;500,"High","Std"))</f>
        <v>STD</v>
      </c>
      <c r="P3310">
        <v>3309</v>
      </c>
    </row>
    <row r="3311" spans="1:16" x14ac:dyDescent="0.3">
      <c r="A3311" s="1">
        <v>45365</v>
      </c>
      <c r="B3311" t="s">
        <v>23</v>
      </c>
      <c r="C3311" t="s">
        <v>14</v>
      </c>
      <c r="D3311" t="s">
        <v>15</v>
      </c>
      <c r="E3311">
        <v>3</v>
      </c>
      <c r="F3311" s="3">
        <v>2634</v>
      </c>
      <c r="G3311" s="2">
        <v>392.21</v>
      </c>
      <c r="H3311">
        <f>Master_ventas[[#This Row],[Profit]]/Master_ventas[[#This Row],[Sales]]</f>
        <v>0.14890280941533787</v>
      </c>
      <c r="I3311">
        <f ca="1">Referencia_Hoy-Master_ventas[[#This Row],[Order Date]]</f>
        <v>958</v>
      </c>
      <c r="J3311" t="str">
        <f>UPPER(Master_ventas[[#This Row],[Product Name]])</f>
        <v>LAPTOP</v>
      </c>
      <c r="K3311" t="str">
        <f>UPPER(Master_ventas[[#This Row],[Category]])</f>
        <v>ELECTRONICS</v>
      </c>
      <c r="L3311">
        <f>YEAR(Master_ventas[[#This Row],[Order Date]])</f>
        <v>2024</v>
      </c>
      <c r="M3311" t="str">
        <f>CONCATENATE(LEFT(Master_ventas[[#This Row],[ProdUpper]],3),RIGHT(Master_ventas[[#This Row],[Ext-Year]],2),"-",MID(Master_ventas[[#This Row],[Category]],1,1))</f>
        <v>LAP24-E</v>
      </c>
      <c r="N3311" t="str">
        <f>MID(Master_ventas[[#This Row],[ProdUpper]],1,3)</f>
        <v>LAP</v>
      </c>
      <c r="O3311" t="str">
        <f>UPPER(IF(Master_ventas[[#This Row],[Profit]]&gt;500,"High","Std"))</f>
        <v>STD</v>
      </c>
      <c r="P3311">
        <v>3310</v>
      </c>
    </row>
    <row r="3312" spans="1:16" x14ac:dyDescent="0.3">
      <c r="A3312" s="1">
        <v>45164</v>
      </c>
      <c r="B3312" t="s">
        <v>23</v>
      </c>
      <c r="C3312" t="s">
        <v>14</v>
      </c>
      <c r="D3312" t="s">
        <v>9</v>
      </c>
      <c r="E3312">
        <v>1</v>
      </c>
      <c r="F3312" s="3">
        <v>1027</v>
      </c>
      <c r="G3312" s="2">
        <v>259.92</v>
      </c>
      <c r="H3312">
        <f>Master_ventas[[#This Row],[Profit]]/Master_ventas[[#This Row],[Sales]]</f>
        <v>0.25308666017526776</v>
      </c>
      <c r="I3312">
        <f ca="1">Referencia_Hoy-Master_ventas[[#This Row],[Order Date]]</f>
        <v>1159</v>
      </c>
      <c r="J3312" t="str">
        <f>UPPER(Master_ventas[[#This Row],[Product Name]])</f>
        <v>LAPTOP</v>
      </c>
      <c r="K3312" t="str">
        <f>UPPER(Master_ventas[[#This Row],[Category]])</f>
        <v>ELECTRONICS</v>
      </c>
      <c r="L3312">
        <f>YEAR(Master_ventas[[#This Row],[Order Date]])</f>
        <v>2023</v>
      </c>
      <c r="M3312" t="str">
        <f>CONCATENATE(LEFT(Master_ventas[[#This Row],[ProdUpper]],3),RIGHT(Master_ventas[[#This Row],[Ext-Year]],2),"-",MID(Master_ventas[[#This Row],[Category]],1,1))</f>
        <v>LAP23-E</v>
      </c>
      <c r="N3312" t="str">
        <f>MID(Master_ventas[[#This Row],[ProdUpper]],1,3)</f>
        <v>LAP</v>
      </c>
      <c r="O3312" t="str">
        <f>UPPER(IF(Master_ventas[[#This Row],[Profit]]&gt;500,"High","Std"))</f>
        <v>STD</v>
      </c>
      <c r="P3312">
        <v>3311</v>
      </c>
    </row>
    <row r="3313" spans="1:16" x14ac:dyDescent="0.3">
      <c r="A3313" s="1">
        <v>45117</v>
      </c>
      <c r="B3313" t="s">
        <v>7</v>
      </c>
      <c r="C3313" t="s">
        <v>8</v>
      </c>
      <c r="D3313" t="s">
        <v>16</v>
      </c>
      <c r="E3313">
        <v>5</v>
      </c>
      <c r="F3313" s="3">
        <v>3100</v>
      </c>
      <c r="G3313" s="2">
        <v>911.86</v>
      </c>
      <c r="H3313">
        <f>Master_ventas[[#This Row],[Profit]]/Master_ventas[[#This Row],[Sales]]</f>
        <v>0.29414838709677421</v>
      </c>
      <c r="I3313">
        <f ca="1">Referencia_Hoy-Master_ventas[[#This Row],[Order Date]]</f>
        <v>1206</v>
      </c>
      <c r="J3313" t="str">
        <f>UPPER(Master_ventas[[#This Row],[Product Name]])</f>
        <v>PRINTER</v>
      </c>
      <c r="K3313" t="str">
        <f>UPPER(Master_ventas[[#This Row],[Category]])</f>
        <v>OFFICE</v>
      </c>
      <c r="L3313">
        <f>YEAR(Master_ventas[[#This Row],[Order Date]])</f>
        <v>2023</v>
      </c>
      <c r="M3313" t="str">
        <f>CONCATENATE(LEFT(Master_ventas[[#This Row],[ProdUpper]],3),RIGHT(Master_ventas[[#This Row],[Ext-Year]],2),"-",MID(Master_ventas[[#This Row],[Category]],1,1))</f>
        <v>PRI23-O</v>
      </c>
      <c r="N3313" t="str">
        <f>MID(Master_ventas[[#This Row],[ProdUpper]],1,3)</f>
        <v>PRI</v>
      </c>
      <c r="O3313" t="str">
        <f>UPPER(IF(Master_ventas[[#This Row],[Profit]]&gt;500,"High","Std"))</f>
        <v>HIGH</v>
      </c>
      <c r="P3313">
        <v>3312</v>
      </c>
    </row>
    <row r="3314" spans="1:16" x14ac:dyDescent="0.3">
      <c r="A3314" s="1">
        <v>44638</v>
      </c>
      <c r="B3314" t="s">
        <v>10</v>
      </c>
      <c r="C3314" t="s">
        <v>11</v>
      </c>
      <c r="D3314" t="s">
        <v>16</v>
      </c>
      <c r="E3314">
        <v>1</v>
      </c>
      <c r="F3314" s="3">
        <v>104</v>
      </c>
      <c r="G3314" s="2">
        <v>29.67</v>
      </c>
      <c r="H3314">
        <f>Master_ventas[[#This Row],[Profit]]/Master_ventas[[#This Row],[Sales]]</f>
        <v>0.28528846153846155</v>
      </c>
      <c r="I3314">
        <f ca="1">Referencia_Hoy-Master_ventas[[#This Row],[Order Date]]</f>
        <v>1685</v>
      </c>
      <c r="J3314" t="str">
        <f>UPPER(Master_ventas[[#This Row],[Product Name]])</f>
        <v>MOUSE</v>
      </c>
      <c r="K3314" t="str">
        <f>UPPER(Master_ventas[[#This Row],[Category]])</f>
        <v>ACCESSORIES</v>
      </c>
      <c r="L3314">
        <f>YEAR(Master_ventas[[#This Row],[Order Date]])</f>
        <v>2022</v>
      </c>
      <c r="M3314" t="str">
        <f>CONCATENATE(LEFT(Master_ventas[[#This Row],[ProdUpper]],3),RIGHT(Master_ventas[[#This Row],[Ext-Year]],2),"-",MID(Master_ventas[[#This Row],[Category]],1,1))</f>
        <v>MOU22-A</v>
      </c>
      <c r="N3314" t="str">
        <f>MID(Master_ventas[[#This Row],[ProdUpper]],1,3)</f>
        <v>MOU</v>
      </c>
      <c r="O3314" t="str">
        <f>UPPER(IF(Master_ventas[[#This Row],[Profit]]&gt;500,"High","Std"))</f>
        <v>STD</v>
      </c>
      <c r="P3314">
        <v>3313</v>
      </c>
    </row>
    <row r="3315" spans="1:16" x14ac:dyDescent="0.3">
      <c r="A3315" s="1">
        <v>45461</v>
      </c>
      <c r="B3315" t="s">
        <v>10</v>
      </c>
      <c r="C3315" t="s">
        <v>11</v>
      </c>
      <c r="D3315" t="s">
        <v>12</v>
      </c>
      <c r="E3315">
        <v>2</v>
      </c>
      <c r="F3315" s="3">
        <v>1590</v>
      </c>
      <c r="G3315" s="2">
        <v>147.19999999999999</v>
      </c>
      <c r="H3315">
        <f>Master_ventas[[#This Row],[Profit]]/Master_ventas[[#This Row],[Sales]]</f>
        <v>9.2578616352201257E-2</v>
      </c>
      <c r="I3315">
        <f ca="1">Referencia_Hoy-Master_ventas[[#This Row],[Order Date]]</f>
        <v>862</v>
      </c>
      <c r="J3315" t="str">
        <f>UPPER(Master_ventas[[#This Row],[Product Name]])</f>
        <v>MOUSE</v>
      </c>
      <c r="K3315" t="str">
        <f>UPPER(Master_ventas[[#This Row],[Category]])</f>
        <v>ACCESSORIES</v>
      </c>
      <c r="L3315">
        <f>YEAR(Master_ventas[[#This Row],[Order Date]])</f>
        <v>2024</v>
      </c>
      <c r="M3315" t="str">
        <f>CONCATENATE(LEFT(Master_ventas[[#This Row],[ProdUpper]],3),RIGHT(Master_ventas[[#This Row],[Ext-Year]],2),"-",MID(Master_ventas[[#This Row],[Category]],1,1))</f>
        <v>MOU24-A</v>
      </c>
      <c r="N3315" t="str">
        <f>MID(Master_ventas[[#This Row],[ProdUpper]],1,3)</f>
        <v>MOU</v>
      </c>
      <c r="O3315" t="str">
        <f>UPPER(IF(Master_ventas[[#This Row],[Profit]]&gt;500,"High","Std"))</f>
        <v>STD</v>
      </c>
      <c r="P3315">
        <v>3314</v>
      </c>
    </row>
    <row r="3316" spans="1:16" x14ac:dyDescent="0.3">
      <c r="A3316" s="1">
        <v>45524</v>
      </c>
      <c r="B3316" t="s">
        <v>17</v>
      </c>
      <c r="C3316" t="s">
        <v>14</v>
      </c>
      <c r="D3316" t="s">
        <v>15</v>
      </c>
      <c r="E3316">
        <v>4</v>
      </c>
      <c r="F3316" s="3">
        <v>1104</v>
      </c>
      <c r="G3316" s="2">
        <v>63.57</v>
      </c>
      <c r="H3316">
        <f>Master_ventas[[#This Row],[Profit]]/Master_ventas[[#This Row],[Sales]]</f>
        <v>5.7581521739130434E-2</v>
      </c>
      <c r="I3316">
        <f ca="1">Referencia_Hoy-Master_ventas[[#This Row],[Order Date]]</f>
        <v>799</v>
      </c>
      <c r="J3316" t="str">
        <f>UPPER(Master_ventas[[#This Row],[Product Name]])</f>
        <v>CAMERA</v>
      </c>
      <c r="K3316" t="str">
        <f>UPPER(Master_ventas[[#This Row],[Category]])</f>
        <v>ELECTRONICS</v>
      </c>
      <c r="L3316">
        <f>YEAR(Master_ventas[[#This Row],[Order Date]])</f>
        <v>2024</v>
      </c>
      <c r="M3316" t="str">
        <f>CONCATENATE(LEFT(Master_ventas[[#This Row],[ProdUpper]],3),RIGHT(Master_ventas[[#This Row],[Ext-Year]],2),"-",MID(Master_ventas[[#This Row],[Category]],1,1))</f>
        <v>CAM24-E</v>
      </c>
      <c r="N3316" t="str">
        <f>MID(Master_ventas[[#This Row],[ProdUpper]],1,3)</f>
        <v>CAM</v>
      </c>
      <c r="O3316" t="str">
        <f>UPPER(IF(Master_ventas[[#This Row],[Profit]]&gt;500,"High","Std"))</f>
        <v>STD</v>
      </c>
      <c r="P3316">
        <v>3315</v>
      </c>
    </row>
    <row r="3317" spans="1:16" x14ac:dyDescent="0.3">
      <c r="A3317" s="1">
        <v>45553</v>
      </c>
      <c r="B3317" t="s">
        <v>21</v>
      </c>
      <c r="C3317" t="s">
        <v>14</v>
      </c>
      <c r="D3317" t="s">
        <v>15</v>
      </c>
      <c r="E3317">
        <v>3</v>
      </c>
      <c r="F3317" s="3">
        <v>1851</v>
      </c>
      <c r="G3317" s="2">
        <v>198.71</v>
      </c>
      <c r="H3317">
        <f>Master_ventas[[#This Row],[Profit]]/Master_ventas[[#This Row],[Sales]]</f>
        <v>0.10735278227984874</v>
      </c>
      <c r="I3317">
        <f ca="1">Referencia_Hoy-Master_ventas[[#This Row],[Order Date]]</f>
        <v>770</v>
      </c>
      <c r="J3317" t="str">
        <f>UPPER(Master_ventas[[#This Row],[Product Name]])</f>
        <v>SMARTPHONE</v>
      </c>
      <c r="K3317" t="str">
        <f>UPPER(Master_ventas[[#This Row],[Category]])</f>
        <v>ELECTRONICS</v>
      </c>
      <c r="L3317">
        <f>YEAR(Master_ventas[[#This Row],[Order Date]])</f>
        <v>2024</v>
      </c>
      <c r="M3317" t="str">
        <f>CONCATENATE(LEFT(Master_ventas[[#This Row],[ProdUpper]],3),RIGHT(Master_ventas[[#This Row],[Ext-Year]],2),"-",MID(Master_ventas[[#This Row],[Category]],1,1))</f>
        <v>SMA24-E</v>
      </c>
      <c r="N3317" t="str">
        <f>MID(Master_ventas[[#This Row],[ProdUpper]],1,3)</f>
        <v>SMA</v>
      </c>
      <c r="O3317" t="str">
        <f>UPPER(IF(Master_ventas[[#This Row],[Profit]]&gt;500,"High","Std"))</f>
        <v>STD</v>
      </c>
      <c r="P3317">
        <v>3316</v>
      </c>
    </row>
    <row r="3318" spans="1:16" x14ac:dyDescent="0.3">
      <c r="A3318" s="1">
        <v>45602</v>
      </c>
      <c r="B3318" t="s">
        <v>21</v>
      </c>
      <c r="C3318" t="s">
        <v>14</v>
      </c>
      <c r="D3318" t="s">
        <v>15</v>
      </c>
      <c r="E3318">
        <v>2</v>
      </c>
      <c r="F3318" s="3">
        <v>1408</v>
      </c>
      <c r="G3318" s="2">
        <v>193.09</v>
      </c>
      <c r="H3318">
        <f>Master_ventas[[#This Row],[Profit]]/Master_ventas[[#This Row],[Sales]]</f>
        <v>0.1371377840909091</v>
      </c>
      <c r="I3318">
        <f ca="1">Referencia_Hoy-Master_ventas[[#This Row],[Order Date]]</f>
        <v>721</v>
      </c>
      <c r="J3318" t="str">
        <f>UPPER(Master_ventas[[#This Row],[Product Name]])</f>
        <v>SMARTPHONE</v>
      </c>
      <c r="K3318" t="str">
        <f>UPPER(Master_ventas[[#This Row],[Category]])</f>
        <v>ELECTRONICS</v>
      </c>
      <c r="L3318">
        <f>YEAR(Master_ventas[[#This Row],[Order Date]])</f>
        <v>2024</v>
      </c>
      <c r="M3318" t="str">
        <f>CONCATENATE(LEFT(Master_ventas[[#This Row],[ProdUpper]],3),RIGHT(Master_ventas[[#This Row],[Ext-Year]],2),"-",MID(Master_ventas[[#This Row],[Category]],1,1))</f>
        <v>SMA24-E</v>
      </c>
      <c r="N3318" t="str">
        <f>MID(Master_ventas[[#This Row],[ProdUpper]],1,3)</f>
        <v>SMA</v>
      </c>
      <c r="O3318" t="str">
        <f>UPPER(IF(Master_ventas[[#This Row],[Profit]]&gt;500,"High","Std"))</f>
        <v>STD</v>
      </c>
      <c r="P3318">
        <v>3317</v>
      </c>
    </row>
    <row r="3319" spans="1:16" x14ac:dyDescent="0.3">
      <c r="A3319" s="1">
        <v>44705</v>
      </c>
      <c r="B3319" t="s">
        <v>23</v>
      </c>
      <c r="C3319" t="s">
        <v>14</v>
      </c>
      <c r="D3319" t="s">
        <v>15</v>
      </c>
      <c r="E3319">
        <v>7</v>
      </c>
      <c r="F3319" s="3">
        <v>4641</v>
      </c>
      <c r="G3319" s="2">
        <v>1341.98</v>
      </c>
      <c r="H3319">
        <f>Master_ventas[[#This Row],[Profit]]/Master_ventas[[#This Row],[Sales]]</f>
        <v>0.28915750915750915</v>
      </c>
      <c r="I3319">
        <f ca="1">Referencia_Hoy-Master_ventas[[#This Row],[Order Date]]</f>
        <v>1618</v>
      </c>
      <c r="J3319" t="str">
        <f>UPPER(Master_ventas[[#This Row],[Product Name]])</f>
        <v>LAPTOP</v>
      </c>
      <c r="K3319" t="str">
        <f>UPPER(Master_ventas[[#This Row],[Category]])</f>
        <v>ELECTRONICS</v>
      </c>
      <c r="L3319">
        <f>YEAR(Master_ventas[[#This Row],[Order Date]])</f>
        <v>2022</v>
      </c>
      <c r="M3319" t="str">
        <f>CONCATENATE(LEFT(Master_ventas[[#This Row],[ProdUpper]],3),RIGHT(Master_ventas[[#This Row],[Ext-Year]],2),"-",MID(Master_ventas[[#This Row],[Category]],1,1))</f>
        <v>LAP22-E</v>
      </c>
      <c r="N3319" t="str">
        <f>MID(Master_ventas[[#This Row],[ProdUpper]],1,3)</f>
        <v>LAP</v>
      </c>
      <c r="O3319" t="str">
        <f>UPPER(IF(Master_ventas[[#This Row],[Profit]]&gt;500,"High","Std"))</f>
        <v>HIGH</v>
      </c>
      <c r="P3319">
        <v>3318</v>
      </c>
    </row>
    <row r="3320" spans="1:16" x14ac:dyDescent="0.3">
      <c r="A3320" s="1">
        <v>44835</v>
      </c>
      <c r="B3320" t="s">
        <v>13</v>
      </c>
      <c r="C3320" t="s">
        <v>14</v>
      </c>
      <c r="D3320" t="s">
        <v>16</v>
      </c>
      <c r="E3320">
        <v>7</v>
      </c>
      <c r="F3320" s="3">
        <v>2611</v>
      </c>
      <c r="G3320" s="2">
        <v>539.37</v>
      </c>
      <c r="H3320">
        <f>Master_ventas[[#This Row],[Profit]]/Master_ventas[[#This Row],[Sales]]</f>
        <v>0.20657602451168136</v>
      </c>
      <c r="I3320">
        <f ca="1">Referencia_Hoy-Master_ventas[[#This Row],[Order Date]]</f>
        <v>1488</v>
      </c>
      <c r="J3320" t="str">
        <f>UPPER(Master_ventas[[#This Row],[Product Name]])</f>
        <v>TABLET</v>
      </c>
      <c r="K3320" t="str">
        <f>UPPER(Master_ventas[[#This Row],[Category]])</f>
        <v>ELECTRONICS</v>
      </c>
      <c r="L3320">
        <f>YEAR(Master_ventas[[#This Row],[Order Date]])</f>
        <v>2022</v>
      </c>
      <c r="M3320" t="str">
        <f>CONCATENATE(LEFT(Master_ventas[[#This Row],[ProdUpper]],3),RIGHT(Master_ventas[[#This Row],[Ext-Year]],2),"-",MID(Master_ventas[[#This Row],[Category]],1,1))</f>
        <v>TAB22-E</v>
      </c>
      <c r="N3320" t="str">
        <f>MID(Master_ventas[[#This Row],[ProdUpper]],1,3)</f>
        <v>TAB</v>
      </c>
      <c r="O3320" t="str">
        <f>UPPER(IF(Master_ventas[[#This Row],[Profit]]&gt;500,"High","Std"))</f>
        <v>HIGH</v>
      </c>
      <c r="P3320">
        <v>3319</v>
      </c>
    </row>
    <row r="3321" spans="1:16" x14ac:dyDescent="0.3">
      <c r="A3321" s="1">
        <v>45265</v>
      </c>
      <c r="B3321" t="s">
        <v>23</v>
      </c>
      <c r="C3321" t="s">
        <v>14</v>
      </c>
      <c r="D3321" t="s">
        <v>9</v>
      </c>
      <c r="E3321">
        <v>4</v>
      </c>
      <c r="F3321" s="3">
        <v>3824</v>
      </c>
      <c r="G3321" s="2">
        <v>711.92</v>
      </c>
      <c r="H3321">
        <f>Master_ventas[[#This Row],[Profit]]/Master_ventas[[#This Row],[Sales]]</f>
        <v>0.18617154811715481</v>
      </c>
      <c r="I3321">
        <f ca="1">Referencia_Hoy-Master_ventas[[#This Row],[Order Date]]</f>
        <v>1058</v>
      </c>
      <c r="J3321" t="str">
        <f>UPPER(Master_ventas[[#This Row],[Product Name]])</f>
        <v>LAPTOP</v>
      </c>
      <c r="K3321" t="str">
        <f>UPPER(Master_ventas[[#This Row],[Category]])</f>
        <v>ELECTRONICS</v>
      </c>
      <c r="L3321">
        <f>YEAR(Master_ventas[[#This Row],[Order Date]])</f>
        <v>2023</v>
      </c>
      <c r="M3321" t="str">
        <f>CONCATENATE(LEFT(Master_ventas[[#This Row],[ProdUpper]],3),RIGHT(Master_ventas[[#This Row],[Ext-Year]],2),"-",MID(Master_ventas[[#This Row],[Category]],1,1))</f>
        <v>LAP23-E</v>
      </c>
      <c r="N3321" t="str">
        <f>MID(Master_ventas[[#This Row],[ProdUpper]],1,3)</f>
        <v>LAP</v>
      </c>
      <c r="O3321" t="str">
        <f>UPPER(IF(Master_ventas[[#This Row],[Profit]]&gt;500,"High","Std"))</f>
        <v>HIGH</v>
      </c>
      <c r="P3321">
        <v>3320</v>
      </c>
    </row>
    <row r="3322" spans="1:16" x14ac:dyDescent="0.3">
      <c r="A3322" s="1">
        <v>44993</v>
      </c>
      <c r="B3322" t="s">
        <v>21</v>
      </c>
      <c r="C3322" t="s">
        <v>14</v>
      </c>
      <c r="D3322" t="s">
        <v>12</v>
      </c>
      <c r="E3322">
        <v>2</v>
      </c>
      <c r="F3322" s="3">
        <v>2042</v>
      </c>
      <c r="G3322" s="2">
        <v>501.34</v>
      </c>
      <c r="H3322">
        <f>Master_ventas[[#This Row],[Profit]]/Master_ventas[[#This Row],[Sales]]</f>
        <v>0.24551420176297747</v>
      </c>
      <c r="I3322">
        <f ca="1">Referencia_Hoy-Master_ventas[[#This Row],[Order Date]]</f>
        <v>1330</v>
      </c>
      <c r="J3322" t="str">
        <f>UPPER(Master_ventas[[#This Row],[Product Name]])</f>
        <v>SMARTPHONE</v>
      </c>
      <c r="K3322" t="str">
        <f>UPPER(Master_ventas[[#This Row],[Category]])</f>
        <v>ELECTRONICS</v>
      </c>
      <c r="L3322">
        <f>YEAR(Master_ventas[[#This Row],[Order Date]])</f>
        <v>2023</v>
      </c>
      <c r="M3322" t="str">
        <f>CONCATENATE(LEFT(Master_ventas[[#This Row],[ProdUpper]],3),RIGHT(Master_ventas[[#This Row],[Ext-Year]],2),"-",MID(Master_ventas[[#This Row],[Category]],1,1))</f>
        <v>SMA23-E</v>
      </c>
      <c r="N3322" t="str">
        <f>MID(Master_ventas[[#This Row],[ProdUpper]],1,3)</f>
        <v>SMA</v>
      </c>
      <c r="O3322" t="str">
        <f>UPPER(IF(Master_ventas[[#This Row],[Profit]]&gt;500,"High","Std"))</f>
        <v>HIGH</v>
      </c>
      <c r="P3322">
        <v>3321</v>
      </c>
    </row>
    <row r="3323" spans="1:16" x14ac:dyDescent="0.3">
      <c r="A3323" s="1">
        <v>45137</v>
      </c>
      <c r="B3323" t="s">
        <v>13</v>
      </c>
      <c r="C3323" t="s">
        <v>14</v>
      </c>
      <c r="D3323" t="s">
        <v>9</v>
      </c>
      <c r="E3323">
        <v>6</v>
      </c>
      <c r="F3323" s="3">
        <v>6378</v>
      </c>
      <c r="G3323" s="2">
        <v>1408.28</v>
      </c>
      <c r="H3323">
        <f>Master_ventas[[#This Row],[Profit]]/Master_ventas[[#This Row],[Sales]]</f>
        <v>0.22080275948573219</v>
      </c>
      <c r="I3323">
        <f ca="1">Referencia_Hoy-Master_ventas[[#This Row],[Order Date]]</f>
        <v>1186</v>
      </c>
      <c r="J3323" t="str">
        <f>UPPER(Master_ventas[[#This Row],[Product Name]])</f>
        <v>TABLET</v>
      </c>
      <c r="K3323" t="str">
        <f>UPPER(Master_ventas[[#This Row],[Category]])</f>
        <v>ELECTRONICS</v>
      </c>
      <c r="L3323">
        <f>YEAR(Master_ventas[[#This Row],[Order Date]])</f>
        <v>2023</v>
      </c>
      <c r="M3323" t="str">
        <f>CONCATENATE(LEFT(Master_ventas[[#This Row],[ProdUpper]],3),RIGHT(Master_ventas[[#This Row],[Ext-Year]],2),"-",MID(Master_ventas[[#This Row],[Category]],1,1))</f>
        <v>TAB23-E</v>
      </c>
      <c r="N3323" t="str">
        <f>MID(Master_ventas[[#This Row],[ProdUpper]],1,3)</f>
        <v>TAB</v>
      </c>
      <c r="O3323" t="str">
        <f>UPPER(IF(Master_ventas[[#This Row],[Profit]]&gt;500,"High","Std"))</f>
        <v>HIGH</v>
      </c>
      <c r="P3323">
        <v>3322</v>
      </c>
    </row>
    <row r="3324" spans="1:16" x14ac:dyDescent="0.3">
      <c r="A3324" s="1">
        <v>44999</v>
      </c>
      <c r="B3324" t="s">
        <v>17</v>
      </c>
      <c r="C3324" t="s">
        <v>14</v>
      </c>
      <c r="D3324" t="s">
        <v>12</v>
      </c>
      <c r="E3324">
        <v>4</v>
      </c>
      <c r="F3324" s="3">
        <v>4692</v>
      </c>
      <c r="G3324" s="2">
        <v>409.07</v>
      </c>
      <c r="H3324">
        <f>Master_ventas[[#This Row],[Profit]]/Master_ventas[[#This Row],[Sales]]</f>
        <v>8.7184569479965904E-2</v>
      </c>
      <c r="I3324">
        <f ca="1">Referencia_Hoy-Master_ventas[[#This Row],[Order Date]]</f>
        <v>1324</v>
      </c>
      <c r="J3324" t="str">
        <f>UPPER(Master_ventas[[#This Row],[Product Name]])</f>
        <v>CAMERA</v>
      </c>
      <c r="K3324" t="str">
        <f>UPPER(Master_ventas[[#This Row],[Category]])</f>
        <v>ELECTRONICS</v>
      </c>
      <c r="L3324">
        <f>YEAR(Master_ventas[[#This Row],[Order Date]])</f>
        <v>2023</v>
      </c>
      <c r="M3324" t="str">
        <f>CONCATENATE(LEFT(Master_ventas[[#This Row],[ProdUpper]],3),RIGHT(Master_ventas[[#This Row],[Ext-Year]],2),"-",MID(Master_ventas[[#This Row],[Category]],1,1))</f>
        <v>CAM23-E</v>
      </c>
      <c r="N3324" t="str">
        <f>MID(Master_ventas[[#This Row],[ProdUpper]],1,3)</f>
        <v>CAM</v>
      </c>
      <c r="O3324" t="str">
        <f>UPPER(IF(Master_ventas[[#This Row],[Profit]]&gt;500,"High","Std"))</f>
        <v>STD</v>
      </c>
      <c r="P3324">
        <v>3323</v>
      </c>
    </row>
    <row r="3325" spans="1:16" x14ac:dyDescent="0.3">
      <c r="A3325" s="1">
        <v>45473</v>
      </c>
      <c r="B3325" t="s">
        <v>23</v>
      </c>
      <c r="C3325" t="s">
        <v>14</v>
      </c>
      <c r="D3325" t="s">
        <v>16</v>
      </c>
      <c r="E3325">
        <v>6</v>
      </c>
      <c r="F3325" s="3">
        <v>6234</v>
      </c>
      <c r="G3325" s="2">
        <v>1829.07</v>
      </c>
      <c r="H3325">
        <f>Master_ventas[[#This Row],[Profit]]/Master_ventas[[#This Row],[Sales]]</f>
        <v>0.29340230991337823</v>
      </c>
      <c r="I3325">
        <f ca="1">Referencia_Hoy-Master_ventas[[#This Row],[Order Date]]</f>
        <v>850</v>
      </c>
      <c r="J3325" t="str">
        <f>UPPER(Master_ventas[[#This Row],[Product Name]])</f>
        <v>LAPTOP</v>
      </c>
      <c r="K3325" t="str">
        <f>UPPER(Master_ventas[[#This Row],[Category]])</f>
        <v>ELECTRONICS</v>
      </c>
      <c r="L3325">
        <f>YEAR(Master_ventas[[#This Row],[Order Date]])</f>
        <v>2024</v>
      </c>
      <c r="M3325" t="str">
        <f>CONCATENATE(LEFT(Master_ventas[[#This Row],[ProdUpper]],3),RIGHT(Master_ventas[[#This Row],[Ext-Year]],2),"-",MID(Master_ventas[[#This Row],[Category]],1,1))</f>
        <v>LAP24-E</v>
      </c>
      <c r="N3325" t="str">
        <f>MID(Master_ventas[[#This Row],[ProdUpper]],1,3)</f>
        <v>LAP</v>
      </c>
      <c r="O3325" t="str">
        <f>UPPER(IF(Master_ventas[[#This Row],[Profit]]&gt;500,"High","Std"))</f>
        <v>HIGH</v>
      </c>
      <c r="P3325">
        <v>3324</v>
      </c>
    </row>
    <row r="3326" spans="1:16" x14ac:dyDescent="0.3">
      <c r="A3326" s="1">
        <v>45560</v>
      </c>
      <c r="B3326" t="s">
        <v>21</v>
      </c>
      <c r="C3326" t="s">
        <v>14</v>
      </c>
      <c r="D3326" t="s">
        <v>16</v>
      </c>
      <c r="E3326">
        <v>4</v>
      </c>
      <c r="F3326" s="3">
        <v>1852</v>
      </c>
      <c r="G3326" s="2">
        <v>535.07000000000005</v>
      </c>
      <c r="H3326">
        <f>Master_ventas[[#This Row],[Profit]]/Master_ventas[[#This Row],[Sales]]</f>
        <v>0.288914686825054</v>
      </c>
      <c r="I3326">
        <f ca="1">Referencia_Hoy-Master_ventas[[#This Row],[Order Date]]</f>
        <v>763</v>
      </c>
      <c r="J3326" t="str">
        <f>UPPER(Master_ventas[[#This Row],[Product Name]])</f>
        <v>SMARTPHONE</v>
      </c>
      <c r="K3326" t="str">
        <f>UPPER(Master_ventas[[#This Row],[Category]])</f>
        <v>ELECTRONICS</v>
      </c>
      <c r="L3326">
        <f>YEAR(Master_ventas[[#This Row],[Order Date]])</f>
        <v>2024</v>
      </c>
      <c r="M3326" t="str">
        <f>CONCATENATE(LEFT(Master_ventas[[#This Row],[ProdUpper]],3),RIGHT(Master_ventas[[#This Row],[Ext-Year]],2),"-",MID(Master_ventas[[#This Row],[Category]],1,1))</f>
        <v>SMA24-E</v>
      </c>
      <c r="N3326" t="str">
        <f>MID(Master_ventas[[#This Row],[ProdUpper]],1,3)</f>
        <v>SMA</v>
      </c>
      <c r="O3326" t="str">
        <f>UPPER(IF(Master_ventas[[#This Row],[Profit]]&gt;500,"High","Std"))</f>
        <v>HIGH</v>
      </c>
      <c r="P3326">
        <v>3325</v>
      </c>
    </row>
    <row r="3327" spans="1:16" x14ac:dyDescent="0.3">
      <c r="A3327" s="1">
        <v>44597</v>
      </c>
      <c r="B3327" t="s">
        <v>20</v>
      </c>
      <c r="C3327" t="s">
        <v>11</v>
      </c>
      <c r="D3327" t="s">
        <v>15</v>
      </c>
      <c r="E3327">
        <v>3</v>
      </c>
      <c r="F3327" s="3">
        <v>3075</v>
      </c>
      <c r="G3327" s="2">
        <v>804.06</v>
      </c>
      <c r="H3327">
        <f>Master_ventas[[#This Row],[Profit]]/Master_ventas[[#This Row],[Sales]]</f>
        <v>0.26148292682926827</v>
      </c>
      <c r="I3327">
        <f ca="1">Referencia_Hoy-Master_ventas[[#This Row],[Order Date]]</f>
        <v>1726</v>
      </c>
      <c r="J3327" t="str">
        <f>UPPER(Master_ventas[[#This Row],[Product Name]])</f>
        <v>MONITOR</v>
      </c>
      <c r="K3327" t="str">
        <f>UPPER(Master_ventas[[#This Row],[Category]])</f>
        <v>ACCESSORIES</v>
      </c>
      <c r="L3327">
        <f>YEAR(Master_ventas[[#This Row],[Order Date]])</f>
        <v>2022</v>
      </c>
      <c r="M3327" t="str">
        <f>CONCATENATE(LEFT(Master_ventas[[#This Row],[ProdUpper]],3),RIGHT(Master_ventas[[#This Row],[Ext-Year]],2),"-",MID(Master_ventas[[#This Row],[Category]],1,1))</f>
        <v>MON22-A</v>
      </c>
      <c r="N3327" t="str">
        <f>MID(Master_ventas[[#This Row],[ProdUpper]],1,3)</f>
        <v>MON</v>
      </c>
      <c r="O3327" t="str">
        <f>UPPER(IF(Master_ventas[[#This Row],[Profit]]&gt;500,"High","Std"))</f>
        <v>HIGH</v>
      </c>
      <c r="P3327">
        <v>3326</v>
      </c>
    </row>
    <row r="3328" spans="1:16" x14ac:dyDescent="0.3">
      <c r="A3328" s="1">
        <v>45223</v>
      </c>
      <c r="B3328" t="s">
        <v>7</v>
      </c>
      <c r="C3328" t="s">
        <v>8</v>
      </c>
      <c r="D3328" t="s">
        <v>9</v>
      </c>
      <c r="E3328">
        <v>5</v>
      </c>
      <c r="F3328" s="3">
        <v>370</v>
      </c>
      <c r="G3328" s="2">
        <v>92.45</v>
      </c>
      <c r="H3328">
        <f>Master_ventas[[#This Row],[Profit]]/Master_ventas[[#This Row],[Sales]]</f>
        <v>0.24986486486486487</v>
      </c>
      <c r="I3328">
        <f ca="1">Referencia_Hoy-Master_ventas[[#This Row],[Order Date]]</f>
        <v>1100</v>
      </c>
      <c r="J3328" t="str">
        <f>UPPER(Master_ventas[[#This Row],[Product Name]])</f>
        <v>PRINTER</v>
      </c>
      <c r="K3328" t="str">
        <f>UPPER(Master_ventas[[#This Row],[Category]])</f>
        <v>OFFICE</v>
      </c>
      <c r="L3328">
        <f>YEAR(Master_ventas[[#This Row],[Order Date]])</f>
        <v>2023</v>
      </c>
      <c r="M3328" t="str">
        <f>CONCATENATE(LEFT(Master_ventas[[#This Row],[ProdUpper]],3),RIGHT(Master_ventas[[#This Row],[Ext-Year]],2),"-",MID(Master_ventas[[#This Row],[Category]],1,1))</f>
        <v>PRI23-O</v>
      </c>
      <c r="N3328" t="str">
        <f>MID(Master_ventas[[#This Row],[ProdUpper]],1,3)</f>
        <v>PRI</v>
      </c>
      <c r="O3328" t="str">
        <f>UPPER(IF(Master_ventas[[#This Row],[Profit]]&gt;500,"High","Std"))</f>
        <v>STD</v>
      </c>
      <c r="P3328">
        <v>3327</v>
      </c>
    </row>
    <row r="3329" spans="1:16" x14ac:dyDescent="0.3">
      <c r="A3329" s="1">
        <v>45637</v>
      </c>
      <c r="B3329" t="s">
        <v>22</v>
      </c>
      <c r="C3329" t="s">
        <v>11</v>
      </c>
      <c r="D3329" t="s">
        <v>9</v>
      </c>
      <c r="E3329">
        <v>6</v>
      </c>
      <c r="F3329" s="3">
        <v>624</v>
      </c>
      <c r="G3329" s="2">
        <v>66.989999999999995</v>
      </c>
      <c r="H3329">
        <f>Master_ventas[[#This Row],[Profit]]/Master_ventas[[#This Row],[Sales]]</f>
        <v>0.10735576923076923</v>
      </c>
      <c r="I3329">
        <f ca="1">Referencia_Hoy-Master_ventas[[#This Row],[Order Date]]</f>
        <v>686</v>
      </c>
      <c r="J3329" t="str">
        <f>UPPER(Master_ventas[[#This Row],[Product Name]])</f>
        <v>KEYBOARD</v>
      </c>
      <c r="K3329" t="str">
        <f>UPPER(Master_ventas[[#This Row],[Category]])</f>
        <v>ACCESSORIES</v>
      </c>
      <c r="L3329">
        <f>YEAR(Master_ventas[[#This Row],[Order Date]])</f>
        <v>2024</v>
      </c>
      <c r="M3329" t="str">
        <f>CONCATENATE(LEFT(Master_ventas[[#This Row],[ProdUpper]],3),RIGHT(Master_ventas[[#This Row],[Ext-Year]],2),"-",MID(Master_ventas[[#This Row],[Category]],1,1))</f>
        <v>KEY24-A</v>
      </c>
      <c r="N3329" t="str">
        <f>MID(Master_ventas[[#This Row],[ProdUpper]],1,3)</f>
        <v>KEY</v>
      </c>
      <c r="O3329" t="str">
        <f>UPPER(IF(Master_ventas[[#This Row],[Profit]]&gt;500,"High","Std"))</f>
        <v>STD</v>
      </c>
      <c r="P3329">
        <v>3328</v>
      </c>
    </row>
    <row r="3330" spans="1:16" x14ac:dyDescent="0.3">
      <c r="A3330" s="1">
        <v>45120</v>
      </c>
      <c r="B3330" t="s">
        <v>19</v>
      </c>
      <c r="C3330" t="s">
        <v>14</v>
      </c>
      <c r="D3330" t="s">
        <v>15</v>
      </c>
      <c r="E3330">
        <v>2</v>
      </c>
      <c r="F3330" s="3">
        <v>1734</v>
      </c>
      <c r="G3330" s="2">
        <v>310.76</v>
      </c>
      <c r="H3330">
        <f>Master_ventas[[#This Row],[Profit]]/Master_ventas[[#This Row],[Sales]]</f>
        <v>0.17921568627450979</v>
      </c>
      <c r="I3330">
        <f ca="1">Referencia_Hoy-Master_ventas[[#This Row],[Order Date]]</f>
        <v>1203</v>
      </c>
      <c r="J3330" t="str">
        <f>UPPER(Master_ventas[[#This Row],[Product Name]])</f>
        <v>SMARTWATCH</v>
      </c>
      <c r="K3330" t="str">
        <f>UPPER(Master_ventas[[#This Row],[Category]])</f>
        <v>ELECTRONICS</v>
      </c>
      <c r="L3330">
        <f>YEAR(Master_ventas[[#This Row],[Order Date]])</f>
        <v>2023</v>
      </c>
      <c r="M3330" t="str">
        <f>CONCATENATE(LEFT(Master_ventas[[#This Row],[ProdUpper]],3),RIGHT(Master_ventas[[#This Row],[Ext-Year]],2),"-",MID(Master_ventas[[#This Row],[Category]],1,1))</f>
        <v>SMA23-E</v>
      </c>
      <c r="N3330" t="str">
        <f>MID(Master_ventas[[#This Row],[ProdUpper]],1,3)</f>
        <v>SMA</v>
      </c>
      <c r="O3330" t="str">
        <f>UPPER(IF(Master_ventas[[#This Row],[Profit]]&gt;500,"High","Std"))</f>
        <v>STD</v>
      </c>
      <c r="P3330">
        <v>3329</v>
      </c>
    </row>
    <row r="3331" spans="1:16" x14ac:dyDescent="0.3">
      <c r="A3331" s="1">
        <v>45051</v>
      </c>
      <c r="B3331" t="s">
        <v>7</v>
      </c>
      <c r="C3331" t="s">
        <v>8</v>
      </c>
      <c r="D3331" t="s">
        <v>16</v>
      </c>
      <c r="E3331">
        <v>9</v>
      </c>
      <c r="F3331" s="3">
        <v>2268</v>
      </c>
      <c r="G3331" s="2">
        <v>361.62</v>
      </c>
      <c r="H3331">
        <f>Master_ventas[[#This Row],[Profit]]/Master_ventas[[#This Row],[Sales]]</f>
        <v>0.15944444444444444</v>
      </c>
      <c r="I3331">
        <f ca="1">Referencia_Hoy-Master_ventas[[#This Row],[Order Date]]</f>
        <v>1272</v>
      </c>
      <c r="J3331" t="str">
        <f>UPPER(Master_ventas[[#This Row],[Product Name]])</f>
        <v>PRINTER</v>
      </c>
      <c r="K3331" t="str">
        <f>UPPER(Master_ventas[[#This Row],[Category]])</f>
        <v>OFFICE</v>
      </c>
      <c r="L3331">
        <f>YEAR(Master_ventas[[#This Row],[Order Date]])</f>
        <v>2023</v>
      </c>
      <c r="M3331" t="str">
        <f>CONCATENATE(LEFT(Master_ventas[[#This Row],[ProdUpper]],3),RIGHT(Master_ventas[[#This Row],[Ext-Year]],2),"-",MID(Master_ventas[[#This Row],[Category]],1,1))</f>
        <v>PRI23-O</v>
      </c>
      <c r="N3331" t="str">
        <f>MID(Master_ventas[[#This Row],[ProdUpper]],1,3)</f>
        <v>PRI</v>
      </c>
      <c r="O3331" t="str">
        <f>UPPER(IF(Master_ventas[[#This Row],[Profit]]&gt;500,"High","Std"))</f>
        <v>STD</v>
      </c>
      <c r="P3331">
        <v>3330</v>
      </c>
    </row>
    <row r="3332" spans="1:16" x14ac:dyDescent="0.3">
      <c r="A3332" s="1">
        <v>44804</v>
      </c>
      <c r="B3332" t="s">
        <v>17</v>
      </c>
      <c r="C3332" t="s">
        <v>14</v>
      </c>
      <c r="D3332" t="s">
        <v>12</v>
      </c>
      <c r="E3332">
        <v>5</v>
      </c>
      <c r="F3332" s="3">
        <v>3670</v>
      </c>
      <c r="G3332" s="2">
        <v>924.95</v>
      </c>
      <c r="H3332">
        <f>Master_ventas[[#This Row],[Profit]]/Master_ventas[[#This Row],[Sales]]</f>
        <v>0.25202997275204359</v>
      </c>
      <c r="I3332">
        <f ca="1">Referencia_Hoy-Master_ventas[[#This Row],[Order Date]]</f>
        <v>1519</v>
      </c>
      <c r="J3332" t="str">
        <f>UPPER(Master_ventas[[#This Row],[Product Name]])</f>
        <v>CAMERA</v>
      </c>
      <c r="K3332" t="str">
        <f>UPPER(Master_ventas[[#This Row],[Category]])</f>
        <v>ELECTRONICS</v>
      </c>
      <c r="L3332">
        <f>YEAR(Master_ventas[[#This Row],[Order Date]])</f>
        <v>2022</v>
      </c>
      <c r="M3332" t="str">
        <f>CONCATENATE(LEFT(Master_ventas[[#This Row],[ProdUpper]],3),RIGHT(Master_ventas[[#This Row],[Ext-Year]],2),"-",MID(Master_ventas[[#This Row],[Category]],1,1))</f>
        <v>CAM22-E</v>
      </c>
      <c r="N3332" t="str">
        <f>MID(Master_ventas[[#This Row],[ProdUpper]],1,3)</f>
        <v>CAM</v>
      </c>
      <c r="O3332" t="str">
        <f>UPPER(IF(Master_ventas[[#This Row],[Profit]]&gt;500,"High","Std"))</f>
        <v>HIGH</v>
      </c>
      <c r="P3332">
        <v>3331</v>
      </c>
    </row>
    <row r="3333" spans="1:16" x14ac:dyDescent="0.3">
      <c r="A3333" s="1">
        <v>45520</v>
      </c>
      <c r="B3333" t="s">
        <v>19</v>
      </c>
      <c r="C3333" t="s">
        <v>14</v>
      </c>
      <c r="D3333" t="s">
        <v>9</v>
      </c>
      <c r="E3333">
        <v>7</v>
      </c>
      <c r="F3333" s="3">
        <v>4634</v>
      </c>
      <c r="G3333" s="2">
        <v>1358.44</v>
      </c>
      <c r="H3333">
        <f>Master_ventas[[#This Row],[Profit]]/Master_ventas[[#This Row],[Sales]]</f>
        <v>0.29314630988347001</v>
      </c>
      <c r="I3333">
        <f ca="1">Referencia_Hoy-Master_ventas[[#This Row],[Order Date]]</f>
        <v>803</v>
      </c>
      <c r="J3333" t="str">
        <f>UPPER(Master_ventas[[#This Row],[Product Name]])</f>
        <v>SMARTWATCH</v>
      </c>
      <c r="K3333" t="str">
        <f>UPPER(Master_ventas[[#This Row],[Category]])</f>
        <v>ELECTRONICS</v>
      </c>
      <c r="L3333">
        <f>YEAR(Master_ventas[[#This Row],[Order Date]])</f>
        <v>2024</v>
      </c>
      <c r="M3333" t="str">
        <f>CONCATENATE(LEFT(Master_ventas[[#This Row],[ProdUpper]],3),RIGHT(Master_ventas[[#This Row],[Ext-Year]],2),"-",MID(Master_ventas[[#This Row],[Category]],1,1))</f>
        <v>SMA24-E</v>
      </c>
      <c r="N3333" t="str">
        <f>MID(Master_ventas[[#This Row],[ProdUpper]],1,3)</f>
        <v>SMA</v>
      </c>
      <c r="O3333" t="str">
        <f>UPPER(IF(Master_ventas[[#This Row],[Profit]]&gt;500,"High","Std"))</f>
        <v>HIGH</v>
      </c>
      <c r="P3333">
        <v>3332</v>
      </c>
    </row>
    <row r="3334" spans="1:16" x14ac:dyDescent="0.3">
      <c r="A3334" s="1">
        <v>45311</v>
      </c>
      <c r="B3334" t="s">
        <v>18</v>
      </c>
      <c r="C3334" t="s">
        <v>11</v>
      </c>
      <c r="D3334" t="s">
        <v>9</v>
      </c>
      <c r="E3334">
        <v>9</v>
      </c>
      <c r="F3334" s="3">
        <v>1440</v>
      </c>
      <c r="G3334" s="2">
        <v>94.41</v>
      </c>
      <c r="H3334">
        <f>Master_ventas[[#This Row],[Profit]]/Master_ventas[[#This Row],[Sales]]</f>
        <v>6.5562499999999996E-2</v>
      </c>
      <c r="I3334">
        <f ca="1">Referencia_Hoy-Master_ventas[[#This Row],[Order Date]]</f>
        <v>1012</v>
      </c>
      <c r="J3334" t="str">
        <f>UPPER(Master_ventas[[#This Row],[Product Name]])</f>
        <v>HEADPHONES</v>
      </c>
      <c r="K3334" t="str">
        <f>UPPER(Master_ventas[[#This Row],[Category]])</f>
        <v>ACCESSORIES</v>
      </c>
      <c r="L3334">
        <f>YEAR(Master_ventas[[#This Row],[Order Date]])</f>
        <v>2024</v>
      </c>
      <c r="M3334" t="str">
        <f>CONCATENATE(LEFT(Master_ventas[[#This Row],[ProdUpper]],3),RIGHT(Master_ventas[[#This Row],[Ext-Year]],2),"-",MID(Master_ventas[[#This Row],[Category]],1,1))</f>
        <v>HEA24-A</v>
      </c>
      <c r="N3334" t="str">
        <f>MID(Master_ventas[[#This Row],[ProdUpper]],1,3)</f>
        <v>HEA</v>
      </c>
      <c r="O3334" t="str">
        <f>UPPER(IF(Master_ventas[[#This Row],[Profit]]&gt;500,"High","Std"))</f>
        <v>STD</v>
      </c>
      <c r="P3334">
        <v>3333</v>
      </c>
    </row>
    <row r="3335" spans="1:16" x14ac:dyDescent="0.3">
      <c r="A3335" s="1">
        <v>45027</v>
      </c>
      <c r="B3335" t="s">
        <v>23</v>
      </c>
      <c r="C3335" t="s">
        <v>14</v>
      </c>
      <c r="D3335" t="s">
        <v>16</v>
      </c>
      <c r="E3335">
        <v>6</v>
      </c>
      <c r="F3335" s="3">
        <v>5136</v>
      </c>
      <c r="G3335" s="2">
        <v>1225.4000000000001</v>
      </c>
      <c r="H3335">
        <f>Master_ventas[[#This Row],[Profit]]/Master_ventas[[#This Row],[Sales]]</f>
        <v>0.23859034267912774</v>
      </c>
      <c r="I3335">
        <f ca="1">Referencia_Hoy-Master_ventas[[#This Row],[Order Date]]</f>
        <v>1296</v>
      </c>
      <c r="J3335" t="str">
        <f>UPPER(Master_ventas[[#This Row],[Product Name]])</f>
        <v>LAPTOP</v>
      </c>
      <c r="K3335" t="str">
        <f>UPPER(Master_ventas[[#This Row],[Category]])</f>
        <v>ELECTRONICS</v>
      </c>
      <c r="L3335">
        <f>YEAR(Master_ventas[[#This Row],[Order Date]])</f>
        <v>2023</v>
      </c>
      <c r="M3335" t="str">
        <f>CONCATENATE(LEFT(Master_ventas[[#This Row],[ProdUpper]],3),RIGHT(Master_ventas[[#This Row],[Ext-Year]],2),"-",MID(Master_ventas[[#This Row],[Category]],1,1))</f>
        <v>LAP23-E</v>
      </c>
      <c r="N3335" t="str">
        <f>MID(Master_ventas[[#This Row],[ProdUpper]],1,3)</f>
        <v>LAP</v>
      </c>
      <c r="O3335" t="str">
        <f>UPPER(IF(Master_ventas[[#This Row],[Profit]]&gt;500,"High","Std"))</f>
        <v>HIGH</v>
      </c>
      <c r="P3335">
        <v>3334</v>
      </c>
    </row>
    <row r="3336" spans="1:16" x14ac:dyDescent="0.3">
      <c r="A3336" s="1">
        <v>45555</v>
      </c>
      <c r="B3336" t="s">
        <v>21</v>
      </c>
      <c r="C3336" t="s">
        <v>14</v>
      </c>
      <c r="D3336" t="s">
        <v>12</v>
      </c>
      <c r="E3336">
        <v>1</v>
      </c>
      <c r="F3336" s="3">
        <v>166</v>
      </c>
      <c r="G3336" s="2">
        <v>31.72</v>
      </c>
      <c r="H3336">
        <f>Master_ventas[[#This Row],[Profit]]/Master_ventas[[#This Row],[Sales]]</f>
        <v>0.19108433734939759</v>
      </c>
      <c r="I3336">
        <f ca="1">Referencia_Hoy-Master_ventas[[#This Row],[Order Date]]</f>
        <v>768</v>
      </c>
      <c r="J3336" t="str">
        <f>UPPER(Master_ventas[[#This Row],[Product Name]])</f>
        <v>SMARTPHONE</v>
      </c>
      <c r="K3336" t="str">
        <f>UPPER(Master_ventas[[#This Row],[Category]])</f>
        <v>ELECTRONICS</v>
      </c>
      <c r="L3336">
        <f>YEAR(Master_ventas[[#This Row],[Order Date]])</f>
        <v>2024</v>
      </c>
      <c r="M3336" t="str">
        <f>CONCATENATE(LEFT(Master_ventas[[#This Row],[ProdUpper]],3),RIGHT(Master_ventas[[#This Row],[Ext-Year]],2),"-",MID(Master_ventas[[#This Row],[Category]],1,1))</f>
        <v>SMA24-E</v>
      </c>
      <c r="N3336" t="str">
        <f>MID(Master_ventas[[#This Row],[ProdUpper]],1,3)</f>
        <v>SMA</v>
      </c>
      <c r="O3336" t="str">
        <f>UPPER(IF(Master_ventas[[#This Row],[Profit]]&gt;500,"High","Std"))</f>
        <v>STD</v>
      </c>
      <c r="P3336">
        <v>3335</v>
      </c>
    </row>
    <row r="3337" spans="1:16" x14ac:dyDescent="0.3">
      <c r="A3337" s="1">
        <v>44595</v>
      </c>
      <c r="B3337" t="s">
        <v>22</v>
      </c>
      <c r="C3337" t="s">
        <v>11</v>
      </c>
      <c r="D3337" t="s">
        <v>12</v>
      </c>
      <c r="E3337">
        <v>3</v>
      </c>
      <c r="F3337" s="3">
        <v>1422</v>
      </c>
      <c r="G3337" s="2">
        <v>328.98</v>
      </c>
      <c r="H3337">
        <f>Master_ventas[[#This Row],[Profit]]/Master_ventas[[#This Row],[Sales]]</f>
        <v>0.23135021097046415</v>
      </c>
      <c r="I3337">
        <f ca="1">Referencia_Hoy-Master_ventas[[#This Row],[Order Date]]</f>
        <v>1728</v>
      </c>
      <c r="J3337" t="str">
        <f>UPPER(Master_ventas[[#This Row],[Product Name]])</f>
        <v>KEYBOARD</v>
      </c>
      <c r="K3337" t="str">
        <f>UPPER(Master_ventas[[#This Row],[Category]])</f>
        <v>ACCESSORIES</v>
      </c>
      <c r="L3337">
        <f>YEAR(Master_ventas[[#This Row],[Order Date]])</f>
        <v>2022</v>
      </c>
      <c r="M3337" t="str">
        <f>CONCATENATE(LEFT(Master_ventas[[#This Row],[ProdUpper]],3),RIGHT(Master_ventas[[#This Row],[Ext-Year]],2),"-",MID(Master_ventas[[#This Row],[Category]],1,1))</f>
        <v>KEY22-A</v>
      </c>
      <c r="N3337" t="str">
        <f>MID(Master_ventas[[#This Row],[ProdUpper]],1,3)</f>
        <v>KEY</v>
      </c>
      <c r="O3337" t="str">
        <f>UPPER(IF(Master_ventas[[#This Row],[Profit]]&gt;500,"High","Std"))</f>
        <v>STD</v>
      </c>
      <c r="P3337">
        <v>3336</v>
      </c>
    </row>
    <row r="3338" spans="1:16" x14ac:dyDescent="0.3">
      <c r="A3338" s="1">
        <v>45180</v>
      </c>
      <c r="B3338" t="s">
        <v>18</v>
      </c>
      <c r="C3338" t="s">
        <v>11</v>
      </c>
      <c r="D3338" t="s">
        <v>12</v>
      </c>
      <c r="E3338">
        <v>8</v>
      </c>
      <c r="F3338" s="3">
        <v>1832</v>
      </c>
      <c r="G3338" s="2">
        <v>532.97</v>
      </c>
      <c r="H3338">
        <f>Master_ventas[[#This Row],[Profit]]/Master_ventas[[#This Row],[Sales]]</f>
        <v>0.29092248908296947</v>
      </c>
      <c r="I3338">
        <f ca="1">Referencia_Hoy-Master_ventas[[#This Row],[Order Date]]</f>
        <v>1143</v>
      </c>
      <c r="J3338" t="str">
        <f>UPPER(Master_ventas[[#This Row],[Product Name]])</f>
        <v>HEADPHONES</v>
      </c>
      <c r="K3338" t="str">
        <f>UPPER(Master_ventas[[#This Row],[Category]])</f>
        <v>ACCESSORIES</v>
      </c>
      <c r="L3338">
        <f>YEAR(Master_ventas[[#This Row],[Order Date]])</f>
        <v>2023</v>
      </c>
      <c r="M3338" t="str">
        <f>CONCATENATE(LEFT(Master_ventas[[#This Row],[ProdUpper]],3),RIGHT(Master_ventas[[#This Row],[Ext-Year]],2),"-",MID(Master_ventas[[#This Row],[Category]],1,1))</f>
        <v>HEA23-A</v>
      </c>
      <c r="N3338" t="str">
        <f>MID(Master_ventas[[#This Row],[ProdUpper]],1,3)</f>
        <v>HEA</v>
      </c>
      <c r="O3338" t="str">
        <f>UPPER(IF(Master_ventas[[#This Row],[Profit]]&gt;500,"High","Std"))</f>
        <v>HIGH</v>
      </c>
      <c r="P3338">
        <v>3337</v>
      </c>
    </row>
    <row r="3339" spans="1:16" x14ac:dyDescent="0.3">
      <c r="A3339" s="1">
        <v>44863</v>
      </c>
      <c r="B3339" t="s">
        <v>7</v>
      </c>
      <c r="C3339" t="s">
        <v>8</v>
      </c>
      <c r="D3339" t="s">
        <v>15</v>
      </c>
      <c r="E3339">
        <v>1</v>
      </c>
      <c r="F3339" s="3">
        <v>668</v>
      </c>
      <c r="G3339" s="2">
        <v>94.08</v>
      </c>
      <c r="H3339">
        <f>Master_ventas[[#This Row],[Profit]]/Master_ventas[[#This Row],[Sales]]</f>
        <v>0.14083832335329341</v>
      </c>
      <c r="I3339">
        <f ca="1">Referencia_Hoy-Master_ventas[[#This Row],[Order Date]]</f>
        <v>1460</v>
      </c>
      <c r="J3339" t="str">
        <f>UPPER(Master_ventas[[#This Row],[Product Name]])</f>
        <v>PRINTER</v>
      </c>
      <c r="K3339" t="str">
        <f>UPPER(Master_ventas[[#This Row],[Category]])</f>
        <v>OFFICE</v>
      </c>
      <c r="L3339">
        <f>YEAR(Master_ventas[[#This Row],[Order Date]])</f>
        <v>2022</v>
      </c>
      <c r="M3339" t="str">
        <f>CONCATENATE(LEFT(Master_ventas[[#This Row],[ProdUpper]],3),RIGHT(Master_ventas[[#This Row],[Ext-Year]],2),"-",MID(Master_ventas[[#This Row],[Category]],1,1))</f>
        <v>PRI22-O</v>
      </c>
      <c r="N3339" t="str">
        <f>MID(Master_ventas[[#This Row],[ProdUpper]],1,3)</f>
        <v>PRI</v>
      </c>
      <c r="O3339" t="str">
        <f>UPPER(IF(Master_ventas[[#This Row],[Profit]]&gt;500,"High","Std"))</f>
        <v>STD</v>
      </c>
      <c r="P3339">
        <v>3338</v>
      </c>
    </row>
    <row r="3340" spans="1:16" x14ac:dyDescent="0.3">
      <c r="A3340" s="1">
        <v>45648</v>
      </c>
      <c r="B3340" t="s">
        <v>17</v>
      </c>
      <c r="C3340" t="s">
        <v>14</v>
      </c>
      <c r="D3340" t="s">
        <v>16</v>
      </c>
      <c r="E3340">
        <v>6</v>
      </c>
      <c r="F3340" s="3">
        <v>1272</v>
      </c>
      <c r="G3340" s="2">
        <v>336.3</v>
      </c>
      <c r="H3340">
        <f>Master_ventas[[#This Row],[Profit]]/Master_ventas[[#This Row],[Sales]]</f>
        <v>0.2643867924528302</v>
      </c>
      <c r="I3340">
        <f ca="1">Referencia_Hoy-Master_ventas[[#This Row],[Order Date]]</f>
        <v>675</v>
      </c>
      <c r="J3340" t="str">
        <f>UPPER(Master_ventas[[#This Row],[Product Name]])</f>
        <v>CAMERA</v>
      </c>
      <c r="K3340" t="str">
        <f>UPPER(Master_ventas[[#This Row],[Category]])</f>
        <v>ELECTRONICS</v>
      </c>
      <c r="L3340">
        <f>YEAR(Master_ventas[[#This Row],[Order Date]])</f>
        <v>2024</v>
      </c>
      <c r="M3340" t="str">
        <f>CONCATENATE(LEFT(Master_ventas[[#This Row],[ProdUpper]],3),RIGHT(Master_ventas[[#This Row],[Ext-Year]],2),"-",MID(Master_ventas[[#This Row],[Category]],1,1))</f>
        <v>CAM24-E</v>
      </c>
      <c r="N3340" t="str">
        <f>MID(Master_ventas[[#This Row],[ProdUpper]],1,3)</f>
        <v>CAM</v>
      </c>
      <c r="O3340" t="str">
        <f>UPPER(IF(Master_ventas[[#This Row],[Profit]]&gt;500,"High","Std"))</f>
        <v>STD</v>
      </c>
      <c r="P3340">
        <v>3339</v>
      </c>
    </row>
    <row r="3341" spans="1:16" x14ac:dyDescent="0.3">
      <c r="A3341" s="1">
        <v>45103</v>
      </c>
      <c r="B3341" t="s">
        <v>22</v>
      </c>
      <c r="C3341" t="s">
        <v>11</v>
      </c>
      <c r="D3341" t="s">
        <v>9</v>
      </c>
      <c r="E3341">
        <v>8</v>
      </c>
      <c r="F3341" s="3">
        <v>984</v>
      </c>
      <c r="G3341" s="2">
        <v>72.540000000000006</v>
      </c>
      <c r="H3341">
        <f>Master_ventas[[#This Row],[Profit]]/Master_ventas[[#This Row],[Sales]]</f>
        <v>7.3719512195121961E-2</v>
      </c>
      <c r="I3341">
        <f ca="1">Referencia_Hoy-Master_ventas[[#This Row],[Order Date]]</f>
        <v>1220</v>
      </c>
      <c r="J3341" t="str">
        <f>UPPER(Master_ventas[[#This Row],[Product Name]])</f>
        <v>KEYBOARD</v>
      </c>
      <c r="K3341" t="str">
        <f>UPPER(Master_ventas[[#This Row],[Category]])</f>
        <v>ACCESSORIES</v>
      </c>
      <c r="L3341">
        <f>YEAR(Master_ventas[[#This Row],[Order Date]])</f>
        <v>2023</v>
      </c>
      <c r="M3341" t="str">
        <f>CONCATENATE(LEFT(Master_ventas[[#This Row],[ProdUpper]],3),RIGHT(Master_ventas[[#This Row],[Ext-Year]],2),"-",MID(Master_ventas[[#This Row],[Category]],1,1))</f>
        <v>KEY23-A</v>
      </c>
      <c r="N3341" t="str">
        <f>MID(Master_ventas[[#This Row],[ProdUpper]],1,3)</f>
        <v>KEY</v>
      </c>
      <c r="O3341" t="str">
        <f>UPPER(IF(Master_ventas[[#This Row],[Profit]]&gt;500,"High","Std"))</f>
        <v>STD</v>
      </c>
      <c r="P3341">
        <v>3340</v>
      </c>
    </row>
    <row r="3342" spans="1:16" x14ac:dyDescent="0.3">
      <c r="A3342" s="1">
        <v>45498</v>
      </c>
      <c r="B3342" t="s">
        <v>7</v>
      </c>
      <c r="C3342" t="s">
        <v>8</v>
      </c>
      <c r="D3342" t="s">
        <v>15</v>
      </c>
      <c r="E3342">
        <v>7</v>
      </c>
      <c r="F3342" s="3">
        <v>7896</v>
      </c>
      <c r="G3342" s="2">
        <v>484.76</v>
      </c>
      <c r="H3342">
        <f>Master_ventas[[#This Row],[Profit]]/Master_ventas[[#This Row],[Sales]]</f>
        <v>6.1393110435663624E-2</v>
      </c>
      <c r="I3342">
        <f ca="1">Referencia_Hoy-Master_ventas[[#This Row],[Order Date]]</f>
        <v>825</v>
      </c>
      <c r="J3342" t="str">
        <f>UPPER(Master_ventas[[#This Row],[Product Name]])</f>
        <v>PRINTER</v>
      </c>
      <c r="K3342" t="str">
        <f>UPPER(Master_ventas[[#This Row],[Category]])</f>
        <v>OFFICE</v>
      </c>
      <c r="L3342">
        <f>YEAR(Master_ventas[[#This Row],[Order Date]])</f>
        <v>2024</v>
      </c>
      <c r="M3342" t="str">
        <f>CONCATENATE(LEFT(Master_ventas[[#This Row],[ProdUpper]],3),RIGHT(Master_ventas[[#This Row],[Ext-Year]],2),"-",MID(Master_ventas[[#This Row],[Category]],1,1))</f>
        <v>PRI24-O</v>
      </c>
      <c r="N3342" t="str">
        <f>MID(Master_ventas[[#This Row],[ProdUpper]],1,3)</f>
        <v>PRI</v>
      </c>
      <c r="O3342" t="str">
        <f>UPPER(IF(Master_ventas[[#This Row],[Profit]]&gt;500,"High","Std"))</f>
        <v>STD</v>
      </c>
      <c r="P3342">
        <v>3341</v>
      </c>
    </row>
    <row r="3343" spans="1:16" x14ac:dyDescent="0.3">
      <c r="A3343" s="1">
        <v>44877</v>
      </c>
      <c r="B3343" t="s">
        <v>21</v>
      </c>
      <c r="C3343" t="s">
        <v>14</v>
      </c>
      <c r="D3343" t="s">
        <v>9</v>
      </c>
      <c r="E3343">
        <v>1</v>
      </c>
      <c r="F3343" s="3">
        <v>636</v>
      </c>
      <c r="G3343" s="2">
        <v>42.4</v>
      </c>
      <c r="H3343">
        <f>Master_ventas[[#This Row],[Profit]]/Master_ventas[[#This Row],[Sales]]</f>
        <v>6.6666666666666666E-2</v>
      </c>
      <c r="I3343">
        <f ca="1">Referencia_Hoy-Master_ventas[[#This Row],[Order Date]]</f>
        <v>1446</v>
      </c>
      <c r="J3343" t="str">
        <f>UPPER(Master_ventas[[#This Row],[Product Name]])</f>
        <v>SMARTPHONE</v>
      </c>
      <c r="K3343" t="str">
        <f>UPPER(Master_ventas[[#This Row],[Category]])</f>
        <v>ELECTRONICS</v>
      </c>
      <c r="L3343">
        <f>YEAR(Master_ventas[[#This Row],[Order Date]])</f>
        <v>2022</v>
      </c>
      <c r="M3343" t="str">
        <f>CONCATENATE(LEFT(Master_ventas[[#This Row],[ProdUpper]],3),RIGHT(Master_ventas[[#This Row],[Ext-Year]],2),"-",MID(Master_ventas[[#This Row],[Category]],1,1))</f>
        <v>SMA22-E</v>
      </c>
      <c r="N3343" t="str">
        <f>MID(Master_ventas[[#This Row],[ProdUpper]],1,3)</f>
        <v>SMA</v>
      </c>
      <c r="O3343" t="str">
        <f>UPPER(IF(Master_ventas[[#This Row],[Profit]]&gt;500,"High","Std"))</f>
        <v>STD</v>
      </c>
      <c r="P3343">
        <v>3342</v>
      </c>
    </row>
    <row r="3344" spans="1:16" x14ac:dyDescent="0.3">
      <c r="A3344" s="1">
        <v>45143</v>
      </c>
      <c r="B3344" t="s">
        <v>23</v>
      </c>
      <c r="C3344" t="s">
        <v>14</v>
      </c>
      <c r="D3344" t="s">
        <v>9</v>
      </c>
      <c r="E3344">
        <v>3</v>
      </c>
      <c r="F3344" s="3">
        <v>2031</v>
      </c>
      <c r="G3344" s="2">
        <v>450.23</v>
      </c>
      <c r="H3344">
        <f>Master_ventas[[#This Row],[Profit]]/Master_ventas[[#This Row],[Sales]]</f>
        <v>0.22167897587395372</v>
      </c>
      <c r="I3344">
        <f ca="1">Referencia_Hoy-Master_ventas[[#This Row],[Order Date]]</f>
        <v>1180</v>
      </c>
      <c r="J3344" t="str">
        <f>UPPER(Master_ventas[[#This Row],[Product Name]])</f>
        <v>LAPTOP</v>
      </c>
      <c r="K3344" t="str">
        <f>UPPER(Master_ventas[[#This Row],[Category]])</f>
        <v>ELECTRONICS</v>
      </c>
      <c r="L3344">
        <f>YEAR(Master_ventas[[#This Row],[Order Date]])</f>
        <v>2023</v>
      </c>
      <c r="M3344" t="str">
        <f>CONCATENATE(LEFT(Master_ventas[[#This Row],[ProdUpper]],3),RIGHT(Master_ventas[[#This Row],[Ext-Year]],2),"-",MID(Master_ventas[[#This Row],[Category]],1,1))</f>
        <v>LAP23-E</v>
      </c>
      <c r="N3344" t="str">
        <f>MID(Master_ventas[[#This Row],[ProdUpper]],1,3)</f>
        <v>LAP</v>
      </c>
      <c r="O3344" t="str">
        <f>UPPER(IF(Master_ventas[[#This Row],[Profit]]&gt;500,"High","Std"))</f>
        <v>STD</v>
      </c>
      <c r="P3344">
        <v>3343</v>
      </c>
    </row>
    <row r="3345" spans="1:16" x14ac:dyDescent="0.3">
      <c r="A3345" s="1">
        <v>44615</v>
      </c>
      <c r="B3345" t="s">
        <v>10</v>
      </c>
      <c r="C3345" t="s">
        <v>11</v>
      </c>
      <c r="D3345" t="s">
        <v>16</v>
      </c>
      <c r="E3345">
        <v>9</v>
      </c>
      <c r="F3345" s="3">
        <v>3186</v>
      </c>
      <c r="G3345" s="2">
        <v>483.22</v>
      </c>
      <c r="H3345">
        <f>Master_ventas[[#This Row],[Profit]]/Master_ventas[[#This Row],[Sales]]</f>
        <v>0.15166980539861896</v>
      </c>
      <c r="I3345">
        <f ca="1">Referencia_Hoy-Master_ventas[[#This Row],[Order Date]]</f>
        <v>1708</v>
      </c>
      <c r="J3345" t="str">
        <f>UPPER(Master_ventas[[#This Row],[Product Name]])</f>
        <v>MOUSE</v>
      </c>
      <c r="K3345" t="str">
        <f>UPPER(Master_ventas[[#This Row],[Category]])</f>
        <v>ACCESSORIES</v>
      </c>
      <c r="L3345">
        <f>YEAR(Master_ventas[[#This Row],[Order Date]])</f>
        <v>2022</v>
      </c>
      <c r="M3345" t="str">
        <f>CONCATENATE(LEFT(Master_ventas[[#This Row],[ProdUpper]],3),RIGHT(Master_ventas[[#This Row],[Ext-Year]],2),"-",MID(Master_ventas[[#This Row],[Category]],1,1))</f>
        <v>MOU22-A</v>
      </c>
      <c r="N3345" t="str">
        <f>MID(Master_ventas[[#This Row],[ProdUpper]],1,3)</f>
        <v>MOU</v>
      </c>
      <c r="O3345" t="str">
        <f>UPPER(IF(Master_ventas[[#This Row],[Profit]]&gt;500,"High","Std"))</f>
        <v>STD</v>
      </c>
      <c r="P3345">
        <v>3344</v>
      </c>
    </row>
    <row r="3346" spans="1:16" x14ac:dyDescent="0.3">
      <c r="A3346" s="1">
        <v>44687</v>
      </c>
      <c r="B3346" t="s">
        <v>18</v>
      </c>
      <c r="C3346" t="s">
        <v>11</v>
      </c>
      <c r="D3346" t="s">
        <v>15</v>
      </c>
      <c r="E3346">
        <v>1</v>
      </c>
      <c r="F3346" s="3">
        <v>134</v>
      </c>
      <c r="G3346" s="2">
        <v>33.119999999999997</v>
      </c>
      <c r="H3346">
        <f>Master_ventas[[#This Row],[Profit]]/Master_ventas[[#This Row],[Sales]]</f>
        <v>0.2471641791044776</v>
      </c>
      <c r="I3346">
        <f ca="1">Referencia_Hoy-Master_ventas[[#This Row],[Order Date]]</f>
        <v>1636</v>
      </c>
      <c r="J3346" t="str">
        <f>UPPER(Master_ventas[[#This Row],[Product Name]])</f>
        <v>HEADPHONES</v>
      </c>
      <c r="K3346" t="str">
        <f>UPPER(Master_ventas[[#This Row],[Category]])</f>
        <v>ACCESSORIES</v>
      </c>
      <c r="L3346">
        <f>YEAR(Master_ventas[[#This Row],[Order Date]])</f>
        <v>2022</v>
      </c>
      <c r="M3346" t="str">
        <f>CONCATENATE(LEFT(Master_ventas[[#This Row],[ProdUpper]],3),RIGHT(Master_ventas[[#This Row],[Ext-Year]],2),"-",MID(Master_ventas[[#This Row],[Category]],1,1))</f>
        <v>HEA22-A</v>
      </c>
      <c r="N3346" t="str">
        <f>MID(Master_ventas[[#This Row],[ProdUpper]],1,3)</f>
        <v>HEA</v>
      </c>
      <c r="O3346" t="str">
        <f>UPPER(IF(Master_ventas[[#This Row],[Profit]]&gt;500,"High","Std"))</f>
        <v>STD</v>
      </c>
      <c r="P3346">
        <v>3345</v>
      </c>
    </row>
    <row r="3347" spans="1:16" x14ac:dyDescent="0.3">
      <c r="A3347" s="1">
        <v>45409</v>
      </c>
      <c r="B3347" t="s">
        <v>13</v>
      </c>
      <c r="C3347" t="s">
        <v>14</v>
      </c>
      <c r="D3347" t="s">
        <v>15</v>
      </c>
      <c r="E3347">
        <v>5</v>
      </c>
      <c r="F3347" s="3">
        <v>1765</v>
      </c>
      <c r="G3347" s="2">
        <v>347.42</v>
      </c>
      <c r="H3347">
        <f>Master_ventas[[#This Row],[Profit]]/Master_ventas[[#This Row],[Sales]]</f>
        <v>0.19683852691218132</v>
      </c>
      <c r="I3347">
        <f ca="1">Referencia_Hoy-Master_ventas[[#This Row],[Order Date]]</f>
        <v>914</v>
      </c>
      <c r="J3347" t="str">
        <f>UPPER(Master_ventas[[#This Row],[Product Name]])</f>
        <v>TABLET</v>
      </c>
      <c r="K3347" t="str">
        <f>UPPER(Master_ventas[[#This Row],[Category]])</f>
        <v>ELECTRONICS</v>
      </c>
      <c r="L3347">
        <f>YEAR(Master_ventas[[#This Row],[Order Date]])</f>
        <v>2024</v>
      </c>
      <c r="M3347" t="str">
        <f>CONCATENATE(LEFT(Master_ventas[[#This Row],[ProdUpper]],3),RIGHT(Master_ventas[[#This Row],[Ext-Year]],2),"-",MID(Master_ventas[[#This Row],[Category]],1,1))</f>
        <v>TAB24-E</v>
      </c>
      <c r="N3347" t="str">
        <f>MID(Master_ventas[[#This Row],[ProdUpper]],1,3)</f>
        <v>TAB</v>
      </c>
      <c r="O3347" t="str">
        <f>UPPER(IF(Master_ventas[[#This Row],[Profit]]&gt;500,"High","Std"))</f>
        <v>STD</v>
      </c>
      <c r="P3347">
        <v>3346</v>
      </c>
    </row>
    <row r="3348" spans="1:16" x14ac:dyDescent="0.3">
      <c r="A3348" s="1">
        <v>45135</v>
      </c>
      <c r="B3348" t="s">
        <v>22</v>
      </c>
      <c r="C3348" t="s">
        <v>11</v>
      </c>
      <c r="D3348" t="s">
        <v>12</v>
      </c>
      <c r="E3348">
        <v>4</v>
      </c>
      <c r="F3348" s="3">
        <v>3628</v>
      </c>
      <c r="G3348" s="2">
        <v>717.81</v>
      </c>
      <c r="H3348">
        <f>Master_ventas[[#This Row],[Profit]]/Master_ventas[[#This Row],[Sales]]</f>
        <v>0.19785281146637265</v>
      </c>
      <c r="I3348">
        <f ca="1">Referencia_Hoy-Master_ventas[[#This Row],[Order Date]]</f>
        <v>1188</v>
      </c>
      <c r="J3348" t="str">
        <f>UPPER(Master_ventas[[#This Row],[Product Name]])</f>
        <v>KEYBOARD</v>
      </c>
      <c r="K3348" t="str">
        <f>UPPER(Master_ventas[[#This Row],[Category]])</f>
        <v>ACCESSORIES</v>
      </c>
      <c r="L3348">
        <f>YEAR(Master_ventas[[#This Row],[Order Date]])</f>
        <v>2023</v>
      </c>
      <c r="M3348" t="str">
        <f>CONCATENATE(LEFT(Master_ventas[[#This Row],[ProdUpper]],3),RIGHT(Master_ventas[[#This Row],[Ext-Year]],2),"-",MID(Master_ventas[[#This Row],[Category]],1,1))</f>
        <v>KEY23-A</v>
      </c>
      <c r="N3348" t="str">
        <f>MID(Master_ventas[[#This Row],[ProdUpper]],1,3)</f>
        <v>KEY</v>
      </c>
      <c r="O3348" t="str">
        <f>UPPER(IF(Master_ventas[[#This Row],[Profit]]&gt;500,"High","Std"))</f>
        <v>HIGH</v>
      </c>
      <c r="P3348">
        <v>3347</v>
      </c>
    </row>
    <row r="3349" spans="1:16" x14ac:dyDescent="0.3">
      <c r="A3349" s="1">
        <v>45632</v>
      </c>
      <c r="B3349" t="s">
        <v>20</v>
      </c>
      <c r="C3349" t="s">
        <v>11</v>
      </c>
      <c r="D3349" t="s">
        <v>16</v>
      </c>
      <c r="E3349">
        <v>4</v>
      </c>
      <c r="F3349" s="3">
        <v>1000</v>
      </c>
      <c r="G3349" s="2">
        <v>198.92</v>
      </c>
      <c r="H3349">
        <f>Master_ventas[[#This Row],[Profit]]/Master_ventas[[#This Row],[Sales]]</f>
        <v>0.19891999999999999</v>
      </c>
      <c r="I3349">
        <f ca="1">Referencia_Hoy-Master_ventas[[#This Row],[Order Date]]</f>
        <v>691</v>
      </c>
      <c r="J3349" t="str">
        <f>UPPER(Master_ventas[[#This Row],[Product Name]])</f>
        <v>MONITOR</v>
      </c>
      <c r="K3349" t="str">
        <f>UPPER(Master_ventas[[#This Row],[Category]])</f>
        <v>ACCESSORIES</v>
      </c>
      <c r="L3349">
        <f>YEAR(Master_ventas[[#This Row],[Order Date]])</f>
        <v>2024</v>
      </c>
      <c r="M3349" t="str">
        <f>CONCATENATE(LEFT(Master_ventas[[#This Row],[ProdUpper]],3),RIGHT(Master_ventas[[#This Row],[Ext-Year]],2),"-",MID(Master_ventas[[#This Row],[Category]],1,1))</f>
        <v>MON24-A</v>
      </c>
      <c r="N3349" t="str">
        <f>MID(Master_ventas[[#This Row],[ProdUpper]],1,3)</f>
        <v>MON</v>
      </c>
      <c r="O3349" t="str">
        <f>UPPER(IF(Master_ventas[[#This Row],[Profit]]&gt;500,"High","Std"))</f>
        <v>STD</v>
      </c>
      <c r="P3349">
        <v>3348</v>
      </c>
    </row>
    <row r="3350" spans="1:16" x14ac:dyDescent="0.3">
      <c r="A3350" s="1">
        <v>44993</v>
      </c>
      <c r="B3350" t="s">
        <v>17</v>
      </c>
      <c r="C3350" t="s">
        <v>14</v>
      </c>
      <c r="D3350" t="s">
        <v>9</v>
      </c>
      <c r="E3350">
        <v>2</v>
      </c>
      <c r="F3350" s="3">
        <v>2134</v>
      </c>
      <c r="G3350" s="2">
        <v>119.89</v>
      </c>
      <c r="H3350">
        <f>Master_ventas[[#This Row],[Profit]]/Master_ventas[[#This Row],[Sales]]</f>
        <v>5.618088097469541E-2</v>
      </c>
      <c r="I3350">
        <f ca="1">Referencia_Hoy-Master_ventas[[#This Row],[Order Date]]</f>
        <v>1330</v>
      </c>
      <c r="J3350" t="str">
        <f>UPPER(Master_ventas[[#This Row],[Product Name]])</f>
        <v>CAMERA</v>
      </c>
      <c r="K3350" t="str">
        <f>UPPER(Master_ventas[[#This Row],[Category]])</f>
        <v>ELECTRONICS</v>
      </c>
      <c r="L3350">
        <f>YEAR(Master_ventas[[#This Row],[Order Date]])</f>
        <v>2023</v>
      </c>
      <c r="M3350" t="str">
        <f>CONCATENATE(LEFT(Master_ventas[[#This Row],[ProdUpper]],3),RIGHT(Master_ventas[[#This Row],[Ext-Year]],2),"-",MID(Master_ventas[[#This Row],[Category]],1,1))</f>
        <v>CAM23-E</v>
      </c>
      <c r="N3350" t="str">
        <f>MID(Master_ventas[[#This Row],[ProdUpper]],1,3)</f>
        <v>CAM</v>
      </c>
      <c r="O3350" t="str">
        <f>UPPER(IF(Master_ventas[[#This Row],[Profit]]&gt;500,"High","Std"))</f>
        <v>STD</v>
      </c>
      <c r="P3350">
        <v>3349</v>
      </c>
    </row>
    <row r="3351" spans="1:16" x14ac:dyDescent="0.3">
      <c r="A3351" s="1">
        <v>45071</v>
      </c>
      <c r="B3351" t="s">
        <v>19</v>
      </c>
      <c r="C3351" t="s">
        <v>14</v>
      </c>
      <c r="D3351" t="s">
        <v>9</v>
      </c>
      <c r="E3351">
        <v>7</v>
      </c>
      <c r="F3351" s="3">
        <v>6706</v>
      </c>
      <c r="G3351" s="2">
        <v>1687.22</v>
      </c>
      <c r="H3351">
        <f>Master_ventas[[#This Row],[Profit]]/Master_ventas[[#This Row],[Sales]]</f>
        <v>0.25159856844616763</v>
      </c>
      <c r="I3351">
        <f ca="1">Referencia_Hoy-Master_ventas[[#This Row],[Order Date]]</f>
        <v>1252</v>
      </c>
      <c r="J3351" t="str">
        <f>UPPER(Master_ventas[[#This Row],[Product Name]])</f>
        <v>SMARTWATCH</v>
      </c>
      <c r="K3351" t="str">
        <f>UPPER(Master_ventas[[#This Row],[Category]])</f>
        <v>ELECTRONICS</v>
      </c>
      <c r="L3351">
        <f>YEAR(Master_ventas[[#This Row],[Order Date]])</f>
        <v>2023</v>
      </c>
      <c r="M3351" t="str">
        <f>CONCATENATE(LEFT(Master_ventas[[#This Row],[ProdUpper]],3),RIGHT(Master_ventas[[#This Row],[Ext-Year]],2),"-",MID(Master_ventas[[#This Row],[Category]],1,1))</f>
        <v>SMA23-E</v>
      </c>
      <c r="N3351" t="str">
        <f>MID(Master_ventas[[#This Row],[ProdUpper]],1,3)</f>
        <v>SMA</v>
      </c>
      <c r="O3351" t="str">
        <f>UPPER(IF(Master_ventas[[#This Row],[Profit]]&gt;500,"High","Std"))</f>
        <v>HIGH</v>
      </c>
      <c r="P3351">
        <v>3350</v>
      </c>
    </row>
    <row r="3352" spans="1:16" x14ac:dyDescent="0.3">
      <c r="A3352" s="1">
        <v>45599</v>
      </c>
      <c r="B3352" t="s">
        <v>23</v>
      </c>
      <c r="C3352" t="s">
        <v>14</v>
      </c>
      <c r="D3352" t="s">
        <v>12</v>
      </c>
      <c r="E3352">
        <v>3</v>
      </c>
      <c r="F3352" s="3">
        <v>321</v>
      </c>
      <c r="G3352" s="2">
        <v>72.13</v>
      </c>
      <c r="H3352">
        <f>Master_ventas[[#This Row],[Profit]]/Master_ventas[[#This Row],[Sales]]</f>
        <v>0.22470404984423675</v>
      </c>
      <c r="I3352">
        <f ca="1">Referencia_Hoy-Master_ventas[[#This Row],[Order Date]]</f>
        <v>724</v>
      </c>
      <c r="J3352" t="str">
        <f>UPPER(Master_ventas[[#This Row],[Product Name]])</f>
        <v>LAPTOP</v>
      </c>
      <c r="K3352" t="str">
        <f>UPPER(Master_ventas[[#This Row],[Category]])</f>
        <v>ELECTRONICS</v>
      </c>
      <c r="L3352">
        <f>YEAR(Master_ventas[[#This Row],[Order Date]])</f>
        <v>2024</v>
      </c>
      <c r="M3352" t="str">
        <f>CONCATENATE(LEFT(Master_ventas[[#This Row],[ProdUpper]],3),RIGHT(Master_ventas[[#This Row],[Ext-Year]],2),"-",MID(Master_ventas[[#This Row],[Category]],1,1))</f>
        <v>LAP24-E</v>
      </c>
      <c r="N3352" t="str">
        <f>MID(Master_ventas[[#This Row],[ProdUpper]],1,3)</f>
        <v>LAP</v>
      </c>
      <c r="O3352" t="str">
        <f>UPPER(IF(Master_ventas[[#This Row],[Profit]]&gt;500,"High","Std"))</f>
        <v>STD</v>
      </c>
      <c r="P3352">
        <v>3351</v>
      </c>
    </row>
    <row r="3353" spans="1:16" x14ac:dyDescent="0.3">
      <c r="A3353" s="1">
        <v>44976</v>
      </c>
      <c r="B3353" t="s">
        <v>17</v>
      </c>
      <c r="C3353" t="s">
        <v>14</v>
      </c>
      <c r="D3353" t="s">
        <v>15</v>
      </c>
      <c r="E3353">
        <v>3</v>
      </c>
      <c r="F3353" s="3">
        <v>3126</v>
      </c>
      <c r="G3353" s="2">
        <v>710.14</v>
      </c>
      <c r="H3353">
        <f>Master_ventas[[#This Row],[Profit]]/Master_ventas[[#This Row],[Sales]]</f>
        <v>0.22717210492642353</v>
      </c>
      <c r="I3353">
        <f ca="1">Referencia_Hoy-Master_ventas[[#This Row],[Order Date]]</f>
        <v>1347</v>
      </c>
      <c r="J3353" t="str">
        <f>UPPER(Master_ventas[[#This Row],[Product Name]])</f>
        <v>CAMERA</v>
      </c>
      <c r="K3353" t="str">
        <f>UPPER(Master_ventas[[#This Row],[Category]])</f>
        <v>ELECTRONICS</v>
      </c>
      <c r="L3353">
        <f>YEAR(Master_ventas[[#This Row],[Order Date]])</f>
        <v>2023</v>
      </c>
      <c r="M3353" t="str">
        <f>CONCATENATE(LEFT(Master_ventas[[#This Row],[ProdUpper]],3),RIGHT(Master_ventas[[#This Row],[Ext-Year]],2),"-",MID(Master_ventas[[#This Row],[Category]],1,1))</f>
        <v>CAM23-E</v>
      </c>
      <c r="N3353" t="str">
        <f>MID(Master_ventas[[#This Row],[ProdUpper]],1,3)</f>
        <v>CAM</v>
      </c>
      <c r="O3353" t="str">
        <f>UPPER(IF(Master_ventas[[#This Row],[Profit]]&gt;500,"High","Std"))</f>
        <v>HIGH</v>
      </c>
      <c r="P3353">
        <v>3352</v>
      </c>
    </row>
    <row r="3354" spans="1:16" x14ac:dyDescent="0.3">
      <c r="A3354" s="1">
        <v>45235</v>
      </c>
      <c r="B3354" t="s">
        <v>20</v>
      </c>
      <c r="C3354" t="s">
        <v>11</v>
      </c>
      <c r="D3354" t="s">
        <v>15</v>
      </c>
      <c r="E3354">
        <v>7</v>
      </c>
      <c r="F3354" s="3">
        <v>5446</v>
      </c>
      <c r="G3354" s="2">
        <v>697.21</v>
      </c>
      <c r="H3354">
        <f>Master_ventas[[#This Row],[Profit]]/Master_ventas[[#This Row],[Sales]]</f>
        <v>0.12802240176276167</v>
      </c>
      <c r="I3354">
        <f ca="1">Referencia_Hoy-Master_ventas[[#This Row],[Order Date]]</f>
        <v>1088</v>
      </c>
      <c r="J3354" t="str">
        <f>UPPER(Master_ventas[[#This Row],[Product Name]])</f>
        <v>MONITOR</v>
      </c>
      <c r="K3354" t="str">
        <f>UPPER(Master_ventas[[#This Row],[Category]])</f>
        <v>ACCESSORIES</v>
      </c>
      <c r="L3354">
        <f>YEAR(Master_ventas[[#This Row],[Order Date]])</f>
        <v>2023</v>
      </c>
      <c r="M3354" t="str">
        <f>CONCATENATE(LEFT(Master_ventas[[#This Row],[ProdUpper]],3),RIGHT(Master_ventas[[#This Row],[Ext-Year]],2),"-",MID(Master_ventas[[#This Row],[Category]],1,1))</f>
        <v>MON23-A</v>
      </c>
      <c r="N3354" t="str">
        <f>MID(Master_ventas[[#This Row],[ProdUpper]],1,3)</f>
        <v>MON</v>
      </c>
      <c r="O3354" t="str">
        <f>UPPER(IF(Master_ventas[[#This Row],[Profit]]&gt;500,"High","Std"))</f>
        <v>HIGH</v>
      </c>
      <c r="P3354">
        <v>3353</v>
      </c>
    </row>
    <row r="3355" spans="1:16" x14ac:dyDescent="0.3">
      <c r="A3355" s="1">
        <v>45048</v>
      </c>
      <c r="B3355" t="s">
        <v>13</v>
      </c>
      <c r="C3355" t="s">
        <v>14</v>
      </c>
      <c r="D3355" t="s">
        <v>12</v>
      </c>
      <c r="E3355">
        <v>1</v>
      </c>
      <c r="F3355" s="3">
        <v>1131</v>
      </c>
      <c r="G3355" s="2">
        <v>140.55000000000001</v>
      </c>
      <c r="H3355">
        <f>Master_ventas[[#This Row],[Profit]]/Master_ventas[[#This Row],[Sales]]</f>
        <v>0.12427055702917773</v>
      </c>
      <c r="I3355">
        <f ca="1">Referencia_Hoy-Master_ventas[[#This Row],[Order Date]]</f>
        <v>1275</v>
      </c>
      <c r="J3355" t="str">
        <f>UPPER(Master_ventas[[#This Row],[Product Name]])</f>
        <v>TABLET</v>
      </c>
      <c r="K3355" t="str">
        <f>UPPER(Master_ventas[[#This Row],[Category]])</f>
        <v>ELECTRONICS</v>
      </c>
      <c r="L3355">
        <f>YEAR(Master_ventas[[#This Row],[Order Date]])</f>
        <v>2023</v>
      </c>
      <c r="M3355" t="str">
        <f>CONCATENATE(LEFT(Master_ventas[[#This Row],[ProdUpper]],3),RIGHT(Master_ventas[[#This Row],[Ext-Year]],2),"-",MID(Master_ventas[[#This Row],[Category]],1,1))</f>
        <v>TAB23-E</v>
      </c>
      <c r="N3355" t="str">
        <f>MID(Master_ventas[[#This Row],[ProdUpper]],1,3)</f>
        <v>TAB</v>
      </c>
      <c r="O3355" t="str">
        <f>UPPER(IF(Master_ventas[[#This Row],[Profit]]&gt;500,"High","Std"))</f>
        <v>STD</v>
      </c>
      <c r="P3355">
        <v>3354</v>
      </c>
    </row>
    <row r="3356" spans="1:16" x14ac:dyDescent="0.3">
      <c r="A3356" s="1">
        <v>45131</v>
      </c>
      <c r="B3356" t="s">
        <v>7</v>
      </c>
      <c r="C3356" t="s">
        <v>8</v>
      </c>
      <c r="D3356" t="s">
        <v>12</v>
      </c>
      <c r="E3356">
        <v>2</v>
      </c>
      <c r="F3356" s="3">
        <v>1946</v>
      </c>
      <c r="G3356" s="2">
        <v>141.75</v>
      </c>
      <c r="H3356">
        <f>Master_ventas[[#This Row],[Profit]]/Master_ventas[[#This Row],[Sales]]</f>
        <v>7.2841726618705041E-2</v>
      </c>
      <c r="I3356">
        <f ca="1">Referencia_Hoy-Master_ventas[[#This Row],[Order Date]]</f>
        <v>1192</v>
      </c>
      <c r="J3356" t="str">
        <f>UPPER(Master_ventas[[#This Row],[Product Name]])</f>
        <v>PRINTER</v>
      </c>
      <c r="K3356" t="str">
        <f>UPPER(Master_ventas[[#This Row],[Category]])</f>
        <v>OFFICE</v>
      </c>
      <c r="L3356">
        <f>YEAR(Master_ventas[[#This Row],[Order Date]])</f>
        <v>2023</v>
      </c>
      <c r="M3356" t="str">
        <f>CONCATENATE(LEFT(Master_ventas[[#This Row],[ProdUpper]],3),RIGHT(Master_ventas[[#This Row],[Ext-Year]],2),"-",MID(Master_ventas[[#This Row],[Category]],1,1))</f>
        <v>PRI23-O</v>
      </c>
      <c r="N3356" t="str">
        <f>MID(Master_ventas[[#This Row],[ProdUpper]],1,3)</f>
        <v>PRI</v>
      </c>
      <c r="O3356" t="str">
        <f>UPPER(IF(Master_ventas[[#This Row],[Profit]]&gt;500,"High","Std"))</f>
        <v>STD</v>
      </c>
      <c r="P3356">
        <v>3355</v>
      </c>
    </row>
    <row r="3357" spans="1:16" x14ac:dyDescent="0.3">
      <c r="A3357" s="1">
        <v>45185</v>
      </c>
      <c r="B3357" t="s">
        <v>23</v>
      </c>
      <c r="C3357" t="s">
        <v>14</v>
      </c>
      <c r="D3357" t="s">
        <v>9</v>
      </c>
      <c r="E3357">
        <v>7</v>
      </c>
      <c r="F3357" s="3">
        <v>6818</v>
      </c>
      <c r="G3357" s="2">
        <v>1348.26</v>
      </c>
      <c r="H3357">
        <f>Master_ventas[[#This Row],[Profit]]/Master_ventas[[#This Row],[Sales]]</f>
        <v>0.19775007333528893</v>
      </c>
      <c r="I3357">
        <f ca="1">Referencia_Hoy-Master_ventas[[#This Row],[Order Date]]</f>
        <v>1138</v>
      </c>
      <c r="J3357" t="str">
        <f>UPPER(Master_ventas[[#This Row],[Product Name]])</f>
        <v>LAPTOP</v>
      </c>
      <c r="K3357" t="str">
        <f>UPPER(Master_ventas[[#This Row],[Category]])</f>
        <v>ELECTRONICS</v>
      </c>
      <c r="L3357">
        <f>YEAR(Master_ventas[[#This Row],[Order Date]])</f>
        <v>2023</v>
      </c>
      <c r="M3357" t="str">
        <f>CONCATENATE(LEFT(Master_ventas[[#This Row],[ProdUpper]],3),RIGHT(Master_ventas[[#This Row],[Ext-Year]],2),"-",MID(Master_ventas[[#This Row],[Category]],1,1))</f>
        <v>LAP23-E</v>
      </c>
      <c r="N3357" t="str">
        <f>MID(Master_ventas[[#This Row],[ProdUpper]],1,3)</f>
        <v>LAP</v>
      </c>
      <c r="O3357" t="str">
        <f>UPPER(IF(Master_ventas[[#This Row],[Profit]]&gt;500,"High","Std"))</f>
        <v>HIGH</v>
      </c>
      <c r="P3357">
        <v>3356</v>
      </c>
    </row>
    <row r="3358" spans="1:16" x14ac:dyDescent="0.3">
      <c r="A3358" s="1">
        <v>45014</v>
      </c>
      <c r="B3358" t="s">
        <v>21</v>
      </c>
      <c r="C3358" t="s">
        <v>14</v>
      </c>
      <c r="D3358" t="s">
        <v>12</v>
      </c>
      <c r="E3358">
        <v>7</v>
      </c>
      <c r="F3358" s="3">
        <v>2317</v>
      </c>
      <c r="G3358" s="2">
        <v>677.61</v>
      </c>
      <c r="H3358">
        <f>Master_ventas[[#This Row],[Profit]]/Master_ventas[[#This Row],[Sales]]</f>
        <v>0.29245144583513166</v>
      </c>
      <c r="I3358">
        <f ca="1">Referencia_Hoy-Master_ventas[[#This Row],[Order Date]]</f>
        <v>1309</v>
      </c>
      <c r="J3358" t="str">
        <f>UPPER(Master_ventas[[#This Row],[Product Name]])</f>
        <v>SMARTPHONE</v>
      </c>
      <c r="K3358" t="str">
        <f>UPPER(Master_ventas[[#This Row],[Category]])</f>
        <v>ELECTRONICS</v>
      </c>
      <c r="L3358">
        <f>YEAR(Master_ventas[[#This Row],[Order Date]])</f>
        <v>2023</v>
      </c>
      <c r="M3358" t="str">
        <f>CONCATENATE(LEFT(Master_ventas[[#This Row],[ProdUpper]],3),RIGHT(Master_ventas[[#This Row],[Ext-Year]],2),"-",MID(Master_ventas[[#This Row],[Category]],1,1))</f>
        <v>SMA23-E</v>
      </c>
      <c r="N3358" t="str">
        <f>MID(Master_ventas[[#This Row],[ProdUpper]],1,3)</f>
        <v>SMA</v>
      </c>
      <c r="O3358" t="str">
        <f>UPPER(IF(Master_ventas[[#This Row],[Profit]]&gt;500,"High","Std"))</f>
        <v>HIGH</v>
      </c>
      <c r="P3358">
        <v>3357</v>
      </c>
    </row>
    <row r="3359" spans="1:16" x14ac:dyDescent="0.3">
      <c r="A3359" s="1">
        <v>44953</v>
      </c>
      <c r="B3359" t="s">
        <v>19</v>
      </c>
      <c r="C3359" t="s">
        <v>14</v>
      </c>
      <c r="D3359" t="s">
        <v>12</v>
      </c>
      <c r="E3359">
        <v>6</v>
      </c>
      <c r="F3359" s="3">
        <v>396</v>
      </c>
      <c r="G3359" s="2">
        <v>89.51</v>
      </c>
      <c r="H3359">
        <f>Master_ventas[[#This Row],[Profit]]/Master_ventas[[#This Row],[Sales]]</f>
        <v>0.22603535353535356</v>
      </c>
      <c r="I3359">
        <f ca="1">Referencia_Hoy-Master_ventas[[#This Row],[Order Date]]</f>
        <v>1370</v>
      </c>
      <c r="J3359" t="str">
        <f>UPPER(Master_ventas[[#This Row],[Product Name]])</f>
        <v>SMARTWATCH</v>
      </c>
      <c r="K3359" t="str">
        <f>UPPER(Master_ventas[[#This Row],[Category]])</f>
        <v>ELECTRONICS</v>
      </c>
      <c r="L3359">
        <f>YEAR(Master_ventas[[#This Row],[Order Date]])</f>
        <v>2023</v>
      </c>
      <c r="M3359" t="str">
        <f>CONCATENATE(LEFT(Master_ventas[[#This Row],[ProdUpper]],3),RIGHT(Master_ventas[[#This Row],[Ext-Year]],2),"-",MID(Master_ventas[[#This Row],[Category]],1,1))</f>
        <v>SMA23-E</v>
      </c>
      <c r="N3359" t="str">
        <f>MID(Master_ventas[[#This Row],[ProdUpper]],1,3)</f>
        <v>SMA</v>
      </c>
      <c r="O3359" t="str">
        <f>UPPER(IF(Master_ventas[[#This Row],[Profit]]&gt;500,"High","Std"))</f>
        <v>STD</v>
      </c>
      <c r="P3359">
        <v>3358</v>
      </c>
    </row>
    <row r="3360" spans="1:16" x14ac:dyDescent="0.3">
      <c r="A3360" s="1">
        <v>45246</v>
      </c>
      <c r="B3360" t="s">
        <v>21</v>
      </c>
      <c r="C3360" t="s">
        <v>14</v>
      </c>
      <c r="D3360" t="s">
        <v>15</v>
      </c>
      <c r="E3360">
        <v>1</v>
      </c>
      <c r="F3360" s="3">
        <v>558</v>
      </c>
      <c r="G3360" s="2">
        <v>49.81</v>
      </c>
      <c r="H3360">
        <f>Master_ventas[[#This Row],[Profit]]/Master_ventas[[#This Row],[Sales]]</f>
        <v>8.9265232974910402E-2</v>
      </c>
      <c r="I3360">
        <f ca="1">Referencia_Hoy-Master_ventas[[#This Row],[Order Date]]</f>
        <v>1077</v>
      </c>
      <c r="J3360" t="str">
        <f>UPPER(Master_ventas[[#This Row],[Product Name]])</f>
        <v>SMARTPHONE</v>
      </c>
      <c r="K3360" t="str">
        <f>UPPER(Master_ventas[[#This Row],[Category]])</f>
        <v>ELECTRONICS</v>
      </c>
      <c r="L3360">
        <f>YEAR(Master_ventas[[#This Row],[Order Date]])</f>
        <v>2023</v>
      </c>
      <c r="M3360" t="str">
        <f>CONCATENATE(LEFT(Master_ventas[[#This Row],[ProdUpper]],3),RIGHT(Master_ventas[[#This Row],[Ext-Year]],2),"-",MID(Master_ventas[[#This Row],[Category]],1,1))</f>
        <v>SMA23-E</v>
      </c>
      <c r="N3360" t="str">
        <f>MID(Master_ventas[[#This Row],[ProdUpper]],1,3)</f>
        <v>SMA</v>
      </c>
      <c r="O3360" t="str">
        <f>UPPER(IF(Master_ventas[[#This Row],[Profit]]&gt;500,"High","Std"))</f>
        <v>STD</v>
      </c>
      <c r="P3360">
        <v>3359</v>
      </c>
    </row>
    <row r="3361" spans="1:16" x14ac:dyDescent="0.3">
      <c r="A3361" s="1">
        <v>45006</v>
      </c>
      <c r="B3361" t="s">
        <v>21</v>
      </c>
      <c r="C3361" t="s">
        <v>14</v>
      </c>
      <c r="D3361" t="s">
        <v>12</v>
      </c>
      <c r="E3361">
        <v>9</v>
      </c>
      <c r="F3361" s="3">
        <v>2034</v>
      </c>
      <c r="G3361" s="2">
        <v>593.13</v>
      </c>
      <c r="H3361">
        <f>Master_ventas[[#This Row],[Profit]]/Master_ventas[[#This Row],[Sales]]</f>
        <v>0.29160766961651918</v>
      </c>
      <c r="I3361">
        <f ca="1">Referencia_Hoy-Master_ventas[[#This Row],[Order Date]]</f>
        <v>1317</v>
      </c>
      <c r="J3361" t="str">
        <f>UPPER(Master_ventas[[#This Row],[Product Name]])</f>
        <v>SMARTPHONE</v>
      </c>
      <c r="K3361" t="str">
        <f>UPPER(Master_ventas[[#This Row],[Category]])</f>
        <v>ELECTRONICS</v>
      </c>
      <c r="L3361">
        <f>YEAR(Master_ventas[[#This Row],[Order Date]])</f>
        <v>2023</v>
      </c>
      <c r="M3361" t="str">
        <f>CONCATENATE(LEFT(Master_ventas[[#This Row],[ProdUpper]],3),RIGHT(Master_ventas[[#This Row],[Ext-Year]],2),"-",MID(Master_ventas[[#This Row],[Category]],1,1))</f>
        <v>SMA23-E</v>
      </c>
      <c r="N3361" t="str">
        <f>MID(Master_ventas[[#This Row],[ProdUpper]],1,3)</f>
        <v>SMA</v>
      </c>
      <c r="O3361" t="str">
        <f>UPPER(IF(Master_ventas[[#This Row],[Profit]]&gt;500,"High","Std"))</f>
        <v>HIGH</v>
      </c>
      <c r="P3361">
        <v>3360</v>
      </c>
    </row>
    <row r="3362" spans="1:16" x14ac:dyDescent="0.3">
      <c r="A3362" s="1">
        <v>44713</v>
      </c>
      <c r="B3362" t="s">
        <v>10</v>
      </c>
      <c r="C3362" t="s">
        <v>11</v>
      </c>
      <c r="D3362" t="s">
        <v>16</v>
      </c>
      <c r="E3362">
        <v>8</v>
      </c>
      <c r="F3362" s="3">
        <v>6080</v>
      </c>
      <c r="G3362" s="2">
        <v>1171.93</v>
      </c>
      <c r="H3362">
        <f>Master_ventas[[#This Row],[Profit]]/Master_ventas[[#This Row],[Sales]]</f>
        <v>0.19275164473684211</v>
      </c>
      <c r="I3362">
        <f ca="1">Referencia_Hoy-Master_ventas[[#This Row],[Order Date]]</f>
        <v>1610</v>
      </c>
      <c r="J3362" t="str">
        <f>UPPER(Master_ventas[[#This Row],[Product Name]])</f>
        <v>MOUSE</v>
      </c>
      <c r="K3362" t="str">
        <f>UPPER(Master_ventas[[#This Row],[Category]])</f>
        <v>ACCESSORIES</v>
      </c>
      <c r="L3362">
        <f>YEAR(Master_ventas[[#This Row],[Order Date]])</f>
        <v>2022</v>
      </c>
      <c r="M3362" t="str">
        <f>CONCATENATE(LEFT(Master_ventas[[#This Row],[ProdUpper]],3),RIGHT(Master_ventas[[#This Row],[Ext-Year]],2),"-",MID(Master_ventas[[#This Row],[Category]],1,1))</f>
        <v>MOU22-A</v>
      </c>
      <c r="N3362" t="str">
        <f>MID(Master_ventas[[#This Row],[ProdUpper]],1,3)</f>
        <v>MOU</v>
      </c>
      <c r="O3362" t="str">
        <f>UPPER(IF(Master_ventas[[#This Row],[Profit]]&gt;500,"High","Std"))</f>
        <v>HIGH</v>
      </c>
      <c r="P3362">
        <v>3361</v>
      </c>
    </row>
    <row r="3363" spans="1:16" x14ac:dyDescent="0.3">
      <c r="A3363" s="1">
        <v>44961</v>
      </c>
      <c r="B3363" t="s">
        <v>19</v>
      </c>
      <c r="C3363" t="s">
        <v>14</v>
      </c>
      <c r="D3363" t="s">
        <v>12</v>
      </c>
      <c r="E3363">
        <v>2</v>
      </c>
      <c r="F3363" s="3">
        <v>1378</v>
      </c>
      <c r="G3363" s="2">
        <v>183.1</v>
      </c>
      <c r="H3363">
        <f>Master_ventas[[#This Row],[Profit]]/Master_ventas[[#This Row],[Sales]]</f>
        <v>0.13287373004354136</v>
      </c>
      <c r="I3363">
        <f ca="1">Referencia_Hoy-Master_ventas[[#This Row],[Order Date]]</f>
        <v>1362</v>
      </c>
      <c r="J3363" t="str">
        <f>UPPER(Master_ventas[[#This Row],[Product Name]])</f>
        <v>SMARTWATCH</v>
      </c>
      <c r="K3363" t="str">
        <f>UPPER(Master_ventas[[#This Row],[Category]])</f>
        <v>ELECTRONICS</v>
      </c>
      <c r="L3363">
        <f>YEAR(Master_ventas[[#This Row],[Order Date]])</f>
        <v>2023</v>
      </c>
      <c r="M3363" t="str">
        <f>CONCATENATE(LEFT(Master_ventas[[#This Row],[ProdUpper]],3),RIGHT(Master_ventas[[#This Row],[Ext-Year]],2),"-",MID(Master_ventas[[#This Row],[Category]],1,1))</f>
        <v>SMA23-E</v>
      </c>
      <c r="N3363" t="str">
        <f>MID(Master_ventas[[#This Row],[ProdUpper]],1,3)</f>
        <v>SMA</v>
      </c>
      <c r="O3363" t="str">
        <f>UPPER(IF(Master_ventas[[#This Row],[Profit]]&gt;500,"High","Std"))</f>
        <v>STD</v>
      </c>
      <c r="P3363">
        <v>3362</v>
      </c>
    </row>
    <row r="3364" spans="1:16" x14ac:dyDescent="0.3">
      <c r="A3364" s="1">
        <v>45355</v>
      </c>
      <c r="B3364" t="s">
        <v>20</v>
      </c>
      <c r="C3364" t="s">
        <v>11</v>
      </c>
      <c r="D3364" t="s">
        <v>12</v>
      </c>
      <c r="E3364">
        <v>3</v>
      </c>
      <c r="F3364" s="3">
        <v>483</v>
      </c>
      <c r="G3364" s="2">
        <v>120.11</v>
      </c>
      <c r="H3364">
        <f>Master_ventas[[#This Row],[Profit]]/Master_ventas[[#This Row],[Sales]]</f>
        <v>0.24867494824016564</v>
      </c>
      <c r="I3364">
        <f ca="1">Referencia_Hoy-Master_ventas[[#This Row],[Order Date]]</f>
        <v>968</v>
      </c>
      <c r="J3364" t="str">
        <f>UPPER(Master_ventas[[#This Row],[Product Name]])</f>
        <v>MONITOR</v>
      </c>
      <c r="K3364" t="str">
        <f>UPPER(Master_ventas[[#This Row],[Category]])</f>
        <v>ACCESSORIES</v>
      </c>
      <c r="L3364">
        <f>YEAR(Master_ventas[[#This Row],[Order Date]])</f>
        <v>2024</v>
      </c>
      <c r="M3364" t="str">
        <f>CONCATENATE(LEFT(Master_ventas[[#This Row],[ProdUpper]],3),RIGHT(Master_ventas[[#This Row],[Ext-Year]],2),"-",MID(Master_ventas[[#This Row],[Category]],1,1))</f>
        <v>MON24-A</v>
      </c>
      <c r="N3364" t="str">
        <f>MID(Master_ventas[[#This Row],[ProdUpper]],1,3)</f>
        <v>MON</v>
      </c>
      <c r="O3364" t="str">
        <f>UPPER(IF(Master_ventas[[#This Row],[Profit]]&gt;500,"High","Std"))</f>
        <v>STD</v>
      </c>
      <c r="P3364">
        <v>3363</v>
      </c>
    </row>
    <row r="3365" spans="1:16" x14ac:dyDescent="0.3">
      <c r="A3365" s="1">
        <v>44853</v>
      </c>
      <c r="B3365" t="s">
        <v>22</v>
      </c>
      <c r="C3365" t="s">
        <v>11</v>
      </c>
      <c r="D3365" t="s">
        <v>15</v>
      </c>
      <c r="E3365">
        <v>8</v>
      </c>
      <c r="F3365" s="3">
        <v>7864</v>
      </c>
      <c r="G3365" s="2">
        <v>1615.58</v>
      </c>
      <c r="H3365">
        <f>Master_ventas[[#This Row],[Profit]]/Master_ventas[[#This Row],[Sales]]</f>
        <v>0.20543997965412003</v>
      </c>
      <c r="I3365">
        <f ca="1">Referencia_Hoy-Master_ventas[[#This Row],[Order Date]]</f>
        <v>1470</v>
      </c>
      <c r="J3365" t="str">
        <f>UPPER(Master_ventas[[#This Row],[Product Name]])</f>
        <v>KEYBOARD</v>
      </c>
      <c r="K3365" t="str">
        <f>UPPER(Master_ventas[[#This Row],[Category]])</f>
        <v>ACCESSORIES</v>
      </c>
      <c r="L3365">
        <f>YEAR(Master_ventas[[#This Row],[Order Date]])</f>
        <v>2022</v>
      </c>
      <c r="M3365" t="str">
        <f>CONCATENATE(LEFT(Master_ventas[[#This Row],[ProdUpper]],3),RIGHT(Master_ventas[[#This Row],[Ext-Year]],2),"-",MID(Master_ventas[[#This Row],[Category]],1,1))</f>
        <v>KEY22-A</v>
      </c>
      <c r="N3365" t="str">
        <f>MID(Master_ventas[[#This Row],[ProdUpper]],1,3)</f>
        <v>KEY</v>
      </c>
      <c r="O3365" t="str">
        <f>UPPER(IF(Master_ventas[[#This Row],[Profit]]&gt;500,"High","Std"))</f>
        <v>HIGH</v>
      </c>
      <c r="P3365">
        <v>3364</v>
      </c>
    </row>
    <row r="3366" spans="1:16" x14ac:dyDescent="0.3">
      <c r="A3366" s="1">
        <v>44588</v>
      </c>
      <c r="B3366" t="s">
        <v>7</v>
      </c>
      <c r="C3366" t="s">
        <v>8</v>
      </c>
      <c r="D3366" t="s">
        <v>9</v>
      </c>
      <c r="E3366">
        <v>2</v>
      </c>
      <c r="F3366" s="3">
        <v>1268</v>
      </c>
      <c r="G3366" s="2">
        <v>141.76</v>
      </c>
      <c r="H3366">
        <f>Master_ventas[[#This Row],[Profit]]/Master_ventas[[#This Row],[Sales]]</f>
        <v>0.1117981072555205</v>
      </c>
      <c r="I3366">
        <f ca="1">Referencia_Hoy-Master_ventas[[#This Row],[Order Date]]</f>
        <v>1735</v>
      </c>
      <c r="J3366" t="str">
        <f>UPPER(Master_ventas[[#This Row],[Product Name]])</f>
        <v>PRINTER</v>
      </c>
      <c r="K3366" t="str">
        <f>UPPER(Master_ventas[[#This Row],[Category]])</f>
        <v>OFFICE</v>
      </c>
      <c r="L3366">
        <f>YEAR(Master_ventas[[#This Row],[Order Date]])</f>
        <v>2022</v>
      </c>
      <c r="M3366" t="str">
        <f>CONCATENATE(LEFT(Master_ventas[[#This Row],[ProdUpper]],3),RIGHT(Master_ventas[[#This Row],[Ext-Year]],2),"-",MID(Master_ventas[[#This Row],[Category]],1,1))</f>
        <v>PRI22-O</v>
      </c>
      <c r="N3366" t="str">
        <f>MID(Master_ventas[[#This Row],[ProdUpper]],1,3)</f>
        <v>PRI</v>
      </c>
      <c r="O3366" t="str">
        <f>UPPER(IF(Master_ventas[[#This Row],[Profit]]&gt;500,"High","Std"))</f>
        <v>STD</v>
      </c>
      <c r="P3366">
        <v>3365</v>
      </c>
    </row>
    <row r="3367" spans="1:16" x14ac:dyDescent="0.3">
      <c r="A3367" s="1">
        <v>44840</v>
      </c>
      <c r="B3367" t="s">
        <v>7</v>
      </c>
      <c r="C3367" t="s">
        <v>8</v>
      </c>
      <c r="D3367" t="s">
        <v>16</v>
      </c>
      <c r="E3367">
        <v>6</v>
      </c>
      <c r="F3367" s="3">
        <v>3774</v>
      </c>
      <c r="G3367" s="2">
        <v>606.94000000000005</v>
      </c>
      <c r="H3367">
        <f>Master_ventas[[#This Row],[Profit]]/Master_ventas[[#This Row],[Sales]]</f>
        <v>0.16082140964493907</v>
      </c>
      <c r="I3367">
        <f ca="1">Referencia_Hoy-Master_ventas[[#This Row],[Order Date]]</f>
        <v>1483</v>
      </c>
      <c r="J3367" t="str">
        <f>UPPER(Master_ventas[[#This Row],[Product Name]])</f>
        <v>PRINTER</v>
      </c>
      <c r="K3367" t="str">
        <f>UPPER(Master_ventas[[#This Row],[Category]])</f>
        <v>OFFICE</v>
      </c>
      <c r="L3367">
        <f>YEAR(Master_ventas[[#This Row],[Order Date]])</f>
        <v>2022</v>
      </c>
      <c r="M3367" t="str">
        <f>CONCATENATE(LEFT(Master_ventas[[#This Row],[ProdUpper]],3),RIGHT(Master_ventas[[#This Row],[Ext-Year]],2),"-",MID(Master_ventas[[#This Row],[Category]],1,1))</f>
        <v>PRI22-O</v>
      </c>
      <c r="N3367" t="str">
        <f>MID(Master_ventas[[#This Row],[ProdUpper]],1,3)</f>
        <v>PRI</v>
      </c>
      <c r="O3367" t="str">
        <f>UPPER(IF(Master_ventas[[#This Row],[Profit]]&gt;500,"High","Std"))</f>
        <v>HIGH</v>
      </c>
      <c r="P3367">
        <v>3366</v>
      </c>
    </row>
    <row r="3368" spans="1:16" x14ac:dyDescent="0.3">
      <c r="A3368" s="1">
        <v>45185</v>
      </c>
      <c r="B3368" t="s">
        <v>19</v>
      </c>
      <c r="C3368" t="s">
        <v>14</v>
      </c>
      <c r="D3368" t="s">
        <v>12</v>
      </c>
      <c r="E3368">
        <v>9</v>
      </c>
      <c r="F3368" s="3">
        <v>9090</v>
      </c>
      <c r="G3368" s="2">
        <v>727.64</v>
      </c>
      <c r="H3368">
        <f>Master_ventas[[#This Row],[Profit]]/Master_ventas[[#This Row],[Sales]]</f>
        <v>8.0048404840484047E-2</v>
      </c>
      <c r="I3368">
        <f ca="1">Referencia_Hoy-Master_ventas[[#This Row],[Order Date]]</f>
        <v>1138</v>
      </c>
      <c r="J3368" t="str">
        <f>UPPER(Master_ventas[[#This Row],[Product Name]])</f>
        <v>SMARTWATCH</v>
      </c>
      <c r="K3368" t="str">
        <f>UPPER(Master_ventas[[#This Row],[Category]])</f>
        <v>ELECTRONICS</v>
      </c>
      <c r="L3368">
        <f>YEAR(Master_ventas[[#This Row],[Order Date]])</f>
        <v>2023</v>
      </c>
      <c r="M3368" t="str">
        <f>CONCATENATE(LEFT(Master_ventas[[#This Row],[ProdUpper]],3),RIGHT(Master_ventas[[#This Row],[Ext-Year]],2),"-",MID(Master_ventas[[#This Row],[Category]],1,1))</f>
        <v>SMA23-E</v>
      </c>
      <c r="N3368" t="str">
        <f>MID(Master_ventas[[#This Row],[ProdUpper]],1,3)</f>
        <v>SMA</v>
      </c>
      <c r="O3368" t="str">
        <f>UPPER(IF(Master_ventas[[#This Row],[Profit]]&gt;500,"High","Std"))</f>
        <v>HIGH</v>
      </c>
      <c r="P3368">
        <v>3367</v>
      </c>
    </row>
    <row r="3369" spans="1:16" x14ac:dyDescent="0.3">
      <c r="A3369" s="1">
        <v>45301</v>
      </c>
      <c r="B3369" t="s">
        <v>17</v>
      </c>
      <c r="C3369" t="s">
        <v>14</v>
      </c>
      <c r="D3369" t="s">
        <v>9</v>
      </c>
      <c r="E3369">
        <v>5</v>
      </c>
      <c r="F3369" s="3">
        <v>3720</v>
      </c>
      <c r="G3369" s="2">
        <v>1077.21</v>
      </c>
      <c r="H3369">
        <f>Master_ventas[[#This Row],[Profit]]/Master_ventas[[#This Row],[Sales]]</f>
        <v>0.28957258064516128</v>
      </c>
      <c r="I3369">
        <f ca="1">Referencia_Hoy-Master_ventas[[#This Row],[Order Date]]</f>
        <v>1022</v>
      </c>
      <c r="J3369" t="str">
        <f>UPPER(Master_ventas[[#This Row],[Product Name]])</f>
        <v>CAMERA</v>
      </c>
      <c r="K3369" t="str">
        <f>UPPER(Master_ventas[[#This Row],[Category]])</f>
        <v>ELECTRONICS</v>
      </c>
      <c r="L3369">
        <f>YEAR(Master_ventas[[#This Row],[Order Date]])</f>
        <v>2024</v>
      </c>
      <c r="M3369" t="str">
        <f>CONCATENATE(LEFT(Master_ventas[[#This Row],[ProdUpper]],3),RIGHT(Master_ventas[[#This Row],[Ext-Year]],2),"-",MID(Master_ventas[[#This Row],[Category]],1,1))</f>
        <v>CAM24-E</v>
      </c>
      <c r="N3369" t="str">
        <f>MID(Master_ventas[[#This Row],[ProdUpper]],1,3)</f>
        <v>CAM</v>
      </c>
      <c r="O3369" t="str">
        <f>UPPER(IF(Master_ventas[[#This Row],[Profit]]&gt;500,"High","Std"))</f>
        <v>HIGH</v>
      </c>
      <c r="P3369">
        <v>3368</v>
      </c>
    </row>
    <row r="3370" spans="1:16" x14ac:dyDescent="0.3">
      <c r="A3370" s="1">
        <v>44744</v>
      </c>
      <c r="B3370" t="s">
        <v>21</v>
      </c>
      <c r="C3370" t="s">
        <v>14</v>
      </c>
      <c r="D3370" t="s">
        <v>12</v>
      </c>
      <c r="E3370">
        <v>8</v>
      </c>
      <c r="F3370" s="3">
        <v>8896</v>
      </c>
      <c r="G3370" s="2">
        <v>1825.26</v>
      </c>
      <c r="H3370">
        <f>Master_ventas[[#This Row],[Profit]]/Master_ventas[[#This Row],[Sales]]</f>
        <v>0.20517760791366907</v>
      </c>
      <c r="I3370">
        <f ca="1">Referencia_Hoy-Master_ventas[[#This Row],[Order Date]]</f>
        <v>1579</v>
      </c>
      <c r="J3370" t="str">
        <f>UPPER(Master_ventas[[#This Row],[Product Name]])</f>
        <v>SMARTPHONE</v>
      </c>
      <c r="K3370" t="str">
        <f>UPPER(Master_ventas[[#This Row],[Category]])</f>
        <v>ELECTRONICS</v>
      </c>
      <c r="L3370">
        <f>YEAR(Master_ventas[[#This Row],[Order Date]])</f>
        <v>2022</v>
      </c>
      <c r="M3370" t="str">
        <f>CONCATENATE(LEFT(Master_ventas[[#This Row],[ProdUpper]],3),RIGHT(Master_ventas[[#This Row],[Ext-Year]],2),"-",MID(Master_ventas[[#This Row],[Category]],1,1))</f>
        <v>SMA22-E</v>
      </c>
      <c r="N3370" t="str">
        <f>MID(Master_ventas[[#This Row],[ProdUpper]],1,3)</f>
        <v>SMA</v>
      </c>
      <c r="O3370" t="str">
        <f>UPPER(IF(Master_ventas[[#This Row],[Profit]]&gt;500,"High","Std"))</f>
        <v>HIGH</v>
      </c>
      <c r="P3370">
        <v>3369</v>
      </c>
    </row>
    <row r="3371" spans="1:16" x14ac:dyDescent="0.3">
      <c r="A3371" s="1">
        <v>45566</v>
      </c>
      <c r="B3371" t="s">
        <v>10</v>
      </c>
      <c r="C3371" t="s">
        <v>11</v>
      </c>
      <c r="D3371" t="s">
        <v>15</v>
      </c>
      <c r="E3371">
        <v>4</v>
      </c>
      <c r="F3371" s="3">
        <v>3264</v>
      </c>
      <c r="G3371" s="2">
        <v>639.79999999999995</v>
      </c>
      <c r="H3371">
        <f>Master_ventas[[#This Row],[Profit]]/Master_ventas[[#This Row],[Sales]]</f>
        <v>0.1960171568627451</v>
      </c>
      <c r="I3371">
        <f ca="1">Referencia_Hoy-Master_ventas[[#This Row],[Order Date]]</f>
        <v>757</v>
      </c>
      <c r="J3371" t="str">
        <f>UPPER(Master_ventas[[#This Row],[Product Name]])</f>
        <v>MOUSE</v>
      </c>
      <c r="K3371" t="str">
        <f>UPPER(Master_ventas[[#This Row],[Category]])</f>
        <v>ACCESSORIES</v>
      </c>
      <c r="L3371">
        <f>YEAR(Master_ventas[[#This Row],[Order Date]])</f>
        <v>2024</v>
      </c>
      <c r="M3371" t="str">
        <f>CONCATENATE(LEFT(Master_ventas[[#This Row],[ProdUpper]],3),RIGHT(Master_ventas[[#This Row],[Ext-Year]],2),"-",MID(Master_ventas[[#This Row],[Category]],1,1))</f>
        <v>MOU24-A</v>
      </c>
      <c r="N3371" t="str">
        <f>MID(Master_ventas[[#This Row],[ProdUpper]],1,3)</f>
        <v>MOU</v>
      </c>
      <c r="O3371" t="str">
        <f>UPPER(IF(Master_ventas[[#This Row],[Profit]]&gt;500,"High","Std"))</f>
        <v>HIGH</v>
      </c>
      <c r="P3371">
        <v>3370</v>
      </c>
    </row>
    <row r="3372" spans="1:16" x14ac:dyDescent="0.3">
      <c r="A3372" s="1">
        <v>44989</v>
      </c>
      <c r="B3372" t="s">
        <v>7</v>
      </c>
      <c r="C3372" t="s">
        <v>8</v>
      </c>
      <c r="D3372" t="s">
        <v>16</v>
      </c>
      <c r="E3372">
        <v>2</v>
      </c>
      <c r="F3372" s="3">
        <v>146</v>
      </c>
      <c r="G3372" s="2">
        <v>15.48</v>
      </c>
      <c r="H3372">
        <f>Master_ventas[[#This Row],[Profit]]/Master_ventas[[#This Row],[Sales]]</f>
        <v>0.10602739726027398</v>
      </c>
      <c r="I3372">
        <f ca="1">Referencia_Hoy-Master_ventas[[#This Row],[Order Date]]</f>
        <v>1334</v>
      </c>
      <c r="J3372" t="str">
        <f>UPPER(Master_ventas[[#This Row],[Product Name]])</f>
        <v>PRINTER</v>
      </c>
      <c r="K3372" t="str">
        <f>UPPER(Master_ventas[[#This Row],[Category]])</f>
        <v>OFFICE</v>
      </c>
      <c r="L3372">
        <f>YEAR(Master_ventas[[#This Row],[Order Date]])</f>
        <v>2023</v>
      </c>
      <c r="M3372" t="str">
        <f>CONCATENATE(LEFT(Master_ventas[[#This Row],[ProdUpper]],3),RIGHT(Master_ventas[[#This Row],[Ext-Year]],2),"-",MID(Master_ventas[[#This Row],[Category]],1,1))</f>
        <v>PRI23-O</v>
      </c>
      <c r="N3372" t="str">
        <f>MID(Master_ventas[[#This Row],[ProdUpper]],1,3)</f>
        <v>PRI</v>
      </c>
      <c r="O3372" t="str">
        <f>UPPER(IF(Master_ventas[[#This Row],[Profit]]&gt;500,"High","Std"))</f>
        <v>STD</v>
      </c>
      <c r="P3372">
        <v>3371</v>
      </c>
    </row>
    <row r="3373" spans="1:16" x14ac:dyDescent="0.3">
      <c r="A3373" s="1">
        <v>45438</v>
      </c>
      <c r="B3373" t="s">
        <v>18</v>
      </c>
      <c r="C3373" t="s">
        <v>11</v>
      </c>
      <c r="D3373" t="s">
        <v>12</v>
      </c>
      <c r="E3373">
        <v>3</v>
      </c>
      <c r="F3373" s="3">
        <v>1683</v>
      </c>
      <c r="G3373" s="2">
        <v>129.63999999999999</v>
      </c>
      <c r="H3373">
        <f>Master_ventas[[#This Row],[Profit]]/Master_ventas[[#This Row],[Sales]]</f>
        <v>7.7029114676173488E-2</v>
      </c>
      <c r="I3373">
        <f ca="1">Referencia_Hoy-Master_ventas[[#This Row],[Order Date]]</f>
        <v>885</v>
      </c>
      <c r="J3373" t="str">
        <f>UPPER(Master_ventas[[#This Row],[Product Name]])</f>
        <v>HEADPHONES</v>
      </c>
      <c r="K3373" t="str">
        <f>UPPER(Master_ventas[[#This Row],[Category]])</f>
        <v>ACCESSORIES</v>
      </c>
      <c r="L3373">
        <f>YEAR(Master_ventas[[#This Row],[Order Date]])</f>
        <v>2024</v>
      </c>
      <c r="M3373" t="str">
        <f>CONCATENATE(LEFT(Master_ventas[[#This Row],[ProdUpper]],3),RIGHT(Master_ventas[[#This Row],[Ext-Year]],2),"-",MID(Master_ventas[[#This Row],[Category]],1,1))</f>
        <v>HEA24-A</v>
      </c>
      <c r="N3373" t="str">
        <f>MID(Master_ventas[[#This Row],[ProdUpper]],1,3)</f>
        <v>HEA</v>
      </c>
      <c r="O3373" t="str">
        <f>UPPER(IF(Master_ventas[[#This Row],[Profit]]&gt;500,"High","Std"))</f>
        <v>STD</v>
      </c>
      <c r="P3373">
        <v>3372</v>
      </c>
    </row>
    <row r="3374" spans="1:16" x14ac:dyDescent="0.3">
      <c r="A3374" s="1">
        <v>44571</v>
      </c>
      <c r="B3374" t="s">
        <v>17</v>
      </c>
      <c r="C3374" t="s">
        <v>14</v>
      </c>
      <c r="D3374" t="s">
        <v>16</v>
      </c>
      <c r="E3374">
        <v>7</v>
      </c>
      <c r="F3374" s="3">
        <v>6076</v>
      </c>
      <c r="G3374" s="2">
        <v>788.14</v>
      </c>
      <c r="H3374">
        <f>Master_ventas[[#This Row],[Profit]]/Master_ventas[[#This Row],[Sales]]</f>
        <v>0.12971362738643843</v>
      </c>
      <c r="I3374">
        <f ca="1">Referencia_Hoy-Master_ventas[[#This Row],[Order Date]]</f>
        <v>1752</v>
      </c>
      <c r="J3374" t="str">
        <f>UPPER(Master_ventas[[#This Row],[Product Name]])</f>
        <v>CAMERA</v>
      </c>
      <c r="K3374" t="str">
        <f>UPPER(Master_ventas[[#This Row],[Category]])</f>
        <v>ELECTRONICS</v>
      </c>
      <c r="L3374">
        <f>YEAR(Master_ventas[[#This Row],[Order Date]])</f>
        <v>2022</v>
      </c>
      <c r="M3374" t="str">
        <f>CONCATENATE(LEFT(Master_ventas[[#This Row],[ProdUpper]],3),RIGHT(Master_ventas[[#This Row],[Ext-Year]],2),"-",MID(Master_ventas[[#This Row],[Category]],1,1))</f>
        <v>CAM22-E</v>
      </c>
      <c r="N3374" t="str">
        <f>MID(Master_ventas[[#This Row],[ProdUpper]],1,3)</f>
        <v>CAM</v>
      </c>
      <c r="O3374" t="str">
        <f>UPPER(IF(Master_ventas[[#This Row],[Profit]]&gt;500,"High","Std"))</f>
        <v>HIGH</v>
      </c>
      <c r="P3374">
        <v>3373</v>
      </c>
    </row>
    <row r="3375" spans="1:16" x14ac:dyDescent="0.3">
      <c r="A3375" s="1">
        <v>45126</v>
      </c>
      <c r="B3375" t="s">
        <v>19</v>
      </c>
      <c r="C3375" t="s">
        <v>14</v>
      </c>
      <c r="D3375" t="s">
        <v>16</v>
      </c>
      <c r="E3375">
        <v>2</v>
      </c>
      <c r="F3375" s="3">
        <v>2388</v>
      </c>
      <c r="G3375" s="2">
        <v>492.54</v>
      </c>
      <c r="H3375">
        <f>Master_ventas[[#This Row],[Profit]]/Master_ventas[[#This Row],[Sales]]</f>
        <v>0.2062562814070352</v>
      </c>
      <c r="I3375">
        <f ca="1">Referencia_Hoy-Master_ventas[[#This Row],[Order Date]]</f>
        <v>1197</v>
      </c>
      <c r="J3375" t="str">
        <f>UPPER(Master_ventas[[#This Row],[Product Name]])</f>
        <v>SMARTWATCH</v>
      </c>
      <c r="K3375" t="str">
        <f>UPPER(Master_ventas[[#This Row],[Category]])</f>
        <v>ELECTRONICS</v>
      </c>
      <c r="L3375">
        <f>YEAR(Master_ventas[[#This Row],[Order Date]])</f>
        <v>2023</v>
      </c>
      <c r="M3375" t="str">
        <f>CONCATENATE(LEFT(Master_ventas[[#This Row],[ProdUpper]],3),RIGHT(Master_ventas[[#This Row],[Ext-Year]],2),"-",MID(Master_ventas[[#This Row],[Category]],1,1))</f>
        <v>SMA23-E</v>
      </c>
      <c r="N3375" t="str">
        <f>MID(Master_ventas[[#This Row],[ProdUpper]],1,3)</f>
        <v>SMA</v>
      </c>
      <c r="O3375" t="str">
        <f>UPPER(IF(Master_ventas[[#This Row],[Profit]]&gt;500,"High","Std"))</f>
        <v>STD</v>
      </c>
      <c r="P3375">
        <v>3374</v>
      </c>
    </row>
    <row r="3376" spans="1:16" x14ac:dyDescent="0.3">
      <c r="A3376" s="1">
        <v>45118</v>
      </c>
      <c r="B3376" t="s">
        <v>21</v>
      </c>
      <c r="C3376" t="s">
        <v>14</v>
      </c>
      <c r="D3376" t="s">
        <v>12</v>
      </c>
      <c r="E3376">
        <v>6</v>
      </c>
      <c r="F3376" s="3">
        <v>882</v>
      </c>
      <c r="G3376" s="2">
        <v>180.63</v>
      </c>
      <c r="H3376">
        <f>Master_ventas[[#This Row],[Profit]]/Master_ventas[[#This Row],[Sales]]</f>
        <v>0.20479591836734692</v>
      </c>
      <c r="I3376">
        <f ca="1">Referencia_Hoy-Master_ventas[[#This Row],[Order Date]]</f>
        <v>1205</v>
      </c>
      <c r="J3376" t="str">
        <f>UPPER(Master_ventas[[#This Row],[Product Name]])</f>
        <v>SMARTPHONE</v>
      </c>
      <c r="K3376" t="str">
        <f>UPPER(Master_ventas[[#This Row],[Category]])</f>
        <v>ELECTRONICS</v>
      </c>
      <c r="L3376">
        <f>YEAR(Master_ventas[[#This Row],[Order Date]])</f>
        <v>2023</v>
      </c>
      <c r="M3376" t="str">
        <f>CONCATENATE(LEFT(Master_ventas[[#This Row],[ProdUpper]],3),RIGHT(Master_ventas[[#This Row],[Ext-Year]],2),"-",MID(Master_ventas[[#This Row],[Category]],1,1))</f>
        <v>SMA23-E</v>
      </c>
      <c r="N3376" t="str">
        <f>MID(Master_ventas[[#This Row],[ProdUpper]],1,3)</f>
        <v>SMA</v>
      </c>
      <c r="O3376" t="str">
        <f>UPPER(IF(Master_ventas[[#This Row],[Profit]]&gt;500,"High","Std"))</f>
        <v>STD</v>
      </c>
      <c r="P3376">
        <v>3375</v>
      </c>
    </row>
    <row r="3377" spans="1:16" x14ac:dyDescent="0.3">
      <c r="A3377" s="1">
        <v>44717</v>
      </c>
      <c r="B3377" t="s">
        <v>23</v>
      </c>
      <c r="C3377" t="s">
        <v>14</v>
      </c>
      <c r="D3377" t="s">
        <v>16</v>
      </c>
      <c r="E3377">
        <v>3</v>
      </c>
      <c r="F3377" s="3">
        <v>3561</v>
      </c>
      <c r="G3377" s="2">
        <v>206.87</v>
      </c>
      <c r="H3377">
        <f>Master_ventas[[#This Row],[Profit]]/Master_ventas[[#This Row],[Sales]]</f>
        <v>5.8093232238135353E-2</v>
      </c>
      <c r="I3377">
        <f ca="1">Referencia_Hoy-Master_ventas[[#This Row],[Order Date]]</f>
        <v>1606</v>
      </c>
      <c r="J3377" t="str">
        <f>UPPER(Master_ventas[[#This Row],[Product Name]])</f>
        <v>LAPTOP</v>
      </c>
      <c r="K3377" t="str">
        <f>UPPER(Master_ventas[[#This Row],[Category]])</f>
        <v>ELECTRONICS</v>
      </c>
      <c r="L3377">
        <f>YEAR(Master_ventas[[#This Row],[Order Date]])</f>
        <v>2022</v>
      </c>
      <c r="M3377" t="str">
        <f>CONCATENATE(LEFT(Master_ventas[[#This Row],[ProdUpper]],3),RIGHT(Master_ventas[[#This Row],[Ext-Year]],2),"-",MID(Master_ventas[[#This Row],[Category]],1,1))</f>
        <v>LAP22-E</v>
      </c>
      <c r="N3377" t="str">
        <f>MID(Master_ventas[[#This Row],[ProdUpper]],1,3)</f>
        <v>LAP</v>
      </c>
      <c r="O3377" t="str">
        <f>UPPER(IF(Master_ventas[[#This Row],[Profit]]&gt;500,"High","Std"))</f>
        <v>STD</v>
      </c>
      <c r="P3377">
        <v>3376</v>
      </c>
    </row>
    <row r="3378" spans="1:16" x14ac:dyDescent="0.3">
      <c r="A3378" s="1">
        <v>45585</v>
      </c>
      <c r="B3378" t="s">
        <v>13</v>
      </c>
      <c r="C3378" t="s">
        <v>14</v>
      </c>
      <c r="D3378" t="s">
        <v>12</v>
      </c>
      <c r="E3378">
        <v>7</v>
      </c>
      <c r="F3378" s="3">
        <v>3395</v>
      </c>
      <c r="G3378" s="2">
        <v>350.26</v>
      </c>
      <c r="H3378">
        <f>Master_ventas[[#This Row],[Profit]]/Master_ventas[[#This Row],[Sales]]</f>
        <v>0.10316936671575846</v>
      </c>
      <c r="I3378">
        <f ca="1">Referencia_Hoy-Master_ventas[[#This Row],[Order Date]]</f>
        <v>738</v>
      </c>
      <c r="J3378" t="str">
        <f>UPPER(Master_ventas[[#This Row],[Product Name]])</f>
        <v>TABLET</v>
      </c>
      <c r="K3378" t="str">
        <f>UPPER(Master_ventas[[#This Row],[Category]])</f>
        <v>ELECTRONICS</v>
      </c>
      <c r="L3378">
        <f>YEAR(Master_ventas[[#This Row],[Order Date]])</f>
        <v>2024</v>
      </c>
      <c r="M3378" t="str">
        <f>CONCATENATE(LEFT(Master_ventas[[#This Row],[ProdUpper]],3),RIGHT(Master_ventas[[#This Row],[Ext-Year]],2),"-",MID(Master_ventas[[#This Row],[Category]],1,1))</f>
        <v>TAB24-E</v>
      </c>
      <c r="N3378" t="str">
        <f>MID(Master_ventas[[#This Row],[ProdUpper]],1,3)</f>
        <v>TAB</v>
      </c>
      <c r="O3378" t="str">
        <f>UPPER(IF(Master_ventas[[#This Row],[Profit]]&gt;500,"High","Std"))</f>
        <v>STD</v>
      </c>
      <c r="P3378">
        <v>3377</v>
      </c>
    </row>
    <row r="3379" spans="1:16" x14ac:dyDescent="0.3">
      <c r="A3379" s="1">
        <v>44592</v>
      </c>
      <c r="B3379" t="s">
        <v>21</v>
      </c>
      <c r="C3379" t="s">
        <v>14</v>
      </c>
      <c r="D3379" t="s">
        <v>15</v>
      </c>
      <c r="E3379">
        <v>6</v>
      </c>
      <c r="F3379" s="3">
        <v>3366</v>
      </c>
      <c r="G3379" s="2">
        <v>460.75</v>
      </c>
      <c r="H3379">
        <f>Master_ventas[[#This Row],[Profit]]/Master_ventas[[#This Row],[Sales]]</f>
        <v>0.136883541295306</v>
      </c>
      <c r="I3379">
        <f ca="1">Referencia_Hoy-Master_ventas[[#This Row],[Order Date]]</f>
        <v>1731</v>
      </c>
      <c r="J3379" t="str">
        <f>UPPER(Master_ventas[[#This Row],[Product Name]])</f>
        <v>SMARTPHONE</v>
      </c>
      <c r="K3379" t="str">
        <f>UPPER(Master_ventas[[#This Row],[Category]])</f>
        <v>ELECTRONICS</v>
      </c>
      <c r="L3379">
        <f>YEAR(Master_ventas[[#This Row],[Order Date]])</f>
        <v>2022</v>
      </c>
      <c r="M3379" t="str">
        <f>CONCATENATE(LEFT(Master_ventas[[#This Row],[ProdUpper]],3),RIGHT(Master_ventas[[#This Row],[Ext-Year]],2),"-",MID(Master_ventas[[#This Row],[Category]],1,1))</f>
        <v>SMA22-E</v>
      </c>
      <c r="N3379" t="str">
        <f>MID(Master_ventas[[#This Row],[ProdUpper]],1,3)</f>
        <v>SMA</v>
      </c>
      <c r="O3379" t="str">
        <f>UPPER(IF(Master_ventas[[#This Row],[Profit]]&gt;500,"High","Std"))</f>
        <v>STD</v>
      </c>
      <c r="P3379">
        <v>3378</v>
      </c>
    </row>
    <row r="3380" spans="1:16" x14ac:dyDescent="0.3">
      <c r="A3380" s="1">
        <v>44895</v>
      </c>
      <c r="B3380" t="s">
        <v>10</v>
      </c>
      <c r="C3380" t="s">
        <v>11</v>
      </c>
      <c r="D3380" t="s">
        <v>12</v>
      </c>
      <c r="E3380">
        <v>2</v>
      </c>
      <c r="F3380" s="3">
        <v>630</v>
      </c>
      <c r="G3380" s="2">
        <v>144.13999999999999</v>
      </c>
      <c r="H3380">
        <f>Master_ventas[[#This Row],[Profit]]/Master_ventas[[#This Row],[Sales]]</f>
        <v>0.22879365079365077</v>
      </c>
      <c r="I3380">
        <f ca="1">Referencia_Hoy-Master_ventas[[#This Row],[Order Date]]</f>
        <v>1428</v>
      </c>
      <c r="J3380" t="str">
        <f>UPPER(Master_ventas[[#This Row],[Product Name]])</f>
        <v>MOUSE</v>
      </c>
      <c r="K3380" t="str">
        <f>UPPER(Master_ventas[[#This Row],[Category]])</f>
        <v>ACCESSORIES</v>
      </c>
      <c r="L3380">
        <f>YEAR(Master_ventas[[#This Row],[Order Date]])</f>
        <v>2022</v>
      </c>
      <c r="M3380" t="str">
        <f>CONCATENATE(LEFT(Master_ventas[[#This Row],[ProdUpper]],3),RIGHT(Master_ventas[[#This Row],[Ext-Year]],2),"-",MID(Master_ventas[[#This Row],[Category]],1,1))</f>
        <v>MOU22-A</v>
      </c>
      <c r="N3380" t="str">
        <f>MID(Master_ventas[[#This Row],[ProdUpper]],1,3)</f>
        <v>MOU</v>
      </c>
      <c r="O3380" t="str">
        <f>UPPER(IF(Master_ventas[[#This Row],[Profit]]&gt;500,"High","Std"))</f>
        <v>STD</v>
      </c>
      <c r="P3380">
        <v>3379</v>
      </c>
    </row>
    <row r="3381" spans="1:16" x14ac:dyDescent="0.3">
      <c r="A3381" s="1">
        <v>45121</v>
      </c>
      <c r="B3381" t="s">
        <v>17</v>
      </c>
      <c r="C3381" t="s">
        <v>14</v>
      </c>
      <c r="D3381" t="s">
        <v>15</v>
      </c>
      <c r="E3381">
        <v>1</v>
      </c>
      <c r="F3381" s="3">
        <v>440</v>
      </c>
      <c r="G3381" s="2">
        <v>34.74</v>
      </c>
      <c r="H3381">
        <f>Master_ventas[[#This Row],[Profit]]/Master_ventas[[#This Row],[Sales]]</f>
        <v>7.8954545454545458E-2</v>
      </c>
      <c r="I3381">
        <f ca="1">Referencia_Hoy-Master_ventas[[#This Row],[Order Date]]</f>
        <v>1202</v>
      </c>
      <c r="J3381" t="str">
        <f>UPPER(Master_ventas[[#This Row],[Product Name]])</f>
        <v>CAMERA</v>
      </c>
      <c r="K3381" t="str">
        <f>UPPER(Master_ventas[[#This Row],[Category]])</f>
        <v>ELECTRONICS</v>
      </c>
      <c r="L3381">
        <f>YEAR(Master_ventas[[#This Row],[Order Date]])</f>
        <v>2023</v>
      </c>
      <c r="M3381" t="str">
        <f>CONCATENATE(LEFT(Master_ventas[[#This Row],[ProdUpper]],3),RIGHT(Master_ventas[[#This Row],[Ext-Year]],2),"-",MID(Master_ventas[[#This Row],[Category]],1,1))</f>
        <v>CAM23-E</v>
      </c>
      <c r="N3381" t="str">
        <f>MID(Master_ventas[[#This Row],[ProdUpper]],1,3)</f>
        <v>CAM</v>
      </c>
      <c r="O3381" t="str">
        <f>UPPER(IF(Master_ventas[[#This Row],[Profit]]&gt;500,"High","Std"))</f>
        <v>STD</v>
      </c>
      <c r="P3381">
        <v>3380</v>
      </c>
    </row>
    <row r="3382" spans="1:16" x14ac:dyDescent="0.3">
      <c r="A3382" s="1">
        <v>45557</v>
      </c>
      <c r="B3382" t="s">
        <v>19</v>
      </c>
      <c r="C3382" t="s">
        <v>14</v>
      </c>
      <c r="D3382" t="s">
        <v>12</v>
      </c>
      <c r="E3382">
        <v>6</v>
      </c>
      <c r="F3382" s="3">
        <v>6462</v>
      </c>
      <c r="G3382" s="2">
        <v>1466.15</v>
      </c>
      <c r="H3382">
        <f>Master_ventas[[#This Row],[Profit]]/Master_ventas[[#This Row],[Sales]]</f>
        <v>0.22688796038378212</v>
      </c>
      <c r="I3382">
        <f ca="1">Referencia_Hoy-Master_ventas[[#This Row],[Order Date]]</f>
        <v>766</v>
      </c>
      <c r="J3382" t="str">
        <f>UPPER(Master_ventas[[#This Row],[Product Name]])</f>
        <v>SMARTWATCH</v>
      </c>
      <c r="K3382" t="str">
        <f>UPPER(Master_ventas[[#This Row],[Category]])</f>
        <v>ELECTRONICS</v>
      </c>
      <c r="L3382">
        <f>YEAR(Master_ventas[[#This Row],[Order Date]])</f>
        <v>2024</v>
      </c>
      <c r="M3382" t="str">
        <f>CONCATENATE(LEFT(Master_ventas[[#This Row],[ProdUpper]],3),RIGHT(Master_ventas[[#This Row],[Ext-Year]],2),"-",MID(Master_ventas[[#This Row],[Category]],1,1))</f>
        <v>SMA24-E</v>
      </c>
      <c r="N3382" t="str">
        <f>MID(Master_ventas[[#This Row],[ProdUpper]],1,3)</f>
        <v>SMA</v>
      </c>
      <c r="O3382" t="str">
        <f>UPPER(IF(Master_ventas[[#This Row],[Profit]]&gt;500,"High","Std"))</f>
        <v>HIGH</v>
      </c>
      <c r="P3382">
        <v>3381</v>
      </c>
    </row>
    <row r="3383" spans="1:16" x14ac:dyDescent="0.3">
      <c r="A3383" s="1">
        <v>45655</v>
      </c>
      <c r="B3383" t="s">
        <v>20</v>
      </c>
      <c r="C3383" t="s">
        <v>11</v>
      </c>
      <c r="D3383" t="s">
        <v>15</v>
      </c>
      <c r="E3383">
        <v>6</v>
      </c>
      <c r="F3383" s="3">
        <v>5004</v>
      </c>
      <c r="G3383" s="2">
        <v>1197.3599999999999</v>
      </c>
      <c r="H3383">
        <f>Master_ventas[[#This Row],[Profit]]/Master_ventas[[#This Row],[Sales]]</f>
        <v>0.23928057553956833</v>
      </c>
      <c r="I3383">
        <f ca="1">Referencia_Hoy-Master_ventas[[#This Row],[Order Date]]</f>
        <v>668</v>
      </c>
      <c r="J3383" t="str">
        <f>UPPER(Master_ventas[[#This Row],[Product Name]])</f>
        <v>MONITOR</v>
      </c>
      <c r="K3383" t="str">
        <f>UPPER(Master_ventas[[#This Row],[Category]])</f>
        <v>ACCESSORIES</v>
      </c>
      <c r="L3383">
        <f>YEAR(Master_ventas[[#This Row],[Order Date]])</f>
        <v>2024</v>
      </c>
      <c r="M3383" t="str">
        <f>CONCATENATE(LEFT(Master_ventas[[#This Row],[ProdUpper]],3),RIGHT(Master_ventas[[#This Row],[Ext-Year]],2),"-",MID(Master_ventas[[#This Row],[Category]],1,1))</f>
        <v>MON24-A</v>
      </c>
      <c r="N3383" t="str">
        <f>MID(Master_ventas[[#This Row],[ProdUpper]],1,3)</f>
        <v>MON</v>
      </c>
      <c r="O3383" t="str">
        <f>UPPER(IF(Master_ventas[[#This Row],[Profit]]&gt;500,"High","Std"))</f>
        <v>HIGH</v>
      </c>
      <c r="P3383">
        <v>3382</v>
      </c>
    </row>
    <row r="3384" spans="1:16" x14ac:dyDescent="0.3">
      <c r="A3384" s="1">
        <v>44608</v>
      </c>
      <c r="B3384" t="s">
        <v>23</v>
      </c>
      <c r="C3384" t="s">
        <v>14</v>
      </c>
      <c r="D3384" t="s">
        <v>15</v>
      </c>
      <c r="E3384">
        <v>8</v>
      </c>
      <c r="F3384" s="3">
        <v>1840</v>
      </c>
      <c r="G3384" s="2">
        <v>461.21</v>
      </c>
      <c r="H3384">
        <f>Master_ventas[[#This Row],[Profit]]/Master_ventas[[#This Row],[Sales]]</f>
        <v>0.25065760869565218</v>
      </c>
      <c r="I3384">
        <f ca="1">Referencia_Hoy-Master_ventas[[#This Row],[Order Date]]</f>
        <v>1715</v>
      </c>
      <c r="J3384" t="str">
        <f>UPPER(Master_ventas[[#This Row],[Product Name]])</f>
        <v>LAPTOP</v>
      </c>
      <c r="K3384" t="str">
        <f>UPPER(Master_ventas[[#This Row],[Category]])</f>
        <v>ELECTRONICS</v>
      </c>
      <c r="L3384">
        <f>YEAR(Master_ventas[[#This Row],[Order Date]])</f>
        <v>2022</v>
      </c>
      <c r="M3384" t="str">
        <f>CONCATENATE(LEFT(Master_ventas[[#This Row],[ProdUpper]],3),RIGHT(Master_ventas[[#This Row],[Ext-Year]],2),"-",MID(Master_ventas[[#This Row],[Category]],1,1))</f>
        <v>LAP22-E</v>
      </c>
      <c r="N3384" t="str">
        <f>MID(Master_ventas[[#This Row],[ProdUpper]],1,3)</f>
        <v>LAP</v>
      </c>
      <c r="O3384" t="str">
        <f>UPPER(IF(Master_ventas[[#This Row],[Profit]]&gt;500,"High","Std"))</f>
        <v>STD</v>
      </c>
      <c r="P3384">
        <v>3383</v>
      </c>
    </row>
    <row r="3385" spans="1:16" x14ac:dyDescent="0.3">
      <c r="A3385" s="1">
        <v>44871</v>
      </c>
      <c r="B3385" t="s">
        <v>13</v>
      </c>
      <c r="C3385" t="s">
        <v>14</v>
      </c>
      <c r="D3385" t="s">
        <v>15</v>
      </c>
      <c r="E3385">
        <v>7</v>
      </c>
      <c r="F3385" s="3">
        <v>4466</v>
      </c>
      <c r="G3385" s="2">
        <v>763.14</v>
      </c>
      <c r="H3385">
        <f>Master_ventas[[#This Row],[Profit]]/Master_ventas[[#This Row],[Sales]]</f>
        <v>0.17087774294670846</v>
      </c>
      <c r="I3385">
        <f ca="1">Referencia_Hoy-Master_ventas[[#This Row],[Order Date]]</f>
        <v>1452</v>
      </c>
      <c r="J3385" t="str">
        <f>UPPER(Master_ventas[[#This Row],[Product Name]])</f>
        <v>TABLET</v>
      </c>
      <c r="K3385" t="str">
        <f>UPPER(Master_ventas[[#This Row],[Category]])</f>
        <v>ELECTRONICS</v>
      </c>
      <c r="L3385">
        <f>YEAR(Master_ventas[[#This Row],[Order Date]])</f>
        <v>2022</v>
      </c>
      <c r="M3385" t="str">
        <f>CONCATENATE(LEFT(Master_ventas[[#This Row],[ProdUpper]],3),RIGHT(Master_ventas[[#This Row],[Ext-Year]],2),"-",MID(Master_ventas[[#This Row],[Category]],1,1))</f>
        <v>TAB22-E</v>
      </c>
      <c r="N3385" t="str">
        <f>MID(Master_ventas[[#This Row],[ProdUpper]],1,3)</f>
        <v>TAB</v>
      </c>
      <c r="O3385" t="str">
        <f>UPPER(IF(Master_ventas[[#This Row],[Profit]]&gt;500,"High","Std"))</f>
        <v>HIGH</v>
      </c>
      <c r="P3385">
        <v>3384</v>
      </c>
    </row>
    <row r="3386" spans="1:16" x14ac:dyDescent="0.3">
      <c r="A3386" s="1">
        <v>44922</v>
      </c>
      <c r="B3386" t="s">
        <v>13</v>
      </c>
      <c r="C3386" t="s">
        <v>14</v>
      </c>
      <c r="D3386" t="s">
        <v>15</v>
      </c>
      <c r="E3386">
        <v>6</v>
      </c>
      <c r="F3386" s="3">
        <v>3048</v>
      </c>
      <c r="G3386" s="2">
        <v>823.36</v>
      </c>
      <c r="H3386">
        <f>Master_ventas[[#This Row],[Profit]]/Master_ventas[[#This Row],[Sales]]</f>
        <v>0.27013123359580055</v>
      </c>
      <c r="I3386">
        <f ca="1">Referencia_Hoy-Master_ventas[[#This Row],[Order Date]]</f>
        <v>1401</v>
      </c>
      <c r="J3386" t="str">
        <f>UPPER(Master_ventas[[#This Row],[Product Name]])</f>
        <v>TABLET</v>
      </c>
      <c r="K3386" t="str">
        <f>UPPER(Master_ventas[[#This Row],[Category]])</f>
        <v>ELECTRONICS</v>
      </c>
      <c r="L3386">
        <f>YEAR(Master_ventas[[#This Row],[Order Date]])</f>
        <v>2022</v>
      </c>
      <c r="M3386" t="str">
        <f>CONCATENATE(LEFT(Master_ventas[[#This Row],[ProdUpper]],3),RIGHT(Master_ventas[[#This Row],[Ext-Year]],2),"-",MID(Master_ventas[[#This Row],[Category]],1,1))</f>
        <v>TAB22-E</v>
      </c>
      <c r="N3386" t="str">
        <f>MID(Master_ventas[[#This Row],[ProdUpper]],1,3)</f>
        <v>TAB</v>
      </c>
      <c r="O3386" t="str">
        <f>UPPER(IF(Master_ventas[[#This Row],[Profit]]&gt;500,"High","Std"))</f>
        <v>HIGH</v>
      </c>
      <c r="P3386">
        <v>3385</v>
      </c>
    </row>
    <row r="3387" spans="1:16" x14ac:dyDescent="0.3">
      <c r="A3387" s="1">
        <v>45446</v>
      </c>
      <c r="B3387" t="s">
        <v>10</v>
      </c>
      <c r="C3387" t="s">
        <v>11</v>
      </c>
      <c r="D3387" t="s">
        <v>15</v>
      </c>
      <c r="E3387">
        <v>7</v>
      </c>
      <c r="F3387" s="3">
        <v>4977</v>
      </c>
      <c r="G3387" s="2">
        <v>516.70000000000005</v>
      </c>
      <c r="H3387">
        <f>Master_ventas[[#This Row],[Profit]]/Master_ventas[[#This Row],[Sales]]</f>
        <v>0.10381756077958611</v>
      </c>
      <c r="I3387">
        <f ca="1">Referencia_Hoy-Master_ventas[[#This Row],[Order Date]]</f>
        <v>877</v>
      </c>
      <c r="J3387" t="str">
        <f>UPPER(Master_ventas[[#This Row],[Product Name]])</f>
        <v>MOUSE</v>
      </c>
      <c r="K3387" t="str">
        <f>UPPER(Master_ventas[[#This Row],[Category]])</f>
        <v>ACCESSORIES</v>
      </c>
      <c r="L3387">
        <f>YEAR(Master_ventas[[#This Row],[Order Date]])</f>
        <v>2024</v>
      </c>
      <c r="M3387" t="str">
        <f>CONCATENATE(LEFT(Master_ventas[[#This Row],[ProdUpper]],3),RIGHT(Master_ventas[[#This Row],[Ext-Year]],2),"-",MID(Master_ventas[[#This Row],[Category]],1,1))</f>
        <v>MOU24-A</v>
      </c>
      <c r="N3387" t="str">
        <f>MID(Master_ventas[[#This Row],[ProdUpper]],1,3)</f>
        <v>MOU</v>
      </c>
      <c r="O3387" t="str">
        <f>UPPER(IF(Master_ventas[[#This Row],[Profit]]&gt;500,"High","Std"))</f>
        <v>HIGH</v>
      </c>
      <c r="P3387">
        <v>3386</v>
      </c>
    </row>
    <row r="3388" spans="1:16" x14ac:dyDescent="0.3">
      <c r="A3388" s="1">
        <v>44743</v>
      </c>
      <c r="B3388" t="s">
        <v>22</v>
      </c>
      <c r="C3388" t="s">
        <v>11</v>
      </c>
      <c r="D3388" t="s">
        <v>15</v>
      </c>
      <c r="E3388">
        <v>3</v>
      </c>
      <c r="F3388" s="3">
        <v>2010</v>
      </c>
      <c r="G3388" s="2">
        <v>387.31</v>
      </c>
      <c r="H3388">
        <f>Master_ventas[[#This Row],[Profit]]/Master_ventas[[#This Row],[Sales]]</f>
        <v>0.19269154228855723</v>
      </c>
      <c r="I3388">
        <f ca="1">Referencia_Hoy-Master_ventas[[#This Row],[Order Date]]</f>
        <v>1580</v>
      </c>
      <c r="J3388" t="str">
        <f>UPPER(Master_ventas[[#This Row],[Product Name]])</f>
        <v>KEYBOARD</v>
      </c>
      <c r="K3388" t="str">
        <f>UPPER(Master_ventas[[#This Row],[Category]])</f>
        <v>ACCESSORIES</v>
      </c>
      <c r="L3388">
        <f>YEAR(Master_ventas[[#This Row],[Order Date]])</f>
        <v>2022</v>
      </c>
      <c r="M3388" t="str">
        <f>CONCATENATE(LEFT(Master_ventas[[#This Row],[ProdUpper]],3),RIGHT(Master_ventas[[#This Row],[Ext-Year]],2),"-",MID(Master_ventas[[#This Row],[Category]],1,1))</f>
        <v>KEY22-A</v>
      </c>
      <c r="N3388" t="str">
        <f>MID(Master_ventas[[#This Row],[ProdUpper]],1,3)</f>
        <v>KEY</v>
      </c>
      <c r="O3388" t="str">
        <f>UPPER(IF(Master_ventas[[#This Row],[Profit]]&gt;500,"High","Std"))</f>
        <v>STD</v>
      </c>
      <c r="P3388">
        <v>3387</v>
      </c>
    </row>
    <row r="3389" spans="1:16" x14ac:dyDescent="0.3">
      <c r="A3389" s="1">
        <v>44591</v>
      </c>
      <c r="B3389" t="s">
        <v>17</v>
      </c>
      <c r="C3389" t="s">
        <v>14</v>
      </c>
      <c r="D3389" t="s">
        <v>15</v>
      </c>
      <c r="E3389">
        <v>8</v>
      </c>
      <c r="F3389" s="3">
        <v>5352</v>
      </c>
      <c r="G3389" s="2">
        <v>1133.57</v>
      </c>
      <c r="H3389">
        <f>Master_ventas[[#This Row],[Profit]]/Master_ventas[[#This Row],[Sales]]</f>
        <v>0.21180306427503737</v>
      </c>
      <c r="I3389">
        <f ca="1">Referencia_Hoy-Master_ventas[[#This Row],[Order Date]]</f>
        <v>1732</v>
      </c>
      <c r="J3389" t="str">
        <f>UPPER(Master_ventas[[#This Row],[Product Name]])</f>
        <v>CAMERA</v>
      </c>
      <c r="K3389" t="str">
        <f>UPPER(Master_ventas[[#This Row],[Category]])</f>
        <v>ELECTRONICS</v>
      </c>
      <c r="L3389">
        <f>YEAR(Master_ventas[[#This Row],[Order Date]])</f>
        <v>2022</v>
      </c>
      <c r="M3389" t="str">
        <f>CONCATENATE(LEFT(Master_ventas[[#This Row],[ProdUpper]],3),RIGHT(Master_ventas[[#This Row],[Ext-Year]],2),"-",MID(Master_ventas[[#This Row],[Category]],1,1))</f>
        <v>CAM22-E</v>
      </c>
      <c r="N3389" t="str">
        <f>MID(Master_ventas[[#This Row],[ProdUpper]],1,3)</f>
        <v>CAM</v>
      </c>
      <c r="O3389" t="str">
        <f>UPPER(IF(Master_ventas[[#This Row],[Profit]]&gt;500,"High","Std"))</f>
        <v>HIGH</v>
      </c>
      <c r="P3389">
        <v>3388</v>
      </c>
    </row>
    <row r="3390" spans="1:16" x14ac:dyDescent="0.3">
      <c r="A3390" s="1">
        <v>45298</v>
      </c>
      <c r="B3390" t="s">
        <v>17</v>
      </c>
      <c r="C3390" t="s">
        <v>14</v>
      </c>
      <c r="D3390" t="s">
        <v>9</v>
      </c>
      <c r="E3390">
        <v>4</v>
      </c>
      <c r="F3390" s="3">
        <v>4136</v>
      </c>
      <c r="G3390" s="2">
        <v>294.20999999999998</v>
      </c>
      <c r="H3390">
        <f>Master_ventas[[#This Row],[Profit]]/Master_ventas[[#This Row],[Sales]]</f>
        <v>7.113394584139264E-2</v>
      </c>
      <c r="I3390">
        <f ca="1">Referencia_Hoy-Master_ventas[[#This Row],[Order Date]]</f>
        <v>1025</v>
      </c>
      <c r="J3390" t="str">
        <f>UPPER(Master_ventas[[#This Row],[Product Name]])</f>
        <v>CAMERA</v>
      </c>
      <c r="K3390" t="str">
        <f>UPPER(Master_ventas[[#This Row],[Category]])</f>
        <v>ELECTRONICS</v>
      </c>
      <c r="L3390">
        <f>YEAR(Master_ventas[[#This Row],[Order Date]])</f>
        <v>2024</v>
      </c>
      <c r="M3390" t="str">
        <f>CONCATENATE(LEFT(Master_ventas[[#This Row],[ProdUpper]],3),RIGHT(Master_ventas[[#This Row],[Ext-Year]],2),"-",MID(Master_ventas[[#This Row],[Category]],1,1))</f>
        <v>CAM24-E</v>
      </c>
      <c r="N3390" t="str">
        <f>MID(Master_ventas[[#This Row],[ProdUpper]],1,3)</f>
        <v>CAM</v>
      </c>
      <c r="O3390" t="str">
        <f>UPPER(IF(Master_ventas[[#This Row],[Profit]]&gt;500,"High","Std"))</f>
        <v>STD</v>
      </c>
      <c r="P3390">
        <v>3389</v>
      </c>
    </row>
    <row r="3391" spans="1:16" x14ac:dyDescent="0.3">
      <c r="A3391" s="1">
        <v>44681</v>
      </c>
      <c r="B3391" t="s">
        <v>17</v>
      </c>
      <c r="C3391" t="s">
        <v>14</v>
      </c>
      <c r="D3391" t="s">
        <v>16</v>
      </c>
      <c r="E3391">
        <v>8</v>
      </c>
      <c r="F3391" s="3">
        <v>6336</v>
      </c>
      <c r="G3391" s="2">
        <v>439.42</v>
      </c>
      <c r="H3391">
        <f>Master_ventas[[#This Row],[Profit]]/Master_ventas[[#This Row],[Sales]]</f>
        <v>6.9352904040404048E-2</v>
      </c>
      <c r="I3391">
        <f ca="1">Referencia_Hoy-Master_ventas[[#This Row],[Order Date]]</f>
        <v>1642</v>
      </c>
      <c r="J3391" t="str">
        <f>UPPER(Master_ventas[[#This Row],[Product Name]])</f>
        <v>CAMERA</v>
      </c>
      <c r="K3391" t="str">
        <f>UPPER(Master_ventas[[#This Row],[Category]])</f>
        <v>ELECTRONICS</v>
      </c>
      <c r="L3391">
        <f>YEAR(Master_ventas[[#This Row],[Order Date]])</f>
        <v>2022</v>
      </c>
      <c r="M3391" t="str">
        <f>CONCATENATE(LEFT(Master_ventas[[#This Row],[ProdUpper]],3),RIGHT(Master_ventas[[#This Row],[Ext-Year]],2),"-",MID(Master_ventas[[#This Row],[Category]],1,1))</f>
        <v>CAM22-E</v>
      </c>
      <c r="N3391" t="str">
        <f>MID(Master_ventas[[#This Row],[ProdUpper]],1,3)</f>
        <v>CAM</v>
      </c>
      <c r="O3391" t="str">
        <f>UPPER(IF(Master_ventas[[#This Row],[Profit]]&gt;500,"High","Std"))</f>
        <v>STD</v>
      </c>
      <c r="P3391">
        <v>3390</v>
      </c>
    </row>
    <row r="3392" spans="1:16" x14ac:dyDescent="0.3">
      <c r="A3392" s="1">
        <v>45258</v>
      </c>
      <c r="B3392" t="s">
        <v>23</v>
      </c>
      <c r="C3392" t="s">
        <v>14</v>
      </c>
      <c r="D3392" t="s">
        <v>12</v>
      </c>
      <c r="E3392">
        <v>9</v>
      </c>
      <c r="F3392" s="3">
        <v>5481</v>
      </c>
      <c r="G3392" s="2">
        <v>1540.75</v>
      </c>
      <c r="H3392">
        <f>Master_ventas[[#This Row],[Profit]]/Master_ventas[[#This Row],[Sales]]</f>
        <v>0.28110746214194487</v>
      </c>
      <c r="I3392">
        <f ca="1">Referencia_Hoy-Master_ventas[[#This Row],[Order Date]]</f>
        <v>1065</v>
      </c>
      <c r="J3392" t="str">
        <f>UPPER(Master_ventas[[#This Row],[Product Name]])</f>
        <v>LAPTOP</v>
      </c>
      <c r="K3392" t="str">
        <f>UPPER(Master_ventas[[#This Row],[Category]])</f>
        <v>ELECTRONICS</v>
      </c>
      <c r="L3392">
        <f>YEAR(Master_ventas[[#This Row],[Order Date]])</f>
        <v>2023</v>
      </c>
      <c r="M3392" t="str">
        <f>CONCATENATE(LEFT(Master_ventas[[#This Row],[ProdUpper]],3),RIGHT(Master_ventas[[#This Row],[Ext-Year]],2),"-",MID(Master_ventas[[#This Row],[Category]],1,1))</f>
        <v>LAP23-E</v>
      </c>
      <c r="N3392" t="str">
        <f>MID(Master_ventas[[#This Row],[ProdUpper]],1,3)</f>
        <v>LAP</v>
      </c>
      <c r="O3392" t="str">
        <f>UPPER(IF(Master_ventas[[#This Row],[Profit]]&gt;500,"High","Std"))</f>
        <v>HIGH</v>
      </c>
      <c r="P3392">
        <v>3391</v>
      </c>
    </row>
    <row r="3393" spans="1:16" x14ac:dyDescent="0.3">
      <c r="A3393" s="1">
        <v>45580</v>
      </c>
      <c r="B3393" t="s">
        <v>17</v>
      </c>
      <c r="C3393" t="s">
        <v>14</v>
      </c>
      <c r="D3393" t="s">
        <v>16</v>
      </c>
      <c r="E3393">
        <v>6</v>
      </c>
      <c r="F3393" s="3">
        <v>6366</v>
      </c>
      <c r="G3393" s="2">
        <v>318.97000000000003</v>
      </c>
      <c r="H3393">
        <f>Master_ventas[[#This Row],[Profit]]/Master_ventas[[#This Row],[Sales]]</f>
        <v>5.0105246622683008E-2</v>
      </c>
      <c r="I3393">
        <f ca="1">Referencia_Hoy-Master_ventas[[#This Row],[Order Date]]</f>
        <v>743</v>
      </c>
      <c r="J3393" t="str">
        <f>UPPER(Master_ventas[[#This Row],[Product Name]])</f>
        <v>CAMERA</v>
      </c>
      <c r="K3393" t="str">
        <f>UPPER(Master_ventas[[#This Row],[Category]])</f>
        <v>ELECTRONICS</v>
      </c>
      <c r="L3393">
        <f>YEAR(Master_ventas[[#This Row],[Order Date]])</f>
        <v>2024</v>
      </c>
      <c r="M3393" t="str">
        <f>CONCATENATE(LEFT(Master_ventas[[#This Row],[ProdUpper]],3),RIGHT(Master_ventas[[#This Row],[Ext-Year]],2),"-",MID(Master_ventas[[#This Row],[Category]],1,1))</f>
        <v>CAM24-E</v>
      </c>
      <c r="N3393" t="str">
        <f>MID(Master_ventas[[#This Row],[ProdUpper]],1,3)</f>
        <v>CAM</v>
      </c>
      <c r="O3393" t="str">
        <f>UPPER(IF(Master_ventas[[#This Row],[Profit]]&gt;500,"High","Std"))</f>
        <v>STD</v>
      </c>
      <c r="P3393">
        <v>3392</v>
      </c>
    </row>
    <row r="3394" spans="1:16" x14ac:dyDescent="0.3">
      <c r="A3394" s="1">
        <v>45189</v>
      </c>
      <c r="B3394" t="s">
        <v>7</v>
      </c>
      <c r="C3394" t="s">
        <v>8</v>
      </c>
      <c r="D3394" t="s">
        <v>16</v>
      </c>
      <c r="E3394">
        <v>1</v>
      </c>
      <c r="F3394" s="3">
        <v>623</v>
      </c>
      <c r="G3394" s="2">
        <v>81.239999999999995</v>
      </c>
      <c r="H3394">
        <f>Master_ventas[[#This Row],[Profit]]/Master_ventas[[#This Row],[Sales]]</f>
        <v>0.13040128410914928</v>
      </c>
      <c r="I3394">
        <f ca="1">Referencia_Hoy-Master_ventas[[#This Row],[Order Date]]</f>
        <v>1134</v>
      </c>
      <c r="J3394" t="str">
        <f>UPPER(Master_ventas[[#This Row],[Product Name]])</f>
        <v>PRINTER</v>
      </c>
      <c r="K3394" t="str">
        <f>UPPER(Master_ventas[[#This Row],[Category]])</f>
        <v>OFFICE</v>
      </c>
      <c r="L3394">
        <f>YEAR(Master_ventas[[#This Row],[Order Date]])</f>
        <v>2023</v>
      </c>
      <c r="M3394" t="str">
        <f>CONCATENATE(LEFT(Master_ventas[[#This Row],[ProdUpper]],3),RIGHT(Master_ventas[[#This Row],[Ext-Year]],2),"-",MID(Master_ventas[[#This Row],[Category]],1,1))</f>
        <v>PRI23-O</v>
      </c>
      <c r="N3394" t="str">
        <f>MID(Master_ventas[[#This Row],[ProdUpper]],1,3)</f>
        <v>PRI</v>
      </c>
      <c r="O3394" t="str">
        <f>UPPER(IF(Master_ventas[[#This Row],[Profit]]&gt;500,"High","Std"))</f>
        <v>STD</v>
      </c>
      <c r="P3394">
        <v>3393</v>
      </c>
    </row>
    <row r="3395" spans="1:16" x14ac:dyDescent="0.3">
      <c r="A3395" s="1">
        <v>45646</v>
      </c>
      <c r="B3395" t="s">
        <v>10</v>
      </c>
      <c r="C3395" t="s">
        <v>11</v>
      </c>
      <c r="D3395" t="s">
        <v>15</v>
      </c>
      <c r="E3395">
        <v>3</v>
      </c>
      <c r="F3395" s="3">
        <v>237</v>
      </c>
      <c r="G3395" s="2">
        <v>49.94</v>
      </c>
      <c r="H3395">
        <f>Master_ventas[[#This Row],[Profit]]/Master_ventas[[#This Row],[Sales]]</f>
        <v>0.21071729957805907</v>
      </c>
      <c r="I3395">
        <f ca="1">Referencia_Hoy-Master_ventas[[#This Row],[Order Date]]</f>
        <v>677</v>
      </c>
      <c r="J3395" t="str">
        <f>UPPER(Master_ventas[[#This Row],[Product Name]])</f>
        <v>MOUSE</v>
      </c>
      <c r="K3395" t="str">
        <f>UPPER(Master_ventas[[#This Row],[Category]])</f>
        <v>ACCESSORIES</v>
      </c>
      <c r="L3395">
        <f>YEAR(Master_ventas[[#This Row],[Order Date]])</f>
        <v>2024</v>
      </c>
      <c r="M3395" t="str">
        <f>CONCATENATE(LEFT(Master_ventas[[#This Row],[ProdUpper]],3),RIGHT(Master_ventas[[#This Row],[Ext-Year]],2),"-",MID(Master_ventas[[#This Row],[Category]],1,1))</f>
        <v>MOU24-A</v>
      </c>
      <c r="N3395" t="str">
        <f>MID(Master_ventas[[#This Row],[ProdUpper]],1,3)</f>
        <v>MOU</v>
      </c>
      <c r="O3395" t="str">
        <f>UPPER(IF(Master_ventas[[#This Row],[Profit]]&gt;500,"High","Std"))</f>
        <v>STD</v>
      </c>
      <c r="P3395">
        <v>3394</v>
      </c>
    </row>
    <row r="3396" spans="1:16" x14ac:dyDescent="0.3">
      <c r="A3396" s="1">
        <v>44638</v>
      </c>
      <c r="B3396" t="s">
        <v>22</v>
      </c>
      <c r="C3396" t="s">
        <v>11</v>
      </c>
      <c r="D3396" t="s">
        <v>9</v>
      </c>
      <c r="E3396">
        <v>9</v>
      </c>
      <c r="F3396" s="3">
        <v>8370</v>
      </c>
      <c r="G3396" s="2">
        <v>1525.8</v>
      </c>
      <c r="H3396">
        <f>Master_ventas[[#This Row],[Profit]]/Master_ventas[[#This Row],[Sales]]</f>
        <v>0.18229390681003585</v>
      </c>
      <c r="I3396">
        <f ca="1">Referencia_Hoy-Master_ventas[[#This Row],[Order Date]]</f>
        <v>1685</v>
      </c>
      <c r="J3396" t="str">
        <f>UPPER(Master_ventas[[#This Row],[Product Name]])</f>
        <v>KEYBOARD</v>
      </c>
      <c r="K3396" t="str">
        <f>UPPER(Master_ventas[[#This Row],[Category]])</f>
        <v>ACCESSORIES</v>
      </c>
      <c r="L3396">
        <f>YEAR(Master_ventas[[#This Row],[Order Date]])</f>
        <v>2022</v>
      </c>
      <c r="M3396" t="str">
        <f>CONCATENATE(LEFT(Master_ventas[[#This Row],[ProdUpper]],3),RIGHT(Master_ventas[[#This Row],[Ext-Year]],2),"-",MID(Master_ventas[[#This Row],[Category]],1,1))</f>
        <v>KEY22-A</v>
      </c>
      <c r="N3396" t="str">
        <f>MID(Master_ventas[[#This Row],[ProdUpper]],1,3)</f>
        <v>KEY</v>
      </c>
      <c r="O3396" t="str">
        <f>UPPER(IF(Master_ventas[[#This Row],[Profit]]&gt;500,"High","Std"))</f>
        <v>HIGH</v>
      </c>
      <c r="P3396">
        <v>3395</v>
      </c>
    </row>
    <row r="3397" spans="1:16" x14ac:dyDescent="0.3">
      <c r="A3397" s="1">
        <v>45027</v>
      </c>
      <c r="B3397" t="s">
        <v>18</v>
      </c>
      <c r="C3397" t="s">
        <v>11</v>
      </c>
      <c r="D3397" t="s">
        <v>15</v>
      </c>
      <c r="E3397">
        <v>5</v>
      </c>
      <c r="F3397" s="3">
        <v>4965</v>
      </c>
      <c r="G3397" s="2">
        <v>774.74</v>
      </c>
      <c r="H3397">
        <f>Master_ventas[[#This Row],[Profit]]/Master_ventas[[#This Row],[Sales]]</f>
        <v>0.15604028197381672</v>
      </c>
      <c r="I3397">
        <f ca="1">Referencia_Hoy-Master_ventas[[#This Row],[Order Date]]</f>
        <v>1296</v>
      </c>
      <c r="J3397" t="str">
        <f>UPPER(Master_ventas[[#This Row],[Product Name]])</f>
        <v>HEADPHONES</v>
      </c>
      <c r="K3397" t="str">
        <f>UPPER(Master_ventas[[#This Row],[Category]])</f>
        <v>ACCESSORIES</v>
      </c>
      <c r="L3397">
        <f>YEAR(Master_ventas[[#This Row],[Order Date]])</f>
        <v>2023</v>
      </c>
      <c r="M3397" t="str">
        <f>CONCATENATE(LEFT(Master_ventas[[#This Row],[ProdUpper]],3),RIGHT(Master_ventas[[#This Row],[Ext-Year]],2),"-",MID(Master_ventas[[#This Row],[Category]],1,1))</f>
        <v>HEA23-A</v>
      </c>
      <c r="N3397" t="str">
        <f>MID(Master_ventas[[#This Row],[ProdUpper]],1,3)</f>
        <v>HEA</v>
      </c>
      <c r="O3397" t="str">
        <f>UPPER(IF(Master_ventas[[#This Row],[Profit]]&gt;500,"High","Std"))</f>
        <v>HIGH</v>
      </c>
      <c r="P3397">
        <v>3396</v>
      </c>
    </row>
    <row r="3398" spans="1:16" x14ac:dyDescent="0.3">
      <c r="A3398" s="1">
        <v>45508</v>
      </c>
      <c r="B3398" t="s">
        <v>17</v>
      </c>
      <c r="C3398" t="s">
        <v>14</v>
      </c>
      <c r="D3398" t="s">
        <v>15</v>
      </c>
      <c r="E3398">
        <v>7</v>
      </c>
      <c r="F3398" s="3">
        <v>7791</v>
      </c>
      <c r="G3398" s="2">
        <v>1844.69</v>
      </c>
      <c r="H3398">
        <f>Master_ventas[[#This Row],[Profit]]/Master_ventas[[#This Row],[Sales]]</f>
        <v>0.23677191631369529</v>
      </c>
      <c r="I3398">
        <f ca="1">Referencia_Hoy-Master_ventas[[#This Row],[Order Date]]</f>
        <v>815</v>
      </c>
      <c r="J3398" t="str">
        <f>UPPER(Master_ventas[[#This Row],[Product Name]])</f>
        <v>CAMERA</v>
      </c>
      <c r="K3398" t="str">
        <f>UPPER(Master_ventas[[#This Row],[Category]])</f>
        <v>ELECTRONICS</v>
      </c>
      <c r="L3398">
        <f>YEAR(Master_ventas[[#This Row],[Order Date]])</f>
        <v>2024</v>
      </c>
      <c r="M3398" t="str">
        <f>CONCATENATE(LEFT(Master_ventas[[#This Row],[ProdUpper]],3),RIGHT(Master_ventas[[#This Row],[Ext-Year]],2),"-",MID(Master_ventas[[#This Row],[Category]],1,1))</f>
        <v>CAM24-E</v>
      </c>
      <c r="N3398" t="str">
        <f>MID(Master_ventas[[#This Row],[ProdUpper]],1,3)</f>
        <v>CAM</v>
      </c>
      <c r="O3398" t="str">
        <f>UPPER(IF(Master_ventas[[#This Row],[Profit]]&gt;500,"High","Std"))</f>
        <v>HIGH</v>
      </c>
      <c r="P3398">
        <v>3397</v>
      </c>
    </row>
    <row r="3399" spans="1:16" x14ac:dyDescent="0.3">
      <c r="A3399" s="1">
        <v>45564</v>
      </c>
      <c r="B3399" t="s">
        <v>21</v>
      </c>
      <c r="C3399" t="s">
        <v>14</v>
      </c>
      <c r="D3399" t="s">
        <v>16</v>
      </c>
      <c r="E3399">
        <v>1</v>
      </c>
      <c r="F3399" s="3">
        <v>158</v>
      </c>
      <c r="G3399" s="2">
        <v>32.89</v>
      </c>
      <c r="H3399">
        <f>Master_ventas[[#This Row],[Profit]]/Master_ventas[[#This Row],[Sales]]</f>
        <v>0.20816455696202532</v>
      </c>
      <c r="I3399">
        <f ca="1">Referencia_Hoy-Master_ventas[[#This Row],[Order Date]]</f>
        <v>759</v>
      </c>
      <c r="J3399" t="str">
        <f>UPPER(Master_ventas[[#This Row],[Product Name]])</f>
        <v>SMARTPHONE</v>
      </c>
      <c r="K3399" t="str">
        <f>UPPER(Master_ventas[[#This Row],[Category]])</f>
        <v>ELECTRONICS</v>
      </c>
      <c r="L3399">
        <f>YEAR(Master_ventas[[#This Row],[Order Date]])</f>
        <v>2024</v>
      </c>
      <c r="M3399" t="str">
        <f>CONCATENATE(LEFT(Master_ventas[[#This Row],[ProdUpper]],3),RIGHT(Master_ventas[[#This Row],[Ext-Year]],2),"-",MID(Master_ventas[[#This Row],[Category]],1,1))</f>
        <v>SMA24-E</v>
      </c>
      <c r="N3399" t="str">
        <f>MID(Master_ventas[[#This Row],[ProdUpper]],1,3)</f>
        <v>SMA</v>
      </c>
      <c r="O3399" t="str">
        <f>UPPER(IF(Master_ventas[[#This Row],[Profit]]&gt;500,"High","Std"))</f>
        <v>STD</v>
      </c>
      <c r="P3399">
        <v>3398</v>
      </c>
    </row>
    <row r="3400" spans="1:16" x14ac:dyDescent="0.3">
      <c r="A3400" s="1">
        <v>44996</v>
      </c>
      <c r="B3400" t="s">
        <v>22</v>
      </c>
      <c r="C3400" t="s">
        <v>11</v>
      </c>
      <c r="D3400" t="s">
        <v>16</v>
      </c>
      <c r="E3400">
        <v>7</v>
      </c>
      <c r="F3400" s="3">
        <v>4347</v>
      </c>
      <c r="G3400" s="2">
        <v>712.79</v>
      </c>
      <c r="H3400">
        <f>Master_ventas[[#This Row],[Profit]]/Master_ventas[[#This Row],[Sales]]</f>
        <v>0.16397285484242005</v>
      </c>
      <c r="I3400">
        <f ca="1">Referencia_Hoy-Master_ventas[[#This Row],[Order Date]]</f>
        <v>1327</v>
      </c>
      <c r="J3400" t="str">
        <f>UPPER(Master_ventas[[#This Row],[Product Name]])</f>
        <v>KEYBOARD</v>
      </c>
      <c r="K3400" t="str">
        <f>UPPER(Master_ventas[[#This Row],[Category]])</f>
        <v>ACCESSORIES</v>
      </c>
      <c r="L3400">
        <f>YEAR(Master_ventas[[#This Row],[Order Date]])</f>
        <v>2023</v>
      </c>
      <c r="M3400" t="str">
        <f>CONCATENATE(LEFT(Master_ventas[[#This Row],[ProdUpper]],3),RIGHT(Master_ventas[[#This Row],[Ext-Year]],2),"-",MID(Master_ventas[[#This Row],[Category]],1,1))</f>
        <v>KEY23-A</v>
      </c>
      <c r="N3400" t="str">
        <f>MID(Master_ventas[[#This Row],[ProdUpper]],1,3)</f>
        <v>KEY</v>
      </c>
      <c r="O3400" t="str">
        <f>UPPER(IF(Master_ventas[[#This Row],[Profit]]&gt;500,"High","Std"))</f>
        <v>HIGH</v>
      </c>
      <c r="P3400">
        <v>3399</v>
      </c>
    </row>
    <row r="3401" spans="1:16" x14ac:dyDescent="0.3">
      <c r="A3401" s="1">
        <v>44817</v>
      </c>
      <c r="B3401" t="s">
        <v>21</v>
      </c>
      <c r="C3401" t="s">
        <v>14</v>
      </c>
      <c r="D3401" t="s">
        <v>12</v>
      </c>
      <c r="E3401">
        <v>4</v>
      </c>
      <c r="F3401" s="3">
        <v>3364</v>
      </c>
      <c r="G3401" s="2">
        <v>527.28</v>
      </c>
      <c r="H3401">
        <f>Master_ventas[[#This Row],[Profit]]/Master_ventas[[#This Row],[Sales]]</f>
        <v>0.15674197384066588</v>
      </c>
      <c r="I3401">
        <f ca="1">Referencia_Hoy-Master_ventas[[#This Row],[Order Date]]</f>
        <v>1506</v>
      </c>
      <c r="J3401" t="str">
        <f>UPPER(Master_ventas[[#This Row],[Product Name]])</f>
        <v>SMARTPHONE</v>
      </c>
      <c r="K3401" t="str">
        <f>UPPER(Master_ventas[[#This Row],[Category]])</f>
        <v>ELECTRONICS</v>
      </c>
      <c r="L3401">
        <f>YEAR(Master_ventas[[#This Row],[Order Date]])</f>
        <v>2022</v>
      </c>
      <c r="M3401" t="str">
        <f>CONCATENATE(LEFT(Master_ventas[[#This Row],[ProdUpper]],3),RIGHT(Master_ventas[[#This Row],[Ext-Year]],2),"-",MID(Master_ventas[[#This Row],[Category]],1,1))</f>
        <v>SMA22-E</v>
      </c>
      <c r="N3401" t="str">
        <f>MID(Master_ventas[[#This Row],[ProdUpper]],1,3)</f>
        <v>SMA</v>
      </c>
      <c r="O3401" t="str">
        <f>UPPER(IF(Master_ventas[[#This Row],[Profit]]&gt;500,"High","Std"))</f>
        <v>HIGH</v>
      </c>
      <c r="P3401">
        <v>3400</v>
      </c>
    </row>
    <row r="3402" spans="1:16" x14ac:dyDescent="0.3">
      <c r="A3402" s="1">
        <v>45136</v>
      </c>
      <c r="B3402" t="s">
        <v>17</v>
      </c>
      <c r="C3402" t="s">
        <v>14</v>
      </c>
      <c r="D3402" t="s">
        <v>15</v>
      </c>
      <c r="E3402">
        <v>3</v>
      </c>
      <c r="F3402" s="3">
        <v>1098</v>
      </c>
      <c r="G3402" s="2">
        <v>77.81</v>
      </c>
      <c r="H3402">
        <f>Master_ventas[[#This Row],[Profit]]/Master_ventas[[#This Row],[Sales]]</f>
        <v>7.0865209471766846E-2</v>
      </c>
      <c r="I3402">
        <f ca="1">Referencia_Hoy-Master_ventas[[#This Row],[Order Date]]</f>
        <v>1187</v>
      </c>
      <c r="J3402" t="str">
        <f>UPPER(Master_ventas[[#This Row],[Product Name]])</f>
        <v>CAMERA</v>
      </c>
      <c r="K3402" t="str">
        <f>UPPER(Master_ventas[[#This Row],[Category]])</f>
        <v>ELECTRONICS</v>
      </c>
      <c r="L3402">
        <f>YEAR(Master_ventas[[#This Row],[Order Date]])</f>
        <v>2023</v>
      </c>
      <c r="M3402" t="str">
        <f>CONCATENATE(LEFT(Master_ventas[[#This Row],[ProdUpper]],3),RIGHT(Master_ventas[[#This Row],[Ext-Year]],2),"-",MID(Master_ventas[[#This Row],[Category]],1,1))</f>
        <v>CAM23-E</v>
      </c>
      <c r="N3402" t="str">
        <f>MID(Master_ventas[[#This Row],[ProdUpper]],1,3)</f>
        <v>CAM</v>
      </c>
      <c r="O3402" t="str">
        <f>UPPER(IF(Master_ventas[[#This Row],[Profit]]&gt;500,"High","Std"))</f>
        <v>STD</v>
      </c>
      <c r="P3402">
        <v>3401</v>
      </c>
    </row>
    <row r="3403" spans="1:16" x14ac:dyDescent="0.3">
      <c r="A3403" s="1">
        <v>44695</v>
      </c>
      <c r="B3403" t="s">
        <v>18</v>
      </c>
      <c r="C3403" t="s">
        <v>11</v>
      </c>
      <c r="D3403" t="s">
        <v>16</v>
      </c>
      <c r="E3403">
        <v>3</v>
      </c>
      <c r="F3403" s="3">
        <v>1083</v>
      </c>
      <c r="G3403" s="2">
        <v>257.44</v>
      </c>
      <c r="H3403">
        <f>Master_ventas[[#This Row],[Profit]]/Master_ventas[[#This Row],[Sales]]</f>
        <v>0.23771006463527239</v>
      </c>
      <c r="I3403">
        <f ca="1">Referencia_Hoy-Master_ventas[[#This Row],[Order Date]]</f>
        <v>1628</v>
      </c>
      <c r="J3403" t="str">
        <f>UPPER(Master_ventas[[#This Row],[Product Name]])</f>
        <v>HEADPHONES</v>
      </c>
      <c r="K3403" t="str">
        <f>UPPER(Master_ventas[[#This Row],[Category]])</f>
        <v>ACCESSORIES</v>
      </c>
      <c r="L3403">
        <f>YEAR(Master_ventas[[#This Row],[Order Date]])</f>
        <v>2022</v>
      </c>
      <c r="M3403" t="str">
        <f>CONCATENATE(LEFT(Master_ventas[[#This Row],[ProdUpper]],3),RIGHT(Master_ventas[[#This Row],[Ext-Year]],2),"-",MID(Master_ventas[[#This Row],[Category]],1,1))</f>
        <v>HEA22-A</v>
      </c>
      <c r="N3403" t="str">
        <f>MID(Master_ventas[[#This Row],[ProdUpper]],1,3)</f>
        <v>HEA</v>
      </c>
      <c r="O3403" t="str">
        <f>UPPER(IF(Master_ventas[[#This Row],[Profit]]&gt;500,"High","Std"))</f>
        <v>STD</v>
      </c>
      <c r="P3403">
        <v>3402</v>
      </c>
    </row>
    <row r="3404" spans="1:16" x14ac:dyDescent="0.3">
      <c r="A3404" s="1">
        <v>44813</v>
      </c>
      <c r="B3404" t="s">
        <v>23</v>
      </c>
      <c r="C3404" t="s">
        <v>14</v>
      </c>
      <c r="D3404" t="s">
        <v>12</v>
      </c>
      <c r="E3404">
        <v>4</v>
      </c>
      <c r="F3404" s="3">
        <v>1628</v>
      </c>
      <c r="G3404" s="2">
        <v>314.95999999999998</v>
      </c>
      <c r="H3404">
        <f>Master_ventas[[#This Row],[Profit]]/Master_ventas[[#This Row],[Sales]]</f>
        <v>0.19346437346437345</v>
      </c>
      <c r="I3404">
        <f ca="1">Referencia_Hoy-Master_ventas[[#This Row],[Order Date]]</f>
        <v>1510</v>
      </c>
      <c r="J3404" t="str">
        <f>UPPER(Master_ventas[[#This Row],[Product Name]])</f>
        <v>LAPTOP</v>
      </c>
      <c r="K3404" t="str">
        <f>UPPER(Master_ventas[[#This Row],[Category]])</f>
        <v>ELECTRONICS</v>
      </c>
      <c r="L3404">
        <f>YEAR(Master_ventas[[#This Row],[Order Date]])</f>
        <v>2022</v>
      </c>
      <c r="M3404" t="str">
        <f>CONCATENATE(LEFT(Master_ventas[[#This Row],[ProdUpper]],3),RIGHT(Master_ventas[[#This Row],[Ext-Year]],2),"-",MID(Master_ventas[[#This Row],[Category]],1,1))</f>
        <v>LAP22-E</v>
      </c>
      <c r="N3404" t="str">
        <f>MID(Master_ventas[[#This Row],[ProdUpper]],1,3)</f>
        <v>LAP</v>
      </c>
      <c r="O3404" t="str">
        <f>UPPER(IF(Master_ventas[[#This Row],[Profit]]&gt;500,"High","Std"))</f>
        <v>STD</v>
      </c>
      <c r="P3404">
        <v>3403</v>
      </c>
    </row>
    <row r="3405" spans="1:16" x14ac:dyDescent="0.3">
      <c r="A3405" s="1">
        <v>45615</v>
      </c>
      <c r="B3405" t="s">
        <v>22</v>
      </c>
      <c r="C3405" t="s">
        <v>11</v>
      </c>
      <c r="D3405" t="s">
        <v>15</v>
      </c>
      <c r="E3405">
        <v>4</v>
      </c>
      <c r="F3405" s="3">
        <v>1472</v>
      </c>
      <c r="G3405" s="2">
        <v>387.27</v>
      </c>
      <c r="H3405">
        <f>Master_ventas[[#This Row],[Profit]]/Master_ventas[[#This Row],[Sales]]</f>
        <v>0.26309103260869565</v>
      </c>
      <c r="I3405">
        <f ca="1">Referencia_Hoy-Master_ventas[[#This Row],[Order Date]]</f>
        <v>708</v>
      </c>
      <c r="J3405" t="str">
        <f>UPPER(Master_ventas[[#This Row],[Product Name]])</f>
        <v>KEYBOARD</v>
      </c>
      <c r="K3405" t="str">
        <f>UPPER(Master_ventas[[#This Row],[Category]])</f>
        <v>ACCESSORIES</v>
      </c>
      <c r="L3405">
        <f>YEAR(Master_ventas[[#This Row],[Order Date]])</f>
        <v>2024</v>
      </c>
      <c r="M3405" t="str">
        <f>CONCATENATE(LEFT(Master_ventas[[#This Row],[ProdUpper]],3),RIGHT(Master_ventas[[#This Row],[Ext-Year]],2),"-",MID(Master_ventas[[#This Row],[Category]],1,1))</f>
        <v>KEY24-A</v>
      </c>
      <c r="N3405" t="str">
        <f>MID(Master_ventas[[#This Row],[ProdUpper]],1,3)</f>
        <v>KEY</v>
      </c>
      <c r="O3405" t="str">
        <f>UPPER(IF(Master_ventas[[#This Row],[Profit]]&gt;500,"High","Std"))</f>
        <v>STD</v>
      </c>
      <c r="P3405">
        <v>3404</v>
      </c>
    </row>
    <row r="3406" spans="1:16" x14ac:dyDescent="0.3">
      <c r="A3406" s="1">
        <v>45554</v>
      </c>
      <c r="B3406" t="s">
        <v>7</v>
      </c>
      <c r="C3406" t="s">
        <v>8</v>
      </c>
      <c r="D3406" t="s">
        <v>16</v>
      </c>
      <c r="E3406">
        <v>9</v>
      </c>
      <c r="F3406" s="3">
        <v>3753</v>
      </c>
      <c r="G3406" s="2">
        <v>1114.8699999999999</v>
      </c>
      <c r="H3406">
        <f>Master_ventas[[#This Row],[Profit]]/Master_ventas[[#This Row],[Sales]]</f>
        <v>0.29706101785238476</v>
      </c>
      <c r="I3406">
        <f ca="1">Referencia_Hoy-Master_ventas[[#This Row],[Order Date]]</f>
        <v>769</v>
      </c>
      <c r="J3406" t="str">
        <f>UPPER(Master_ventas[[#This Row],[Product Name]])</f>
        <v>PRINTER</v>
      </c>
      <c r="K3406" t="str">
        <f>UPPER(Master_ventas[[#This Row],[Category]])</f>
        <v>OFFICE</v>
      </c>
      <c r="L3406">
        <f>YEAR(Master_ventas[[#This Row],[Order Date]])</f>
        <v>2024</v>
      </c>
      <c r="M3406" t="str">
        <f>CONCATENATE(LEFT(Master_ventas[[#This Row],[ProdUpper]],3),RIGHT(Master_ventas[[#This Row],[Ext-Year]],2),"-",MID(Master_ventas[[#This Row],[Category]],1,1))</f>
        <v>PRI24-O</v>
      </c>
      <c r="N3406" t="str">
        <f>MID(Master_ventas[[#This Row],[ProdUpper]],1,3)</f>
        <v>PRI</v>
      </c>
      <c r="O3406" t="str">
        <f>UPPER(IF(Master_ventas[[#This Row],[Profit]]&gt;500,"High","Std"))</f>
        <v>HIGH</v>
      </c>
      <c r="P3406">
        <v>3405</v>
      </c>
    </row>
    <row r="3407" spans="1:16" x14ac:dyDescent="0.3">
      <c r="A3407" s="1">
        <v>45110</v>
      </c>
      <c r="B3407" t="s">
        <v>20</v>
      </c>
      <c r="C3407" t="s">
        <v>11</v>
      </c>
      <c r="D3407" t="s">
        <v>15</v>
      </c>
      <c r="E3407">
        <v>6</v>
      </c>
      <c r="F3407" s="3">
        <v>6402</v>
      </c>
      <c r="G3407" s="2">
        <v>1602.79</v>
      </c>
      <c r="H3407">
        <f>Master_ventas[[#This Row],[Profit]]/Master_ventas[[#This Row],[Sales]]</f>
        <v>0.25035770071852548</v>
      </c>
      <c r="I3407">
        <f ca="1">Referencia_Hoy-Master_ventas[[#This Row],[Order Date]]</f>
        <v>1213</v>
      </c>
      <c r="J3407" t="str">
        <f>UPPER(Master_ventas[[#This Row],[Product Name]])</f>
        <v>MONITOR</v>
      </c>
      <c r="K3407" t="str">
        <f>UPPER(Master_ventas[[#This Row],[Category]])</f>
        <v>ACCESSORIES</v>
      </c>
      <c r="L3407">
        <f>YEAR(Master_ventas[[#This Row],[Order Date]])</f>
        <v>2023</v>
      </c>
      <c r="M3407" t="str">
        <f>CONCATENATE(LEFT(Master_ventas[[#This Row],[ProdUpper]],3),RIGHT(Master_ventas[[#This Row],[Ext-Year]],2),"-",MID(Master_ventas[[#This Row],[Category]],1,1))</f>
        <v>MON23-A</v>
      </c>
      <c r="N3407" t="str">
        <f>MID(Master_ventas[[#This Row],[ProdUpper]],1,3)</f>
        <v>MON</v>
      </c>
      <c r="O3407" t="str">
        <f>UPPER(IF(Master_ventas[[#This Row],[Profit]]&gt;500,"High","Std"))</f>
        <v>HIGH</v>
      </c>
      <c r="P3407">
        <v>3406</v>
      </c>
    </row>
    <row r="3408" spans="1:16" x14ac:dyDescent="0.3">
      <c r="A3408" s="1">
        <v>45399</v>
      </c>
      <c r="B3408" t="s">
        <v>20</v>
      </c>
      <c r="C3408" t="s">
        <v>11</v>
      </c>
      <c r="D3408" t="s">
        <v>16</v>
      </c>
      <c r="E3408">
        <v>3</v>
      </c>
      <c r="F3408" s="3">
        <v>2565</v>
      </c>
      <c r="G3408" s="2">
        <v>510.73</v>
      </c>
      <c r="H3408">
        <f>Master_ventas[[#This Row],[Profit]]/Master_ventas[[#This Row],[Sales]]</f>
        <v>0.19911500974658869</v>
      </c>
      <c r="I3408">
        <f ca="1">Referencia_Hoy-Master_ventas[[#This Row],[Order Date]]</f>
        <v>924</v>
      </c>
      <c r="J3408" t="str">
        <f>UPPER(Master_ventas[[#This Row],[Product Name]])</f>
        <v>MONITOR</v>
      </c>
      <c r="K3408" t="str">
        <f>UPPER(Master_ventas[[#This Row],[Category]])</f>
        <v>ACCESSORIES</v>
      </c>
      <c r="L3408">
        <f>YEAR(Master_ventas[[#This Row],[Order Date]])</f>
        <v>2024</v>
      </c>
      <c r="M3408" t="str">
        <f>CONCATENATE(LEFT(Master_ventas[[#This Row],[ProdUpper]],3),RIGHT(Master_ventas[[#This Row],[Ext-Year]],2),"-",MID(Master_ventas[[#This Row],[Category]],1,1))</f>
        <v>MON24-A</v>
      </c>
      <c r="N3408" t="str">
        <f>MID(Master_ventas[[#This Row],[ProdUpper]],1,3)</f>
        <v>MON</v>
      </c>
      <c r="O3408" t="str">
        <f>UPPER(IF(Master_ventas[[#This Row],[Profit]]&gt;500,"High","Std"))</f>
        <v>HIGH</v>
      </c>
      <c r="P3408">
        <v>3407</v>
      </c>
    </row>
    <row r="3409" spans="1:16" x14ac:dyDescent="0.3">
      <c r="A3409" s="1">
        <v>45583</v>
      </c>
      <c r="B3409" t="s">
        <v>10</v>
      </c>
      <c r="C3409" t="s">
        <v>11</v>
      </c>
      <c r="D3409" t="s">
        <v>15</v>
      </c>
      <c r="E3409">
        <v>3</v>
      </c>
      <c r="F3409" s="3">
        <v>2214</v>
      </c>
      <c r="G3409" s="2">
        <v>127.34</v>
      </c>
      <c r="H3409">
        <f>Master_ventas[[#This Row],[Profit]]/Master_ventas[[#This Row],[Sales]]</f>
        <v>5.7515808491418248E-2</v>
      </c>
      <c r="I3409">
        <f ca="1">Referencia_Hoy-Master_ventas[[#This Row],[Order Date]]</f>
        <v>740</v>
      </c>
      <c r="J3409" t="str">
        <f>UPPER(Master_ventas[[#This Row],[Product Name]])</f>
        <v>MOUSE</v>
      </c>
      <c r="K3409" t="str">
        <f>UPPER(Master_ventas[[#This Row],[Category]])</f>
        <v>ACCESSORIES</v>
      </c>
      <c r="L3409">
        <f>YEAR(Master_ventas[[#This Row],[Order Date]])</f>
        <v>2024</v>
      </c>
      <c r="M3409" t="str">
        <f>CONCATENATE(LEFT(Master_ventas[[#This Row],[ProdUpper]],3),RIGHT(Master_ventas[[#This Row],[Ext-Year]],2),"-",MID(Master_ventas[[#This Row],[Category]],1,1))</f>
        <v>MOU24-A</v>
      </c>
      <c r="N3409" t="str">
        <f>MID(Master_ventas[[#This Row],[ProdUpper]],1,3)</f>
        <v>MOU</v>
      </c>
      <c r="O3409" t="str">
        <f>UPPER(IF(Master_ventas[[#This Row],[Profit]]&gt;500,"High","Std"))</f>
        <v>STD</v>
      </c>
      <c r="P3409">
        <v>3408</v>
      </c>
    </row>
    <row r="3410" spans="1:16" x14ac:dyDescent="0.3">
      <c r="A3410" s="1">
        <v>45459</v>
      </c>
      <c r="B3410" t="s">
        <v>20</v>
      </c>
      <c r="C3410" t="s">
        <v>11</v>
      </c>
      <c r="D3410" t="s">
        <v>16</v>
      </c>
      <c r="E3410">
        <v>3</v>
      </c>
      <c r="F3410" s="3">
        <v>975</v>
      </c>
      <c r="G3410" s="2">
        <v>291.81</v>
      </c>
      <c r="H3410">
        <f>Master_ventas[[#This Row],[Profit]]/Master_ventas[[#This Row],[Sales]]</f>
        <v>0.29929230769230769</v>
      </c>
      <c r="I3410">
        <f ca="1">Referencia_Hoy-Master_ventas[[#This Row],[Order Date]]</f>
        <v>864</v>
      </c>
      <c r="J3410" t="str">
        <f>UPPER(Master_ventas[[#This Row],[Product Name]])</f>
        <v>MONITOR</v>
      </c>
      <c r="K3410" t="str">
        <f>UPPER(Master_ventas[[#This Row],[Category]])</f>
        <v>ACCESSORIES</v>
      </c>
      <c r="L3410">
        <f>YEAR(Master_ventas[[#This Row],[Order Date]])</f>
        <v>2024</v>
      </c>
      <c r="M3410" t="str">
        <f>CONCATENATE(LEFT(Master_ventas[[#This Row],[ProdUpper]],3),RIGHT(Master_ventas[[#This Row],[Ext-Year]],2),"-",MID(Master_ventas[[#This Row],[Category]],1,1))</f>
        <v>MON24-A</v>
      </c>
      <c r="N3410" t="str">
        <f>MID(Master_ventas[[#This Row],[ProdUpper]],1,3)</f>
        <v>MON</v>
      </c>
      <c r="O3410" t="str">
        <f>UPPER(IF(Master_ventas[[#This Row],[Profit]]&gt;500,"High","Std"))</f>
        <v>STD</v>
      </c>
      <c r="P3410">
        <v>3409</v>
      </c>
    </row>
    <row r="3411" spans="1:16" x14ac:dyDescent="0.3">
      <c r="A3411" s="1">
        <v>45213</v>
      </c>
      <c r="B3411" t="s">
        <v>7</v>
      </c>
      <c r="C3411" t="s">
        <v>8</v>
      </c>
      <c r="D3411" t="s">
        <v>12</v>
      </c>
      <c r="E3411">
        <v>8</v>
      </c>
      <c r="F3411" s="3">
        <v>3312</v>
      </c>
      <c r="G3411" s="2">
        <v>854.12</v>
      </c>
      <c r="H3411">
        <f>Master_ventas[[#This Row],[Profit]]/Master_ventas[[#This Row],[Sales]]</f>
        <v>0.25788647342995169</v>
      </c>
      <c r="I3411">
        <f ca="1">Referencia_Hoy-Master_ventas[[#This Row],[Order Date]]</f>
        <v>1110</v>
      </c>
      <c r="J3411" t="str">
        <f>UPPER(Master_ventas[[#This Row],[Product Name]])</f>
        <v>PRINTER</v>
      </c>
      <c r="K3411" t="str">
        <f>UPPER(Master_ventas[[#This Row],[Category]])</f>
        <v>OFFICE</v>
      </c>
      <c r="L3411">
        <f>YEAR(Master_ventas[[#This Row],[Order Date]])</f>
        <v>2023</v>
      </c>
      <c r="M3411" t="str">
        <f>CONCATENATE(LEFT(Master_ventas[[#This Row],[ProdUpper]],3),RIGHT(Master_ventas[[#This Row],[Ext-Year]],2),"-",MID(Master_ventas[[#This Row],[Category]],1,1))</f>
        <v>PRI23-O</v>
      </c>
      <c r="N3411" t="str">
        <f>MID(Master_ventas[[#This Row],[ProdUpper]],1,3)</f>
        <v>PRI</v>
      </c>
      <c r="O3411" t="str">
        <f>UPPER(IF(Master_ventas[[#This Row],[Profit]]&gt;500,"High","Std"))</f>
        <v>HIGH</v>
      </c>
      <c r="P3411">
        <v>3410</v>
      </c>
    </row>
    <row r="3412" spans="1:16" x14ac:dyDescent="0.3">
      <c r="A3412" s="1">
        <v>45211</v>
      </c>
      <c r="B3412" t="s">
        <v>7</v>
      </c>
      <c r="C3412" t="s">
        <v>8</v>
      </c>
      <c r="D3412" t="s">
        <v>12</v>
      </c>
      <c r="E3412">
        <v>1</v>
      </c>
      <c r="F3412" s="3">
        <v>267</v>
      </c>
      <c r="G3412" s="2">
        <v>41.85</v>
      </c>
      <c r="H3412">
        <f>Master_ventas[[#This Row],[Profit]]/Master_ventas[[#This Row],[Sales]]</f>
        <v>0.15674157303370786</v>
      </c>
      <c r="I3412">
        <f ca="1">Referencia_Hoy-Master_ventas[[#This Row],[Order Date]]</f>
        <v>1112</v>
      </c>
      <c r="J3412" t="str">
        <f>UPPER(Master_ventas[[#This Row],[Product Name]])</f>
        <v>PRINTER</v>
      </c>
      <c r="K3412" t="str">
        <f>UPPER(Master_ventas[[#This Row],[Category]])</f>
        <v>OFFICE</v>
      </c>
      <c r="L3412">
        <f>YEAR(Master_ventas[[#This Row],[Order Date]])</f>
        <v>2023</v>
      </c>
      <c r="M3412" t="str">
        <f>CONCATENATE(LEFT(Master_ventas[[#This Row],[ProdUpper]],3),RIGHT(Master_ventas[[#This Row],[Ext-Year]],2),"-",MID(Master_ventas[[#This Row],[Category]],1,1))</f>
        <v>PRI23-O</v>
      </c>
      <c r="N3412" t="str">
        <f>MID(Master_ventas[[#This Row],[ProdUpper]],1,3)</f>
        <v>PRI</v>
      </c>
      <c r="O3412" t="str">
        <f>UPPER(IF(Master_ventas[[#This Row],[Profit]]&gt;500,"High","Std"))</f>
        <v>STD</v>
      </c>
      <c r="P3412">
        <v>3411</v>
      </c>
    </row>
    <row r="3413" spans="1:16" x14ac:dyDescent="0.3">
      <c r="A3413" s="1">
        <v>44662</v>
      </c>
      <c r="B3413" t="s">
        <v>21</v>
      </c>
      <c r="C3413" t="s">
        <v>14</v>
      </c>
      <c r="D3413" t="s">
        <v>12</v>
      </c>
      <c r="E3413">
        <v>9</v>
      </c>
      <c r="F3413" s="3">
        <v>8145</v>
      </c>
      <c r="G3413" s="2">
        <v>2384.42</v>
      </c>
      <c r="H3413">
        <f>Master_ventas[[#This Row],[Profit]]/Master_ventas[[#This Row],[Sales]]</f>
        <v>0.29274647022713324</v>
      </c>
      <c r="I3413">
        <f ca="1">Referencia_Hoy-Master_ventas[[#This Row],[Order Date]]</f>
        <v>1661</v>
      </c>
      <c r="J3413" t="str">
        <f>UPPER(Master_ventas[[#This Row],[Product Name]])</f>
        <v>SMARTPHONE</v>
      </c>
      <c r="K3413" t="str">
        <f>UPPER(Master_ventas[[#This Row],[Category]])</f>
        <v>ELECTRONICS</v>
      </c>
      <c r="L3413">
        <f>YEAR(Master_ventas[[#This Row],[Order Date]])</f>
        <v>2022</v>
      </c>
      <c r="M3413" t="str">
        <f>CONCATENATE(LEFT(Master_ventas[[#This Row],[ProdUpper]],3),RIGHT(Master_ventas[[#This Row],[Ext-Year]],2),"-",MID(Master_ventas[[#This Row],[Category]],1,1))</f>
        <v>SMA22-E</v>
      </c>
      <c r="N3413" t="str">
        <f>MID(Master_ventas[[#This Row],[ProdUpper]],1,3)</f>
        <v>SMA</v>
      </c>
      <c r="O3413" t="str">
        <f>UPPER(IF(Master_ventas[[#This Row],[Profit]]&gt;500,"High","Std"))</f>
        <v>HIGH</v>
      </c>
      <c r="P3413">
        <v>3412</v>
      </c>
    </row>
    <row r="3414" spans="1:16" x14ac:dyDescent="0.3">
      <c r="A3414" s="1">
        <v>44567</v>
      </c>
      <c r="B3414" t="s">
        <v>7</v>
      </c>
      <c r="C3414" t="s">
        <v>8</v>
      </c>
      <c r="D3414" t="s">
        <v>9</v>
      </c>
      <c r="E3414">
        <v>1</v>
      </c>
      <c r="F3414" s="3">
        <v>232</v>
      </c>
      <c r="G3414" s="2">
        <v>34.26</v>
      </c>
      <c r="H3414">
        <f>Master_ventas[[#This Row],[Profit]]/Master_ventas[[#This Row],[Sales]]</f>
        <v>0.14767241379310345</v>
      </c>
      <c r="I3414">
        <f ca="1">Referencia_Hoy-Master_ventas[[#This Row],[Order Date]]</f>
        <v>1756</v>
      </c>
      <c r="J3414" t="str">
        <f>UPPER(Master_ventas[[#This Row],[Product Name]])</f>
        <v>PRINTER</v>
      </c>
      <c r="K3414" t="str">
        <f>UPPER(Master_ventas[[#This Row],[Category]])</f>
        <v>OFFICE</v>
      </c>
      <c r="L3414">
        <f>YEAR(Master_ventas[[#This Row],[Order Date]])</f>
        <v>2022</v>
      </c>
      <c r="M3414" t="str">
        <f>CONCATENATE(LEFT(Master_ventas[[#This Row],[ProdUpper]],3),RIGHT(Master_ventas[[#This Row],[Ext-Year]],2),"-",MID(Master_ventas[[#This Row],[Category]],1,1))</f>
        <v>PRI22-O</v>
      </c>
      <c r="N3414" t="str">
        <f>MID(Master_ventas[[#This Row],[ProdUpper]],1,3)</f>
        <v>PRI</v>
      </c>
      <c r="O3414" t="str">
        <f>UPPER(IF(Master_ventas[[#This Row],[Profit]]&gt;500,"High","Std"))</f>
        <v>STD</v>
      </c>
      <c r="P3414">
        <v>3413</v>
      </c>
    </row>
    <row r="3415" spans="1:16" x14ac:dyDescent="0.3">
      <c r="A3415" s="1">
        <v>45571</v>
      </c>
      <c r="B3415" t="s">
        <v>21</v>
      </c>
      <c r="C3415" t="s">
        <v>14</v>
      </c>
      <c r="D3415" t="s">
        <v>9</v>
      </c>
      <c r="E3415">
        <v>3</v>
      </c>
      <c r="F3415" s="3">
        <v>300</v>
      </c>
      <c r="G3415" s="2">
        <v>38.44</v>
      </c>
      <c r="H3415">
        <f>Master_ventas[[#This Row],[Profit]]/Master_ventas[[#This Row],[Sales]]</f>
        <v>0.12813333333333332</v>
      </c>
      <c r="I3415">
        <f ca="1">Referencia_Hoy-Master_ventas[[#This Row],[Order Date]]</f>
        <v>752</v>
      </c>
      <c r="J3415" t="str">
        <f>UPPER(Master_ventas[[#This Row],[Product Name]])</f>
        <v>SMARTPHONE</v>
      </c>
      <c r="K3415" t="str">
        <f>UPPER(Master_ventas[[#This Row],[Category]])</f>
        <v>ELECTRONICS</v>
      </c>
      <c r="L3415">
        <f>YEAR(Master_ventas[[#This Row],[Order Date]])</f>
        <v>2024</v>
      </c>
      <c r="M3415" t="str">
        <f>CONCATENATE(LEFT(Master_ventas[[#This Row],[ProdUpper]],3),RIGHT(Master_ventas[[#This Row],[Ext-Year]],2),"-",MID(Master_ventas[[#This Row],[Category]],1,1))</f>
        <v>SMA24-E</v>
      </c>
      <c r="N3415" t="str">
        <f>MID(Master_ventas[[#This Row],[ProdUpper]],1,3)</f>
        <v>SMA</v>
      </c>
      <c r="O3415" t="str">
        <f>UPPER(IF(Master_ventas[[#This Row],[Profit]]&gt;500,"High","Std"))</f>
        <v>STD</v>
      </c>
      <c r="P3415">
        <v>3414</v>
      </c>
    </row>
    <row r="3416" spans="1:16" x14ac:dyDescent="0.3">
      <c r="A3416" s="1">
        <v>45349</v>
      </c>
      <c r="B3416" t="s">
        <v>20</v>
      </c>
      <c r="C3416" t="s">
        <v>11</v>
      </c>
      <c r="D3416" t="s">
        <v>12</v>
      </c>
      <c r="E3416">
        <v>2</v>
      </c>
      <c r="F3416" s="3">
        <v>2248</v>
      </c>
      <c r="G3416" s="2">
        <v>473.21</v>
      </c>
      <c r="H3416">
        <f>Master_ventas[[#This Row],[Profit]]/Master_ventas[[#This Row],[Sales]]</f>
        <v>0.21050266903914591</v>
      </c>
      <c r="I3416">
        <f ca="1">Referencia_Hoy-Master_ventas[[#This Row],[Order Date]]</f>
        <v>974</v>
      </c>
      <c r="J3416" t="str">
        <f>UPPER(Master_ventas[[#This Row],[Product Name]])</f>
        <v>MONITOR</v>
      </c>
      <c r="K3416" t="str">
        <f>UPPER(Master_ventas[[#This Row],[Category]])</f>
        <v>ACCESSORIES</v>
      </c>
      <c r="L3416">
        <f>YEAR(Master_ventas[[#This Row],[Order Date]])</f>
        <v>2024</v>
      </c>
      <c r="M3416" t="str">
        <f>CONCATENATE(LEFT(Master_ventas[[#This Row],[ProdUpper]],3),RIGHT(Master_ventas[[#This Row],[Ext-Year]],2),"-",MID(Master_ventas[[#This Row],[Category]],1,1))</f>
        <v>MON24-A</v>
      </c>
      <c r="N3416" t="str">
        <f>MID(Master_ventas[[#This Row],[ProdUpper]],1,3)</f>
        <v>MON</v>
      </c>
      <c r="O3416" t="str">
        <f>UPPER(IF(Master_ventas[[#This Row],[Profit]]&gt;500,"High","Std"))</f>
        <v>STD</v>
      </c>
      <c r="P3416">
        <v>3415</v>
      </c>
    </row>
    <row r="3417" spans="1:16" x14ac:dyDescent="0.3">
      <c r="A3417" s="1">
        <v>45209</v>
      </c>
      <c r="B3417" t="s">
        <v>20</v>
      </c>
      <c r="C3417" t="s">
        <v>11</v>
      </c>
      <c r="D3417" t="s">
        <v>9</v>
      </c>
      <c r="E3417">
        <v>6</v>
      </c>
      <c r="F3417" s="3">
        <v>1614</v>
      </c>
      <c r="G3417" s="2">
        <v>166.62</v>
      </c>
      <c r="H3417">
        <f>Master_ventas[[#This Row],[Profit]]/Master_ventas[[#This Row],[Sales]]</f>
        <v>0.10323420074349443</v>
      </c>
      <c r="I3417">
        <f ca="1">Referencia_Hoy-Master_ventas[[#This Row],[Order Date]]</f>
        <v>1114</v>
      </c>
      <c r="J3417" t="str">
        <f>UPPER(Master_ventas[[#This Row],[Product Name]])</f>
        <v>MONITOR</v>
      </c>
      <c r="K3417" t="str">
        <f>UPPER(Master_ventas[[#This Row],[Category]])</f>
        <v>ACCESSORIES</v>
      </c>
      <c r="L3417">
        <f>YEAR(Master_ventas[[#This Row],[Order Date]])</f>
        <v>2023</v>
      </c>
      <c r="M3417" t="str">
        <f>CONCATENATE(LEFT(Master_ventas[[#This Row],[ProdUpper]],3),RIGHT(Master_ventas[[#This Row],[Ext-Year]],2),"-",MID(Master_ventas[[#This Row],[Category]],1,1))</f>
        <v>MON23-A</v>
      </c>
      <c r="N3417" t="str">
        <f>MID(Master_ventas[[#This Row],[ProdUpper]],1,3)</f>
        <v>MON</v>
      </c>
      <c r="O3417" t="str">
        <f>UPPER(IF(Master_ventas[[#This Row],[Profit]]&gt;500,"High","Std"))</f>
        <v>STD</v>
      </c>
      <c r="P3417">
        <v>3416</v>
      </c>
    </row>
    <row r="3418" spans="1:16" x14ac:dyDescent="0.3">
      <c r="A3418" s="1">
        <v>44684</v>
      </c>
      <c r="B3418" t="s">
        <v>20</v>
      </c>
      <c r="C3418" t="s">
        <v>11</v>
      </c>
      <c r="D3418" t="s">
        <v>16</v>
      </c>
      <c r="E3418">
        <v>2</v>
      </c>
      <c r="F3418" s="3">
        <v>1476</v>
      </c>
      <c r="G3418" s="2">
        <v>195.74</v>
      </c>
      <c r="H3418">
        <f>Master_ventas[[#This Row],[Profit]]/Master_ventas[[#This Row],[Sales]]</f>
        <v>0.13261517615176152</v>
      </c>
      <c r="I3418">
        <f ca="1">Referencia_Hoy-Master_ventas[[#This Row],[Order Date]]</f>
        <v>1639</v>
      </c>
      <c r="J3418" t="str">
        <f>UPPER(Master_ventas[[#This Row],[Product Name]])</f>
        <v>MONITOR</v>
      </c>
      <c r="K3418" t="str">
        <f>UPPER(Master_ventas[[#This Row],[Category]])</f>
        <v>ACCESSORIES</v>
      </c>
      <c r="L3418">
        <f>YEAR(Master_ventas[[#This Row],[Order Date]])</f>
        <v>2022</v>
      </c>
      <c r="M3418" t="str">
        <f>CONCATENATE(LEFT(Master_ventas[[#This Row],[ProdUpper]],3),RIGHT(Master_ventas[[#This Row],[Ext-Year]],2),"-",MID(Master_ventas[[#This Row],[Category]],1,1))</f>
        <v>MON22-A</v>
      </c>
      <c r="N3418" t="str">
        <f>MID(Master_ventas[[#This Row],[ProdUpper]],1,3)</f>
        <v>MON</v>
      </c>
      <c r="O3418" t="str">
        <f>UPPER(IF(Master_ventas[[#This Row],[Profit]]&gt;500,"High","Std"))</f>
        <v>STD</v>
      </c>
      <c r="P3418">
        <v>3417</v>
      </c>
    </row>
    <row r="3419" spans="1:16" x14ac:dyDescent="0.3">
      <c r="A3419" s="1">
        <v>45601</v>
      </c>
      <c r="B3419" t="s">
        <v>7</v>
      </c>
      <c r="C3419" t="s">
        <v>8</v>
      </c>
      <c r="D3419" t="s">
        <v>15</v>
      </c>
      <c r="E3419">
        <v>5</v>
      </c>
      <c r="F3419" s="3">
        <v>4375</v>
      </c>
      <c r="G3419" s="2">
        <v>347.43</v>
      </c>
      <c r="H3419">
        <f>Master_ventas[[#This Row],[Profit]]/Master_ventas[[#This Row],[Sales]]</f>
        <v>7.941257142857143E-2</v>
      </c>
      <c r="I3419">
        <f ca="1">Referencia_Hoy-Master_ventas[[#This Row],[Order Date]]</f>
        <v>722</v>
      </c>
      <c r="J3419" t="str">
        <f>UPPER(Master_ventas[[#This Row],[Product Name]])</f>
        <v>PRINTER</v>
      </c>
      <c r="K3419" t="str">
        <f>UPPER(Master_ventas[[#This Row],[Category]])</f>
        <v>OFFICE</v>
      </c>
      <c r="L3419">
        <f>YEAR(Master_ventas[[#This Row],[Order Date]])</f>
        <v>2024</v>
      </c>
      <c r="M3419" t="str">
        <f>CONCATENATE(LEFT(Master_ventas[[#This Row],[ProdUpper]],3),RIGHT(Master_ventas[[#This Row],[Ext-Year]],2),"-",MID(Master_ventas[[#This Row],[Category]],1,1))</f>
        <v>PRI24-O</v>
      </c>
      <c r="N3419" t="str">
        <f>MID(Master_ventas[[#This Row],[ProdUpper]],1,3)</f>
        <v>PRI</v>
      </c>
      <c r="O3419" t="str">
        <f>UPPER(IF(Master_ventas[[#This Row],[Profit]]&gt;500,"High","Std"))</f>
        <v>STD</v>
      </c>
      <c r="P3419">
        <v>3418</v>
      </c>
    </row>
    <row r="3420" spans="1:16" x14ac:dyDescent="0.3">
      <c r="A3420" s="1">
        <v>45538</v>
      </c>
      <c r="B3420" t="s">
        <v>19</v>
      </c>
      <c r="C3420" t="s">
        <v>14</v>
      </c>
      <c r="D3420" t="s">
        <v>9</v>
      </c>
      <c r="E3420">
        <v>4</v>
      </c>
      <c r="F3420" s="3">
        <v>1064</v>
      </c>
      <c r="G3420" s="2">
        <v>263.48</v>
      </c>
      <c r="H3420">
        <f>Master_ventas[[#This Row],[Profit]]/Master_ventas[[#This Row],[Sales]]</f>
        <v>0.24763157894736842</v>
      </c>
      <c r="I3420">
        <f ca="1">Referencia_Hoy-Master_ventas[[#This Row],[Order Date]]</f>
        <v>785</v>
      </c>
      <c r="J3420" t="str">
        <f>UPPER(Master_ventas[[#This Row],[Product Name]])</f>
        <v>SMARTWATCH</v>
      </c>
      <c r="K3420" t="str">
        <f>UPPER(Master_ventas[[#This Row],[Category]])</f>
        <v>ELECTRONICS</v>
      </c>
      <c r="L3420">
        <f>YEAR(Master_ventas[[#This Row],[Order Date]])</f>
        <v>2024</v>
      </c>
      <c r="M3420" t="str">
        <f>CONCATENATE(LEFT(Master_ventas[[#This Row],[ProdUpper]],3),RIGHT(Master_ventas[[#This Row],[Ext-Year]],2),"-",MID(Master_ventas[[#This Row],[Category]],1,1))</f>
        <v>SMA24-E</v>
      </c>
      <c r="N3420" t="str">
        <f>MID(Master_ventas[[#This Row],[ProdUpper]],1,3)</f>
        <v>SMA</v>
      </c>
      <c r="O3420" t="str">
        <f>UPPER(IF(Master_ventas[[#This Row],[Profit]]&gt;500,"High","Std"))</f>
        <v>STD</v>
      </c>
      <c r="P3420">
        <v>3419</v>
      </c>
    </row>
    <row r="3421" spans="1:16" x14ac:dyDescent="0.3">
      <c r="A3421" s="1">
        <v>44838</v>
      </c>
      <c r="B3421" t="s">
        <v>18</v>
      </c>
      <c r="C3421" t="s">
        <v>11</v>
      </c>
      <c r="D3421" t="s">
        <v>9</v>
      </c>
      <c r="E3421">
        <v>6</v>
      </c>
      <c r="F3421" s="3">
        <v>1068</v>
      </c>
      <c r="G3421" s="2">
        <v>190.77</v>
      </c>
      <c r="H3421">
        <f>Master_ventas[[#This Row],[Profit]]/Master_ventas[[#This Row],[Sales]]</f>
        <v>0.17862359550561799</v>
      </c>
      <c r="I3421">
        <f ca="1">Referencia_Hoy-Master_ventas[[#This Row],[Order Date]]</f>
        <v>1485</v>
      </c>
      <c r="J3421" t="str">
        <f>UPPER(Master_ventas[[#This Row],[Product Name]])</f>
        <v>HEADPHONES</v>
      </c>
      <c r="K3421" t="str">
        <f>UPPER(Master_ventas[[#This Row],[Category]])</f>
        <v>ACCESSORIES</v>
      </c>
      <c r="L3421">
        <f>YEAR(Master_ventas[[#This Row],[Order Date]])</f>
        <v>2022</v>
      </c>
      <c r="M3421" t="str">
        <f>CONCATENATE(LEFT(Master_ventas[[#This Row],[ProdUpper]],3),RIGHT(Master_ventas[[#This Row],[Ext-Year]],2),"-",MID(Master_ventas[[#This Row],[Category]],1,1))</f>
        <v>HEA22-A</v>
      </c>
      <c r="N3421" t="str">
        <f>MID(Master_ventas[[#This Row],[ProdUpper]],1,3)</f>
        <v>HEA</v>
      </c>
      <c r="O3421" t="str">
        <f>UPPER(IF(Master_ventas[[#This Row],[Profit]]&gt;500,"High","Std"))</f>
        <v>STD</v>
      </c>
      <c r="P3421">
        <v>3420</v>
      </c>
    </row>
    <row r="3422" spans="1:16" x14ac:dyDescent="0.3">
      <c r="A3422" s="1">
        <v>45277</v>
      </c>
      <c r="B3422" t="s">
        <v>22</v>
      </c>
      <c r="C3422" t="s">
        <v>11</v>
      </c>
      <c r="D3422" t="s">
        <v>12</v>
      </c>
      <c r="E3422">
        <v>1</v>
      </c>
      <c r="F3422" s="3">
        <v>190</v>
      </c>
      <c r="G3422" s="2">
        <v>27.43</v>
      </c>
      <c r="H3422">
        <f>Master_ventas[[#This Row],[Profit]]/Master_ventas[[#This Row],[Sales]]</f>
        <v>0.14436842105263159</v>
      </c>
      <c r="I3422">
        <f ca="1">Referencia_Hoy-Master_ventas[[#This Row],[Order Date]]</f>
        <v>1046</v>
      </c>
      <c r="J3422" t="str">
        <f>UPPER(Master_ventas[[#This Row],[Product Name]])</f>
        <v>KEYBOARD</v>
      </c>
      <c r="K3422" t="str">
        <f>UPPER(Master_ventas[[#This Row],[Category]])</f>
        <v>ACCESSORIES</v>
      </c>
      <c r="L3422">
        <f>YEAR(Master_ventas[[#This Row],[Order Date]])</f>
        <v>2023</v>
      </c>
      <c r="M3422" t="str">
        <f>CONCATENATE(LEFT(Master_ventas[[#This Row],[ProdUpper]],3),RIGHT(Master_ventas[[#This Row],[Ext-Year]],2),"-",MID(Master_ventas[[#This Row],[Category]],1,1))</f>
        <v>KEY23-A</v>
      </c>
      <c r="N3422" t="str">
        <f>MID(Master_ventas[[#This Row],[ProdUpper]],1,3)</f>
        <v>KEY</v>
      </c>
      <c r="O3422" t="str">
        <f>UPPER(IF(Master_ventas[[#This Row],[Profit]]&gt;500,"High","Std"))</f>
        <v>STD</v>
      </c>
      <c r="P3422">
        <v>3421</v>
      </c>
    </row>
    <row r="3423" spans="1:16" x14ac:dyDescent="0.3">
      <c r="A3423" s="1">
        <v>44739</v>
      </c>
      <c r="B3423" t="s">
        <v>7</v>
      </c>
      <c r="C3423" t="s">
        <v>8</v>
      </c>
      <c r="D3423" t="s">
        <v>15</v>
      </c>
      <c r="E3423">
        <v>7</v>
      </c>
      <c r="F3423" s="3">
        <v>7868</v>
      </c>
      <c r="G3423" s="2">
        <v>862.38</v>
      </c>
      <c r="H3423">
        <f>Master_ventas[[#This Row],[Profit]]/Master_ventas[[#This Row],[Sales]]</f>
        <v>0.10960599898322318</v>
      </c>
      <c r="I3423">
        <f ca="1">Referencia_Hoy-Master_ventas[[#This Row],[Order Date]]</f>
        <v>1584</v>
      </c>
      <c r="J3423" t="str">
        <f>UPPER(Master_ventas[[#This Row],[Product Name]])</f>
        <v>PRINTER</v>
      </c>
      <c r="K3423" t="str">
        <f>UPPER(Master_ventas[[#This Row],[Category]])</f>
        <v>OFFICE</v>
      </c>
      <c r="L3423">
        <f>YEAR(Master_ventas[[#This Row],[Order Date]])</f>
        <v>2022</v>
      </c>
      <c r="M3423" t="str">
        <f>CONCATENATE(LEFT(Master_ventas[[#This Row],[ProdUpper]],3),RIGHT(Master_ventas[[#This Row],[Ext-Year]],2),"-",MID(Master_ventas[[#This Row],[Category]],1,1))</f>
        <v>PRI22-O</v>
      </c>
      <c r="N3423" t="str">
        <f>MID(Master_ventas[[#This Row],[ProdUpper]],1,3)</f>
        <v>PRI</v>
      </c>
      <c r="O3423" t="str">
        <f>UPPER(IF(Master_ventas[[#This Row],[Profit]]&gt;500,"High","Std"))</f>
        <v>HIGH</v>
      </c>
      <c r="P3423">
        <v>3422</v>
      </c>
    </row>
    <row r="3424" spans="1:16" x14ac:dyDescent="0.3">
      <c r="A3424" s="1">
        <v>45629</v>
      </c>
      <c r="B3424" t="s">
        <v>22</v>
      </c>
      <c r="C3424" t="s">
        <v>11</v>
      </c>
      <c r="D3424" t="s">
        <v>9</v>
      </c>
      <c r="E3424">
        <v>3</v>
      </c>
      <c r="F3424" s="3">
        <v>1239</v>
      </c>
      <c r="G3424" s="2">
        <v>143.35</v>
      </c>
      <c r="H3424">
        <f>Master_ventas[[#This Row],[Profit]]/Master_ventas[[#This Row],[Sales]]</f>
        <v>0.11569814366424536</v>
      </c>
      <c r="I3424">
        <f ca="1">Referencia_Hoy-Master_ventas[[#This Row],[Order Date]]</f>
        <v>694</v>
      </c>
      <c r="J3424" t="str">
        <f>UPPER(Master_ventas[[#This Row],[Product Name]])</f>
        <v>KEYBOARD</v>
      </c>
      <c r="K3424" t="str">
        <f>UPPER(Master_ventas[[#This Row],[Category]])</f>
        <v>ACCESSORIES</v>
      </c>
      <c r="L3424">
        <f>YEAR(Master_ventas[[#This Row],[Order Date]])</f>
        <v>2024</v>
      </c>
      <c r="M3424" t="str">
        <f>CONCATENATE(LEFT(Master_ventas[[#This Row],[ProdUpper]],3),RIGHT(Master_ventas[[#This Row],[Ext-Year]],2),"-",MID(Master_ventas[[#This Row],[Category]],1,1))</f>
        <v>KEY24-A</v>
      </c>
      <c r="N3424" t="str">
        <f>MID(Master_ventas[[#This Row],[ProdUpper]],1,3)</f>
        <v>KEY</v>
      </c>
      <c r="O3424" t="str">
        <f>UPPER(IF(Master_ventas[[#This Row],[Profit]]&gt;500,"High","Std"))</f>
        <v>STD</v>
      </c>
      <c r="P3424">
        <v>3423</v>
      </c>
    </row>
    <row r="3425" spans="1:16" x14ac:dyDescent="0.3">
      <c r="A3425" s="1">
        <v>45179</v>
      </c>
      <c r="B3425" t="s">
        <v>20</v>
      </c>
      <c r="C3425" t="s">
        <v>11</v>
      </c>
      <c r="D3425" t="s">
        <v>12</v>
      </c>
      <c r="E3425">
        <v>2</v>
      </c>
      <c r="F3425" s="3">
        <v>1394</v>
      </c>
      <c r="G3425" s="2">
        <v>408.32</v>
      </c>
      <c r="H3425">
        <f>Master_ventas[[#This Row],[Profit]]/Master_ventas[[#This Row],[Sales]]</f>
        <v>0.29291248206599713</v>
      </c>
      <c r="I3425">
        <f ca="1">Referencia_Hoy-Master_ventas[[#This Row],[Order Date]]</f>
        <v>1144</v>
      </c>
      <c r="J3425" t="str">
        <f>UPPER(Master_ventas[[#This Row],[Product Name]])</f>
        <v>MONITOR</v>
      </c>
      <c r="K3425" t="str">
        <f>UPPER(Master_ventas[[#This Row],[Category]])</f>
        <v>ACCESSORIES</v>
      </c>
      <c r="L3425">
        <f>YEAR(Master_ventas[[#This Row],[Order Date]])</f>
        <v>2023</v>
      </c>
      <c r="M3425" t="str">
        <f>CONCATENATE(LEFT(Master_ventas[[#This Row],[ProdUpper]],3),RIGHT(Master_ventas[[#This Row],[Ext-Year]],2),"-",MID(Master_ventas[[#This Row],[Category]],1,1))</f>
        <v>MON23-A</v>
      </c>
      <c r="N3425" t="str">
        <f>MID(Master_ventas[[#This Row],[ProdUpper]],1,3)</f>
        <v>MON</v>
      </c>
      <c r="O3425" t="str">
        <f>UPPER(IF(Master_ventas[[#This Row],[Profit]]&gt;500,"High","Std"))</f>
        <v>STD</v>
      </c>
      <c r="P3425">
        <v>3424</v>
      </c>
    </row>
    <row r="3426" spans="1:16" x14ac:dyDescent="0.3">
      <c r="A3426" s="1">
        <v>45329</v>
      </c>
      <c r="B3426" t="s">
        <v>21</v>
      </c>
      <c r="C3426" t="s">
        <v>14</v>
      </c>
      <c r="D3426" t="s">
        <v>9</v>
      </c>
      <c r="E3426">
        <v>5</v>
      </c>
      <c r="F3426" s="3">
        <v>2060</v>
      </c>
      <c r="G3426" s="2">
        <v>403.19</v>
      </c>
      <c r="H3426">
        <f>Master_ventas[[#This Row],[Profit]]/Master_ventas[[#This Row],[Sales]]</f>
        <v>0.19572330097087379</v>
      </c>
      <c r="I3426">
        <f ca="1">Referencia_Hoy-Master_ventas[[#This Row],[Order Date]]</f>
        <v>994</v>
      </c>
      <c r="J3426" t="str">
        <f>UPPER(Master_ventas[[#This Row],[Product Name]])</f>
        <v>SMARTPHONE</v>
      </c>
      <c r="K3426" t="str">
        <f>UPPER(Master_ventas[[#This Row],[Category]])</f>
        <v>ELECTRONICS</v>
      </c>
      <c r="L3426">
        <f>YEAR(Master_ventas[[#This Row],[Order Date]])</f>
        <v>2024</v>
      </c>
      <c r="M3426" t="str">
        <f>CONCATENATE(LEFT(Master_ventas[[#This Row],[ProdUpper]],3),RIGHT(Master_ventas[[#This Row],[Ext-Year]],2),"-",MID(Master_ventas[[#This Row],[Category]],1,1))</f>
        <v>SMA24-E</v>
      </c>
      <c r="N3426" t="str">
        <f>MID(Master_ventas[[#This Row],[ProdUpper]],1,3)</f>
        <v>SMA</v>
      </c>
      <c r="O3426" t="str">
        <f>UPPER(IF(Master_ventas[[#This Row],[Profit]]&gt;500,"High","Std"))</f>
        <v>STD</v>
      </c>
      <c r="P3426">
        <v>3425</v>
      </c>
    </row>
    <row r="3427" spans="1:16" x14ac:dyDescent="0.3">
      <c r="A3427" s="1">
        <v>45086</v>
      </c>
      <c r="B3427" t="s">
        <v>23</v>
      </c>
      <c r="C3427" t="s">
        <v>14</v>
      </c>
      <c r="D3427" t="s">
        <v>12</v>
      </c>
      <c r="E3427">
        <v>1</v>
      </c>
      <c r="F3427" s="3">
        <v>1060</v>
      </c>
      <c r="G3427" s="2">
        <v>57.26</v>
      </c>
      <c r="H3427">
        <f>Master_ventas[[#This Row],[Profit]]/Master_ventas[[#This Row],[Sales]]</f>
        <v>5.4018867924528299E-2</v>
      </c>
      <c r="I3427">
        <f ca="1">Referencia_Hoy-Master_ventas[[#This Row],[Order Date]]</f>
        <v>1237</v>
      </c>
      <c r="J3427" t="str">
        <f>UPPER(Master_ventas[[#This Row],[Product Name]])</f>
        <v>LAPTOP</v>
      </c>
      <c r="K3427" t="str">
        <f>UPPER(Master_ventas[[#This Row],[Category]])</f>
        <v>ELECTRONICS</v>
      </c>
      <c r="L3427">
        <f>YEAR(Master_ventas[[#This Row],[Order Date]])</f>
        <v>2023</v>
      </c>
      <c r="M3427" t="str">
        <f>CONCATENATE(LEFT(Master_ventas[[#This Row],[ProdUpper]],3),RIGHT(Master_ventas[[#This Row],[Ext-Year]],2),"-",MID(Master_ventas[[#This Row],[Category]],1,1))</f>
        <v>LAP23-E</v>
      </c>
      <c r="N3427" t="str">
        <f>MID(Master_ventas[[#This Row],[ProdUpper]],1,3)</f>
        <v>LAP</v>
      </c>
      <c r="O3427" t="str">
        <f>UPPER(IF(Master_ventas[[#This Row],[Profit]]&gt;500,"High","Std"))</f>
        <v>STD</v>
      </c>
      <c r="P3427">
        <v>3426</v>
      </c>
    </row>
    <row r="3428" spans="1:16" x14ac:dyDescent="0.3">
      <c r="A3428" s="1">
        <v>44911</v>
      </c>
      <c r="B3428" t="s">
        <v>20</v>
      </c>
      <c r="C3428" t="s">
        <v>11</v>
      </c>
      <c r="D3428" t="s">
        <v>9</v>
      </c>
      <c r="E3428">
        <v>7</v>
      </c>
      <c r="F3428" s="3">
        <v>7812</v>
      </c>
      <c r="G3428" s="2">
        <v>1478.43</v>
      </c>
      <c r="H3428">
        <f>Master_ventas[[#This Row],[Profit]]/Master_ventas[[#This Row],[Sales]]</f>
        <v>0.18925115207373272</v>
      </c>
      <c r="I3428">
        <f ca="1">Referencia_Hoy-Master_ventas[[#This Row],[Order Date]]</f>
        <v>1412</v>
      </c>
      <c r="J3428" t="str">
        <f>UPPER(Master_ventas[[#This Row],[Product Name]])</f>
        <v>MONITOR</v>
      </c>
      <c r="K3428" t="str">
        <f>UPPER(Master_ventas[[#This Row],[Category]])</f>
        <v>ACCESSORIES</v>
      </c>
      <c r="L3428">
        <f>YEAR(Master_ventas[[#This Row],[Order Date]])</f>
        <v>2022</v>
      </c>
      <c r="M3428" t="str">
        <f>CONCATENATE(LEFT(Master_ventas[[#This Row],[ProdUpper]],3),RIGHT(Master_ventas[[#This Row],[Ext-Year]],2),"-",MID(Master_ventas[[#This Row],[Category]],1,1))</f>
        <v>MON22-A</v>
      </c>
      <c r="N3428" t="str">
        <f>MID(Master_ventas[[#This Row],[ProdUpper]],1,3)</f>
        <v>MON</v>
      </c>
      <c r="O3428" t="str">
        <f>UPPER(IF(Master_ventas[[#This Row],[Profit]]&gt;500,"High","Std"))</f>
        <v>HIGH</v>
      </c>
      <c r="P3428">
        <v>3427</v>
      </c>
    </row>
    <row r="3429" spans="1:16" x14ac:dyDescent="0.3">
      <c r="A3429" s="1">
        <v>45460</v>
      </c>
      <c r="B3429" t="s">
        <v>17</v>
      </c>
      <c r="C3429" t="s">
        <v>14</v>
      </c>
      <c r="D3429" t="s">
        <v>9</v>
      </c>
      <c r="E3429">
        <v>7</v>
      </c>
      <c r="F3429" s="3">
        <v>7077</v>
      </c>
      <c r="G3429" s="2">
        <v>804.15</v>
      </c>
      <c r="H3429">
        <f>Master_ventas[[#This Row],[Profit]]/Master_ventas[[#This Row],[Sales]]</f>
        <v>0.11362865621025858</v>
      </c>
      <c r="I3429">
        <f ca="1">Referencia_Hoy-Master_ventas[[#This Row],[Order Date]]</f>
        <v>863</v>
      </c>
      <c r="J3429" t="str">
        <f>UPPER(Master_ventas[[#This Row],[Product Name]])</f>
        <v>CAMERA</v>
      </c>
      <c r="K3429" t="str">
        <f>UPPER(Master_ventas[[#This Row],[Category]])</f>
        <v>ELECTRONICS</v>
      </c>
      <c r="L3429">
        <f>YEAR(Master_ventas[[#This Row],[Order Date]])</f>
        <v>2024</v>
      </c>
      <c r="M3429" t="str">
        <f>CONCATENATE(LEFT(Master_ventas[[#This Row],[ProdUpper]],3),RIGHT(Master_ventas[[#This Row],[Ext-Year]],2),"-",MID(Master_ventas[[#This Row],[Category]],1,1))</f>
        <v>CAM24-E</v>
      </c>
      <c r="N3429" t="str">
        <f>MID(Master_ventas[[#This Row],[ProdUpper]],1,3)</f>
        <v>CAM</v>
      </c>
      <c r="O3429" t="str">
        <f>UPPER(IF(Master_ventas[[#This Row],[Profit]]&gt;500,"High","Std"))</f>
        <v>HIGH</v>
      </c>
      <c r="P3429">
        <v>3428</v>
      </c>
    </row>
    <row r="3430" spans="1:16" x14ac:dyDescent="0.3">
      <c r="A3430" s="1">
        <v>45087</v>
      </c>
      <c r="B3430" t="s">
        <v>21</v>
      </c>
      <c r="C3430" t="s">
        <v>14</v>
      </c>
      <c r="D3430" t="s">
        <v>16</v>
      </c>
      <c r="E3430">
        <v>7</v>
      </c>
      <c r="F3430" s="3">
        <v>5712</v>
      </c>
      <c r="G3430" s="2">
        <v>929.42</v>
      </c>
      <c r="H3430">
        <f>Master_ventas[[#This Row],[Profit]]/Master_ventas[[#This Row],[Sales]]</f>
        <v>0.16271358543417366</v>
      </c>
      <c r="I3430">
        <f ca="1">Referencia_Hoy-Master_ventas[[#This Row],[Order Date]]</f>
        <v>1236</v>
      </c>
      <c r="J3430" t="str">
        <f>UPPER(Master_ventas[[#This Row],[Product Name]])</f>
        <v>SMARTPHONE</v>
      </c>
      <c r="K3430" t="str">
        <f>UPPER(Master_ventas[[#This Row],[Category]])</f>
        <v>ELECTRONICS</v>
      </c>
      <c r="L3430">
        <f>YEAR(Master_ventas[[#This Row],[Order Date]])</f>
        <v>2023</v>
      </c>
      <c r="M3430" t="str">
        <f>CONCATENATE(LEFT(Master_ventas[[#This Row],[ProdUpper]],3),RIGHT(Master_ventas[[#This Row],[Ext-Year]],2),"-",MID(Master_ventas[[#This Row],[Category]],1,1))</f>
        <v>SMA23-E</v>
      </c>
      <c r="N3430" t="str">
        <f>MID(Master_ventas[[#This Row],[ProdUpper]],1,3)</f>
        <v>SMA</v>
      </c>
      <c r="O3430" t="str">
        <f>UPPER(IF(Master_ventas[[#This Row],[Profit]]&gt;500,"High","Std"))</f>
        <v>HIGH</v>
      </c>
      <c r="P3430">
        <v>3429</v>
      </c>
    </row>
    <row r="3431" spans="1:16" x14ac:dyDescent="0.3">
      <c r="A3431" s="1">
        <v>44948</v>
      </c>
      <c r="B3431" t="s">
        <v>7</v>
      </c>
      <c r="C3431" t="s">
        <v>8</v>
      </c>
      <c r="D3431" t="s">
        <v>9</v>
      </c>
      <c r="E3431">
        <v>6</v>
      </c>
      <c r="F3431" s="3">
        <v>4146</v>
      </c>
      <c r="G3431" s="2">
        <v>966.79</v>
      </c>
      <c r="H3431">
        <f>Master_ventas[[#This Row],[Profit]]/Master_ventas[[#This Row],[Sales]]</f>
        <v>0.23318620356970574</v>
      </c>
      <c r="I3431">
        <f ca="1">Referencia_Hoy-Master_ventas[[#This Row],[Order Date]]</f>
        <v>1375</v>
      </c>
      <c r="J3431" t="str">
        <f>UPPER(Master_ventas[[#This Row],[Product Name]])</f>
        <v>PRINTER</v>
      </c>
      <c r="K3431" t="str">
        <f>UPPER(Master_ventas[[#This Row],[Category]])</f>
        <v>OFFICE</v>
      </c>
      <c r="L3431">
        <f>YEAR(Master_ventas[[#This Row],[Order Date]])</f>
        <v>2023</v>
      </c>
      <c r="M3431" t="str">
        <f>CONCATENATE(LEFT(Master_ventas[[#This Row],[ProdUpper]],3),RIGHT(Master_ventas[[#This Row],[Ext-Year]],2),"-",MID(Master_ventas[[#This Row],[Category]],1,1))</f>
        <v>PRI23-O</v>
      </c>
      <c r="N3431" t="str">
        <f>MID(Master_ventas[[#This Row],[ProdUpper]],1,3)</f>
        <v>PRI</v>
      </c>
      <c r="O3431" t="str">
        <f>UPPER(IF(Master_ventas[[#This Row],[Profit]]&gt;500,"High","Std"))</f>
        <v>HIGH</v>
      </c>
      <c r="P3431">
        <v>3430</v>
      </c>
    </row>
    <row r="3432" spans="1:16" x14ac:dyDescent="0.3">
      <c r="A3432" s="1">
        <v>45461</v>
      </c>
      <c r="B3432" t="s">
        <v>13</v>
      </c>
      <c r="C3432" t="s">
        <v>14</v>
      </c>
      <c r="D3432" t="s">
        <v>16</v>
      </c>
      <c r="E3432">
        <v>2</v>
      </c>
      <c r="F3432" s="3">
        <v>992</v>
      </c>
      <c r="G3432" s="2">
        <v>238.18</v>
      </c>
      <c r="H3432">
        <f>Master_ventas[[#This Row],[Profit]]/Master_ventas[[#This Row],[Sales]]</f>
        <v>0.24010080645161291</v>
      </c>
      <c r="I3432">
        <f ca="1">Referencia_Hoy-Master_ventas[[#This Row],[Order Date]]</f>
        <v>862</v>
      </c>
      <c r="J3432" t="str">
        <f>UPPER(Master_ventas[[#This Row],[Product Name]])</f>
        <v>TABLET</v>
      </c>
      <c r="K3432" t="str">
        <f>UPPER(Master_ventas[[#This Row],[Category]])</f>
        <v>ELECTRONICS</v>
      </c>
      <c r="L3432">
        <f>YEAR(Master_ventas[[#This Row],[Order Date]])</f>
        <v>2024</v>
      </c>
      <c r="M3432" t="str">
        <f>CONCATENATE(LEFT(Master_ventas[[#This Row],[ProdUpper]],3),RIGHT(Master_ventas[[#This Row],[Ext-Year]],2),"-",MID(Master_ventas[[#This Row],[Category]],1,1))</f>
        <v>TAB24-E</v>
      </c>
      <c r="N3432" t="str">
        <f>MID(Master_ventas[[#This Row],[ProdUpper]],1,3)</f>
        <v>TAB</v>
      </c>
      <c r="O3432" t="str">
        <f>UPPER(IF(Master_ventas[[#This Row],[Profit]]&gt;500,"High","Std"))</f>
        <v>STD</v>
      </c>
      <c r="P3432">
        <v>3431</v>
      </c>
    </row>
    <row r="3433" spans="1:16" x14ac:dyDescent="0.3">
      <c r="A3433" s="1">
        <v>44664</v>
      </c>
      <c r="B3433" t="s">
        <v>19</v>
      </c>
      <c r="C3433" t="s">
        <v>14</v>
      </c>
      <c r="D3433" t="s">
        <v>9</v>
      </c>
      <c r="E3433">
        <v>2</v>
      </c>
      <c r="F3433" s="3">
        <v>1756</v>
      </c>
      <c r="G3433" s="2">
        <v>165.6</v>
      </c>
      <c r="H3433">
        <f>Master_ventas[[#This Row],[Profit]]/Master_ventas[[#This Row],[Sales]]</f>
        <v>9.4305239179954439E-2</v>
      </c>
      <c r="I3433">
        <f ca="1">Referencia_Hoy-Master_ventas[[#This Row],[Order Date]]</f>
        <v>1659</v>
      </c>
      <c r="J3433" t="str">
        <f>UPPER(Master_ventas[[#This Row],[Product Name]])</f>
        <v>SMARTWATCH</v>
      </c>
      <c r="K3433" t="str">
        <f>UPPER(Master_ventas[[#This Row],[Category]])</f>
        <v>ELECTRONICS</v>
      </c>
      <c r="L3433">
        <f>YEAR(Master_ventas[[#This Row],[Order Date]])</f>
        <v>2022</v>
      </c>
      <c r="M3433" t="str">
        <f>CONCATENATE(LEFT(Master_ventas[[#This Row],[ProdUpper]],3),RIGHT(Master_ventas[[#This Row],[Ext-Year]],2),"-",MID(Master_ventas[[#This Row],[Category]],1,1))</f>
        <v>SMA22-E</v>
      </c>
      <c r="N3433" t="str">
        <f>MID(Master_ventas[[#This Row],[ProdUpper]],1,3)</f>
        <v>SMA</v>
      </c>
      <c r="O3433" t="str">
        <f>UPPER(IF(Master_ventas[[#This Row],[Profit]]&gt;500,"High","Std"))</f>
        <v>STD</v>
      </c>
      <c r="P3433">
        <v>3432</v>
      </c>
    </row>
    <row r="3434" spans="1:16" x14ac:dyDescent="0.3">
      <c r="A3434" s="1">
        <v>45025</v>
      </c>
      <c r="B3434" t="s">
        <v>20</v>
      </c>
      <c r="C3434" t="s">
        <v>11</v>
      </c>
      <c r="D3434" t="s">
        <v>16</v>
      </c>
      <c r="E3434">
        <v>4</v>
      </c>
      <c r="F3434" s="3">
        <v>3632</v>
      </c>
      <c r="G3434" s="2">
        <v>566.80999999999995</v>
      </c>
      <c r="H3434">
        <f>Master_ventas[[#This Row],[Profit]]/Master_ventas[[#This Row],[Sales]]</f>
        <v>0.15606002202643171</v>
      </c>
      <c r="I3434">
        <f ca="1">Referencia_Hoy-Master_ventas[[#This Row],[Order Date]]</f>
        <v>1298</v>
      </c>
      <c r="J3434" t="str">
        <f>UPPER(Master_ventas[[#This Row],[Product Name]])</f>
        <v>MONITOR</v>
      </c>
      <c r="K3434" t="str">
        <f>UPPER(Master_ventas[[#This Row],[Category]])</f>
        <v>ACCESSORIES</v>
      </c>
      <c r="L3434">
        <f>YEAR(Master_ventas[[#This Row],[Order Date]])</f>
        <v>2023</v>
      </c>
      <c r="M3434" t="str">
        <f>CONCATENATE(LEFT(Master_ventas[[#This Row],[ProdUpper]],3),RIGHT(Master_ventas[[#This Row],[Ext-Year]],2),"-",MID(Master_ventas[[#This Row],[Category]],1,1))</f>
        <v>MON23-A</v>
      </c>
      <c r="N3434" t="str">
        <f>MID(Master_ventas[[#This Row],[ProdUpper]],1,3)</f>
        <v>MON</v>
      </c>
      <c r="O3434" t="str">
        <f>UPPER(IF(Master_ventas[[#This Row],[Profit]]&gt;500,"High","Std"))</f>
        <v>HIGH</v>
      </c>
      <c r="P3434">
        <v>3433</v>
      </c>
    </row>
    <row r="3435" spans="1:16" x14ac:dyDescent="0.3">
      <c r="A3435" s="1">
        <v>45368</v>
      </c>
      <c r="B3435" t="s">
        <v>18</v>
      </c>
      <c r="C3435" t="s">
        <v>11</v>
      </c>
      <c r="D3435" t="s">
        <v>12</v>
      </c>
      <c r="E3435">
        <v>4</v>
      </c>
      <c r="F3435" s="3">
        <v>3912</v>
      </c>
      <c r="G3435" s="2">
        <v>550.09</v>
      </c>
      <c r="H3435">
        <f>Master_ventas[[#This Row],[Profit]]/Master_ventas[[#This Row],[Sales]]</f>
        <v>0.14061605316973416</v>
      </c>
      <c r="I3435">
        <f ca="1">Referencia_Hoy-Master_ventas[[#This Row],[Order Date]]</f>
        <v>955</v>
      </c>
      <c r="J3435" t="str">
        <f>UPPER(Master_ventas[[#This Row],[Product Name]])</f>
        <v>HEADPHONES</v>
      </c>
      <c r="K3435" t="str">
        <f>UPPER(Master_ventas[[#This Row],[Category]])</f>
        <v>ACCESSORIES</v>
      </c>
      <c r="L3435">
        <f>YEAR(Master_ventas[[#This Row],[Order Date]])</f>
        <v>2024</v>
      </c>
      <c r="M3435" t="str">
        <f>CONCATENATE(LEFT(Master_ventas[[#This Row],[ProdUpper]],3),RIGHT(Master_ventas[[#This Row],[Ext-Year]],2),"-",MID(Master_ventas[[#This Row],[Category]],1,1))</f>
        <v>HEA24-A</v>
      </c>
      <c r="N3435" t="str">
        <f>MID(Master_ventas[[#This Row],[ProdUpper]],1,3)</f>
        <v>HEA</v>
      </c>
      <c r="O3435" t="str">
        <f>UPPER(IF(Master_ventas[[#This Row],[Profit]]&gt;500,"High","Std"))</f>
        <v>HIGH</v>
      </c>
      <c r="P3435">
        <v>3434</v>
      </c>
    </row>
    <row r="3436" spans="1:16" x14ac:dyDescent="0.3">
      <c r="A3436" s="1">
        <v>45065</v>
      </c>
      <c r="B3436" t="s">
        <v>7</v>
      </c>
      <c r="C3436" t="s">
        <v>8</v>
      </c>
      <c r="D3436" t="s">
        <v>9</v>
      </c>
      <c r="E3436">
        <v>9</v>
      </c>
      <c r="F3436" s="3">
        <v>3123</v>
      </c>
      <c r="G3436" s="2">
        <v>741.23</v>
      </c>
      <c r="H3436">
        <f>Master_ventas[[#This Row],[Profit]]/Master_ventas[[#This Row],[Sales]]</f>
        <v>0.23734550112071726</v>
      </c>
      <c r="I3436">
        <f ca="1">Referencia_Hoy-Master_ventas[[#This Row],[Order Date]]</f>
        <v>1258</v>
      </c>
      <c r="J3436" t="str">
        <f>UPPER(Master_ventas[[#This Row],[Product Name]])</f>
        <v>PRINTER</v>
      </c>
      <c r="K3436" t="str">
        <f>UPPER(Master_ventas[[#This Row],[Category]])</f>
        <v>OFFICE</v>
      </c>
      <c r="L3436">
        <f>YEAR(Master_ventas[[#This Row],[Order Date]])</f>
        <v>2023</v>
      </c>
      <c r="M3436" t="str">
        <f>CONCATENATE(LEFT(Master_ventas[[#This Row],[ProdUpper]],3),RIGHT(Master_ventas[[#This Row],[Ext-Year]],2),"-",MID(Master_ventas[[#This Row],[Category]],1,1))</f>
        <v>PRI23-O</v>
      </c>
      <c r="N3436" t="str">
        <f>MID(Master_ventas[[#This Row],[ProdUpper]],1,3)</f>
        <v>PRI</v>
      </c>
      <c r="O3436" t="str">
        <f>UPPER(IF(Master_ventas[[#This Row],[Profit]]&gt;500,"High","Std"))</f>
        <v>HIGH</v>
      </c>
      <c r="P3436">
        <v>3435</v>
      </c>
    </row>
    <row r="3437" spans="1:16" x14ac:dyDescent="0.3">
      <c r="A3437" s="1">
        <v>44824</v>
      </c>
      <c r="B3437" t="s">
        <v>7</v>
      </c>
      <c r="C3437" t="s">
        <v>8</v>
      </c>
      <c r="D3437" t="s">
        <v>16</v>
      </c>
      <c r="E3437">
        <v>4</v>
      </c>
      <c r="F3437" s="3">
        <v>700</v>
      </c>
      <c r="G3437" s="2">
        <v>120.19</v>
      </c>
      <c r="H3437">
        <f>Master_ventas[[#This Row],[Profit]]/Master_ventas[[#This Row],[Sales]]</f>
        <v>0.17169999999999999</v>
      </c>
      <c r="I3437">
        <f ca="1">Referencia_Hoy-Master_ventas[[#This Row],[Order Date]]</f>
        <v>1499</v>
      </c>
      <c r="J3437" t="str">
        <f>UPPER(Master_ventas[[#This Row],[Product Name]])</f>
        <v>PRINTER</v>
      </c>
      <c r="K3437" t="str">
        <f>UPPER(Master_ventas[[#This Row],[Category]])</f>
        <v>OFFICE</v>
      </c>
      <c r="L3437">
        <f>YEAR(Master_ventas[[#This Row],[Order Date]])</f>
        <v>2022</v>
      </c>
      <c r="M3437" t="str">
        <f>CONCATENATE(LEFT(Master_ventas[[#This Row],[ProdUpper]],3),RIGHT(Master_ventas[[#This Row],[Ext-Year]],2),"-",MID(Master_ventas[[#This Row],[Category]],1,1))</f>
        <v>PRI22-O</v>
      </c>
      <c r="N3437" t="str">
        <f>MID(Master_ventas[[#This Row],[ProdUpper]],1,3)</f>
        <v>PRI</v>
      </c>
      <c r="O3437" t="str">
        <f>UPPER(IF(Master_ventas[[#This Row],[Profit]]&gt;500,"High","Std"))</f>
        <v>STD</v>
      </c>
      <c r="P3437">
        <v>3436</v>
      </c>
    </row>
    <row r="3438" spans="1:16" x14ac:dyDescent="0.3">
      <c r="A3438" s="1">
        <v>44867</v>
      </c>
      <c r="B3438" t="s">
        <v>13</v>
      </c>
      <c r="C3438" t="s">
        <v>14</v>
      </c>
      <c r="D3438" t="s">
        <v>15</v>
      </c>
      <c r="E3438">
        <v>8</v>
      </c>
      <c r="F3438" s="3">
        <v>408</v>
      </c>
      <c r="G3438" s="2">
        <v>83.16</v>
      </c>
      <c r="H3438">
        <f>Master_ventas[[#This Row],[Profit]]/Master_ventas[[#This Row],[Sales]]</f>
        <v>0.20382352941176471</v>
      </c>
      <c r="I3438">
        <f ca="1">Referencia_Hoy-Master_ventas[[#This Row],[Order Date]]</f>
        <v>1456</v>
      </c>
      <c r="J3438" t="str">
        <f>UPPER(Master_ventas[[#This Row],[Product Name]])</f>
        <v>TABLET</v>
      </c>
      <c r="K3438" t="str">
        <f>UPPER(Master_ventas[[#This Row],[Category]])</f>
        <v>ELECTRONICS</v>
      </c>
      <c r="L3438">
        <f>YEAR(Master_ventas[[#This Row],[Order Date]])</f>
        <v>2022</v>
      </c>
      <c r="M3438" t="str">
        <f>CONCATENATE(LEFT(Master_ventas[[#This Row],[ProdUpper]],3),RIGHT(Master_ventas[[#This Row],[Ext-Year]],2),"-",MID(Master_ventas[[#This Row],[Category]],1,1))</f>
        <v>TAB22-E</v>
      </c>
      <c r="N3438" t="str">
        <f>MID(Master_ventas[[#This Row],[ProdUpper]],1,3)</f>
        <v>TAB</v>
      </c>
      <c r="O3438" t="str">
        <f>UPPER(IF(Master_ventas[[#This Row],[Profit]]&gt;500,"High","Std"))</f>
        <v>STD</v>
      </c>
      <c r="P3438">
        <v>3437</v>
      </c>
    </row>
    <row r="3439" spans="1:16" x14ac:dyDescent="0.3">
      <c r="A3439" s="1">
        <v>44913</v>
      </c>
      <c r="B3439" t="s">
        <v>21</v>
      </c>
      <c r="C3439" t="s">
        <v>14</v>
      </c>
      <c r="D3439" t="s">
        <v>15</v>
      </c>
      <c r="E3439">
        <v>4</v>
      </c>
      <c r="F3439" s="3">
        <v>4056</v>
      </c>
      <c r="G3439" s="2">
        <v>768.81</v>
      </c>
      <c r="H3439">
        <f>Master_ventas[[#This Row],[Profit]]/Master_ventas[[#This Row],[Sales]]</f>
        <v>0.18954881656804731</v>
      </c>
      <c r="I3439">
        <f ca="1">Referencia_Hoy-Master_ventas[[#This Row],[Order Date]]</f>
        <v>1410</v>
      </c>
      <c r="J3439" t="str">
        <f>UPPER(Master_ventas[[#This Row],[Product Name]])</f>
        <v>SMARTPHONE</v>
      </c>
      <c r="K3439" t="str">
        <f>UPPER(Master_ventas[[#This Row],[Category]])</f>
        <v>ELECTRONICS</v>
      </c>
      <c r="L3439">
        <f>YEAR(Master_ventas[[#This Row],[Order Date]])</f>
        <v>2022</v>
      </c>
      <c r="M3439" t="str">
        <f>CONCATENATE(LEFT(Master_ventas[[#This Row],[ProdUpper]],3),RIGHT(Master_ventas[[#This Row],[Ext-Year]],2),"-",MID(Master_ventas[[#This Row],[Category]],1,1))</f>
        <v>SMA22-E</v>
      </c>
      <c r="N3439" t="str">
        <f>MID(Master_ventas[[#This Row],[ProdUpper]],1,3)</f>
        <v>SMA</v>
      </c>
      <c r="O3439" t="str">
        <f>UPPER(IF(Master_ventas[[#This Row],[Profit]]&gt;500,"High","Std"))</f>
        <v>HIGH</v>
      </c>
      <c r="P3439">
        <v>3438</v>
      </c>
    </row>
    <row r="3440" spans="1:16" x14ac:dyDescent="0.3">
      <c r="A3440" s="1">
        <v>45419</v>
      </c>
      <c r="B3440" t="s">
        <v>23</v>
      </c>
      <c r="C3440" t="s">
        <v>14</v>
      </c>
      <c r="D3440" t="s">
        <v>16</v>
      </c>
      <c r="E3440">
        <v>1</v>
      </c>
      <c r="F3440" s="3">
        <v>770</v>
      </c>
      <c r="G3440" s="2">
        <v>121.75</v>
      </c>
      <c r="H3440">
        <f>Master_ventas[[#This Row],[Profit]]/Master_ventas[[#This Row],[Sales]]</f>
        <v>0.15811688311688313</v>
      </c>
      <c r="I3440">
        <f ca="1">Referencia_Hoy-Master_ventas[[#This Row],[Order Date]]</f>
        <v>904</v>
      </c>
      <c r="J3440" t="str">
        <f>UPPER(Master_ventas[[#This Row],[Product Name]])</f>
        <v>LAPTOP</v>
      </c>
      <c r="K3440" t="str">
        <f>UPPER(Master_ventas[[#This Row],[Category]])</f>
        <v>ELECTRONICS</v>
      </c>
      <c r="L3440">
        <f>YEAR(Master_ventas[[#This Row],[Order Date]])</f>
        <v>2024</v>
      </c>
      <c r="M3440" t="str">
        <f>CONCATENATE(LEFT(Master_ventas[[#This Row],[ProdUpper]],3),RIGHT(Master_ventas[[#This Row],[Ext-Year]],2),"-",MID(Master_ventas[[#This Row],[Category]],1,1))</f>
        <v>LAP24-E</v>
      </c>
      <c r="N3440" t="str">
        <f>MID(Master_ventas[[#This Row],[ProdUpper]],1,3)</f>
        <v>LAP</v>
      </c>
      <c r="O3440" t="str">
        <f>UPPER(IF(Master_ventas[[#This Row],[Profit]]&gt;500,"High","Std"))</f>
        <v>STD</v>
      </c>
      <c r="P3440">
        <v>3439</v>
      </c>
    </row>
    <row r="3441" spans="1:16" x14ac:dyDescent="0.3">
      <c r="A3441" s="1">
        <v>44599</v>
      </c>
      <c r="B3441" t="s">
        <v>19</v>
      </c>
      <c r="C3441" t="s">
        <v>14</v>
      </c>
      <c r="D3441" t="s">
        <v>9</v>
      </c>
      <c r="E3441">
        <v>3</v>
      </c>
      <c r="F3441" s="3">
        <v>531</v>
      </c>
      <c r="G3441" s="2">
        <v>73.349999999999994</v>
      </c>
      <c r="H3441">
        <f>Master_ventas[[#This Row],[Profit]]/Master_ventas[[#This Row],[Sales]]</f>
        <v>0.13813559322033897</v>
      </c>
      <c r="I3441">
        <f ca="1">Referencia_Hoy-Master_ventas[[#This Row],[Order Date]]</f>
        <v>1724</v>
      </c>
      <c r="J3441" t="str">
        <f>UPPER(Master_ventas[[#This Row],[Product Name]])</f>
        <v>SMARTWATCH</v>
      </c>
      <c r="K3441" t="str">
        <f>UPPER(Master_ventas[[#This Row],[Category]])</f>
        <v>ELECTRONICS</v>
      </c>
      <c r="L3441">
        <f>YEAR(Master_ventas[[#This Row],[Order Date]])</f>
        <v>2022</v>
      </c>
      <c r="M3441" t="str">
        <f>CONCATENATE(LEFT(Master_ventas[[#This Row],[ProdUpper]],3),RIGHT(Master_ventas[[#This Row],[Ext-Year]],2),"-",MID(Master_ventas[[#This Row],[Category]],1,1))</f>
        <v>SMA22-E</v>
      </c>
      <c r="N3441" t="str">
        <f>MID(Master_ventas[[#This Row],[ProdUpper]],1,3)</f>
        <v>SMA</v>
      </c>
      <c r="O3441" t="str">
        <f>UPPER(IF(Master_ventas[[#This Row],[Profit]]&gt;500,"High","Std"))</f>
        <v>STD</v>
      </c>
      <c r="P3441">
        <v>3440</v>
      </c>
    </row>
    <row r="3442" spans="1:16" x14ac:dyDescent="0.3">
      <c r="A3442" s="1">
        <v>45080</v>
      </c>
      <c r="B3442" t="s">
        <v>20</v>
      </c>
      <c r="C3442" t="s">
        <v>11</v>
      </c>
      <c r="D3442" t="s">
        <v>15</v>
      </c>
      <c r="E3442">
        <v>5</v>
      </c>
      <c r="F3442" s="3">
        <v>280</v>
      </c>
      <c r="G3442" s="2">
        <v>79.77</v>
      </c>
      <c r="H3442">
        <f>Master_ventas[[#This Row],[Profit]]/Master_ventas[[#This Row],[Sales]]</f>
        <v>0.28489285714285711</v>
      </c>
      <c r="I3442">
        <f ca="1">Referencia_Hoy-Master_ventas[[#This Row],[Order Date]]</f>
        <v>1243</v>
      </c>
      <c r="J3442" t="str">
        <f>UPPER(Master_ventas[[#This Row],[Product Name]])</f>
        <v>MONITOR</v>
      </c>
      <c r="K3442" t="str">
        <f>UPPER(Master_ventas[[#This Row],[Category]])</f>
        <v>ACCESSORIES</v>
      </c>
      <c r="L3442">
        <f>YEAR(Master_ventas[[#This Row],[Order Date]])</f>
        <v>2023</v>
      </c>
      <c r="M3442" t="str">
        <f>CONCATENATE(LEFT(Master_ventas[[#This Row],[ProdUpper]],3),RIGHT(Master_ventas[[#This Row],[Ext-Year]],2),"-",MID(Master_ventas[[#This Row],[Category]],1,1))</f>
        <v>MON23-A</v>
      </c>
      <c r="N3442" t="str">
        <f>MID(Master_ventas[[#This Row],[ProdUpper]],1,3)</f>
        <v>MON</v>
      </c>
      <c r="O3442" t="str">
        <f>UPPER(IF(Master_ventas[[#This Row],[Profit]]&gt;500,"High","Std"))</f>
        <v>STD</v>
      </c>
      <c r="P3442">
        <v>3441</v>
      </c>
    </row>
    <row r="3443" spans="1:16" x14ac:dyDescent="0.3">
      <c r="A3443" s="1">
        <v>45383</v>
      </c>
      <c r="B3443" t="s">
        <v>23</v>
      </c>
      <c r="C3443" t="s">
        <v>14</v>
      </c>
      <c r="D3443" t="s">
        <v>12</v>
      </c>
      <c r="E3443">
        <v>7</v>
      </c>
      <c r="F3443" s="3">
        <v>4550</v>
      </c>
      <c r="G3443" s="2">
        <v>892.73</v>
      </c>
      <c r="H3443">
        <f>Master_ventas[[#This Row],[Profit]]/Master_ventas[[#This Row],[Sales]]</f>
        <v>0.19620439560439562</v>
      </c>
      <c r="I3443">
        <f ca="1">Referencia_Hoy-Master_ventas[[#This Row],[Order Date]]</f>
        <v>940</v>
      </c>
      <c r="J3443" t="str">
        <f>UPPER(Master_ventas[[#This Row],[Product Name]])</f>
        <v>LAPTOP</v>
      </c>
      <c r="K3443" t="str">
        <f>UPPER(Master_ventas[[#This Row],[Category]])</f>
        <v>ELECTRONICS</v>
      </c>
      <c r="L3443">
        <f>YEAR(Master_ventas[[#This Row],[Order Date]])</f>
        <v>2024</v>
      </c>
      <c r="M3443" t="str">
        <f>CONCATENATE(LEFT(Master_ventas[[#This Row],[ProdUpper]],3),RIGHT(Master_ventas[[#This Row],[Ext-Year]],2),"-",MID(Master_ventas[[#This Row],[Category]],1,1))</f>
        <v>LAP24-E</v>
      </c>
      <c r="N3443" t="str">
        <f>MID(Master_ventas[[#This Row],[ProdUpper]],1,3)</f>
        <v>LAP</v>
      </c>
      <c r="O3443" t="str">
        <f>UPPER(IF(Master_ventas[[#This Row],[Profit]]&gt;500,"High","Std"))</f>
        <v>HIGH</v>
      </c>
      <c r="P3443">
        <v>3442</v>
      </c>
    </row>
    <row r="3444" spans="1:16" x14ac:dyDescent="0.3">
      <c r="A3444" s="1">
        <v>45023</v>
      </c>
      <c r="B3444" t="s">
        <v>19</v>
      </c>
      <c r="C3444" t="s">
        <v>14</v>
      </c>
      <c r="D3444" t="s">
        <v>16</v>
      </c>
      <c r="E3444">
        <v>5</v>
      </c>
      <c r="F3444" s="3">
        <v>2480</v>
      </c>
      <c r="G3444" s="2">
        <v>601.66</v>
      </c>
      <c r="H3444">
        <f>Master_ventas[[#This Row],[Profit]]/Master_ventas[[#This Row],[Sales]]</f>
        <v>0.24260483870967742</v>
      </c>
      <c r="I3444">
        <f ca="1">Referencia_Hoy-Master_ventas[[#This Row],[Order Date]]</f>
        <v>1300</v>
      </c>
      <c r="J3444" t="str">
        <f>UPPER(Master_ventas[[#This Row],[Product Name]])</f>
        <v>SMARTWATCH</v>
      </c>
      <c r="K3444" t="str">
        <f>UPPER(Master_ventas[[#This Row],[Category]])</f>
        <v>ELECTRONICS</v>
      </c>
      <c r="L3444">
        <f>YEAR(Master_ventas[[#This Row],[Order Date]])</f>
        <v>2023</v>
      </c>
      <c r="M3444" t="str">
        <f>CONCATENATE(LEFT(Master_ventas[[#This Row],[ProdUpper]],3),RIGHT(Master_ventas[[#This Row],[Ext-Year]],2),"-",MID(Master_ventas[[#This Row],[Category]],1,1))</f>
        <v>SMA23-E</v>
      </c>
      <c r="N3444" t="str">
        <f>MID(Master_ventas[[#This Row],[ProdUpper]],1,3)</f>
        <v>SMA</v>
      </c>
      <c r="O3444" t="str">
        <f>UPPER(IF(Master_ventas[[#This Row],[Profit]]&gt;500,"High","Std"))</f>
        <v>HIGH</v>
      </c>
      <c r="P3444">
        <v>3443</v>
      </c>
    </row>
    <row r="3445" spans="1:16" x14ac:dyDescent="0.3">
      <c r="A3445" s="1">
        <v>44699</v>
      </c>
      <c r="B3445" t="s">
        <v>7</v>
      </c>
      <c r="C3445" t="s">
        <v>8</v>
      </c>
      <c r="D3445" t="s">
        <v>16</v>
      </c>
      <c r="E3445">
        <v>6</v>
      </c>
      <c r="F3445" s="3">
        <v>2604</v>
      </c>
      <c r="G3445" s="2">
        <v>305.73</v>
      </c>
      <c r="H3445">
        <f>Master_ventas[[#This Row],[Profit]]/Master_ventas[[#This Row],[Sales]]</f>
        <v>0.1174078341013825</v>
      </c>
      <c r="I3445">
        <f ca="1">Referencia_Hoy-Master_ventas[[#This Row],[Order Date]]</f>
        <v>1624</v>
      </c>
      <c r="J3445" t="str">
        <f>UPPER(Master_ventas[[#This Row],[Product Name]])</f>
        <v>PRINTER</v>
      </c>
      <c r="K3445" t="str">
        <f>UPPER(Master_ventas[[#This Row],[Category]])</f>
        <v>OFFICE</v>
      </c>
      <c r="L3445">
        <f>YEAR(Master_ventas[[#This Row],[Order Date]])</f>
        <v>2022</v>
      </c>
      <c r="M3445" t="str">
        <f>CONCATENATE(LEFT(Master_ventas[[#This Row],[ProdUpper]],3),RIGHT(Master_ventas[[#This Row],[Ext-Year]],2),"-",MID(Master_ventas[[#This Row],[Category]],1,1))</f>
        <v>PRI22-O</v>
      </c>
      <c r="N3445" t="str">
        <f>MID(Master_ventas[[#This Row],[ProdUpper]],1,3)</f>
        <v>PRI</v>
      </c>
      <c r="O3445" t="str">
        <f>UPPER(IF(Master_ventas[[#This Row],[Profit]]&gt;500,"High","Std"))</f>
        <v>STD</v>
      </c>
      <c r="P3445">
        <v>3444</v>
      </c>
    </row>
    <row r="3446" spans="1:16" x14ac:dyDescent="0.3">
      <c r="A3446" s="1">
        <v>44617</v>
      </c>
      <c r="B3446" t="s">
        <v>22</v>
      </c>
      <c r="C3446" t="s">
        <v>11</v>
      </c>
      <c r="D3446" t="s">
        <v>16</v>
      </c>
      <c r="E3446">
        <v>7</v>
      </c>
      <c r="F3446" s="3">
        <v>1351</v>
      </c>
      <c r="G3446" s="2">
        <v>310.02999999999997</v>
      </c>
      <c r="H3446">
        <f>Master_ventas[[#This Row],[Profit]]/Master_ventas[[#This Row],[Sales]]</f>
        <v>0.22948186528497408</v>
      </c>
      <c r="I3446">
        <f ca="1">Referencia_Hoy-Master_ventas[[#This Row],[Order Date]]</f>
        <v>1706</v>
      </c>
      <c r="J3446" t="str">
        <f>UPPER(Master_ventas[[#This Row],[Product Name]])</f>
        <v>KEYBOARD</v>
      </c>
      <c r="K3446" t="str">
        <f>UPPER(Master_ventas[[#This Row],[Category]])</f>
        <v>ACCESSORIES</v>
      </c>
      <c r="L3446">
        <f>YEAR(Master_ventas[[#This Row],[Order Date]])</f>
        <v>2022</v>
      </c>
      <c r="M3446" t="str">
        <f>CONCATENATE(LEFT(Master_ventas[[#This Row],[ProdUpper]],3),RIGHT(Master_ventas[[#This Row],[Ext-Year]],2),"-",MID(Master_ventas[[#This Row],[Category]],1,1))</f>
        <v>KEY22-A</v>
      </c>
      <c r="N3446" t="str">
        <f>MID(Master_ventas[[#This Row],[ProdUpper]],1,3)</f>
        <v>KEY</v>
      </c>
      <c r="O3446" t="str">
        <f>UPPER(IF(Master_ventas[[#This Row],[Profit]]&gt;500,"High","Std"))</f>
        <v>STD</v>
      </c>
      <c r="P3446">
        <v>3445</v>
      </c>
    </row>
    <row r="3447" spans="1:16" x14ac:dyDescent="0.3">
      <c r="A3447" s="1">
        <v>45172</v>
      </c>
      <c r="B3447" t="s">
        <v>20</v>
      </c>
      <c r="C3447" t="s">
        <v>11</v>
      </c>
      <c r="D3447" t="s">
        <v>15</v>
      </c>
      <c r="E3447">
        <v>5</v>
      </c>
      <c r="F3447" s="3">
        <v>4615</v>
      </c>
      <c r="G3447" s="2">
        <v>251</v>
      </c>
      <c r="H3447">
        <f>Master_ventas[[#This Row],[Profit]]/Master_ventas[[#This Row],[Sales]]</f>
        <v>5.4387865655471289E-2</v>
      </c>
      <c r="I3447">
        <f ca="1">Referencia_Hoy-Master_ventas[[#This Row],[Order Date]]</f>
        <v>1151</v>
      </c>
      <c r="J3447" t="str">
        <f>UPPER(Master_ventas[[#This Row],[Product Name]])</f>
        <v>MONITOR</v>
      </c>
      <c r="K3447" t="str">
        <f>UPPER(Master_ventas[[#This Row],[Category]])</f>
        <v>ACCESSORIES</v>
      </c>
      <c r="L3447">
        <f>YEAR(Master_ventas[[#This Row],[Order Date]])</f>
        <v>2023</v>
      </c>
      <c r="M3447" t="str">
        <f>CONCATENATE(LEFT(Master_ventas[[#This Row],[ProdUpper]],3),RIGHT(Master_ventas[[#This Row],[Ext-Year]],2),"-",MID(Master_ventas[[#This Row],[Category]],1,1))</f>
        <v>MON23-A</v>
      </c>
      <c r="N3447" t="str">
        <f>MID(Master_ventas[[#This Row],[ProdUpper]],1,3)</f>
        <v>MON</v>
      </c>
      <c r="O3447" t="str">
        <f>UPPER(IF(Master_ventas[[#This Row],[Profit]]&gt;500,"High","Std"))</f>
        <v>STD</v>
      </c>
      <c r="P3447">
        <v>3446</v>
      </c>
    </row>
    <row r="3448" spans="1:16" x14ac:dyDescent="0.3">
      <c r="A3448" s="1">
        <v>45373</v>
      </c>
      <c r="B3448" t="s">
        <v>10</v>
      </c>
      <c r="C3448" t="s">
        <v>11</v>
      </c>
      <c r="D3448" t="s">
        <v>16</v>
      </c>
      <c r="E3448">
        <v>1</v>
      </c>
      <c r="F3448" s="3">
        <v>829</v>
      </c>
      <c r="G3448" s="2">
        <v>165.05</v>
      </c>
      <c r="H3448">
        <f>Master_ventas[[#This Row],[Profit]]/Master_ventas[[#This Row],[Sales]]</f>
        <v>0.19909529553679134</v>
      </c>
      <c r="I3448">
        <f ca="1">Referencia_Hoy-Master_ventas[[#This Row],[Order Date]]</f>
        <v>950</v>
      </c>
      <c r="J3448" t="str">
        <f>UPPER(Master_ventas[[#This Row],[Product Name]])</f>
        <v>MOUSE</v>
      </c>
      <c r="K3448" t="str">
        <f>UPPER(Master_ventas[[#This Row],[Category]])</f>
        <v>ACCESSORIES</v>
      </c>
      <c r="L3448">
        <f>YEAR(Master_ventas[[#This Row],[Order Date]])</f>
        <v>2024</v>
      </c>
      <c r="M3448" t="str">
        <f>CONCATENATE(LEFT(Master_ventas[[#This Row],[ProdUpper]],3),RIGHT(Master_ventas[[#This Row],[Ext-Year]],2),"-",MID(Master_ventas[[#This Row],[Category]],1,1))</f>
        <v>MOU24-A</v>
      </c>
      <c r="N3448" t="str">
        <f>MID(Master_ventas[[#This Row],[ProdUpper]],1,3)</f>
        <v>MOU</v>
      </c>
      <c r="O3448" t="str">
        <f>UPPER(IF(Master_ventas[[#This Row],[Profit]]&gt;500,"High","Std"))</f>
        <v>STD</v>
      </c>
      <c r="P3448">
        <v>3447</v>
      </c>
    </row>
    <row r="3449" spans="1:16" x14ac:dyDescent="0.3">
      <c r="A3449" s="1">
        <v>45366</v>
      </c>
      <c r="B3449" t="s">
        <v>17</v>
      </c>
      <c r="C3449" t="s">
        <v>14</v>
      </c>
      <c r="D3449" t="s">
        <v>16</v>
      </c>
      <c r="E3449">
        <v>3</v>
      </c>
      <c r="F3449" s="3">
        <v>177</v>
      </c>
      <c r="G3449" s="2">
        <v>43.41</v>
      </c>
      <c r="H3449">
        <f>Master_ventas[[#This Row],[Profit]]/Master_ventas[[#This Row],[Sales]]</f>
        <v>0.24525423728813558</v>
      </c>
      <c r="I3449">
        <f ca="1">Referencia_Hoy-Master_ventas[[#This Row],[Order Date]]</f>
        <v>957</v>
      </c>
      <c r="J3449" t="str">
        <f>UPPER(Master_ventas[[#This Row],[Product Name]])</f>
        <v>CAMERA</v>
      </c>
      <c r="K3449" t="str">
        <f>UPPER(Master_ventas[[#This Row],[Category]])</f>
        <v>ELECTRONICS</v>
      </c>
      <c r="L3449">
        <f>YEAR(Master_ventas[[#This Row],[Order Date]])</f>
        <v>2024</v>
      </c>
      <c r="M3449" t="str">
        <f>CONCATENATE(LEFT(Master_ventas[[#This Row],[ProdUpper]],3),RIGHT(Master_ventas[[#This Row],[Ext-Year]],2),"-",MID(Master_ventas[[#This Row],[Category]],1,1))</f>
        <v>CAM24-E</v>
      </c>
      <c r="N3449" t="str">
        <f>MID(Master_ventas[[#This Row],[ProdUpper]],1,3)</f>
        <v>CAM</v>
      </c>
      <c r="O3449" t="str">
        <f>UPPER(IF(Master_ventas[[#This Row],[Profit]]&gt;500,"High","Std"))</f>
        <v>STD</v>
      </c>
      <c r="P3449">
        <v>3448</v>
      </c>
    </row>
    <row r="3450" spans="1:16" x14ac:dyDescent="0.3">
      <c r="A3450" s="1">
        <v>44918</v>
      </c>
      <c r="B3450" t="s">
        <v>18</v>
      </c>
      <c r="C3450" t="s">
        <v>11</v>
      </c>
      <c r="D3450" t="s">
        <v>16</v>
      </c>
      <c r="E3450">
        <v>1</v>
      </c>
      <c r="F3450" s="3">
        <v>1086</v>
      </c>
      <c r="G3450" s="2">
        <v>161.05000000000001</v>
      </c>
      <c r="H3450">
        <f>Master_ventas[[#This Row],[Profit]]/Master_ventas[[#This Row],[Sales]]</f>
        <v>0.14829650092081031</v>
      </c>
      <c r="I3450">
        <f ca="1">Referencia_Hoy-Master_ventas[[#This Row],[Order Date]]</f>
        <v>1405</v>
      </c>
      <c r="J3450" t="str">
        <f>UPPER(Master_ventas[[#This Row],[Product Name]])</f>
        <v>HEADPHONES</v>
      </c>
      <c r="K3450" t="str">
        <f>UPPER(Master_ventas[[#This Row],[Category]])</f>
        <v>ACCESSORIES</v>
      </c>
      <c r="L3450">
        <f>YEAR(Master_ventas[[#This Row],[Order Date]])</f>
        <v>2022</v>
      </c>
      <c r="M3450" t="str">
        <f>CONCATENATE(LEFT(Master_ventas[[#This Row],[ProdUpper]],3),RIGHT(Master_ventas[[#This Row],[Ext-Year]],2),"-",MID(Master_ventas[[#This Row],[Category]],1,1))</f>
        <v>HEA22-A</v>
      </c>
      <c r="N3450" t="str">
        <f>MID(Master_ventas[[#This Row],[ProdUpper]],1,3)</f>
        <v>HEA</v>
      </c>
      <c r="O3450" t="str">
        <f>UPPER(IF(Master_ventas[[#This Row],[Profit]]&gt;500,"High","Std"))</f>
        <v>STD</v>
      </c>
      <c r="P3450">
        <v>3449</v>
      </c>
    </row>
    <row r="3451" spans="1:16" x14ac:dyDescent="0.3">
      <c r="A3451" s="1">
        <v>45042</v>
      </c>
      <c r="B3451" t="s">
        <v>23</v>
      </c>
      <c r="C3451" t="s">
        <v>14</v>
      </c>
      <c r="D3451" t="s">
        <v>15</v>
      </c>
      <c r="E3451">
        <v>5</v>
      </c>
      <c r="F3451" s="3">
        <v>275</v>
      </c>
      <c r="G3451" s="2">
        <v>64.900000000000006</v>
      </c>
      <c r="H3451">
        <f>Master_ventas[[#This Row],[Profit]]/Master_ventas[[#This Row],[Sales]]</f>
        <v>0.23600000000000002</v>
      </c>
      <c r="I3451">
        <f ca="1">Referencia_Hoy-Master_ventas[[#This Row],[Order Date]]</f>
        <v>1281</v>
      </c>
      <c r="J3451" t="str">
        <f>UPPER(Master_ventas[[#This Row],[Product Name]])</f>
        <v>LAPTOP</v>
      </c>
      <c r="K3451" t="str">
        <f>UPPER(Master_ventas[[#This Row],[Category]])</f>
        <v>ELECTRONICS</v>
      </c>
      <c r="L3451">
        <f>YEAR(Master_ventas[[#This Row],[Order Date]])</f>
        <v>2023</v>
      </c>
      <c r="M3451" t="str">
        <f>CONCATENATE(LEFT(Master_ventas[[#This Row],[ProdUpper]],3),RIGHT(Master_ventas[[#This Row],[Ext-Year]],2),"-",MID(Master_ventas[[#This Row],[Category]],1,1))</f>
        <v>LAP23-E</v>
      </c>
      <c r="N3451" t="str">
        <f>MID(Master_ventas[[#This Row],[ProdUpper]],1,3)</f>
        <v>LAP</v>
      </c>
      <c r="O3451" t="str">
        <f>UPPER(IF(Master_ventas[[#This Row],[Profit]]&gt;500,"High","Std"))</f>
        <v>STD</v>
      </c>
      <c r="P3451">
        <v>3450</v>
      </c>
    </row>
    <row r="3452" spans="1:16" x14ac:dyDescent="0.3">
      <c r="A3452" s="1">
        <v>44910</v>
      </c>
      <c r="B3452" t="s">
        <v>10</v>
      </c>
      <c r="C3452" t="s">
        <v>11</v>
      </c>
      <c r="D3452" t="s">
        <v>9</v>
      </c>
      <c r="E3452">
        <v>1</v>
      </c>
      <c r="F3452" s="3">
        <v>564</v>
      </c>
      <c r="G3452" s="2">
        <v>164.5</v>
      </c>
      <c r="H3452">
        <f>Master_ventas[[#This Row],[Profit]]/Master_ventas[[#This Row],[Sales]]</f>
        <v>0.29166666666666669</v>
      </c>
      <c r="I3452">
        <f ca="1">Referencia_Hoy-Master_ventas[[#This Row],[Order Date]]</f>
        <v>1413</v>
      </c>
      <c r="J3452" t="str">
        <f>UPPER(Master_ventas[[#This Row],[Product Name]])</f>
        <v>MOUSE</v>
      </c>
      <c r="K3452" t="str">
        <f>UPPER(Master_ventas[[#This Row],[Category]])</f>
        <v>ACCESSORIES</v>
      </c>
      <c r="L3452">
        <f>YEAR(Master_ventas[[#This Row],[Order Date]])</f>
        <v>2022</v>
      </c>
      <c r="M3452" t="str">
        <f>CONCATENATE(LEFT(Master_ventas[[#This Row],[ProdUpper]],3),RIGHT(Master_ventas[[#This Row],[Ext-Year]],2),"-",MID(Master_ventas[[#This Row],[Category]],1,1))</f>
        <v>MOU22-A</v>
      </c>
      <c r="N3452" t="str">
        <f>MID(Master_ventas[[#This Row],[ProdUpper]],1,3)</f>
        <v>MOU</v>
      </c>
      <c r="O3452" t="str">
        <f>UPPER(IF(Master_ventas[[#This Row],[Profit]]&gt;500,"High","Std"))</f>
        <v>STD</v>
      </c>
      <c r="P3452">
        <v>3451</v>
      </c>
    </row>
    <row r="3453" spans="1:16" x14ac:dyDescent="0.3">
      <c r="A3453" s="1">
        <v>45517</v>
      </c>
      <c r="B3453" t="s">
        <v>22</v>
      </c>
      <c r="C3453" t="s">
        <v>11</v>
      </c>
      <c r="D3453" t="s">
        <v>15</v>
      </c>
      <c r="E3453">
        <v>2</v>
      </c>
      <c r="F3453" s="3">
        <v>684</v>
      </c>
      <c r="G3453" s="2">
        <v>71.39</v>
      </c>
      <c r="H3453">
        <f>Master_ventas[[#This Row],[Profit]]/Master_ventas[[#This Row],[Sales]]</f>
        <v>0.10437134502923977</v>
      </c>
      <c r="I3453">
        <f ca="1">Referencia_Hoy-Master_ventas[[#This Row],[Order Date]]</f>
        <v>806</v>
      </c>
      <c r="J3453" t="str">
        <f>UPPER(Master_ventas[[#This Row],[Product Name]])</f>
        <v>KEYBOARD</v>
      </c>
      <c r="K3453" t="str">
        <f>UPPER(Master_ventas[[#This Row],[Category]])</f>
        <v>ACCESSORIES</v>
      </c>
      <c r="L3453">
        <f>YEAR(Master_ventas[[#This Row],[Order Date]])</f>
        <v>2024</v>
      </c>
      <c r="M3453" t="str">
        <f>CONCATENATE(LEFT(Master_ventas[[#This Row],[ProdUpper]],3),RIGHT(Master_ventas[[#This Row],[Ext-Year]],2),"-",MID(Master_ventas[[#This Row],[Category]],1,1))</f>
        <v>KEY24-A</v>
      </c>
      <c r="N3453" t="str">
        <f>MID(Master_ventas[[#This Row],[ProdUpper]],1,3)</f>
        <v>KEY</v>
      </c>
      <c r="O3453" t="str">
        <f>UPPER(IF(Master_ventas[[#This Row],[Profit]]&gt;500,"High","Std"))</f>
        <v>STD</v>
      </c>
      <c r="P3453">
        <v>3452</v>
      </c>
    </row>
    <row r="3454" spans="1:16" x14ac:dyDescent="0.3">
      <c r="A3454" s="1">
        <v>45219</v>
      </c>
      <c r="B3454" t="s">
        <v>23</v>
      </c>
      <c r="C3454" t="s">
        <v>14</v>
      </c>
      <c r="D3454" t="s">
        <v>15</v>
      </c>
      <c r="E3454">
        <v>4</v>
      </c>
      <c r="F3454" s="3">
        <v>2656</v>
      </c>
      <c r="G3454" s="2">
        <v>687.63</v>
      </c>
      <c r="H3454">
        <f>Master_ventas[[#This Row],[Profit]]/Master_ventas[[#This Row],[Sales]]</f>
        <v>0.25889683734939761</v>
      </c>
      <c r="I3454">
        <f ca="1">Referencia_Hoy-Master_ventas[[#This Row],[Order Date]]</f>
        <v>1104</v>
      </c>
      <c r="J3454" t="str">
        <f>UPPER(Master_ventas[[#This Row],[Product Name]])</f>
        <v>LAPTOP</v>
      </c>
      <c r="K3454" t="str">
        <f>UPPER(Master_ventas[[#This Row],[Category]])</f>
        <v>ELECTRONICS</v>
      </c>
      <c r="L3454">
        <f>YEAR(Master_ventas[[#This Row],[Order Date]])</f>
        <v>2023</v>
      </c>
      <c r="M3454" t="str">
        <f>CONCATENATE(LEFT(Master_ventas[[#This Row],[ProdUpper]],3),RIGHT(Master_ventas[[#This Row],[Ext-Year]],2),"-",MID(Master_ventas[[#This Row],[Category]],1,1))</f>
        <v>LAP23-E</v>
      </c>
      <c r="N3454" t="str">
        <f>MID(Master_ventas[[#This Row],[ProdUpper]],1,3)</f>
        <v>LAP</v>
      </c>
      <c r="O3454" t="str">
        <f>UPPER(IF(Master_ventas[[#This Row],[Profit]]&gt;500,"High","Std"))</f>
        <v>HIGH</v>
      </c>
      <c r="P3454">
        <v>3453</v>
      </c>
    </row>
    <row r="3455" spans="1:16" x14ac:dyDescent="0.3">
      <c r="A3455" s="1">
        <v>45485</v>
      </c>
      <c r="B3455" t="s">
        <v>23</v>
      </c>
      <c r="C3455" t="s">
        <v>14</v>
      </c>
      <c r="D3455" t="s">
        <v>16</v>
      </c>
      <c r="E3455">
        <v>5</v>
      </c>
      <c r="F3455" s="3">
        <v>1190</v>
      </c>
      <c r="G3455" s="2">
        <v>346.79</v>
      </c>
      <c r="H3455">
        <f>Master_ventas[[#This Row],[Profit]]/Master_ventas[[#This Row],[Sales]]</f>
        <v>0.29142016806722693</v>
      </c>
      <c r="I3455">
        <f ca="1">Referencia_Hoy-Master_ventas[[#This Row],[Order Date]]</f>
        <v>838</v>
      </c>
      <c r="J3455" t="str">
        <f>UPPER(Master_ventas[[#This Row],[Product Name]])</f>
        <v>LAPTOP</v>
      </c>
      <c r="K3455" t="str">
        <f>UPPER(Master_ventas[[#This Row],[Category]])</f>
        <v>ELECTRONICS</v>
      </c>
      <c r="L3455">
        <f>YEAR(Master_ventas[[#This Row],[Order Date]])</f>
        <v>2024</v>
      </c>
      <c r="M3455" t="str">
        <f>CONCATENATE(LEFT(Master_ventas[[#This Row],[ProdUpper]],3),RIGHT(Master_ventas[[#This Row],[Ext-Year]],2),"-",MID(Master_ventas[[#This Row],[Category]],1,1))</f>
        <v>LAP24-E</v>
      </c>
      <c r="N3455" t="str">
        <f>MID(Master_ventas[[#This Row],[ProdUpper]],1,3)</f>
        <v>LAP</v>
      </c>
      <c r="O3455" t="str">
        <f>UPPER(IF(Master_ventas[[#This Row],[Profit]]&gt;500,"High","Std"))</f>
        <v>STD</v>
      </c>
      <c r="P3455">
        <v>3454</v>
      </c>
    </row>
    <row r="3456" spans="1:16" x14ac:dyDescent="0.3">
      <c r="A3456" s="1">
        <v>45627</v>
      </c>
      <c r="B3456" t="s">
        <v>7</v>
      </c>
      <c r="C3456" t="s">
        <v>8</v>
      </c>
      <c r="D3456" t="s">
        <v>15</v>
      </c>
      <c r="E3456">
        <v>6</v>
      </c>
      <c r="F3456" s="3">
        <v>4854</v>
      </c>
      <c r="G3456" s="2">
        <v>510.88</v>
      </c>
      <c r="H3456">
        <f>Master_ventas[[#This Row],[Profit]]/Master_ventas[[#This Row],[Sales]]</f>
        <v>0.10524927894519984</v>
      </c>
      <c r="I3456">
        <f ca="1">Referencia_Hoy-Master_ventas[[#This Row],[Order Date]]</f>
        <v>696</v>
      </c>
      <c r="J3456" t="str">
        <f>UPPER(Master_ventas[[#This Row],[Product Name]])</f>
        <v>PRINTER</v>
      </c>
      <c r="K3456" t="str">
        <f>UPPER(Master_ventas[[#This Row],[Category]])</f>
        <v>OFFICE</v>
      </c>
      <c r="L3456">
        <f>YEAR(Master_ventas[[#This Row],[Order Date]])</f>
        <v>2024</v>
      </c>
      <c r="M3456" t="str">
        <f>CONCATENATE(LEFT(Master_ventas[[#This Row],[ProdUpper]],3),RIGHT(Master_ventas[[#This Row],[Ext-Year]],2),"-",MID(Master_ventas[[#This Row],[Category]],1,1))</f>
        <v>PRI24-O</v>
      </c>
      <c r="N3456" t="str">
        <f>MID(Master_ventas[[#This Row],[ProdUpper]],1,3)</f>
        <v>PRI</v>
      </c>
      <c r="O3456" t="str">
        <f>UPPER(IF(Master_ventas[[#This Row],[Profit]]&gt;500,"High","Std"))</f>
        <v>HIGH</v>
      </c>
      <c r="P3456">
        <v>3455</v>
      </c>
    </row>
    <row r="3457" spans="1:16" x14ac:dyDescent="0.3">
      <c r="A3457" s="1">
        <v>45336</v>
      </c>
      <c r="B3457" t="s">
        <v>7</v>
      </c>
      <c r="C3457" t="s">
        <v>8</v>
      </c>
      <c r="D3457" t="s">
        <v>16</v>
      </c>
      <c r="E3457">
        <v>5</v>
      </c>
      <c r="F3457" s="3">
        <v>1060</v>
      </c>
      <c r="G3457" s="2">
        <v>217.96</v>
      </c>
      <c r="H3457">
        <f>Master_ventas[[#This Row],[Profit]]/Master_ventas[[#This Row],[Sales]]</f>
        <v>0.20562264150943396</v>
      </c>
      <c r="I3457">
        <f ca="1">Referencia_Hoy-Master_ventas[[#This Row],[Order Date]]</f>
        <v>987</v>
      </c>
      <c r="J3457" t="str">
        <f>UPPER(Master_ventas[[#This Row],[Product Name]])</f>
        <v>PRINTER</v>
      </c>
      <c r="K3457" t="str">
        <f>UPPER(Master_ventas[[#This Row],[Category]])</f>
        <v>OFFICE</v>
      </c>
      <c r="L3457">
        <f>YEAR(Master_ventas[[#This Row],[Order Date]])</f>
        <v>2024</v>
      </c>
      <c r="M3457" t="str">
        <f>CONCATENATE(LEFT(Master_ventas[[#This Row],[ProdUpper]],3),RIGHT(Master_ventas[[#This Row],[Ext-Year]],2),"-",MID(Master_ventas[[#This Row],[Category]],1,1))</f>
        <v>PRI24-O</v>
      </c>
      <c r="N3457" t="str">
        <f>MID(Master_ventas[[#This Row],[ProdUpper]],1,3)</f>
        <v>PRI</v>
      </c>
      <c r="O3457" t="str">
        <f>UPPER(IF(Master_ventas[[#This Row],[Profit]]&gt;500,"High","Std"))</f>
        <v>STD</v>
      </c>
      <c r="P3457">
        <v>3456</v>
      </c>
    </row>
    <row r="3458" spans="1:16" x14ac:dyDescent="0.3">
      <c r="A3458" s="1">
        <v>45535</v>
      </c>
      <c r="B3458" t="s">
        <v>23</v>
      </c>
      <c r="C3458" t="s">
        <v>14</v>
      </c>
      <c r="D3458" t="s">
        <v>15</v>
      </c>
      <c r="E3458">
        <v>3</v>
      </c>
      <c r="F3458" s="3">
        <v>1527</v>
      </c>
      <c r="G3458" s="2">
        <v>364.05</v>
      </c>
      <c r="H3458">
        <f>Master_ventas[[#This Row],[Profit]]/Master_ventas[[#This Row],[Sales]]</f>
        <v>0.23840864440078585</v>
      </c>
      <c r="I3458">
        <f ca="1">Referencia_Hoy-Master_ventas[[#This Row],[Order Date]]</f>
        <v>788</v>
      </c>
      <c r="J3458" t="str">
        <f>UPPER(Master_ventas[[#This Row],[Product Name]])</f>
        <v>LAPTOP</v>
      </c>
      <c r="K3458" t="str">
        <f>UPPER(Master_ventas[[#This Row],[Category]])</f>
        <v>ELECTRONICS</v>
      </c>
      <c r="L3458">
        <f>YEAR(Master_ventas[[#This Row],[Order Date]])</f>
        <v>2024</v>
      </c>
      <c r="M3458" t="str">
        <f>CONCATENATE(LEFT(Master_ventas[[#This Row],[ProdUpper]],3),RIGHT(Master_ventas[[#This Row],[Ext-Year]],2),"-",MID(Master_ventas[[#This Row],[Category]],1,1))</f>
        <v>LAP24-E</v>
      </c>
      <c r="N3458" t="str">
        <f>MID(Master_ventas[[#This Row],[ProdUpper]],1,3)</f>
        <v>LAP</v>
      </c>
      <c r="O3458" t="str">
        <f>UPPER(IF(Master_ventas[[#This Row],[Profit]]&gt;500,"High","Std"))</f>
        <v>STD</v>
      </c>
      <c r="P3458">
        <v>3457</v>
      </c>
    </row>
    <row r="3459" spans="1:16" x14ac:dyDescent="0.3">
      <c r="A3459" s="1">
        <v>45218</v>
      </c>
      <c r="B3459" t="s">
        <v>10</v>
      </c>
      <c r="C3459" t="s">
        <v>11</v>
      </c>
      <c r="D3459" t="s">
        <v>12</v>
      </c>
      <c r="E3459">
        <v>4</v>
      </c>
      <c r="F3459" s="3">
        <v>1168</v>
      </c>
      <c r="G3459" s="2">
        <v>177.54</v>
      </c>
      <c r="H3459">
        <f>Master_ventas[[#This Row],[Profit]]/Master_ventas[[#This Row],[Sales]]</f>
        <v>0.15200342465753425</v>
      </c>
      <c r="I3459">
        <f ca="1">Referencia_Hoy-Master_ventas[[#This Row],[Order Date]]</f>
        <v>1105</v>
      </c>
      <c r="J3459" t="str">
        <f>UPPER(Master_ventas[[#This Row],[Product Name]])</f>
        <v>MOUSE</v>
      </c>
      <c r="K3459" t="str">
        <f>UPPER(Master_ventas[[#This Row],[Category]])</f>
        <v>ACCESSORIES</v>
      </c>
      <c r="L3459">
        <f>YEAR(Master_ventas[[#This Row],[Order Date]])</f>
        <v>2023</v>
      </c>
      <c r="M3459" t="str">
        <f>CONCATENATE(LEFT(Master_ventas[[#This Row],[ProdUpper]],3),RIGHT(Master_ventas[[#This Row],[Ext-Year]],2),"-",MID(Master_ventas[[#This Row],[Category]],1,1))</f>
        <v>MOU23-A</v>
      </c>
      <c r="N3459" t="str">
        <f>MID(Master_ventas[[#This Row],[ProdUpper]],1,3)</f>
        <v>MOU</v>
      </c>
      <c r="O3459" t="str">
        <f>UPPER(IF(Master_ventas[[#This Row],[Profit]]&gt;500,"High","Std"))</f>
        <v>STD</v>
      </c>
      <c r="P3459">
        <v>3458</v>
      </c>
    </row>
    <row r="3460" spans="1:16" x14ac:dyDescent="0.3">
      <c r="A3460" s="1">
        <v>45032</v>
      </c>
      <c r="B3460" t="s">
        <v>13</v>
      </c>
      <c r="C3460" t="s">
        <v>14</v>
      </c>
      <c r="D3460" t="s">
        <v>15</v>
      </c>
      <c r="E3460">
        <v>8</v>
      </c>
      <c r="F3460" s="3">
        <v>6328</v>
      </c>
      <c r="G3460" s="2">
        <v>1257.81</v>
      </c>
      <c r="H3460">
        <f>Master_ventas[[#This Row],[Profit]]/Master_ventas[[#This Row],[Sales]]</f>
        <v>0.1987689633375474</v>
      </c>
      <c r="I3460">
        <f ca="1">Referencia_Hoy-Master_ventas[[#This Row],[Order Date]]</f>
        <v>1291</v>
      </c>
      <c r="J3460" t="str">
        <f>UPPER(Master_ventas[[#This Row],[Product Name]])</f>
        <v>TABLET</v>
      </c>
      <c r="K3460" t="str">
        <f>UPPER(Master_ventas[[#This Row],[Category]])</f>
        <v>ELECTRONICS</v>
      </c>
      <c r="L3460">
        <f>YEAR(Master_ventas[[#This Row],[Order Date]])</f>
        <v>2023</v>
      </c>
      <c r="M3460" t="str">
        <f>CONCATENATE(LEFT(Master_ventas[[#This Row],[ProdUpper]],3),RIGHT(Master_ventas[[#This Row],[Ext-Year]],2),"-",MID(Master_ventas[[#This Row],[Category]],1,1))</f>
        <v>TAB23-E</v>
      </c>
      <c r="N3460" t="str">
        <f>MID(Master_ventas[[#This Row],[ProdUpper]],1,3)</f>
        <v>TAB</v>
      </c>
      <c r="O3460" t="str">
        <f>UPPER(IF(Master_ventas[[#This Row],[Profit]]&gt;500,"High","Std"))</f>
        <v>HIGH</v>
      </c>
      <c r="P3460">
        <v>3459</v>
      </c>
    </row>
    <row r="3461" spans="1:16" x14ac:dyDescent="0.3">
      <c r="A3461" s="1">
        <v>45460</v>
      </c>
      <c r="B3461" t="s">
        <v>21</v>
      </c>
      <c r="C3461" t="s">
        <v>14</v>
      </c>
      <c r="D3461" t="s">
        <v>9</v>
      </c>
      <c r="E3461">
        <v>3</v>
      </c>
      <c r="F3461" s="3">
        <v>2193</v>
      </c>
      <c r="G3461" s="2">
        <v>477.95</v>
      </c>
      <c r="H3461">
        <f>Master_ventas[[#This Row],[Profit]]/Master_ventas[[#This Row],[Sales]]</f>
        <v>0.21794345645234839</v>
      </c>
      <c r="I3461">
        <f ca="1">Referencia_Hoy-Master_ventas[[#This Row],[Order Date]]</f>
        <v>863</v>
      </c>
      <c r="J3461" t="str">
        <f>UPPER(Master_ventas[[#This Row],[Product Name]])</f>
        <v>SMARTPHONE</v>
      </c>
      <c r="K3461" t="str">
        <f>UPPER(Master_ventas[[#This Row],[Category]])</f>
        <v>ELECTRONICS</v>
      </c>
      <c r="L3461">
        <f>YEAR(Master_ventas[[#This Row],[Order Date]])</f>
        <v>2024</v>
      </c>
      <c r="M3461" t="str">
        <f>CONCATENATE(LEFT(Master_ventas[[#This Row],[ProdUpper]],3),RIGHT(Master_ventas[[#This Row],[Ext-Year]],2),"-",MID(Master_ventas[[#This Row],[Category]],1,1))</f>
        <v>SMA24-E</v>
      </c>
      <c r="N3461" t="str">
        <f>MID(Master_ventas[[#This Row],[ProdUpper]],1,3)</f>
        <v>SMA</v>
      </c>
      <c r="O3461" t="str">
        <f>UPPER(IF(Master_ventas[[#This Row],[Profit]]&gt;500,"High","Std"))</f>
        <v>STD</v>
      </c>
      <c r="P3461">
        <v>3460</v>
      </c>
    </row>
    <row r="3462" spans="1:16" x14ac:dyDescent="0.3">
      <c r="A3462" s="1">
        <v>45044</v>
      </c>
      <c r="B3462" t="s">
        <v>19</v>
      </c>
      <c r="C3462" t="s">
        <v>14</v>
      </c>
      <c r="D3462" t="s">
        <v>12</v>
      </c>
      <c r="E3462">
        <v>8</v>
      </c>
      <c r="F3462" s="3">
        <v>7600</v>
      </c>
      <c r="G3462" s="2">
        <v>1099.8800000000001</v>
      </c>
      <c r="H3462">
        <f>Master_ventas[[#This Row],[Profit]]/Master_ventas[[#This Row],[Sales]]</f>
        <v>0.14472105263157897</v>
      </c>
      <c r="I3462">
        <f ca="1">Referencia_Hoy-Master_ventas[[#This Row],[Order Date]]</f>
        <v>1279</v>
      </c>
      <c r="J3462" t="str">
        <f>UPPER(Master_ventas[[#This Row],[Product Name]])</f>
        <v>SMARTWATCH</v>
      </c>
      <c r="K3462" t="str">
        <f>UPPER(Master_ventas[[#This Row],[Category]])</f>
        <v>ELECTRONICS</v>
      </c>
      <c r="L3462">
        <f>YEAR(Master_ventas[[#This Row],[Order Date]])</f>
        <v>2023</v>
      </c>
      <c r="M3462" t="str">
        <f>CONCATENATE(LEFT(Master_ventas[[#This Row],[ProdUpper]],3),RIGHT(Master_ventas[[#This Row],[Ext-Year]],2),"-",MID(Master_ventas[[#This Row],[Category]],1,1))</f>
        <v>SMA23-E</v>
      </c>
      <c r="N3462" t="str">
        <f>MID(Master_ventas[[#This Row],[ProdUpper]],1,3)</f>
        <v>SMA</v>
      </c>
      <c r="O3462" t="str">
        <f>UPPER(IF(Master_ventas[[#This Row],[Profit]]&gt;500,"High","Std"))</f>
        <v>HIGH</v>
      </c>
      <c r="P3462">
        <v>3461</v>
      </c>
    </row>
    <row r="3463" spans="1:16" x14ac:dyDescent="0.3">
      <c r="A3463" s="1">
        <v>45000</v>
      </c>
      <c r="B3463" t="s">
        <v>7</v>
      </c>
      <c r="C3463" t="s">
        <v>8</v>
      </c>
      <c r="D3463" t="s">
        <v>16</v>
      </c>
      <c r="E3463">
        <v>9</v>
      </c>
      <c r="F3463" s="3">
        <v>1764</v>
      </c>
      <c r="G3463" s="2">
        <v>322.11</v>
      </c>
      <c r="H3463">
        <f>Master_ventas[[#This Row],[Profit]]/Master_ventas[[#This Row],[Sales]]</f>
        <v>0.18260204081632653</v>
      </c>
      <c r="I3463">
        <f ca="1">Referencia_Hoy-Master_ventas[[#This Row],[Order Date]]</f>
        <v>1323</v>
      </c>
      <c r="J3463" t="str">
        <f>UPPER(Master_ventas[[#This Row],[Product Name]])</f>
        <v>PRINTER</v>
      </c>
      <c r="K3463" t="str">
        <f>UPPER(Master_ventas[[#This Row],[Category]])</f>
        <v>OFFICE</v>
      </c>
      <c r="L3463">
        <f>YEAR(Master_ventas[[#This Row],[Order Date]])</f>
        <v>2023</v>
      </c>
      <c r="M3463" t="str">
        <f>CONCATENATE(LEFT(Master_ventas[[#This Row],[ProdUpper]],3),RIGHT(Master_ventas[[#This Row],[Ext-Year]],2),"-",MID(Master_ventas[[#This Row],[Category]],1,1))</f>
        <v>PRI23-O</v>
      </c>
      <c r="N3463" t="str">
        <f>MID(Master_ventas[[#This Row],[ProdUpper]],1,3)</f>
        <v>PRI</v>
      </c>
      <c r="O3463" t="str">
        <f>UPPER(IF(Master_ventas[[#This Row],[Profit]]&gt;500,"High","Std"))</f>
        <v>STD</v>
      </c>
      <c r="P3463">
        <v>3462</v>
      </c>
    </row>
    <row r="3464" spans="1:16" x14ac:dyDescent="0.3">
      <c r="A3464" s="1">
        <v>44701</v>
      </c>
      <c r="B3464" t="s">
        <v>22</v>
      </c>
      <c r="C3464" t="s">
        <v>11</v>
      </c>
      <c r="D3464" t="s">
        <v>12</v>
      </c>
      <c r="E3464">
        <v>2</v>
      </c>
      <c r="F3464" s="3">
        <v>1270</v>
      </c>
      <c r="G3464" s="2">
        <v>84.29</v>
      </c>
      <c r="H3464">
        <f>Master_ventas[[#This Row],[Profit]]/Master_ventas[[#This Row],[Sales]]</f>
        <v>6.637007874015749E-2</v>
      </c>
      <c r="I3464">
        <f ca="1">Referencia_Hoy-Master_ventas[[#This Row],[Order Date]]</f>
        <v>1622</v>
      </c>
      <c r="J3464" t="str">
        <f>UPPER(Master_ventas[[#This Row],[Product Name]])</f>
        <v>KEYBOARD</v>
      </c>
      <c r="K3464" t="str">
        <f>UPPER(Master_ventas[[#This Row],[Category]])</f>
        <v>ACCESSORIES</v>
      </c>
      <c r="L3464">
        <f>YEAR(Master_ventas[[#This Row],[Order Date]])</f>
        <v>2022</v>
      </c>
      <c r="M3464" t="str">
        <f>CONCATENATE(LEFT(Master_ventas[[#This Row],[ProdUpper]],3),RIGHT(Master_ventas[[#This Row],[Ext-Year]],2),"-",MID(Master_ventas[[#This Row],[Category]],1,1))</f>
        <v>KEY22-A</v>
      </c>
      <c r="N3464" t="str">
        <f>MID(Master_ventas[[#This Row],[ProdUpper]],1,3)</f>
        <v>KEY</v>
      </c>
      <c r="O3464" t="str">
        <f>UPPER(IF(Master_ventas[[#This Row],[Profit]]&gt;500,"High","Std"))</f>
        <v>STD</v>
      </c>
      <c r="P3464">
        <v>3463</v>
      </c>
    </row>
    <row r="3465" spans="1:16" x14ac:dyDescent="0.3">
      <c r="A3465" s="1">
        <v>44947</v>
      </c>
      <c r="B3465" t="s">
        <v>13</v>
      </c>
      <c r="C3465" t="s">
        <v>14</v>
      </c>
      <c r="D3465" t="s">
        <v>9</v>
      </c>
      <c r="E3465">
        <v>1</v>
      </c>
      <c r="F3465" s="3">
        <v>607</v>
      </c>
      <c r="G3465" s="2">
        <v>33.770000000000003</v>
      </c>
      <c r="H3465">
        <f>Master_ventas[[#This Row],[Profit]]/Master_ventas[[#This Row],[Sales]]</f>
        <v>5.5634266886326202E-2</v>
      </c>
      <c r="I3465">
        <f ca="1">Referencia_Hoy-Master_ventas[[#This Row],[Order Date]]</f>
        <v>1376</v>
      </c>
      <c r="J3465" t="str">
        <f>UPPER(Master_ventas[[#This Row],[Product Name]])</f>
        <v>TABLET</v>
      </c>
      <c r="K3465" t="str">
        <f>UPPER(Master_ventas[[#This Row],[Category]])</f>
        <v>ELECTRONICS</v>
      </c>
      <c r="L3465">
        <f>YEAR(Master_ventas[[#This Row],[Order Date]])</f>
        <v>2023</v>
      </c>
      <c r="M3465" t="str">
        <f>CONCATENATE(LEFT(Master_ventas[[#This Row],[ProdUpper]],3),RIGHT(Master_ventas[[#This Row],[Ext-Year]],2),"-",MID(Master_ventas[[#This Row],[Category]],1,1))</f>
        <v>TAB23-E</v>
      </c>
      <c r="N3465" t="str">
        <f>MID(Master_ventas[[#This Row],[ProdUpper]],1,3)</f>
        <v>TAB</v>
      </c>
      <c r="O3465" t="str">
        <f>UPPER(IF(Master_ventas[[#This Row],[Profit]]&gt;500,"High","Std"))</f>
        <v>STD</v>
      </c>
      <c r="P3465">
        <v>3464</v>
      </c>
    </row>
    <row r="3466" spans="1:16" x14ac:dyDescent="0.3">
      <c r="A3466" s="1">
        <v>45008</v>
      </c>
      <c r="B3466" t="s">
        <v>10</v>
      </c>
      <c r="C3466" t="s">
        <v>11</v>
      </c>
      <c r="D3466" t="s">
        <v>15</v>
      </c>
      <c r="E3466">
        <v>2</v>
      </c>
      <c r="F3466" s="3">
        <v>1672</v>
      </c>
      <c r="G3466" s="2">
        <v>469.64</v>
      </c>
      <c r="H3466">
        <f>Master_ventas[[#This Row],[Profit]]/Master_ventas[[#This Row],[Sales]]</f>
        <v>0.28088516746411485</v>
      </c>
      <c r="I3466">
        <f ca="1">Referencia_Hoy-Master_ventas[[#This Row],[Order Date]]</f>
        <v>1315</v>
      </c>
      <c r="J3466" t="str">
        <f>UPPER(Master_ventas[[#This Row],[Product Name]])</f>
        <v>MOUSE</v>
      </c>
      <c r="K3466" t="str">
        <f>UPPER(Master_ventas[[#This Row],[Category]])</f>
        <v>ACCESSORIES</v>
      </c>
      <c r="L3466">
        <f>YEAR(Master_ventas[[#This Row],[Order Date]])</f>
        <v>2023</v>
      </c>
      <c r="M3466" t="str">
        <f>CONCATENATE(LEFT(Master_ventas[[#This Row],[ProdUpper]],3),RIGHT(Master_ventas[[#This Row],[Ext-Year]],2),"-",MID(Master_ventas[[#This Row],[Category]],1,1))</f>
        <v>MOU23-A</v>
      </c>
      <c r="N3466" t="str">
        <f>MID(Master_ventas[[#This Row],[ProdUpper]],1,3)</f>
        <v>MOU</v>
      </c>
      <c r="O3466" t="str">
        <f>UPPER(IF(Master_ventas[[#This Row],[Profit]]&gt;500,"High","Std"))</f>
        <v>STD</v>
      </c>
      <c r="P3466">
        <v>3465</v>
      </c>
    </row>
    <row r="3467" spans="1:16" x14ac:dyDescent="0.3">
      <c r="A3467" s="1">
        <v>45105</v>
      </c>
      <c r="B3467" t="s">
        <v>22</v>
      </c>
      <c r="C3467" t="s">
        <v>11</v>
      </c>
      <c r="D3467" t="s">
        <v>15</v>
      </c>
      <c r="E3467">
        <v>6</v>
      </c>
      <c r="F3467" s="3">
        <v>5718</v>
      </c>
      <c r="G3467" s="2">
        <v>1358.26</v>
      </c>
      <c r="H3467">
        <f>Master_ventas[[#This Row],[Profit]]/Master_ventas[[#This Row],[Sales]]</f>
        <v>0.23754109828611403</v>
      </c>
      <c r="I3467">
        <f ca="1">Referencia_Hoy-Master_ventas[[#This Row],[Order Date]]</f>
        <v>1218</v>
      </c>
      <c r="J3467" t="str">
        <f>UPPER(Master_ventas[[#This Row],[Product Name]])</f>
        <v>KEYBOARD</v>
      </c>
      <c r="K3467" t="str">
        <f>UPPER(Master_ventas[[#This Row],[Category]])</f>
        <v>ACCESSORIES</v>
      </c>
      <c r="L3467">
        <f>YEAR(Master_ventas[[#This Row],[Order Date]])</f>
        <v>2023</v>
      </c>
      <c r="M3467" t="str">
        <f>CONCATENATE(LEFT(Master_ventas[[#This Row],[ProdUpper]],3),RIGHT(Master_ventas[[#This Row],[Ext-Year]],2),"-",MID(Master_ventas[[#This Row],[Category]],1,1))</f>
        <v>KEY23-A</v>
      </c>
      <c r="N3467" t="str">
        <f>MID(Master_ventas[[#This Row],[ProdUpper]],1,3)</f>
        <v>KEY</v>
      </c>
      <c r="O3467" t="str">
        <f>UPPER(IF(Master_ventas[[#This Row],[Profit]]&gt;500,"High","Std"))</f>
        <v>HIGH</v>
      </c>
      <c r="P3467">
        <v>3466</v>
      </c>
    </row>
    <row r="3468" spans="1:16" x14ac:dyDescent="0.3">
      <c r="A3468" s="1">
        <v>44681</v>
      </c>
      <c r="B3468" t="s">
        <v>18</v>
      </c>
      <c r="C3468" t="s">
        <v>11</v>
      </c>
      <c r="D3468" t="s">
        <v>15</v>
      </c>
      <c r="E3468">
        <v>8</v>
      </c>
      <c r="F3468" s="3">
        <v>584</v>
      </c>
      <c r="G3468" s="2">
        <v>107.27</v>
      </c>
      <c r="H3468">
        <f>Master_ventas[[#This Row],[Profit]]/Master_ventas[[#This Row],[Sales]]</f>
        <v>0.18368150684931506</v>
      </c>
      <c r="I3468">
        <f ca="1">Referencia_Hoy-Master_ventas[[#This Row],[Order Date]]</f>
        <v>1642</v>
      </c>
      <c r="J3468" t="str">
        <f>UPPER(Master_ventas[[#This Row],[Product Name]])</f>
        <v>HEADPHONES</v>
      </c>
      <c r="K3468" t="str">
        <f>UPPER(Master_ventas[[#This Row],[Category]])</f>
        <v>ACCESSORIES</v>
      </c>
      <c r="L3468">
        <f>YEAR(Master_ventas[[#This Row],[Order Date]])</f>
        <v>2022</v>
      </c>
      <c r="M3468" t="str">
        <f>CONCATENATE(LEFT(Master_ventas[[#This Row],[ProdUpper]],3),RIGHT(Master_ventas[[#This Row],[Ext-Year]],2),"-",MID(Master_ventas[[#This Row],[Category]],1,1))</f>
        <v>HEA22-A</v>
      </c>
      <c r="N3468" t="str">
        <f>MID(Master_ventas[[#This Row],[ProdUpper]],1,3)</f>
        <v>HEA</v>
      </c>
      <c r="O3468" t="str">
        <f>UPPER(IF(Master_ventas[[#This Row],[Profit]]&gt;500,"High","Std"))</f>
        <v>STD</v>
      </c>
      <c r="P3468">
        <v>3467</v>
      </c>
    </row>
    <row r="3469" spans="1:16" x14ac:dyDescent="0.3">
      <c r="A3469" s="1">
        <v>45009</v>
      </c>
      <c r="B3469" t="s">
        <v>17</v>
      </c>
      <c r="C3469" t="s">
        <v>14</v>
      </c>
      <c r="D3469" t="s">
        <v>16</v>
      </c>
      <c r="E3469">
        <v>7</v>
      </c>
      <c r="F3469" s="3">
        <v>7455</v>
      </c>
      <c r="G3469" s="2">
        <v>966.64</v>
      </c>
      <c r="H3469">
        <f>Master_ventas[[#This Row],[Profit]]/Master_ventas[[#This Row],[Sales]]</f>
        <v>0.12966331321260899</v>
      </c>
      <c r="I3469">
        <f ca="1">Referencia_Hoy-Master_ventas[[#This Row],[Order Date]]</f>
        <v>1314</v>
      </c>
      <c r="J3469" t="str">
        <f>UPPER(Master_ventas[[#This Row],[Product Name]])</f>
        <v>CAMERA</v>
      </c>
      <c r="K3469" t="str">
        <f>UPPER(Master_ventas[[#This Row],[Category]])</f>
        <v>ELECTRONICS</v>
      </c>
      <c r="L3469">
        <f>YEAR(Master_ventas[[#This Row],[Order Date]])</f>
        <v>2023</v>
      </c>
      <c r="M3469" t="str">
        <f>CONCATENATE(LEFT(Master_ventas[[#This Row],[ProdUpper]],3),RIGHT(Master_ventas[[#This Row],[Ext-Year]],2),"-",MID(Master_ventas[[#This Row],[Category]],1,1))</f>
        <v>CAM23-E</v>
      </c>
      <c r="N3469" t="str">
        <f>MID(Master_ventas[[#This Row],[ProdUpper]],1,3)</f>
        <v>CAM</v>
      </c>
      <c r="O3469" t="str">
        <f>UPPER(IF(Master_ventas[[#This Row],[Profit]]&gt;500,"High","Std"))</f>
        <v>HIGH</v>
      </c>
      <c r="P3469">
        <v>3468</v>
      </c>
    </row>
    <row r="3470" spans="1:16" x14ac:dyDescent="0.3">
      <c r="A3470" s="1">
        <v>44645</v>
      </c>
      <c r="B3470" t="s">
        <v>22</v>
      </c>
      <c r="C3470" t="s">
        <v>11</v>
      </c>
      <c r="D3470" t="s">
        <v>9</v>
      </c>
      <c r="E3470">
        <v>7</v>
      </c>
      <c r="F3470" s="3">
        <v>7679</v>
      </c>
      <c r="G3470" s="2">
        <v>2270.08</v>
      </c>
      <c r="H3470">
        <f>Master_ventas[[#This Row],[Profit]]/Master_ventas[[#This Row],[Sales]]</f>
        <v>0.29562182575856233</v>
      </c>
      <c r="I3470">
        <f ca="1">Referencia_Hoy-Master_ventas[[#This Row],[Order Date]]</f>
        <v>1678</v>
      </c>
      <c r="J3470" t="str">
        <f>UPPER(Master_ventas[[#This Row],[Product Name]])</f>
        <v>KEYBOARD</v>
      </c>
      <c r="K3470" t="str">
        <f>UPPER(Master_ventas[[#This Row],[Category]])</f>
        <v>ACCESSORIES</v>
      </c>
      <c r="L3470">
        <f>YEAR(Master_ventas[[#This Row],[Order Date]])</f>
        <v>2022</v>
      </c>
      <c r="M3470" t="str">
        <f>CONCATENATE(LEFT(Master_ventas[[#This Row],[ProdUpper]],3),RIGHT(Master_ventas[[#This Row],[Ext-Year]],2),"-",MID(Master_ventas[[#This Row],[Category]],1,1))</f>
        <v>KEY22-A</v>
      </c>
      <c r="N3470" t="str">
        <f>MID(Master_ventas[[#This Row],[ProdUpper]],1,3)</f>
        <v>KEY</v>
      </c>
      <c r="O3470" t="str">
        <f>UPPER(IF(Master_ventas[[#This Row],[Profit]]&gt;500,"High","Std"))</f>
        <v>HIGH</v>
      </c>
      <c r="P3470">
        <v>3469</v>
      </c>
    </row>
    <row r="3471" spans="1:16" x14ac:dyDescent="0.3">
      <c r="A3471" s="1">
        <v>44714</v>
      </c>
      <c r="B3471" t="s">
        <v>13</v>
      </c>
      <c r="C3471" t="s">
        <v>14</v>
      </c>
      <c r="D3471" t="s">
        <v>16</v>
      </c>
      <c r="E3471">
        <v>7</v>
      </c>
      <c r="F3471" s="3">
        <v>847</v>
      </c>
      <c r="G3471" s="2">
        <v>154.05000000000001</v>
      </c>
      <c r="H3471">
        <f>Master_ventas[[#This Row],[Profit]]/Master_ventas[[#This Row],[Sales]]</f>
        <v>0.18187721369539553</v>
      </c>
      <c r="I3471">
        <f ca="1">Referencia_Hoy-Master_ventas[[#This Row],[Order Date]]</f>
        <v>1609</v>
      </c>
      <c r="J3471" t="str">
        <f>UPPER(Master_ventas[[#This Row],[Product Name]])</f>
        <v>TABLET</v>
      </c>
      <c r="K3471" t="str">
        <f>UPPER(Master_ventas[[#This Row],[Category]])</f>
        <v>ELECTRONICS</v>
      </c>
      <c r="L3471">
        <f>YEAR(Master_ventas[[#This Row],[Order Date]])</f>
        <v>2022</v>
      </c>
      <c r="M3471" t="str">
        <f>CONCATENATE(LEFT(Master_ventas[[#This Row],[ProdUpper]],3),RIGHT(Master_ventas[[#This Row],[Ext-Year]],2),"-",MID(Master_ventas[[#This Row],[Category]],1,1))</f>
        <v>TAB22-E</v>
      </c>
      <c r="N3471" t="str">
        <f>MID(Master_ventas[[#This Row],[ProdUpper]],1,3)</f>
        <v>TAB</v>
      </c>
      <c r="O3471" t="str">
        <f>UPPER(IF(Master_ventas[[#This Row],[Profit]]&gt;500,"High","Std"))</f>
        <v>STD</v>
      </c>
      <c r="P3471">
        <v>3470</v>
      </c>
    </row>
    <row r="3472" spans="1:16" x14ac:dyDescent="0.3">
      <c r="A3472" s="1">
        <v>44773</v>
      </c>
      <c r="B3472" t="s">
        <v>10</v>
      </c>
      <c r="C3472" t="s">
        <v>11</v>
      </c>
      <c r="D3472" t="s">
        <v>16</v>
      </c>
      <c r="E3472">
        <v>3</v>
      </c>
      <c r="F3472" s="3">
        <v>1278</v>
      </c>
      <c r="G3472" s="2">
        <v>178.78</v>
      </c>
      <c r="H3472">
        <f>Master_ventas[[#This Row],[Profit]]/Master_ventas[[#This Row],[Sales]]</f>
        <v>0.1398904538341158</v>
      </c>
      <c r="I3472">
        <f ca="1">Referencia_Hoy-Master_ventas[[#This Row],[Order Date]]</f>
        <v>1550</v>
      </c>
      <c r="J3472" t="str">
        <f>UPPER(Master_ventas[[#This Row],[Product Name]])</f>
        <v>MOUSE</v>
      </c>
      <c r="K3472" t="str">
        <f>UPPER(Master_ventas[[#This Row],[Category]])</f>
        <v>ACCESSORIES</v>
      </c>
      <c r="L3472">
        <f>YEAR(Master_ventas[[#This Row],[Order Date]])</f>
        <v>2022</v>
      </c>
      <c r="M3472" t="str">
        <f>CONCATENATE(LEFT(Master_ventas[[#This Row],[ProdUpper]],3),RIGHT(Master_ventas[[#This Row],[Ext-Year]],2),"-",MID(Master_ventas[[#This Row],[Category]],1,1))</f>
        <v>MOU22-A</v>
      </c>
      <c r="N3472" t="str">
        <f>MID(Master_ventas[[#This Row],[ProdUpper]],1,3)</f>
        <v>MOU</v>
      </c>
      <c r="O3472" t="str">
        <f>UPPER(IF(Master_ventas[[#This Row],[Profit]]&gt;500,"High","Std"))</f>
        <v>STD</v>
      </c>
      <c r="P3472">
        <v>3471</v>
      </c>
    </row>
    <row r="3473" spans="1:16" x14ac:dyDescent="0.3">
      <c r="A3473" s="1">
        <v>45312</v>
      </c>
      <c r="B3473" t="s">
        <v>22</v>
      </c>
      <c r="C3473" t="s">
        <v>11</v>
      </c>
      <c r="D3473" t="s">
        <v>12</v>
      </c>
      <c r="E3473">
        <v>8</v>
      </c>
      <c r="F3473" s="3">
        <v>6592</v>
      </c>
      <c r="G3473" s="2">
        <v>1024.82</v>
      </c>
      <c r="H3473">
        <f>Master_ventas[[#This Row],[Profit]]/Master_ventas[[#This Row],[Sales]]</f>
        <v>0.1554641990291262</v>
      </c>
      <c r="I3473">
        <f ca="1">Referencia_Hoy-Master_ventas[[#This Row],[Order Date]]</f>
        <v>1011</v>
      </c>
      <c r="J3473" t="str">
        <f>UPPER(Master_ventas[[#This Row],[Product Name]])</f>
        <v>KEYBOARD</v>
      </c>
      <c r="K3473" t="str">
        <f>UPPER(Master_ventas[[#This Row],[Category]])</f>
        <v>ACCESSORIES</v>
      </c>
      <c r="L3473">
        <f>YEAR(Master_ventas[[#This Row],[Order Date]])</f>
        <v>2024</v>
      </c>
      <c r="M3473" t="str">
        <f>CONCATENATE(LEFT(Master_ventas[[#This Row],[ProdUpper]],3),RIGHT(Master_ventas[[#This Row],[Ext-Year]],2),"-",MID(Master_ventas[[#This Row],[Category]],1,1))</f>
        <v>KEY24-A</v>
      </c>
      <c r="N3473" t="str">
        <f>MID(Master_ventas[[#This Row],[ProdUpper]],1,3)</f>
        <v>KEY</v>
      </c>
      <c r="O3473" t="str">
        <f>UPPER(IF(Master_ventas[[#This Row],[Profit]]&gt;500,"High","Std"))</f>
        <v>HIGH</v>
      </c>
      <c r="P3473">
        <v>3472</v>
      </c>
    </row>
    <row r="3474" spans="1:16" x14ac:dyDescent="0.3">
      <c r="A3474" s="1">
        <v>45182</v>
      </c>
      <c r="B3474" t="s">
        <v>20</v>
      </c>
      <c r="C3474" t="s">
        <v>11</v>
      </c>
      <c r="D3474" t="s">
        <v>12</v>
      </c>
      <c r="E3474">
        <v>8</v>
      </c>
      <c r="F3474" s="3">
        <v>3544</v>
      </c>
      <c r="G3474" s="2">
        <v>454.14</v>
      </c>
      <c r="H3474">
        <f>Master_ventas[[#This Row],[Profit]]/Master_ventas[[#This Row],[Sales]]</f>
        <v>0.12814334085778781</v>
      </c>
      <c r="I3474">
        <f ca="1">Referencia_Hoy-Master_ventas[[#This Row],[Order Date]]</f>
        <v>1141</v>
      </c>
      <c r="J3474" t="str">
        <f>UPPER(Master_ventas[[#This Row],[Product Name]])</f>
        <v>MONITOR</v>
      </c>
      <c r="K3474" t="str">
        <f>UPPER(Master_ventas[[#This Row],[Category]])</f>
        <v>ACCESSORIES</v>
      </c>
      <c r="L3474">
        <f>YEAR(Master_ventas[[#This Row],[Order Date]])</f>
        <v>2023</v>
      </c>
      <c r="M3474" t="str">
        <f>CONCATENATE(LEFT(Master_ventas[[#This Row],[ProdUpper]],3),RIGHT(Master_ventas[[#This Row],[Ext-Year]],2),"-",MID(Master_ventas[[#This Row],[Category]],1,1))</f>
        <v>MON23-A</v>
      </c>
      <c r="N3474" t="str">
        <f>MID(Master_ventas[[#This Row],[ProdUpper]],1,3)</f>
        <v>MON</v>
      </c>
      <c r="O3474" t="str">
        <f>UPPER(IF(Master_ventas[[#This Row],[Profit]]&gt;500,"High","Std"))</f>
        <v>STD</v>
      </c>
      <c r="P3474">
        <v>3473</v>
      </c>
    </row>
    <row r="3475" spans="1:16" x14ac:dyDescent="0.3">
      <c r="A3475" s="1">
        <v>45279</v>
      </c>
      <c r="B3475" t="s">
        <v>17</v>
      </c>
      <c r="C3475" t="s">
        <v>14</v>
      </c>
      <c r="D3475" t="s">
        <v>16</v>
      </c>
      <c r="E3475">
        <v>3</v>
      </c>
      <c r="F3475" s="3">
        <v>1959</v>
      </c>
      <c r="G3475" s="2">
        <v>274.27</v>
      </c>
      <c r="H3475">
        <f>Master_ventas[[#This Row],[Profit]]/Master_ventas[[#This Row],[Sales]]</f>
        <v>0.14000510464522714</v>
      </c>
      <c r="I3475">
        <f ca="1">Referencia_Hoy-Master_ventas[[#This Row],[Order Date]]</f>
        <v>1044</v>
      </c>
      <c r="J3475" t="str">
        <f>UPPER(Master_ventas[[#This Row],[Product Name]])</f>
        <v>CAMERA</v>
      </c>
      <c r="K3475" t="str">
        <f>UPPER(Master_ventas[[#This Row],[Category]])</f>
        <v>ELECTRONICS</v>
      </c>
      <c r="L3475">
        <f>YEAR(Master_ventas[[#This Row],[Order Date]])</f>
        <v>2023</v>
      </c>
      <c r="M3475" t="str">
        <f>CONCATENATE(LEFT(Master_ventas[[#This Row],[ProdUpper]],3),RIGHT(Master_ventas[[#This Row],[Ext-Year]],2),"-",MID(Master_ventas[[#This Row],[Category]],1,1))</f>
        <v>CAM23-E</v>
      </c>
      <c r="N3475" t="str">
        <f>MID(Master_ventas[[#This Row],[ProdUpper]],1,3)</f>
        <v>CAM</v>
      </c>
      <c r="O3475" t="str">
        <f>UPPER(IF(Master_ventas[[#This Row],[Profit]]&gt;500,"High","Std"))</f>
        <v>STD</v>
      </c>
      <c r="P3475">
        <v>3474</v>
      </c>
    </row>
    <row r="3476" spans="1:16" x14ac:dyDescent="0.3">
      <c r="A3476" s="1">
        <v>44775</v>
      </c>
      <c r="B3476" t="s">
        <v>10</v>
      </c>
      <c r="C3476" t="s">
        <v>11</v>
      </c>
      <c r="D3476" t="s">
        <v>15</v>
      </c>
      <c r="E3476">
        <v>6</v>
      </c>
      <c r="F3476" s="3">
        <v>3384</v>
      </c>
      <c r="G3476" s="2">
        <v>924.03</v>
      </c>
      <c r="H3476">
        <f>Master_ventas[[#This Row],[Profit]]/Master_ventas[[#This Row],[Sales]]</f>
        <v>0.27305851063829789</v>
      </c>
      <c r="I3476">
        <f ca="1">Referencia_Hoy-Master_ventas[[#This Row],[Order Date]]</f>
        <v>1548</v>
      </c>
      <c r="J3476" t="str">
        <f>UPPER(Master_ventas[[#This Row],[Product Name]])</f>
        <v>MOUSE</v>
      </c>
      <c r="K3476" t="str">
        <f>UPPER(Master_ventas[[#This Row],[Category]])</f>
        <v>ACCESSORIES</v>
      </c>
      <c r="L3476">
        <f>YEAR(Master_ventas[[#This Row],[Order Date]])</f>
        <v>2022</v>
      </c>
      <c r="M3476" t="str">
        <f>CONCATENATE(LEFT(Master_ventas[[#This Row],[ProdUpper]],3),RIGHT(Master_ventas[[#This Row],[Ext-Year]],2),"-",MID(Master_ventas[[#This Row],[Category]],1,1))</f>
        <v>MOU22-A</v>
      </c>
      <c r="N3476" t="str">
        <f>MID(Master_ventas[[#This Row],[ProdUpper]],1,3)</f>
        <v>MOU</v>
      </c>
      <c r="O3476" t="str">
        <f>UPPER(IF(Master_ventas[[#This Row],[Profit]]&gt;500,"High","Std"))</f>
        <v>HIGH</v>
      </c>
      <c r="P3476">
        <v>3475</v>
      </c>
    </row>
    <row r="3477" spans="1:16" x14ac:dyDescent="0.3">
      <c r="A3477" s="1">
        <v>45255</v>
      </c>
      <c r="B3477" t="s">
        <v>21</v>
      </c>
      <c r="C3477" t="s">
        <v>14</v>
      </c>
      <c r="D3477" t="s">
        <v>9</v>
      </c>
      <c r="E3477">
        <v>1</v>
      </c>
      <c r="F3477" s="3">
        <v>307</v>
      </c>
      <c r="G3477" s="2">
        <v>50.2</v>
      </c>
      <c r="H3477">
        <f>Master_ventas[[#This Row],[Profit]]/Master_ventas[[#This Row],[Sales]]</f>
        <v>0.16351791530944626</v>
      </c>
      <c r="I3477">
        <f ca="1">Referencia_Hoy-Master_ventas[[#This Row],[Order Date]]</f>
        <v>1068</v>
      </c>
      <c r="J3477" t="str">
        <f>UPPER(Master_ventas[[#This Row],[Product Name]])</f>
        <v>SMARTPHONE</v>
      </c>
      <c r="K3477" t="str">
        <f>UPPER(Master_ventas[[#This Row],[Category]])</f>
        <v>ELECTRONICS</v>
      </c>
      <c r="L3477">
        <f>YEAR(Master_ventas[[#This Row],[Order Date]])</f>
        <v>2023</v>
      </c>
      <c r="M3477" t="str">
        <f>CONCATENATE(LEFT(Master_ventas[[#This Row],[ProdUpper]],3),RIGHT(Master_ventas[[#This Row],[Ext-Year]],2),"-",MID(Master_ventas[[#This Row],[Category]],1,1))</f>
        <v>SMA23-E</v>
      </c>
      <c r="N3477" t="str">
        <f>MID(Master_ventas[[#This Row],[ProdUpper]],1,3)</f>
        <v>SMA</v>
      </c>
      <c r="O3477" t="str">
        <f>UPPER(IF(Master_ventas[[#This Row],[Profit]]&gt;500,"High","Std"))</f>
        <v>STD</v>
      </c>
      <c r="P3477">
        <v>3476</v>
      </c>
    </row>
    <row r="3478" spans="1:16" x14ac:dyDescent="0.3">
      <c r="A3478" s="1">
        <v>44771</v>
      </c>
      <c r="B3478" t="s">
        <v>17</v>
      </c>
      <c r="C3478" t="s">
        <v>14</v>
      </c>
      <c r="D3478" t="s">
        <v>16</v>
      </c>
      <c r="E3478">
        <v>9</v>
      </c>
      <c r="F3478" s="3">
        <v>10017</v>
      </c>
      <c r="G3478" s="2">
        <v>1468.72</v>
      </c>
      <c r="H3478">
        <f>Master_ventas[[#This Row],[Profit]]/Master_ventas[[#This Row],[Sales]]</f>
        <v>0.14662274133972247</v>
      </c>
      <c r="I3478">
        <f ca="1">Referencia_Hoy-Master_ventas[[#This Row],[Order Date]]</f>
        <v>1552</v>
      </c>
      <c r="J3478" t="str">
        <f>UPPER(Master_ventas[[#This Row],[Product Name]])</f>
        <v>CAMERA</v>
      </c>
      <c r="K3478" t="str">
        <f>UPPER(Master_ventas[[#This Row],[Category]])</f>
        <v>ELECTRONICS</v>
      </c>
      <c r="L3478">
        <f>YEAR(Master_ventas[[#This Row],[Order Date]])</f>
        <v>2022</v>
      </c>
      <c r="M3478" t="str">
        <f>CONCATENATE(LEFT(Master_ventas[[#This Row],[ProdUpper]],3),RIGHT(Master_ventas[[#This Row],[Ext-Year]],2),"-",MID(Master_ventas[[#This Row],[Category]],1,1))</f>
        <v>CAM22-E</v>
      </c>
      <c r="N3478" t="str">
        <f>MID(Master_ventas[[#This Row],[ProdUpper]],1,3)</f>
        <v>CAM</v>
      </c>
      <c r="O3478" t="str">
        <f>UPPER(IF(Master_ventas[[#This Row],[Profit]]&gt;500,"High","Std"))</f>
        <v>HIGH</v>
      </c>
      <c r="P3478">
        <v>3477</v>
      </c>
    </row>
    <row r="3479" spans="1:16" x14ac:dyDescent="0.3">
      <c r="A3479" s="1">
        <v>45600</v>
      </c>
      <c r="B3479" t="s">
        <v>13</v>
      </c>
      <c r="C3479" t="s">
        <v>14</v>
      </c>
      <c r="D3479" t="s">
        <v>15</v>
      </c>
      <c r="E3479">
        <v>7</v>
      </c>
      <c r="F3479" s="3">
        <v>7931</v>
      </c>
      <c r="G3479" s="2">
        <v>504.39</v>
      </c>
      <c r="H3479">
        <f>Master_ventas[[#This Row],[Profit]]/Master_ventas[[#This Row],[Sales]]</f>
        <v>6.3597276509897868E-2</v>
      </c>
      <c r="I3479">
        <f ca="1">Referencia_Hoy-Master_ventas[[#This Row],[Order Date]]</f>
        <v>723</v>
      </c>
      <c r="J3479" t="str">
        <f>UPPER(Master_ventas[[#This Row],[Product Name]])</f>
        <v>TABLET</v>
      </c>
      <c r="K3479" t="str">
        <f>UPPER(Master_ventas[[#This Row],[Category]])</f>
        <v>ELECTRONICS</v>
      </c>
      <c r="L3479">
        <f>YEAR(Master_ventas[[#This Row],[Order Date]])</f>
        <v>2024</v>
      </c>
      <c r="M3479" t="str">
        <f>CONCATENATE(LEFT(Master_ventas[[#This Row],[ProdUpper]],3),RIGHT(Master_ventas[[#This Row],[Ext-Year]],2),"-",MID(Master_ventas[[#This Row],[Category]],1,1))</f>
        <v>TAB24-E</v>
      </c>
      <c r="N3479" t="str">
        <f>MID(Master_ventas[[#This Row],[ProdUpper]],1,3)</f>
        <v>TAB</v>
      </c>
      <c r="O3479" t="str">
        <f>UPPER(IF(Master_ventas[[#This Row],[Profit]]&gt;500,"High","Std"))</f>
        <v>HIGH</v>
      </c>
      <c r="P3479">
        <v>3478</v>
      </c>
    </row>
    <row r="3480" spans="1:16" x14ac:dyDescent="0.3">
      <c r="A3480" s="1">
        <v>45585</v>
      </c>
      <c r="B3480" t="s">
        <v>23</v>
      </c>
      <c r="C3480" t="s">
        <v>14</v>
      </c>
      <c r="D3480" t="s">
        <v>9</v>
      </c>
      <c r="E3480">
        <v>2</v>
      </c>
      <c r="F3480" s="3">
        <v>1168</v>
      </c>
      <c r="G3480" s="2">
        <v>198.4</v>
      </c>
      <c r="H3480">
        <f>Master_ventas[[#This Row],[Profit]]/Master_ventas[[#This Row],[Sales]]</f>
        <v>0.16986301369863013</v>
      </c>
      <c r="I3480">
        <f ca="1">Referencia_Hoy-Master_ventas[[#This Row],[Order Date]]</f>
        <v>738</v>
      </c>
      <c r="J3480" t="str">
        <f>UPPER(Master_ventas[[#This Row],[Product Name]])</f>
        <v>LAPTOP</v>
      </c>
      <c r="K3480" t="str">
        <f>UPPER(Master_ventas[[#This Row],[Category]])</f>
        <v>ELECTRONICS</v>
      </c>
      <c r="L3480">
        <f>YEAR(Master_ventas[[#This Row],[Order Date]])</f>
        <v>2024</v>
      </c>
      <c r="M3480" t="str">
        <f>CONCATENATE(LEFT(Master_ventas[[#This Row],[ProdUpper]],3),RIGHT(Master_ventas[[#This Row],[Ext-Year]],2),"-",MID(Master_ventas[[#This Row],[Category]],1,1))</f>
        <v>LAP24-E</v>
      </c>
      <c r="N3480" t="str">
        <f>MID(Master_ventas[[#This Row],[ProdUpper]],1,3)</f>
        <v>LAP</v>
      </c>
      <c r="O3480" t="str">
        <f>UPPER(IF(Master_ventas[[#This Row],[Profit]]&gt;500,"High","Std"))</f>
        <v>STD</v>
      </c>
      <c r="P3480">
        <v>3479</v>
      </c>
    </row>
    <row r="3481" spans="1:16" x14ac:dyDescent="0.3">
      <c r="A3481" s="1">
        <v>45370</v>
      </c>
      <c r="B3481" t="s">
        <v>21</v>
      </c>
      <c r="C3481" t="s">
        <v>14</v>
      </c>
      <c r="D3481" t="s">
        <v>15</v>
      </c>
      <c r="E3481">
        <v>9</v>
      </c>
      <c r="F3481" s="3">
        <v>9765</v>
      </c>
      <c r="G3481" s="2">
        <v>909.99</v>
      </c>
      <c r="H3481">
        <f>Master_ventas[[#This Row],[Profit]]/Master_ventas[[#This Row],[Sales]]</f>
        <v>9.3188940092165898E-2</v>
      </c>
      <c r="I3481">
        <f ca="1">Referencia_Hoy-Master_ventas[[#This Row],[Order Date]]</f>
        <v>953</v>
      </c>
      <c r="J3481" t="str">
        <f>UPPER(Master_ventas[[#This Row],[Product Name]])</f>
        <v>SMARTPHONE</v>
      </c>
      <c r="K3481" t="str">
        <f>UPPER(Master_ventas[[#This Row],[Category]])</f>
        <v>ELECTRONICS</v>
      </c>
      <c r="L3481">
        <f>YEAR(Master_ventas[[#This Row],[Order Date]])</f>
        <v>2024</v>
      </c>
      <c r="M3481" t="str">
        <f>CONCATENATE(LEFT(Master_ventas[[#This Row],[ProdUpper]],3),RIGHT(Master_ventas[[#This Row],[Ext-Year]],2),"-",MID(Master_ventas[[#This Row],[Category]],1,1))</f>
        <v>SMA24-E</v>
      </c>
      <c r="N3481" t="str">
        <f>MID(Master_ventas[[#This Row],[ProdUpper]],1,3)</f>
        <v>SMA</v>
      </c>
      <c r="O3481" t="str">
        <f>UPPER(IF(Master_ventas[[#This Row],[Profit]]&gt;500,"High","Std"))</f>
        <v>HIGH</v>
      </c>
      <c r="P3481">
        <v>3480</v>
      </c>
    </row>
    <row r="3482" spans="1:16" x14ac:dyDescent="0.3">
      <c r="A3482" s="1">
        <v>45190</v>
      </c>
      <c r="B3482" t="s">
        <v>13</v>
      </c>
      <c r="C3482" t="s">
        <v>14</v>
      </c>
      <c r="D3482" t="s">
        <v>15</v>
      </c>
      <c r="E3482">
        <v>8</v>
      </c>
      <c r="F3482" s="3">
        <v>1456</v>
      </c>
      <c r="G3482" s="2">
        <v>271.26</v>
      </c>
      <c r="H3482">
        <f>Master_ventas[[#This Row],[Profit]]/Master_ventas[[#This Row],[Sales]]</f>
        <v>0.18630494505494505</v>
      </c>
      <c r="I3482">
        <f ca="1">Referencia_Hoy-Master_ventas[[#This Row],[Order Date]]</f>
        <v>1133</v>
      </c>
      <c r="J3482" t="str">
        <f>UPPER(Master_ventas[[#This Row],[Product Name]])</f>
        <v>TABLET</v>
      </c>
      <c r="K3482" t="str">
        <f>UPPER(Master_ventas[[#This Row],[Category]])</f>
        <v>ELECTRONICS</v>
      </c>
      <c r="L3482">
        <f>YEAR(Master_ventas[[#This Row],[Order Date]])</f>
        <v>2023</v>
      </c>
      <c r="M3482" t="str">
        <f>CONCATENATE(LEFT(Master_ventas[[#This Row],[ProdUpper]],3),RIGHT(Master_ventas[[#This Row],[Ext-Year]],2),"-",MID(Master_ventas[[#This Row],[Category]],1,1))</f>
        <v>TAB23-E</v>
      </c>
      <c r="N3482" t="str">
        <f>MID(Master_ventas[[#This Row],[ProdUpper]],1,3)</f>
        <v>TAB</v>
      </c>
      <c r="O3482" t="str">
        <f>UPPER(IF(Master_ventas[[#This Row],[Profit]]&gt;500,"High","Std"))</f>
        <v>STD</v>
      </c>
      <c r="P3482">
        <v>3481</v>
      </c>
    </row>
    <row r="3483" spans="1:16" x14ac:dyDescent="0.3">
      <c r="A3483" s="1">
        <v>44906</v>
      </c>
      <c r="B3483" t="s">
        <v>21</v>
      </c>
      <c r="C3483" t="s">
        <v>14</v>
      </c>
      <c r="D3483" t="s">
        <v>15</v>
      </c>
      <c r="E3483">
        <v>5</v>
      </c>
      <c r="F3483" s="3">
        <v>950</v>
      </c>
      <c r="G3483" s="2">
        <v>61.9</v>
      </c>
      <c r="H3483">
        <f>Master_ventas[[#This Row],[Profit]]/Master_ventas[[#This Row],[Sales]]</f>
        <v>6.5157894736842109E-2</v>
      </c>
      <c r="I3483">
        <f ca="1">Referencia_Hoy-Master_ventas[[#This Row],[Order Date]]</f>
        <v>1417</v>
      </c>
      <c r="J3483" t="str">
        <f>UPPER(Master_ventas[[#This Row],[Product Name]])</f>
        <v>SMARTPHONE</v>
      </c>
      <c r="K3483" t="str">
        <f>UPPER(Master_ventas[[#This Row],[Category]])</f>
        <v>ELECTRONICS</v>
      </c>
      <c r="L3483">
        <f>YEAR(Master_ventas[[#This Row],[Order Date]])</f>
        <v>2022</v>
      </c>
      <c r="M3483" t="str">
        <f>CONCATENATE(LEFT(Master_ventas[[#This Row],[ProdUpper]],3),RIGHT(Master_ventas[[#This Row],[Ext-Year]],2),"-",MID(Master_ventas[[#This Row],[Category]],1,1))</f>
        <v>SMA22-E</v>
      </c>
      <c r="N3483" t="str">
        <f>MID(Master_ventas[[#This Row],[ProdUpper]],1,3)</f>
        <v>SMA</v>
      </c>
      <c r="O3483" t="str">
        <f>UPPER(IF(Master_ventas[[#This Row],[Profit]]&gt;500,"High","Std"))</f>
        <v>STD</v>
      </c>
      <c r="P3483">
        <v>3482</v>
      </c>
    </row>
    <row r="3484" spans="1:16" x14ac:dyDescent="0.3">
      <c r="A3484" s="1">
        <v>44736</v>
      </c>
      <c r="B3484" t="s">
        <v>19</v>
      </c>
      <c r="C3484" t="s">
        <v>14</v>
      </c>
      <c r="D3484" t="s">
        <v>16</v>
      </c>
      <c r="E3484">
        <v>2</v>
      </c>
      <c r="F3484" s="3">
        <v>2314</v>
      </c>
      <c r="G3484" s="2">
        <v>600.76</v>
      </c>
      <c r="H3484">
        <f>Master_ventas[[#This Row],[Profit]]/Master_ventas[[#This Row],[Sales]]</f>
        <v>0.25961970613656005</v>
      </c>
      <c r="I3484">
        <f ca="1">Referencia_Hoy-Master_ventas[[#This Row],[Order Date]]</f>
        <v>1587</v>
      </c>
      <c r="J3484" t="str">
        <f>UPPER(Master_ventas[[#This Row],[Product Name]])</f>
        <v>SMARTWATCH</v>
      </c>
      <c r="K3484" t="str">
        <f>UPPER(Master_ventas[[#This Row],[Category]])</f>
        <v>ELECTRONICS</v>
      </c>
      <c r="L3484">
        <f>YEAR(Master_ventas[[#This Row],[Order Date]])</f>
        <v>2022</v>
      </c>
      <c r="M3484" t="str">
        <f>CONCATENATE(LEFT(Master_ventas[[#This Row],[ProdUpper]],3),RIGHT(Master_ventas[[#This Row],[Ext-Year]],2),"-",MID(Master_ventas[[#This Row],[Category]],1,1))</f>
        <v>SMA22-E</v>
      </c>
      <c r="N3484" t="str">
        <f>MID(Master_ventas[[#This Row],[ProdUpper]],1,3)</f>
        <v>SMA</v>
      </c>
      <c r="O3484" t="str">
        <f>UPPER(IF(Master_ventas[[#This Row],[Profit]]&gt;500,"High","Std"))</f>
        <v>HIGH</v>
      </c>
      <c r="P3484">
        <v>3483</v>
      </c>
    </row>
    <row r="3485" spans="1:16" x14ac:dyDescent="0.3">
      <c r="A3485" s="1">
        <v>45205</v>
      </c>
      <c r="B3485" t="s">
        <v>19</v>
      </c>
      <c r="C3485" t="s">
        <v>14</v>
      </c>
      <c r="D3485" t="s">
        <v>9</v>
      </c>
      <c r="E3485">
        <v>1</v>
      </c>
      <c r="F3485" s="3">
        <v>915</v>
      </c>
      <c r="G3485" s="2">
        <v>264.3</v>
      </c>
      <c r="H3485">
        <f>Master_ventas[[#This Row],[Profit]]/Master_ventas[[#This Row],[Sales]]</f>
        <v>0.28885245901639345</v>
      </c>
      <c r="I3485">
        <f ca="1">Referencia_Hoy-Master_ventas[[#This Row],[Order Date]]</f>
        <v>1118</v>
      </c>
      <c r="J3485" t="str">
        <f>UPPER(Master_ventas[[#This Row],[Product Name]])</f>
        <v>SMARTWATCH</v>
      </c>
      <c r="K3485" t="str">
        <f>UPPER(Master_ventas[[#This Row],[Category]])</f>
        <v>ELECTRONICS</v>
      </c>
      <c r="L3485">
        <f>YEAR(Master_ventas[[#This Row],[Order Date]])</f>
        <v>2023</v>
      </c>
      <c r="M3485" t="str">
        <f>CONCATENATE(LEFT(Master_ventas[[#This Row],[ProdUpper]],3),RIGHT(Master_ventas[[#This Row],[Ext-Year]],2),"-",MID(Master_ventas[[#This Row],[Category]],1,1))</f>
        <v>SMA23-E</v>
      </c>
      <c r="N3485" t="str">
        <f>MID(Master_ventas[[#This Row],[ProdUpper]],1,3)</f>
        <v>SMA</v>
      </c>
      <c r="O3485" t="str">
        <f>UPPER(IF(Master_ventas[[#This Row],[Profit]]&gt;500,"High","Std"))</f>
        <v>STD</v>
      </c>
      <c r="P3485">
        <v>3484</v>
      </c>
    </row>
    <row r="3486" spans="1:16" x14ac:dyDescent="0.3">
      <c r="A3486" s="1">
        <v>44901</v>
      </c>
      <c r="B3486" t="s">
        <v>23</v>
      </c>
      <c r="C3486" t="s">
        <v>14</v>
      </c>
      <c r="D3486" t="s">
        <v>9</v>
      </c>
      <c r="E3486">
        <v>1</v>
      </c>
      <c r="F3486" s="3">
        <v>290</v>
      </c>
      <c r="G3486" s="2">
        <v>61.14</v>
      </c>
      <c r="H3486">
        <f>Master_ventas[[#This Row],[Profit]]/Master_ventas[[#This Row],[Sales]]</f>
        <v>0.21082758620689657</v>
      </c>
      <c r="I3486">
        <f ca="1">Referencia_Hoy-Master_ventas[[#This Row],[Order Date]]</f>
        <v>1422</v>
      </c>
      <c r="J3486" t="str">
        <f>UPPER(Master_ventas[[#This Row],[Product Name]])</f>
        <v>LAPTOP</v>
      </c>
      <c r="K3486" t="str">
        <f>UPPER(Master_ventas[[#This Row],[Category]])</f>
        <v>ELECTRONICS</v>
      </c>
      <c r="L3486">
        <f>YEAR(Master_ventas[[#This Row],[Order Date]])</f>
        <v>2022</v>
      </c>
      <c r="M3486" t="str">
        <f>CONCATENATE(LEFT(Master_ventas[[#This Row],[ProdUpper]],3),RIGHT(Master_ventas[[#This Row],[Ext-Year]],2),"-",MID(Master_ventas[[#This Row],[Category]],1,1))</f>
        <v>LAP22-E</v>
      </c>
      <c r="N3486" t="str">
        <f>MID(Master_ventas[[#This Row],[ProdUpper]],1,3)</f>
        <v>LAP</v>
      </c>
      <c r="O3486" t="str">
        <f>UPPER(IF(Master_ventas[[#This Row],[Profit]]&gt;500,"High","Std"))</f>
        <v>STD</v>
      </c>
      <c r="P3486">
        <v>3485</v>
      </c>
    </row>
    <row r="3487" spans="1:16" x14ac:dyDescent="0.3">
      <c r="A3487" s="1">
        <v>44576</v>
      </c>
      <c r="B3487" t="s">
        <v>13</v>
      </c>
      <c r="C3487" t="s">
        <v>14</v>
      </c>
      <c r="D3487" t="s">
        <v>9</v>
      </c>
      <c r="E3487">
        <v>7</v>
      </c>
      <c r="F3487" s="3">
        <v>3584</v>
      </c>
      <c r="G3487" s="2">
        <v>940.88</v>
      </c>
      <c r="H3487">
        <f>Master_ventas[[#This Row],[Profit]]/Master_ventas[[#This Row],[Sales]]</f>
        <v>0.2625223214285714</v>
      </c>
      <c r="I3487">
        <f ca="1">Referencia_Hoy-Master_ventas[[#This Row],[Order Date]]</f>
        <v>1747</v>
      </c>
      <c r="J3487" t="str">
        <f>UPPER(Master_ventas[[#This Row],[Product Name]])</f>
        <v>TABLET</v>
      </c>
      <c r="K3487" t="str">
        <f>UPPER(Master_ventas[[#This Row],[Category]])</f>
        <v>ELECTRONICS</v>
      </c>
      <c r="L3487">
        <f>YEAR(Master_ventas[[#This Row],[Order Date]])</f>
        <v>2022</v>
      </c>
      <c r="M3487" t="str">
        <f>CONCATENATE(LEFT(Master_ventas[[#This Row],[ProdUpper]],3),RIGHT(Master_ventas[[#This Row],[Ext-Year]],2),"-",MID(Master_ventas[[#This Row],[Category]],1,1))</f>
        <v>TAB22-E</v>
      </c>
      <c r="N3487" t="str">
        <f>MID(Master_ventas[[#This Row],[ProdUpper]],1,3)</f>
        <v>TAB</v>
      </c>
      <c r="O3487" t="str">
        <f>UPPER(IF(Master_ventas[[#This Row],[Profit]]&gt;500,"High","Std"))</f>
        <v>HIGH</v>
      </c>
      <c r="P3487">
        <v>3486</v>
      </c>
    </row>
    <row r="3488" spans="1:16" x14ac:dyDescent="0.3">
      <c r="A3488" s="1">
        <v>45355</v>
      </c>
      <c r="B3488" t="s">
        <v>10</v>
      </c>
      <c r="C3488" t="s">
        <v>11</v>
      </c>
      <c r="D3488" t="s">
        <v>16</v>
      </c>
      <c r="E3488">
        <v>6</v>
      </c>
      <c r="F3488" s="3">
        <v>1254</v>
      </c>
      <c r="G3488" s="2">
        <v>205.57</v>
      </c>
      <c r="H3488">
        <f>Master_ventas[[#This Row],[Profit]]/Master_ventas[[#This Row],[Sales]]</f>
        <v>0.16393141945773523</v>
      </c>
      <c r="I3488">
        <f ca="1">Referencia_Hoy-Master_ventas[[#This Row],[Order Date]]</f>
        <v>968</v>
      </c>
      <c r="J3488" t="str">
        <f>UPPER(Master_ventas[[#This Row],[Product Name]])</f>
        <v>MOUSE</v>
      </c>
      <c r="K3488" t="str">
        <f>UPPER(Master_ventas[[#This Row],[Category]])</f>
        <v>ACCESSORIES</v>
      </c>
      <c r="L3488">
        <f>YEAR(Master_ventas[[#This Row],[Order Date]])</f>
        <v>2024</v>
      </c>
      <c r="M3488" t="str">
        <f>CONCATENATE(LEFT(Master_ventas[[#This Row],[ProdUpper]],3),RIGHT(Master_ventas[[#This Row],[Ext-Year]],2),"-",MID(Master_ventas[[#This Row],[Category]],1,1))</f>
        <v>MOU24-A</v>
      </c>
      <c r="N3488" t="str">
        <f>MID(Master_ventas[[#This Row],[ProdUpper]],1,3)</f>
        <v>MOU</v>
      </c>
      <c r="O3488" t="str">
        <f>UPPER(IF(Master_ventas[[#This Row],[Profit]]&gt;500,"High","Std"))</f>
        <v>STD</v>
      </c>
      <c r="P3488">
        <v>3487</v>
      </c>
    </row>
    <row r="3489" spans="1:16" x14ac:dyDescent="0.3">
      <c r="A3489" s="1">
        <v>44950</v>
      </c>
      <c r="B3489" t="s">
        <v>23</v>
      </c>
      <c r="C3489" t="s">
        <v>14</v>
      </c>
      <c r="D3489" t="s">
        <v>9</v>
      </c>
      <c r="E3489">
        <v>5</v>
      </c>
      <c r="F3489" s="3">
        <v>2410</v>
      </c>
      <c r="G3489" s="2">
        <v>636.83000000000004</v>
      </c>
      <c r="H3489">
        <f>Master_ventas[[#This Row],[Profit]]/Master_ventas[[#This Row],[Sales]]</f>
        <v>0.26424481327800831</v>
      </c>
      <c r="I3489">
        <f ca="1">Referencia_Hoy-Master_ventas[[#This Row],[Order Date]]</f>
        <v>1373</v>
      </c>
      <c r="J3489" t="str">
        <f>UPPER(Master_ventas[[#This Row],[Product Name]])</f>
        <v>LAPTOP</v>
      </c>
      <c r="K3489" t="str">
        <f>UPPER(Master_ventas[[#This Row],[Category]])</f>
        <v>ELECTRONICS</v>
      </c>
      <c r="L3489">
        <f>YEAR(Master_ventas[[#This Row],[Order Date]])</f>
        <v>2023</v>
      </c>
      <c r="M3489" t="str">
        <f>CONCATENATE(LEFT(Master_ventas[[#This Row],[ProdUpper]],3),RIGHT(Master_ventas[[#This Row],[Ext-Year]],2),"-",MID(Master_ventas[[#This Row],[Category]],1,1))</f>
        <v>LAP23-E</v>
      </c>
      <c r="N3489" t="str">
        <f>MID(Master_ventas[[#This Row],[ProdUpper]],1,3)</f>
        <v>LAP</v>
      </c>
      <c r="O3489" t="str">
        <f>UPPER(IF(Master_ventas[[#This Row],[Profit]]&gt;500,"High","Std"))</f>
        <v>HIGH</v>
      </c>
      <c r="P3489">
        <v>3488</v>
      </c>
    </row>
    <row r="3490" spans="1:16" x14ac:dyDescent="0.3">
      <c r="A3490" s="1">
        <v>45200</v>
      </c>
      <c r="B3490" t="s">
        <v>7</v>
      </c>
      <c r="C3490" t="s">
        <v>8</v>
      </c>
      <c r="D3490" t="s">
        <v>9</v>
      </c>
      <c r="E3490">
        <v>2</v>
      </c>
      <c r="F3490" s="3">
        <v>800</v>
      </c>
      <c r="G3490" s="2">
        <v>118.68</v>
      </c>
      <c r="H3490">
        <f>Master_ventas[[#This Row],[Profit]]/Master_ventas[[#This Row],[Sales]]</f>
        <v>0.14835000000000001</v>
      </c>
      <c r="I3490">
        <f ca="1">Referencia_Hoy-Master_ventas[[#This Row],[Order Date]]</f>
        <v>1123</v>
      </c>
      <c r="J3490" t="str">
        <f>UPPER(Master_ventas[[#This Row],[Product Name]])</f>
        <v>PRINTER</v>
      </c>
      <c r="K3490" t="str">
        <f>UPPER(Master_ventas[[#This Row],[Category]])</f>
        <v>OFFICE</v>
      </c>
      <c r="L3490">
        <f>YEAR(Master_ventas[[#This Row],[Order Date]])</f>
        <v>2023</v>
      </c>
      <c r="M3490" t="str">
        <f>CONCATENATE(LEFT(Master_ventas[[#This Row],[ProdUpper]],3),RIGHT(Master_ventas[[#This Row],[Ext-Year]],2),"-",MID(Master_ventas[[#This Row],[Category]],1,1))</f>
        <v>PRI23-O</v>
      </c>
      <c r="N3490" t="str">
        <f>MID(Master_ventas[[#This Row],[ProdUpper]],1,3)</f>
        <v>PRI</v>
      </c>
      <c r="O3490" t="str">
        <f>UPPER(IF(Master_ventas[[#This Row],[Profit]]&gt;500,"High","Std"))</f>
        <v>STD</v>
      </c>
      <c r="P3490">
        <v>3489</v>
      </c>
    </row>
    <row r="3491" spans="1:16" x14ac:dyDescent="0.3">
      <c r="A3491" s="1">
        <v>44740</v>
      </c>
      <c r="B3491" t="s">
        <v>19</v>
      </c>
      <c r="C3491" t="s">
        <v>14</v>
      </c>
      <c r="D3491" t="s">
        <v>16</v>
      </c>
      <c r="E3491">
        <v>5</v>
      </c>
      <c r="F3491" s="3">
        <v>990</v>
      </c>
      <c r="G3491" s="2">
        <v>87.61</v>
      </c>
      <c r="H3491">
        <f>Master_ventas[[#This Row],[Profit]]/Master_ventas[[#This Row],[Sales]]</f>
        <v>8.8494949494949487E-2</v>
      </c>
      <c r="I3491">
        <f ca="1">Referencia_Hoy-Master_ventas[[#This Row],[Order Date]]</f>
        <v>1583</v>
      </c>
      <c r="J3491" t="str">
        <f>UPPER(Master_ventas[[#This Row],[Product Name]])</f>
        <v>SMARTWATCH</v>
      </c>
      <c r="K3491" t="str">
        <f>UPPER(Master_ventas[[#This Row],[Category]])</f>
        <v>ELECTRONICS</v>
      </c>
      <c r="L3491">
        <f>YEAR(Master_ventas[[#This Row],[Order Date]])</f>
        <v>2022</v>
      </c>
      <c r="M3491" t="str">
        <f>CONCATENATE(LEFT(Master_ventas[[#This Row],[ProdUpper]],3),RIGHT(Master_ventas[[#This Row],[Ext-Year]],2),"-",MID(Master_ventas[[#This Row],[Category]],1,1))</f>
        <v>SMA22-E</v>
      </c>
      <c r="N3491" t="str">
        <f>MID(Master_ventas[[#This Row],[ProdUpper]],1,3)</f>
        <v>SMA</v>
      </c>
      <c r="O3491" t="str">
        <f>UPPER(IF(Master_ventas[[#This Row],[Profit]]&gt;500,"High","Std"))</f>
        <v>STD</v>
      </c>
      <c r="P3491">
        <v>3490</v>
      </c>
    </row>
    <row r="3492" spans="1:16" x14ac:dyDescent="0.3">
      <c r="A3492" s="1">
        <v>45060</v>
      </c>
      <c r="B3492" t="s">
        <v>23</v>
      </c>
      <c r="C3492" t="s">
        <v>14</v>
      </c>
      <c r="D3492" t="s">
        <v>16</v>
      </c>
      <c r="E3492">
        <v>9</v>
      </c>
      <c r="F3492" s="3">
        <v>9702</v>
      </c>
      <c r="G3492" s="2">
        <v>2771.49</v>
      </c>
      <c r="H3492">
        <f>Master_ventas[[#This Row],[Profit]]/Master_ventas[[#This Row],[Sales]]</f>
        <v>0.28566171923314776</v>
      </c>
      <c r="I3492">
        <f ca="1">Referencia_Hoy-Master_ventas[[#This Row],[Order Date]]</f>
        <v>1263</v>
      </c>
      <c r="J3492" t="str">
        <f>UPPER(Master_ventas[[#This Row],[Product Name]])</f>
        <v>LAPTOP</v>
      </c>
      <c r="K3492" t="str">
        <f>UPPER(Master_ventas[[#This Row],[Category]])</f>
        <v>ELECTRONICS</v>
      </c>
      <c r="L3492">
        <f>YEAR(Master_ventas[[#This Row],[Order Date]])</f>
        <v>2023</v>
      </c>
      <c r="M3492" t="str">
        <f>CONCATENATE(LEFT(Master_ventas[[#This Row],[ProdUpper]],3),RIGHT(Master_ventas[[#This Row],[Ext-Year]],2),"-",MID(Master_ventas[[#This Row],[Category]],1,1))</f>
        <v>LAP23-E</v>
      </c>
      <c r="N3492" t="str">
        <f>MID(Master_ventas[[#This Row],[ProdUpper]],1,3)</f>
        <v>LAP</v>
      </c>
      <c r="O3492" t="str">
        <f>UPPER(IF(Master_ventas[[#This Row],[Profit]]&gt;500,"High","Std"))</f>
        <v>HIGH</v>
      </c>
      <c r="P3492">
        <v>3491</v>
      </c>
    </row>
    <row r="3493" spans="1:16" x14ac:dyDescent="0.3">
      <c r="A3493" s="1">
        <v>45173</v>
      </c>
      <c r="B3493" t="s">
        <v>22</v>
      </c>
      <c r="C3493" t="s">
        <v>11</v>
      </c>
      <c r="D3493" t="s">
        <v>12</v>
      </c>
      <c r="E3493">
        <v>8</v>
      </c>
      <c r="F3493" s="3">
        <v>5888</v>
      </c>
      <c r="G3493" s="2">
        <v>354.27</v>
      </c>
      <c r="H3493">
        <f>Master_ventas[[#This Row],[Profit]]/Master_ventas[[#This Row],[Sales]]</f>
        <v>6.0168138586956521E-2</v>
      </c>
      <c r="I3493">
        <f ca="1">Referencia_Hoy-Master_ventas[[#This Row],[Order Date]]</f>
        <v>1150</v>
      </c>
      <c r="J3493" t="str">
        <f>UPPER(Master_ventas[[#This Row],[Product Name]])</f>
        <v>KEYBOARD</v>
      </c>
      <c r="K3493" t="str">
        <f>UPPER(Master_ventas[[#This Row],[Category]])</f>
        <v>ACCESSORIES</v>
      </c>
      <c r="L3493">
        <f>YEAR(Master_ventas[[#This Row],[Order Date]])</f>
        <v>2023</v>
      </c>
      <c r="M3493" t="str">
        <f>CONCATENATE(LEFT(Master_ventas[[#This Row],[ProdUpper]],3),RIGHT(Master_ventas[[#This Row],[Ext-Year]],2),"-",MID(Master_ventas[[#This Row],[Category]],1,1))</f>
        <v>KEY23-A</v>
      </c>
      <c r="N3493" t="str">
        <f>MID(Master_ventas[[#This Row],[ProdUpper]],1,3)</f>
        <v>KEY</v>
      </c>
      <c r="O3493" t="str">
        <f>UPPER(IF(Master_ventas[[#This Row],[Profit]]&gt;500,"High","Std"))</f>
        <v>STD</v>
      </c>
      <c r="P3493">
        <v>3492</v>
      </c>
    </row>
    <row r="3494" spans="1:16" x14ac:dyDescent="0.3">
      <c r="A3494" s="1">
        <v>45189</v>
      </c>
      <c r="B3494" t="s">
        <v>13</v>
      </c>
      <c r="C3494" t="s">
        <v>14</v>
      </c>
      <c r="D3494" t="s">
        <v>12</v>
      </c>
      <c r="E3494">
        <v>4</v>
      </c>
      <c r="F3494" s="3">
        <v>1768</v>
      </c>
      <c r="G3494" s="2">
        <v>345.33</v>
      </c>
      <c r="H3494">
        <f>Master_ventas[[#This Row],[Profit]]/Master_ventas[[#This Row],[Sales]]</f>
        <v>0.19532239819004524</v>
      </c>
      <c r="I3494">
        <f ca="1">Referencia_Hoy-Master_ventas[[#This Row],[Order Date]]</f>
        <v>1134</v>
      </c>
      <c r="J3494" t="str">
        <f>UPPER(Master_ventas[[#This Row],[Product Name]])</f>
        <v>TABLET</v>
      </c>
      <c r="K3494" t="str">
        <f>UPPER(Master_ventas[[#This Row],[Category]])</f>
        <v>ELECTRONICS</v>
      </c>
      <c r="L3494">
        <f>YEAR(Master_ventas[[#This Row],[Order Date]])</f>
        <v>2023</v>
      </c>
      <c r="M3494" t="str">
        <f>CONCATENATE(LEFT(Master_ventas[[#This Row],[ProdUpper]],3),RIGHT(Master_ventas[[#This Row],[Ext-Year]],2),"-",MID(Master_ventas[[#This Row],[Category]],1,1))</f>
        <v>TAB23-E</v>
      </c>
      <c r="N3494" t="str">
        <f>MID(Master_ventas[[#This Row],[ProdUpper]],1,3)</f>
        <v>TAB</v>
      </c>
      <c r="O3494" t="str">
        <f>UPPER(IF(Master_ventas[[#This Row],[Profit]]&gt;500,"High","Std"))</f>
        <v>STD</v>
      </c>
      <c r="P3494">
        <v>3493</v>
      </c>
    </row>
    <row r="3495" spans="1:16" x14ac:dyDescent="0.3">
      <c r="A3495" s="1">
        <v>44713</v>
      </c>
      <c r="B3495" t="s">
        <v>18</v>
      </c>
      <c r="C3495" t="s">
        <v>11</v>
      </c>
      <c r="D3495" t="s">
        <v>9</v>
      </c>
      <c r="E3495">
        <v>2</v>
      </c>
      <c r="F3495" s="3">
        <v>1022</v>
      </c>
      <c r="G3495" s="2">
        <v>76.040000000000006</v>
      </c>
      <c r="H3495">
        <f>Master_ventas[[#This Row],[Profit]]/Master_ventas[[#This Row],[Sales]]</f>
        <v>7.4403131115459889E-2</v>
      </c>
      <c r="I3495">
        <f ca="1">Referencia_Hoy-Master_ventas[[#This Row],[Order Date]]</f>
        <v>1610</v>
      </c>
      <c r="J3495" t="str">
        <f>UPPER(Master_ventas[[#This Row],[Product Name]])</f>
        <v>HEADPHONES</v>
      </c>
      <c r="K3495" t="str">
        <f>UPPER(Master_ventas[[#This Row],[Category]])</f>
        <v>ACCESSORIES</v>
      </c>
      <c r="L3495">
        <f>YEAR(Master_ventas[[#This Row],[Order Date]])</f>
        <v>2022</v>
      </c>
      <c r="M3495" t="str">
        <f>CONCATENATE(LEFT(Master_ventas[[#This Row],[ProdUpper]],3),RIGHT(Master_ventas[[#This Row],[Ext-Year]],2),"-",MID(Master_ventas[[#This Row],[Category]],1,1))</f>
        <v>HEA22-A</v>
      </c>
      <c r="N3495" t="str">
        <f>MID(Master_ventas[[#This Row],[ProdUpper]],1,3)</f>
        <v>HEA</v>
      </c>
      <c r="O3495" t="str">
        <f>UPPER(IF(Master_ventas[[#This Row],[Profit]]&gt;500,"High","Std"))</f>
        <v>STD</v>
      </c>
      <c r="P3495">
        <v>3494</v>
      </c>
    </row>
    <row r="3496" spans="1:16" x14ac:dyDescent="0.3">
      <c r="A3496" s="1">
        <v>45263</v>
      </c>
      <c r="B3496" t="s">
        <v>13</v>
      </c>
      <c r="C3496" t="s">
        <v>14</v>
      </c>
      <c r="D3496" t="s">
        <v>9</v>
      </c>
      <c r="E3496">
        <v>3</v>
      </c>
      <c r="F3496" s="3">
        <v>2883</v>
      </c>
      <c r="G3496" s="2">
        <v>671.91</v>
      </c>
      <c r="H3496">
        <f>Master_ventas[[#This Row],[Profit]]/Master_ventas[[#This Row],[Sales]]</f>
        <v>0.2330593132154006</v>
      </c>
      <c r="I3496">
        <f ca="1">Referencia_Hoy-Master_ventas[[#This Row],[Order Date]]</f>
        <v>1060</v>
      </c>
      <c r="J3496" t="str">
        <f>UPPER(Master_ventas[[#This Row],[Product Name]])</f>
        <v>TABLET</v>
      </c>
      <c r="K3496" t="str">
        <f>UPPER(Master_ventas[[#This Row],[Category]])</f>
        <v>ELECTRONICS</v>
      </c>
      <c r="L3496">
        <f>YEAR(Master_ventas[[#This Row],[Order Date]])</f>
        <v>2023</v>
      </c>
      <c r="M3496" t="str">
        <f>CONCATENATE(LEFT(Master_ventas[[#This Row],[ProdUpper]],3),RIGHT(Master_ventas[[#This Row],[Ext-Year]],2),"-",MID(Master_ventas[[#This Row],[Category]],1,1))</f>
        <v>TAB23-E</v>
      </c>
      <c r="N3496" t="str">
        <f>MID(Master_ventas[[#This Row],[ProdUpper]],1,3)</f>
        <v>TAB</v>
      </c>
      <c r="O3496" t="str">
        <f>UPPER(IF(Master_ventas[[#This Row],[Profit]]&gt;500,"High","Std"))</f>
        <v>HIGH</v>
      </c>
      <c r="P3496">
        <v>3495</v>
      </c>
    </row>
    <row r="3497" spans="1:16" x14ac:dyDescent="0.3">
      <c r="A3497" s="1">
        <v>44972</v>
      </c>
      <c r="B3497" t="s">
        <v>20</v>
      </c>
      <c r="C3497" t="s">
        <v>11</v>
      </c>
      <c r="D3497" t="s">
        <v>9</v>
      </c>
      <c r="E3497">
        <v>4</v>
      </c>
      <c r="F3497" s="3">
        <v>4064</v>
      </c>
      <c r="G3497" s="2">
        <v>771.16</v>
      </c>
      <c r="H3497">
        <f>Master_ventas[[#This Row],[Profit]]/Master_ventas[[#This Row],[Sales]]</f>
        <v>0.18975393700787402</v>
      </c>
      <c r="I3497">
        <f ca="1">Referencia_Hoy-Master_ventas[[#This Row],[Order Date]]</f>
        <v>1351</v>
      </c>
      <c r="J3497" t="str">
        <f>UPPER(Master_ventas[[#This Row],[Product Name]])</f>
        <v>MONITOR</v>
      </c>
      <c r="K3497" t="str">
        <f>UPPER(Master_ventas[[#This Row],[Category]])</f>
        <v>ACCESSORIES</v>
      </c>
      <c r="L3497">
        <f>YEAR(Master_ventas[[#This Row],[Order Date]])</f>
        <v>2023</v>
      </c>
      <c r="M3497" t="str">
        <f>CONCATENATE(LEFT(Master_ventas[[#This Row],[ProdUpper]],3),RIGHT(Master_ventas[[#This Row],[Ext-Year]],2),"-",MID(Master_ventas[[#This Row],[Category]],1,1))</f>
        <v>MON23-A</v>
      </c>
      <c r="N3497" t="str">
        <f>MID(Master_ventas[[#This Row],[ProdUpper]],1,3)</f>
        <v>MON</v>
      </c>
      <c r="O3497" t="str">
        <f>UPPER(IF(Master_ventas[[#This Row],[Profit]]&gt;500,"High","Std"))</f>
        <v>HIGH</v>
      </c>
      <c r="P3497">
        <v>3496</v>
      </c>
    </row>
    <row r="3498" spans="1:16" x14ac:dyDescent="0.3">
      <c r="A3498" s="1">
        <v>44822</v>
      </c>
      <c r="B3498" t="s">
        <v>20</v>
      </c>
      <c r="C3498" t="s">
        <v>11</v>
      </c>
      <c r="D3498" t="s">
        <v>12</v>
      </c>
      <c r="E3498">
        <v>1</v>
      </c>
      <c r="F3498" s="3">
        <v>1117</v>
      </c>
      <c r="G3498" s="2">
        <v>119.89</v>
      </c>
      <c r="H3498">
        <f>Master_ventas[[#This Row],[Profit]]/Master_ventas[[#This Row],[Sales]]</f>
        <v>0.10733213965980304</v>
      </c>
      <c r="I3498">
        <f ca="1">Referencia_Hoy-Master_ventas[[#This Row],[Order Date]]</f>
        <v>1501</v>
      </c>
      <c r="J3498" t="str">
        <f>UPPER(Master_ventas[[#This Row],[Product Name]])</f>
        <v>MONITOR</v>
      </c>
      <c r="K3498" t="str">
        <f>UPPER(Master_ventas[[#This Row],[Category]])</f>
        <v>ACCESSORIES</v>
      </c>
      <c r="L3498">
        <f>YEAR(Master_ventas[[#This Row],[Order Date]])</f>
        <v>2022</v>
      </c>
      <c r="M3498" t="str">
        <f>CONCATENATE(LEFT(Master_ventas[[#This Row],[ProdUpper]],3),RIGHT(Master_ventas[[#This Row],[Ext-Year]],2),"-",MID(Master_ventas[[#This Row],[Category]],1,1))</f>
        <v>MON22-A</v>
      </c>
      <c r="N3498" t="str">
        <f>MID(Master_ventas[[#This Row],[ProdUpper]],1,3)</f>
        <v>MON</v>
      </c>
      <c r="O3498" t="str">
        <f>UPPER(IF(Master_ventas[[#This Row],[Profit]]&gt;500,"High","Std"))</f>
        <v>STD</v>
      </c>
      <c r="P3498">
        <v>3497</v>
      </c>
    </row>
    <row r="3499" spans="1:16" x14ac:dyDescent="0.3">
      <c r="A3499" s="1">
        <v>44663</v>
      </c>
      <c r="B3499" t="s">
        <v>23</v>
      </c>
      <c r="C3499" t="s">
        <v>14</v>
      </c>
      <c r="D3499" t="s">
        <v>15</v>
      </c>
      <c r="E3499">
        <v>4</v>
      </c>
      <c r="F3499" s="3">
        <v>260</v>
      </c>
      <c r="G3499" s="2">
        <v>66.02</v>
      </c>
      <c r="H3499">
        <f>Master_ventas[[#This Row],[Profit]]/Master_ventas[[#This Row],[Sales]]</f>
        <v>0.25392307692307692</v>
      </c>
      <c r="I3499">
        <f ca="1">Referencia_Hoy-Master_ventas[[#This Row],[Order Date]]</f>
        <v>1660</v>
      </c>
      <c r="J3499" t="str">
        <f>UPPER(Master_ventas[[#This Row],[Product Name]])</f>
        <v>LAPTOP</v>
      </c>
      <c r="K3499" t="str">
        <f>UPPER(Master_ventas[[#This Row],[Category]])</f>
        <v>ELECTRONICS</v>
      </c>
      <c r="L3499">
        <f>YEAR(Master_ventas[[#This Row],[Order Date]])</f>
        <v>2022</v>
      </c>
      <c r="M3499" t="str">
        <f>CONCATENATE(LEFT(Master_ventas[[#This Row],[ProdUpper]],3),RIGHT(Master_ventas[[#This Row],[Ext-Year]],2),"-",MID(Master_ventas[[#This Row],[Category]],1,1))</f>
        <v>LAP22-E</v>
      </c>
      <c r="N3499" t="str">
        <f>MID(Master_ventas[[#This Row],[ProdUpper]],1,3)</f>
        <v>LAP</v>
      </c>
      <c r="O3499" t="str">
        <f>UPPER(IF(Master_ventas[[#This Row],[Profit]]&gt;500,"High","Std"))</f>
        <v>STD</v>
      </c>
      <c r="P3499">
        <v>3498</v>
      </c>
    </row>
    <row r="3500" spans="1:16" x14ac:dyDescent="0.3">
      <c r="A3500" s="1">
        <v>44579</v>
      </c>
      <c r="B3500" t="s">
        <v>7</v>
      </c>
      <c r="C3500" t="s">
        <v>8</v>
      </c>
      <c r="D3500" t="s">
        <v>15</v>
      </c>
      <c r="E3500">
        <v>3</v>
      </c>
      <c r="F3500" s="3">
        <v>222</v>
      </c>
      <c r="G3500" s="2">
        <v>50.28</v>
      </c>
      <c r="H3500">
        <f>Master_ventas[[#This Row],[Profit]]/Master_ventas[[#This Row],[Sales]]</f>
        <v>0.2264864864864865</v>
      </c>
      <c r="I3500">
        <f ca="1">Referencia_Hoy-Master_ventas[[#This Row],[Order Date]]</f>
        <v>1744</v>
      </c>
      <c r="J3500" t="str">
        <f>UPPER(Master_ventas[[#This Row],[Product Name]])</f>
        <v>PRINTER</v>
      </c>
      <c r="K3500" t="str">
        <f>UPPER(Master_ventas[[#This Row],[Category]])</f>
        <v>OFFICE</v>
      </c>
      <c r="L3500">
        <f>YEAR(Master_ventas[[#This Row],[Order Date]])</f>
        <v>2022</v>
      </c>
      <c r="M3500" t="str">
        <f>CONCATENATE(LEFT(Master_ventas[[#This Row],[ProdUpper]],3),RIGHT(Master_ventas[[#This Row],[Ext-Year]],2),"-",MID(Master_ventas[[#This Row],[Category]],1,1))</f>
        <v>PRI22-O</v>
      </c>
      <c r="N3500" t="str">
        <f>MID(Master_ventas[[#This Row],[ProdUpper]],1,3)</f>
        <v>PRI</v>
      </c>
      <c r="O3500" t="str">
        <f>UPPER(IF(Master_ventas[[#This Row],[Profit]]&gt;500,"High","Std"))</f>
        <v>STD</v>
      </c>
      <c r="P3500">
        <v>3499</v>
      </c>
    </row>
    <row r="3501" spans="1:16" x14ac:dyDescent="0.3">
      <c r="A3501" s="1">
        <v>45597</v>
      </c>
      <c r="B3501" t="s">
        <v>19</v>
      </c>
      <c r="C3501" t="s">
        <v>14</v>
      </c>
      <c r="D3501" t="s">
        <v>12</v>
      </c>
      <c r="E3501">
        <v>9</v>
      </c>
      <c r="F3501" s="3">
        <v>10530</v>
      </c>
      <c r="G3501" s="2">
        <v>1777.32</v>
      </c>
      <c r="H3501">
        <f>Master_ventas[[#This Row],[Profit]]/Master_ventas[[#This Row],[Sales]]</f>
        <v>0.16878632478632477</v>
      </c>
      <c r="I3501">
        <f ca="1">Referencia_Hoy-Master_ventas[[#This Row],[Order Date]]</f>
        <v>726</v>
      </c>
      <c r="J3501" t="str">
        <f>UPPER(Master_ventas[[#This Row],[Product Name]])</f>
        <v>SMARTWATCH</v>
      </c>
      <c r="K3501" t="str">
        <f>UPPER(Master_ventas[[#This Row],[Category]])</f>
        <v>ELECTRONICS</v>
      </c>
      <c r="L3501">
        <f>YEAR(Master_ventas[[#This Row],[Order Date]])</f>
        <v>2024</v>
      </c>
      <c r="M3501" t="str">
        <f>CONCATENATE(LEFT(Master_ventas[[#This Row],[ProdUpper]],3),RIGHT(Master_ventas[[#This Row],[Ext-Year]],2),"-",MID(Master_ventas[[#This Row],[Category]],1,1))</f>
        <v>SMA24-E</v>
      </c>
      <c r="N3501" t="str">
        <f>MID(Master_ventas[[#This Row],[ProdUpper]],1,3)</f>
        <v>SMA</v>
      </c>
      <c r="O3501" t="str">
        <f>UPPER(IF(Master_ventas[[#This Row],[Profit]]&gt;500,"High","Std"))</f>
        <v>HIGH</v>
      </c>
      <c r="P3501">
        <v>3500</v>
      </c>
    </row>
    <row r="3509" spans="1:1" x14ac:dyDescent="0.3">
      <c r="A3509" s="1">
        <f ca="1">TODAY()</f>
        <v>46323</v>
      </c>
    </row>
  </sheetData>
  <phoneticPr fontId="18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1394-7D97-48D5-84B9-2CE70AB68EB2}">
  <dimension ref="A5:P182"/>
  <sheetViews>
    <sheetView tabSelected="1" workbookViewId="0">
      <selection activeCell="Q19" sqref="Q19"/>
    </sheetView>
  </sheetViews>
  <sheetFormatPr defaultRowHeight="15.6" x14ac:dyDescent="0.3"/>
  <sheetData>
    <row r="5" spans="1:16" x14ac:dyDescent="0.3">
      <c r="A5" cm="1">
        <f t="array" aca="1" ref="A5:P182" ca="1">_xlfn._xlws.FILTER(Master_ventas[],(Category="Electronics")*(Profit&gt;500)*(Region="West"),"Sin Resultados")</f>
        <v>45325</v>
      </c>
      <c r="B5" t="str">
        <f ca="1"/>
        <v>Smartphone</v>
      </c>
      <c r="C5" t="str">
        <f ca="1"/>
        <v>Electronics</v>
      </c>
      <c r="D5" t="str">
        <f ca="1"/>
        <v>West</v>
      </c>
      <c r="E5">
        <f ca="1"/>
        <v>5</v>
      </c>
      <c r="F5">
        <f ca="1"/>
        <v>4205</v>
      </c>
      <c r="G5">
        <f ca="1"/>
        <v>585.29</v>
      </c>
      <c r="H5">
        <f ca="1"/>
        <v>0.13918906064209274</v>
      </c>
      <c r="I5">
        <f ca="1"/>
        <v>998</v>
      </c>
      <c r="J5" t="str">
        <f ca="1"/>
        <v>SMARTPHONE</v>
      </c>
      <c r="K5" t="str">
        <f ca="1"/>
        <v>ELECTRONICS</v>
      </c>
      <c r="L5">
        <f ca="1"/>
        <v>2024</v>
      </c>
      <c r="M5" t="str">
        <f ca="1"/>
        <v>SMA24-E</v>
      </c>
      <c r="N5" t="str">
        <f ca="1"/>
        <v>SMA</v>
      </c>
      <c r="O5" t="str">
        <f ca="1"/>
        <v>HIGH</v>
      </c>
      <c r="P5">
        <f ca="1"/>
        <v>14</v>
      </c>
    </row>
    <row r="6" spans="1:16" x14ac:dyDescent="0.3">
      <c r="A6">
        <f ca="1"/>
        <v>45271</v>
      </c>
      <c r="B6" t="str">
        <f ca="1"/>
        <v>Laptop</v>
      </c>
      <c r="C6" t="str">
        <f ca="1"/>
        <v>Electronics</v>
      </c>
      <c r="D6" t="str">
        <f ca="1"/>
        <v>West</v>
      </c>
      <c r="E6">
        <f ca="1"/>
        <v>9</v>
      </c>
      <c r="F6">
        <f ca="1"/>
        <v>6138</v>
      </c>
      <c r="G6">
        <f ca="1"/>
        <v>1562.14</v>
      </c>
      <c r="H6">
        <f ca="1"/>
        <v>0.25450309547083744</v>
      </c>
      <c r="I6">
        <f ca="1"/>
        <v>1052</v>
      </c>
      <c r="J6" t="str">
        <f ca="1"/>
        <v>LAPTOP</v>
      </c>
      <c r="K6" t="str">
        <f ca="1"/>
        <v>ELECTRONICS</v>
      </c>
      <c r="L6">
        <f ca="1"/>
        <v>2023</v>
      </c>
      <c r="M6" t="str">
        <f ca="1"/>
        <v>LAP23-E</v>
      </c>
      <c r="N6" t="str">
        <f ca="1"/>
        <v>LAP</v>
      </c>
      <c r="O6" t="str">
        <f ca="1"/>
        <v>HIGH</v>
      </c>
      <c r="P6">
        <f ca="1"/>
        <v>26</v>
      </c>
    </row>
    <row r="7" spans="1:16" x14ac:dyDescent="0.3">
      <c r="A7">
        <f ca="1"/>
        <v>44962</v>
      </c>
      <c r="B7" t="str">
        <f ca="1"/>
        <v>Laptop</v>
      </c>
      <c r="C7" t="str">
        <f ca="1"/>
        <v>Electronics</v>
      </c>
      <c r="D7" t="str">
        <f ca="1"/>
        <v>West</v>
      </c>
      <c r="E7">
        <f ca="1"/>
        <v>5</v>
      </c>
      <c r="F7">
        <f ca="1"/>
        <v>4325</v>
      </c>
      <c r="G7">
        <f ca="1"/>
        <v>1023.39</v>
      </c>
      <c r="H7">
        <f ca="1"/>
        <v>0.23662196531791907</v>
      </c>
      <c r="I7">
        <f ca="1"/>
        <v>1361</v>
      </c>
      <c r="J7" t="str">
        <f ca="1"/>
        <v>LAPTOP</v>
      </c>
      <c r="K7" t="str">
        <f ca="1"/>
        <v>ELECTRONICS</v>
      </c>
      <c r="L7">
        <f ca="1"/>
        <v>2023</v>
      </c>
      <c r="M7" t="str">
        <f ca="1"/>
        <v>LAP23-E</v>
      </c>
      <c r="N7" t="str">
        <f ca="1"/>
        <v>LAP</v>
      </c>
      <c r="O7" t="str">
        <f ca="1"/>
        <v>HIGH</v>
      </c>
      <c r="P7">
        <f ca="1"/>
        <v>44</v>
      </c>
    </row>
    <row r="8" spans="1:16" x14ac:dyDescent="0.3">
      <c r="A8">
        <f ca="1"/>
        <v>45554</v>
      </c>
      <c r="B8" t="str">
        <f ca="1"/>
        <v>Laptop</v>
      </c>
      <c r="C8" t="str">
        <f ca="1"/>
        <v>Electronics</v>
      </c>
      <c r="D8" t="str">
        <f ca="1"/>
        <v>West</v>
      </c>
      <c r="E8">
        <f ca="1"/>
        <v>5</v>
      </c>
      <c r="F8">
        <f ca="1"/>
        <v>3280</v>
      </c>
      <c r="G8">
        <f ca="1"/>
        <v>954.17</v>
      </c>
      <c r="H8">
        <f ca="1"/>
        <v>0.29090548780487802</v>
      </c>
      <c r="I8">
        <f ca="1"/>
        <v>769</v>
      </c>
      <c r="J8" t="str">
        <f ca="1"/>
        <v>LAPTOP</v>
      </c>
      <c r="K8" t="str">
        <f ca="1"/>
        <v>ELECTRONICS</v>
      </c>
      <c r="L8">
        <f ca="1"/>
        <v>2024</v>
      </c>
      <c r="M8" t="str">
        <f ca="1"/>
        <v>LAP24-E</v>
      </c>
      <c r="N8" t="str">
        <f ca="1"/>
        <v>LAP</v>
      </c>
      <c r="O8" t="str">
        <f ca="1"/>
        <v>HIGH</v>
      </c>
      <c r="P8">
        <f ca="1"/>
        <v>50</v>
      </c>
    </row>
    <row r="9" spans="1:16" x14ac:dyDescent="0.3">
      <c r="A9">
        <f ca="1"/>
        <v>45322</v>
      </c>
      <c r="B9" t="str">
        <f ca="1"/>
        <v>Smartphone</v>
      </c>
      <c r="C9" t="str">
        <f ca="1"/>
        <v>Electronics</v>
      </c>
      <c r="D9" t="str">
        <f ca="1"/>
        <v>West</v>
      </c>
      <c r="E9">
        <f ca="1"/>
        <v>8</v>
      </c>
      <c r="F9">
        <f ca="1"/>
        <v>6224</v>
      </c>
      <c r="G9">
        <f ca="1"/>
        <v>1561.42</v>
      </c>
      <c r="H9">
        <f ca="1"/>
        <v>0.25087082262210797</v>
      </c>
      <c r="I9">
        <f ca="1"/>
        <v>1001</v>
      </c>
      <c r="J9" t="str">
        <f ca="1"/>
        <v>SMARTPHONE</v>
      </c>
      <c r="K9" t="str">
        <f ca="1"/>
        <v>ELECTRONICS</v>
      </c>
      <c r="L9">
        <f ca="1"/>
        <v>2024</v>
      </c>
      <c r="M9" t="str">
        <f ca="1"/>
        <v>SMA24-E</v>
      </c>
      <c r="N9" t="str">
        <f ca="1"/>
        <v>SMA</v>
      </c>
      <c r="O9" t="str">
        <f ca="1"/>
        <v>HIGH</v>
      </c>
      <c r="P9">
        <f ca="1"/>
        <v>77</v>
      </c>
    </row>
    <row r="10" spans="1:16" x14ac:dyDescent="0.3">
      <c r="A10">
        <f ca="1"/>
        <v>45022</v>
      </c>
      <c r="B10" t="str">
        <f ca="1"/>
        <v>Laptop</v>
      </c>
      <c r="C10" t="str">
        <f ca="1"/>
        <v>Electronics</v>
      </c>
      <c r="D10" t="str">
        <f ca="1"/>
        <v>West</v>
      </c>
      <c r="E10">
        <f ca="1"/>
        <v>9</v>
      </c>
      <c r="F10">
        <f ca="1"/>
        <v>8802</v>
      </c>
      <c r="G10">
        <f ca="1"/>
        <v>1344.96</v>
      </c>
      <c r="H10">
        <f ca="1"/>
        <v>0.15280163599182003</v>
      </c>
      <c r="I10">
        <f ca="1"/>
        <v>1301</v>
      </c>
      <c r="J10" t="str">
        <f ca="1"/>
        <v>LAPTOP</v>
      </c>
      <c r="K10" t="str">
        <f ca="1"/>
        <v>ELECTRONICS</v>
      </c>
      <c r="L10">
        <f ca="1"/>
        <v>2023</v>
      </c>
      <c r="M10" t="str">
        <f ca="1"/>
        <v>LAP23-E</v>
      </c>
      <c r="N10" t="str">
        <f ca="1"/>
        <v>LAP</v>
      </c>
      <c r="O10" t="str">
        <f ca="1"/>
        <v>HIGH</v>
      </c>
      <c r="P10">
        <f ca="1"/>
        <v>100</v>
      </c>
    </row>
    <row r="11" spans="1:16" x14ac:dyDescent="0.3">
      <c r="A11">
        <f ca="1"/>
        <v>44639</v>
      </c>
      <c r="B11" t="str">
        <f ca="1"/>
        <v>Tablet</v>
      </c>
      <c r="C11" t="str">
        <f ca="1"/>
        <v>Electronics</v>
      </c>
      <c r="D11" t="str">
        <f ca="1"/>
        <v>West</v>
      </c>
      <c r="E11">
        <f ca="1"/>
        <v>6</v>
      </c>
      <c r="F11">
        <f ca="1"/>
        <v>3450</v>
      </c>
      <c r="G11">
        <f ca="1"/>
        <v>705.74</v>
      </c>
      <c r="H11">
        <f ca="1"/>
        <v>0.20456231884057971</v>
      </c>
      <c r="I11">
        <f ca="1"/>
        <v>1684</v>
      </c>
      <c r="J11" t="str">
        <f ca="1"/>
        <v>TABLET</v>
      </c>
      <c r="K11" t="str">
        <f ca="1"/>
        <v>ELECTRONICS</v>
      </c>
      <c r="L11">
        <f ca="1"/>
        <v>2022</v>
      </c>
      <c r="M11" t="str">
        <f ca="1"/>
        <v>TAB22-E</v>
      </c>
      <c r="N11" t="str">
        <f ca="1"/>
        <v>TAB</v>
      </c>
      <c r="O11" t="str">
        <f ca="1"/>
        <v>HIGH</v>
      </c>
      <c r="P11">
        <f ca="1"/>
        <v>125</v>
      </c>
    </row>
    <row r="12" spans="1:16" x14ac:dyDescent="0.3">
      <c r="A12">
        <f ca="1"/>
        <v>45046</v>
      </c>
      <c r="B12" t="str">
        <f ca="1"/>
        <v>Smartphone</v>
      </c>
      <c r="C12" t="str">
        <f ca="1"/>
        <v>Electronics</v>
      </c>
      <c r="D12" t="str">
        <f ca="1"/>
        <v>West</v>
      </c>
      <c r="E12">
        <f ca="1"/>
        <v>6</v>
      </c>
      <c r="F12">
        <f ca="1"/>
        <v>4728</v>
      </c>
      <c r="G12">
        <f ca="1"/>
        <v>705.85</v>
      </c>
      <c r="H12">
        <f ca="1"/>
        <v>0.14929145516074452</v>
      </c>
      <c r="I12">
        <f ca="1"/>
        <v>1277</v>
      </c>
      <c r="J12" t="str">
        <f ca="1"/>
        <v>SMARTPHONE</v>
      </c>
      <c r="K12" t="str">
        <f ca="1"/>
        <v>ELECTRONICS</v>
      </c>
      <c r="L12">
        <f ca="1"/>
        <v>2023</v>
      </c>
      <c r="M12" t="str">
        <f ca="1"/>
        <v>SMA23-E</v>
      </c>
      <c r="N12" t="str">
        <f ca="1"/>
        <v>SMA</v>
      </c>
      <c r="O12" t="str">
        <f ca="1"/>
        <v>HIGH</v>
      </c>
      <c r="P12">
        <f ca="1"/>
        <v>127</v>
      </c>
    </row>
    <row r="13" spans="1:16" x14ac:dyDescent="0.3">
      <c r="A13">
        <f ca="1"/>
        <v>44763</v>
      </c>
      <c r="B13" t="str">
        <f ca="1"/>
        <v>Tablet</v>
      </c>
      <c r="C13" t="str">
        <f ca="1"/>
        <v>Electronics</v>
      </c>
      <c r="D13" t="str">
        <f ca="1"/>
        <v>West</v>
      </c>
      <c r="E13">
        <f ca="1"/>
        <v>5</v>
      </c>
      <c r="F13">
        <f ca="1"/>
        <v>5090</v>
      </c>
      <c r="G13">
        <f ca="1"/>
        <v>1201.56</v>
      </c>
      <c r="H13">
        <f ca="1"/>
        <v>0.23606286836935167</v>
      </c>
      <c r="I13">
        <f ca="1"/>
        <v>1560</v>
      </c>
      <c r="J13" t="str">
        <f ca="1"/>
        <v>TABLET</v>
      </c>
      <c r="K13" t="str">
        <f ca="1"/>
        <v>ELECTRONICS</v>
      </c>
      <c r="L13">
        <f ca="1"/>
        <v>2022</v>
      </c>
      <c r="M13" t="str">
        <f ca="1"/>
        <v>TAB22-E</v>
      </c>
      <c r="N13" t="str">
        <f ca="1"/>
        <v>TAB</v>
      </c>
      <c r="O13" t="str">
        <f ca="1"/>
        <v>HIGH</v>
      </c>
      <c r="P13">
        <f ca="1"/>
        <v>165</v>
      </c>
    </row>
    <row r="14" spans="1:16" x14ac:dyDescent="0.3">
      <c r="A14">
        <f ca="1"/>
        <v>45568</v>
      </c>
      <c r="B14" t="str">
        <f ca="1"/>
        <v>Camera</v>
      </c>
      <c r="C14" t="str">
        <f ca="1"/>
        <v>Electronics</v>
      </c>
      <c r="D14" t="str">
        <f ca="1"/>
        <v>West</v>
      </c>
      <c r="E14">
        <f ca="1"/>
        <v>5</v>
      </c>
      <c r="F14">
        <f ca="1"/>
        <v>3140</v>
      </c>
      <c r="G14">
        <f ca="1"/>
        <v>853.66</v>
      </c>
      <c r="H14">
        <f ca="1"/>
        <v>0.27186624203821658</v>
      </c>
      <c r="I14">
        <f ca="1"/>
        <v>755</v>
      </c>
      <c r="J14" t="str">
        <f ca="1"/>
        <v>CAMERA</v>
      </c>
      <c r="K14" t="str">
        <f ca="1"/>
        <v>ELECTRONICS</v>
      </c>
      <c r="L14">
        <f ca="1"/>
        <v>2024</v>
      </c>
      <c r="M14" t="str">
        <f ca="1"/>
        <v>CAM24-E</v>
      </c>
      <c r="N14" t="str">
        <f ca="1"/>
        <v>CAM</v>
      </c>
      <c r="O14" t="str">
        <f ca="1"/>
        <v>HIGH</v>
      </c>
      <c r="P14">
        <f ca="1"/>
        <v>179</v>
      </c>
    </row>
    <row r="15" spans="1:16" x14ac:dyDescent="0.3">
      <c r="A15">
        <f ca="1"/>
        <v>45312</v>
      </c>
      <c r="B15" t="str">
        <f ca="1"/>
        <v>Tablet</v>
      </c>
      <c r="C15" t="str">
        <f ca="1"/>
        <v>Electronics</v>
      </c>
      <c r="D15" t="str">
        <f ca="1"/>
        <v>West</v>
      </c>
      <c r="E15">
        <f ca="1"/>
        <v>6</v>
      </c>
      <c r="F15">
        <f ca="1"/>
        <v>2730</v>
      </c>
      <c r="G15">
        <f ca="1"/>
        <v>636.48</v>
      </c>
      <c r="H15">
        <f ca="1"/>
        <v>0.23314285714285715</v>
      </c>
      <c r="I15">
        <f ca="1"/>
        <v>1011</v>
      </c>
      <c r="J15" t="str">
        <f ca="1"/>
        <v>TABLET</v>
      </c>
      <c r="K15" t="str">
        <f ca="1"/>
        <v>ELECTRONICS</v>
      </c>
      <c r="L15">
        <f ca="1"/>
        <v>2024</v>
      </c>
      <c r="M15" t="str">
        <f ca="1"/>
        <v>TAB24-E</v>
      </c>
      <c r="N15" t="str">
        <f ca="1"/>
        <v>TAB</v>
      </c>
      <c r="O15" t="str">
        <f ca="1"/>
        <v>HIGH</v>
      </c>
      <c r="P15">
        <f ca="1"/>
        <v>197</v>
      </c>
    </row>
    <row r="16" spans="1:16" x14ac:dyDescent="0.3">
      <c r="A16">
        <f ca="1"/>
        <v>44935</v>
      </c>
      <c r="B16" t="str">
        <f ca="1"/>
        <v>Tablet</v>
      </c>
      <c r="C16" t="str">
        <f ca="1"/>
        <v>Electronics</v>
      </c>
      <c r="D16" t="str">
        <f ca="1"/>
        <v>West</v>
      </c>
      <c r="E16">
        <f ca="1"/>
        <v>3</v>
      </c>
      <c r="F16">
        <f ca="1"/>
        <v>2130</v>
      </c>
      <c r="G16">
        <f ca="1"/>
        <v>510.69</v>
      </c>
      <c r="H16">
        <f ca="1"/>
        <v>0.23976056338028168</v>
      </c>
      <c r="I16">
        <f ca="1"/>
        <v>1388</v>
      </c>
      <c r="J16" t="str">
        <f ca="1"/>
        <v>TABLET</v>
      </c>
      <c r="K16" t="str">
        <f ca="1"/>
        <v>ELECTRONICS</v>
      </c>
      <c r="L16">
        <f ca="1"/>
        <v>2023</v>
      </c>
      <c r="M16" t="str">
        <f ca="1"/>
        <v>TAB23-E</v>
      </c>
      <c r="N16" t="str">
        <f ca="1"/>
        <v>TAB</v>
      </c>
      <c r="O16" t="str">
        <f ca="1"/>
        <v>HIGH</v>
      </c>
      <c r="P16">
        <f ca="1"/>
        <v>203</v>
      </c>
    </row>
    <row r="17" spans="1:16" x14ac:dyDescent="0.3">
      <c r="A17">
        <f ca="1"/>
        <v>44868</v>
      </c>
      <c r="B17" t="str">
        <f ca="1"/>
        <v>Tablet</v>
      </c>
      <c r="C17" t="str">
        <f ca="1"/>
        <v>Electronics</v>
      </c>
      <c r="D17" t="str">
        <f ca="1"/>
        <v>West</v>
      </c>
      <c r="E17">
        <f ca="1"/>
        <v>7</v>
      </c>
      <c r="F17">
        <f ca="1"/>
        <v>2506</v>
      </c>
      <c r="G17">
        <f ca="1"/>
        <v>537.98</v>
      </c>
      <c r="H17">
        <f ca="1"/>
        <v>0.21467677573822827</v>
      </c>
      <c r="I17">
        <f ca="1"/>
        <v>1455</v>
      </c>
      <c r="J17" t="str">
        <f ca="1"/>
        <v>TABLET</v>
      </c>
      <c r="K17" t="str">
        <f ca="1"/>
        <v>ELECTRONICS</v>
      </c>
      <c r="L17">
        <f ca="1"/>
        <v>2022</v>
      </c>
      <c r="M17" t="str">
        <f ca="1"/>
        <v>TAB22-E</v>
      </c>
      <c r="N17" t="str">
        <f ca="1"/>
        <v>TAB</v>
      </c>
      <c r="O17" t="str">
        <f ca="1"/>
        <v>HIGH</v>
      </c>
      <c r="P17">
        <f ca="1"/>
        <v>266</v>
      </c>
    </row>
    <row r="18" spans="1:16" x14ac:dyDescent="0.3">
      <c r="A18">
        <f ca="1"/>
        <v>45110</v>
      </c>
      <c r="B18" t="str">
        <f ca="1"/>
        <v>Smartphone</v>
      </c>
      <c r="C18" t="str">
        <f ca="1"/>
        <v>Electronics</v>
      </c>
      <c r="D18" t="str">
        <f ca="1"/>
        <v>West</v>
      </c>
      <c r="E18">
        <f ca="1"/>
        <v>6</v>
      </c>
      <c r="F18">
        <f ca="1"/>
        <v>5778</v>
      </c>
      <c r="G18">
        <f ca="1"/>
        <v>1232.54</v>
      </c>
      <c r="H18">
        <f ca="1"/>
        <v>0.21331602630668051</v>
      </c>
      <c r="I18">
        <f ca="1"/>
        <v>1213</v>
      </c>
      <c r="J18" t="str">
        <f ca="1"/>
        <v>SMARTPHONE</v>
      </c>
      <c r="K18" t="str">
        <f ca="1"/>
        <v>ELECTRONICS</v>
      </c>
      <c r="L18">
        <f ca="1"/>
        <v>2023</v>
      </c>
      <c r="M18" t="str">
        <f ca="1"/>
        <v>SMA23-E</v>
      </c>
      <c r="N18" t="str">
        <f ca="1"/>
        <v>SMA</v>
      </c>
      <c r="O18" t="str">
        <f ca="1"/>
        <v>HIGH</v>
      </c>
      <c r="P18">
        <f ca="1"/>
        <v>267</v>
      </c>
    </row>
    <row r="19" spans="1:16" x14ac:dyDescent="0.3">
      <c r="A19">
        <f ca="1"/>
        <v>45293</v>
      </c>
      <c r="B19" t="str">
        <f ca="1"/>
        <v>Smartwatch</v>
      </c>
      <c r="C19" t="str">
        <f ca="1"/>
        <v>Electronics</v>
      </c>
      <c r="D19" t="str">
        <f ca="1"/>
        <v>West</v>
      </c>
      <c r="E19">
        <f ca="1"/>
        <v>8</v>
      </c>
      <c r="F19">
        <f ca="1"/>
        <v>3624</v>
      </c>
      <c r="G19">
        <f ca="1"/>
        <v>750.86</v>
      </c>
      <c r="H19">
        <f ca="1"/>
        <v>0.20719094922737308</v>
      </c>
      <c r="I19">
        <f ca="1"/>
        <v>1030</v>
      </c>
      <c r="J19" t="str">
        <f ca="1"/>
        <v>SMARTWATCH</v>
      </c>
      <c r="K19" t="str">
        <f ca="1"/>
        <v>ELECTRONICS</v>
      </c>
      <c r="L19">
        <f ca="1"/>
        <v>2024</v>
      </c>
      <c r="M19" t="str">
        <f ca="1"/>
        <v>SMA24-E</v>
      </c>
      <c r="N19" t="str">
        <f ca="1"/>
        <v>SMA</v>
      </c>
      <c r="O19" t="str">
        <f ca="1"/>
        <v>HIGH</v>
      </c>
      <c r="P19">
        <f ca="1"/>
        <v>270</v>
      </c>
    </row>
    <row r="20" spans="1:16" x14ac:dyDescent="0.3">
      <c r="A20">
        <f ca="1"/>
        <v>45122</v>
      </c>
      <c r="B20" t="str">
        <f ca="1"/>
        <v>Laptop</v>
      </c>
      <c r="C20" t="str">
        <f ca="1"/>
        <v>Electronics</v>
      </c>
      <c r="D20" t="str">
        <f ca="1"/>
        <v>West</v>
      </c>
      <c r="E20">
        <f ca="1"/>
        <v>6</v>
      </c>
      <c r="F20">
        <f ca="1"/>
        <v>2844</v>
      </c>
      <c r="G20">
        <f ca="1"/>
        <v>581</v>
      </c>
      <c r="H20">
        <f ca="1"/>
        <v>0.20428973277074544</v>
      </c>
      <c r="I20">
        <f ca="1"/>
        <v>1201</v>
      </c>
      <c r="J20" t="str">
        <f ca="1"/>
        <v>LAPTOP</v>
      </c>
      <c r="K20" t="str">
        <f ca="1"/>
        <v>ELECTRONICS</v>
      </c>
      <c r="L20">
        <f ca="1"/>
        <v>2023</v>
      </c>
      <c r="M20" t="str">
        <f ca="1"/>
        <v>LAP23-E</v>
      </c>
      <c r="N20" t="str">
        <f ca="1"/>
        <v>LAP</v>
      </c>
      <c r="O20" t="str">
        <f ca="1"/>
        <v>HIGH</v>
      </c>
      <c r="P20">
        <f ca="1"/>
        <v>323</v>
      </c>
    </row>
    <row r="21" spans="1:16" x14ac:dyDescent="0.3">
      <c r="A21">
        <f ca="1"/>
        <v>45539</v>
      </c>
      <c r="B21" t="str">
        <f ca="1"/>
        <v>Camera</v>
      </c>
      <c r="C21" t="str">
        <f ca="1"/>
        <v>Electronics</v>
      </c>
      <c r="D21" t="str">
        <f ca="1"/>
        <v>West</v>
      </c>
      <c r="E21">
        <f ca="1"/>
        <v>5</v>
      </c>
      <c r="F21">
        <f ca="1"/>
        <v>5785</v>
      </c>
      <c r="G21">
        <f ca="1"/>
        <v>1191.1099999999999</v>
      </c>
      <c r="H21">
        <f ca="1"/>
        <v>0.20589628349178909</v>
      </c>
      <c r="I21">
        <f ca="1"/>
        <v>784</v>
      </c>
      <c r="J21" t="str">
        <f ca="1"/>
        <v>CAMERA</v>
      </c>
      <c r="K21" t="str">
        <f ca="1"/>
        <v>ELECTRONICS</v>
      </c>
      <c r="L21">
        <f ca="1"/>
        <v>2024</v>
      </c>
      <c r="M21" t="str">
        <f ca="1"/>
        <v>CAM24-E</v>
      </c>
      <c r="N21" t="str">
        <f ca="1"/>
        <v>CAM</v>
      </c>
      <c r="O21" t="str">
        <f ca="1"/>
        <v>HIGH</v>
      </c>
      <c r="P21">
        <f ca="1"/>
        <v>331</v>
      </c>
    </row>
    <row r="22" spans="1:16" x14ac:dyDescent="0.3">
      <c r="A22">
        <f ca="1"/>
        <v>45396</v>
      </c>
      <c r="B22" t="str">
        <f ca="1"/>
        <v>Smartphone</v>
      </c>
      <c r="C22" t="str">
        <f ca="1"/>
        <v>Electronics</v>
      </c>
      <c r="D22" t="str">
        <f ca="1"/>
        <v>West</v>
      </c>
      <c r="E22">
        <f ca="1"/>
        <v>9</v>
      </c>
      <c r="F22">
        <f ca="1"/>
        <v>9162</v>
      </c>
      <c r="G22">
        <f ca="1"/>
        <v>1625.62</v>
      </c>
      <c r="H22">
        <f ca="1"/>
        <v>0.17743069198864875</v>
      </c>
      <c r="I22">
        <f ca="1"/>
        <v>927</v>
      </c>
      <c r="J22" t="str">
        <f ca="1"/>
        <v>SMARTPHONE</v>
      </c>
      <c r="K22" t="str">
        <f ca="1"/>
        <v>ELECTRONICS</v>
      </c>
      <c r="L22">
        <f ca="1"/>
        <v>2024</v>
      </c>
      <c r="M22" t="str">
        <f ca="1"/>
        <v>SMA24-E</v>
      </c>
      <c r="N22" t="str">
        <f ca="1"/>
        <v>SMA</v>
      </c>
      <c r="O22" t="str">
        <f ca="1"/>
        <v>HIGH</v>
      </c>
      <c r="P22">
        <f ca="1"/>
        <v>334</v>
      </c>
    </row>
    <row r="23" spans="1:16" x14ac:dyDescent="0.3">
      <c r="A23">
        <f ca="1"/>
        <v>44797</v>
      </c>
      <c r="B23" t="str">
        <f ca="1"/>
        <v>Tablet</v>
      </c>
      <c r="C23" t="str">
        <f ca="1"/>
        <v>Electronics</v>
      </c>
      <c r="D23" t="str">
        <f ca="1"/>
        <v>West</v>
      </c>
      <c r="E23">
        <f ca="1"/>
        <v>8</v>
      </c>
      <c r="F23">
        <f ca="1"/>
        <v>2296</v>
      </c>
      <c r="G23">
        <f ca="1"/>
        <v>560.48</v>
      </c>
      <c r="H23">
        <f ca="1"/>
        <v>0.24411149825783973</v>
      </c>
      <c r="I23">
        <f ca="1"/>
        <v>1526</v>
      </c>
      <c r="J23" t="str">
        <f ca="1"/>
        <v>TABLET</v>
      </c>
      <c r="K23" t="str">
        <f ca="1"/>
        <v>ELECTRONICS</v>
      </c>
      <c r="L23">
        <f ca="1"/>
        <v>2022</v>
      </c>
      <c r="M23" t="str">
        <f ca="1"/>
        <v>TAB22-E</v>
      </c>
      <c r="N23" t="str">
        <f ca="1"/>
        <v>TAB</v>
      </c>
      <c r="O23" t="str">
        <f ca="1"/>
        <v>HIGH</v>
      </c>
      <c r="P23">
        <f ca="1"/>
        <v>375</v>
      </c>
    </row>
    <row r="24" spans="1:16" x14ac:dyDescent="0.3">
      <c r="A24">
        <f ca="1"/>
        <v>44831</v>
      </c>
      <c r="B24" t="str">
        <f ca="1"/>
        <v>Smartwatch</v>
      </c>
      <c r="C24" t="str">
        <f ca="1"/>
        <v>Electronics</v>
      </c>
      <c r="D24" t="str">
        <f ca="1"/>
        <v>West</v>
      </c>
      <c r="E24">
        <f ca="1"/>
        <v>6</v>
      </c>
      <c r="F24">
        <f ca="1"/>
        <v>5712</v>
      </c>
      <c r="G24">
        <f ca="1"/>
        <v>638.29</v>
      </c>
      <c r="H24">
        <f ca="1"/>
        <v>0.11174544817927171</v>
      </c>
      <c r="I24">
        <f ca="1"/>
        <v>1492</v>
      </c>
      <c r="J24" t="str">
        <f ca="1"/>
        <v>SMARTWATCH</v>
      </c>
      <c r="K24" t="str">
        <f ca="1"/>
        <v>ELECTRONICS</v>
      </c>
      <c r="L24">
        <f ca="1"/>
        <v>2022</v>
      </c>
      <c r="M24" t="str">
        <f ca="1"/>
        <v>SMA22-E</v>
      </c>
      <c r="N24" t="str">
        <f ca="1"/>
        <v>SMA</v>
      </c>
      <c r="O24" t="str">
        <f ca="1"/>
        <v>HIGH</v>
      </c>
      <c r="P24">
        <f ca="1"/>
        <v>405</v>
      </c>
    </row>
    <row r="25" spans="1:16" x14ac:dyDescent="0.3">
      <c r="A25">
        <f ca="1"/>
        <v>45053</v>
      </c>
      <c r="B25" t="str">
        <f ca="1"/>
        <v>Smartphone</v>
      </c>
      <c r="C25" t="str">
        <f ca="1"/>
        <v>Electronics</v>
      </c>
      <c r="D25" t="str">
        <f ca="1"/>
        <v>West</v>
      </c>
      <c r="E25">
        <f ca="1"/>
        <v>8</v>
      </c>
      <c r="F25">
        <f ca="1"/>
        <v>7944</v>
      </c>
      <c r="G25">
        <f ca="1"/>
        <v>2257.73</v>
      </c>
      <c r="H25">
        <f ca="1"/>
        <v>0.28420568982880162</v>
      </c>
      <c r="I25">
        <f ca="1"/>
        <v>1270</v>
      </c>
      <c r="J25" t="str">
        <f ca="1"/>
        <v>SMARTPHONE</v>
      </c>
      <c r="K25" t="str">
        <f ca="1"/>
        <v>ELECTRONICS</v>
      </c>
      <c r="L25">
        <f ca="1"/>
        <v>2023</v>
      </c>
      <c r="M25" t="str">
        <f ca="1"/>
        <v>SMA23-E</v>
      </c>
      <c r="N25" t="str">
        <f ca="1"/>
        <v>SMA</v>
      </c>
      <c r="O25" t="str">
        <f ca="1"/>
        <v>HIGH</v>
      </c>
      <c r="P25">
        <f ca="1"/>
        <v>409</v>
      </c>
    </row>
    <row r="26" spans="1:16" x14ac:dyDescent="0.3">
      <c r="A26">
        <f ca="1"/>
        <v>45065</v>
      </c>
      <c r="B26" t="str">
        <f ca="1"/>
        <v>Smartphone</v>
      </c>
      <c r="C26" t="str">
        <f ca="1"/>
        <v>Electronics</v>
      </c>
      <c r="D26" t="str">
        <f ca="1"/>
        <v>West</v>
      </c>
      <c r="E26">
        <f ca="1"/>
        <v>3</v>
      </c>
      <c r="F26">
        <f ca="1"/>
        <v>2274</v>
      </c>
      <c r="G26">
        <f ca="1"/>
        <v>662</v>
      </c>
      <c r="H26">
        <f ca="1"/>
        <v>0.2911169744942832</v>
      </c>
      <c r="I26">
        <f ca="1"/>
        <v>1258</v>
      </c>
      <c r="J26" t="str">
        <f ca="1"/>
        <v>SMARTPHONE</v>
      </c>
      <c r="K26" t="str">
        <f ca="1"/>
        <v>ELECTRONICS</v>
      </c>
      <c r="L26">
        <f ca="1"/>
        <v>2023</v>
      </c>
      <c r="M26" t="str">
        <f ca="1"/>
        <v>SMA23-E</v>
      </c>
      <c r="N26" t="str">
        <f ca="1"/>
        <v>SMA</v>
      </c>
      <c r="O26" t="str">
        <f ca="1"/>
        <v>HIGH</v>
      </c>
      <c r="P26">
        <f ca="1"/>
        <v>423</v>
      </c>
    </row>
    <row r="27" spans="1:16" x14ac:dyDescent="0.3">
      <c r="A27">
        <f ca="1"/>
        <v>44808</v>
      </c>
      <c r="B27" t="str">
        <f ca="1"/>
        <v>Smartphone</v>
      </c>
      <c r="C27" t="str">
        <f ca="1"/>
        <v>Electronics</v>
      </c>
      <c r="D27" t="str">
        <f ca="1"/>
        <v>West</v>
      </c>
      <c r="E27">
        <f ca="1"/>
        <v>4</v>
      </c>
      <c r="F27">
        <f ca="1"/>
        <v>3892</v>
      </c>
      <c r="G27">
        <f ca="1"/>
        <v>1052.72</v>
      </c>
      <c r="H27">
        <f ca="1"/>
        <v>0.2704830421377184</v>
      </c>
      <c r="I27">
        <f ca="1"/>
        <v>1515</v>
      </c>
      <c r="J27" t="str">
        <f ca="1"/>
        <v>SMARTPHONE</v>
      </c>
      <c r="K27" t="str">
        <f ca="1"/>
        <v>ELECTRONICS</v>
      </c>
      <c r="L27">
        <f ca="1"/>
        <v>2022</v>
      </c>
      <c r="M27" t="str">
        <f ca="1"/>
        <v>SMA22-E</v>
      </c>
      <c r="N27" t="str">
        <f ca="1"/>
        <v>SMA</v>
      </c>
      <c r="O27" t="str">
        <f ca="1"/>
        <v>HIGH</v>
      </c>
      <c r="P27">
        <f ca="1"/>
        <v>431</v>
      </c>
    </row>
    <row r="28" spans="1:16" x14ac:dyDescent="0.3">
      <c r="A28">
        <f ca="1"/>
        <v>45289</v>
      </c>
      <c r="B28" t="str">
        <f ca="1"/>
        <v>Camera</v>
      </c>
      <c r="C28" t="str">
        <f ca="1"/>
        <v>Electronics</v>
      </c>
      <c r="D28" t="str">
        <f ca="1"/>
        <v>West</v>
      </c>
      <c r="E28">
        <f ca="1"/>
        <v>9</v>
      </c>
      <c r="F28">
        <f ca="1"/>
        <v>9972</v>
      </c>
      <c r="G28">
        <f ca="1"/>
        <v>2566.0100000000002</v>
      </c>
      <c r="H28">
        <f ca="1"/>
        <v>0.2573215002005616</v>
      </c>
      <c r="I28">
        <f ca="1"/>
        <v>1034</v>
      </c>
      <c r="J28" t="str">
        <f ca="1"/>
        <v>CAMERA</v>
      </c>
      <c r="K28" t="str">
        <f ca="1"/>
        <v>ELECTRONICS</v>
      </c>
      <c r="L28">
        <f ca="1"/>
        <v>2023</v>
      </c>
      <c r="M28" t="str">
        <f ca="1"/>
        <v>CAM23-E</v>
      </c>
      <c r="N28" t="str">
        <f ca="1"/>
        <v>CAM</v>
      </c>
      <c r="O28" t="str">
        <f ca="1"/>
        <v>HIGH</v>
      </c>
      <c r="P28">
        <f ca="1"/>
        <v>456</v>
      </c>
    </row>
    <row r="29" spans="1:16" x14ac:dyDescent="0.3">
      <c r="A29">
        <f ca="1"/>
        <v>45118</v>
      </c>
      <c r="B29" t="str">
        <f ca="1"/>
        <v>Tablet</v>
      </c>
      <c r="C29" t="str">
        <f ca="1"/>
        <v>Electronics</v>
      </c>
      <c r="D29" t="str">
        <f ca="1"/>
        <v>West</v>
      </c>
      <c r="E29">
        <f ca="1"/>
        <v>8</v>
      </c>
      <c r="F29">
        <f ca="1"/>
        <v>3936</v>
      </c>
      <c r="G29">
        <f ca="1"/>
        <v>720.2</v>
      </c>
      <c r="H29">
        <f ca="1"/>
        <v>0.18297764227642277</v>
      </c>
      <c r="I29">
        <f ca="1"/>
        <v>1205</v>
      </c>
      <c r="J29" t="str">
        <f ca="1"/>
        <v>TABLET</v>
      </c>
      <c r="K29" t="str">
        <f ca="1"/>
        <v>ELECTRONICS</v>
      </c>
      <c r="L29">
        <f ca="1"/>
        <v>2023</v>
      </c>
      <c r="M29" t="str">
        <f ca="1"/>
        <v>TAB23-E</v>
      </c>
      <c r="N29" t="str">
        <f ca="1"/>
        <v>TAB</v>
      </c>
      <c r="O29" t="str">
        <f ca="1"/>
        <v>HIGH</v>
      </c>
      <c r="P29">
        <f ca="1"/>
        <v>487</v>
      </c>
    </row>
    <row r="30" spans="1:16" x14ac:dyDescent="0.3">
      <c r="A30">
        <f ca="1"/>
        <v>45181</v>
      </c>
      <c r="B30" t="str">
        <f ca="1"/>
        <v>Smartwatch</v>
      </c>
      <c r="C30" t="str">
        <f ca="1"/>
        <v>Electronics</v>
      </c>
      <c r="D30" t="str">
        <f ca="1"/>
        <v>West</v>
      </c>
      <c r="E30">
        <f ca="1"/>
        <v>6</v>
      </c>
      <c r="F30">
        <f ca="1"/>
        <v>5592</v>
      </c>
      <c r="G30">
        <f ca="1"/>
        <v>926.42</v>
      </c>
      <c r="H30">
        <f ca="1"/>
        <v>0.16566881258941343</v>
      </c>
      <c r="I30">
        <f ca="1"/>
        <v>1142</v>
      </c>
      <c r="J30" t="str">
        <f ca="1"/>
        <v>SMARTWATCH</v>
      </c>
      <c r="K30" t="str">
        <f ca="1"/>
        <v>ELECTRONICS</v>
      </c>
      <c r="L30">
        <f ca="1"/>
        <v>2023</v>
      </c>
      <c r="M30" t="str">
        <f ca="1"/>
        <v>SMA23-E</v>
      </c>
      <c r="N30" t="str">
        <f ca="1"/>
        <v>SMA</v>
      </c>
      <c r="O30" t="str">
        <f ca="1"/>
        <v>HIGH</v>
      </c>
      <c r="P30">
        <f ca="1"/>
        <v>502</v>
      </c>
    </row>
    <row r="31" spans="1:16" x14ac:dyDescent="0.3">
      <c r="A31">
        <f ca="1"/>
        <v>45651</v>
      </c>
      <c r="B31" t="str">
        <f ca="1"/>
        <v>Smartphone</v>
      </c>
      <c r="C31" t="str">
        <f ca="1"/>
        <v>Electronics</v>
      </c>
      <c r="D31" t="str">
        <f ca="1"/>
        <v>West</v>
      </c>
      <c r="E31">
        <f ca="1"/>
        <v>3</v>
      </c>
      <c r="F31">
        <f ca="1"/>
        <v>3588</v>
      </c>
      <c r="G31">
        <f ca="1"/>
        <v>958.84</v>
      </c>
      <c r="H31">
        <f ca="1"/>
        <v>0.26723522853957637</v>
      </c>
      <c r="I31">
        <f ca="1"/>
        <v>672</v>
      </c>
      <c r="J31" t="str">
        <f ca="1"/>
        <v>SMARTPHONE</v>
      </c>
      <c r="K31" t="str">
        <f ca="1"/>
        <v>ELECTRONICS</v>
      </c>
      <c r="L31">
        <f ca="1"/>
        <v>2024</v>
      </c>
      <c r="M31" t="str">
        <f ca="1"/>
        <v>SMA24-E</v>
      </c>
      <c r="N31" t="str">
        <f ca="1"/>
        <v>SMA</v>
      </c>
      <c r="O31" t="str">
        <f ca="1"/>
        <v>HIGH</v>
      </c>
      <c r="P31">
        <f ca="1"/>
        <v>516</v>
      </c>
    </row>
    <row r="32" spans="1:16" x14ac:dyDescent="0.3">
      <c r="A32">
        <f ca="1"/>
        <v>45595</v>
      </c>
      <c r="B32" t="str">
        <f ca="1"/>
        <v>Laptop</v>
      </c>
      <c r="C32" t="str">
        <f ca="1"/>
        <v>Electronics</v>
      </c>
      <c r="D32" t="str">
        <f ca="1"/>
        <v>West</v>
      </c>
      <c r="E32">
        <f ca="1"/>
        <v>7</v>
      </c>
      <c r="F32">
        <f ca="1"/>
        <v>7672</v>
      </c>
      <c r="G32">
        <f ca="1"/>
        <v>2046.38</v>
      </c>
      <c r="H32">
        <f ca="1"/>
        <v>0.26673357664233577</v>
      </c>
      <c r="I32">
        <f ca="1"/>
        <v>728</v>
      </c>
      <c r="J32" t="str">
        <f ca="1"/>
        <v>LAPTOP</v>
      </c>
      <c r="K32" t="str">
        <f ca="1"/>
        <v>ELECTRONICS</v>
      </c>
      <c r="L32">
        <f ca="1"/>
        <v>2024</v>
      </c>
      <c r="M32" t="str">
        <f ca="1"/>
        <v>LAP24-E</v>
      </c>
      <c r="N32" t="str">
        <f ca="1"/>
        <v>LAP</v>
      </c>
      <c r="O32" t="str">
        <f ca="1"/>
        <v>HIGH</v>
      </c>
      <c r="P32">
        <f ca="1"/>
        <v>522</v>
      </c>
    </row>
    <row r="33" spans="1:16" x14ac:dyDescent="0.3">
      <c r="A33">
        <f ca="1"/>
        <v>45094</v>
      </c>
      <c r="B33" t="str">
        <f ca="1"/>
        <v>Laptop</v>
      </c>
      <c r="C33" t="str">
        <f ca="1"/>
        <v>Electronics</v>
      </c>
      <c r="D33" t="str">
        <f ca="1"/>
        <v>West</v>
      </c>
      <c r="E33">
        <f ca="1"/>
        <v>4</v>
      </c>
      <c r="F33">
        <f ca="1"/>
        <v>1920</v>
      </c>
      <c r="G33">
        <f ca="1"/>
        <v>549.11</v>
      </c>
      <c r="H33">
        <f ca="1"/>
        <v>0.28599479166666669</v>
      </c>
      <c r="I33">
        <f ca="1"/>
        <v>1229</v>
      </c>
      <c r="J33" t="str">
        <f ca="1"/>
        <v>LAPTOP</v>
      </c>
      <c r="K33" t="str">
        <f ca="1"/>
        <v>ELECTRONICS</v>
      </c>
      <c r="L33">
        <f ca="1"/>
        <v>2023</v>
      </c>
      <c r="M33" t="str">
        <f ca="1"/>
        <v>LAP23-E</v>
      </c>
      <c r="N33" t="str">
        <f ca="1"/>
        <v>LAP</v>
      </c>
      <c r="O33" t="str">
        <f ca="1"/>
        <v>HIGH</v>
      </c>
      <c r="P33">
        <f ca="1"/>
        <v>533</v>
      </c>
    </row>
    <row r="34" spans="1:16" x14ac:dyDescent="0.3">
      <c r="A34">
        <f ca="1"/>
        <v>45081</v>
      </c>
      <c r="B34" t="str">
        <f ca="1"/>
        <v>Smartphone</v>
      </c>
      <c r="C34" t="str">
        <f ca="1"/>
        <v>Electronics</v>
      </c>
      <c r="D34" t="str">
        <f ca="1"/>
        <v>West</v>
      </c>
      <c r="E34">
        <f ca="1"/>
        <v>3</v>
      </c>
      <c r="F34">
        <f ca="1"/>
        <v>3117</v>
      </c>
      <c r="G34">
        <f ca="1"/>
        <v>829.09</v>
      </c>
      <c r="H34">
        <f ca="1"/>
        <v>0.26598973371831891</v>
      </c>
      <c r="I34">
        <f ca="1"/>
        <v>1242</v>
      </c>
      <c r="J34" t="str">
        <f ca="1"/>
        <v>SMARTPHONE</v>
      </c>
      <c r="K34" t="str">
        <f ca="1"/>
        <v>ELECTRONICS</v>
      </c>
      <c r="L34">
        <f ca="1"/>
        <v>2023</v>
      </c>
      <c r="M34" t="str">
        <f ca="1"/>
        <v>SMA23-E</v>
      </c>
      <c r="N34" t="str">
        <f ca="1"/>
        <v>SMA</v>
      </c>
      <c r="O34" t="str">
        <f ca="1"/>
        <v>HIGH</v>
      </c>
      <c r="P34">
        <f ca="1"/>
        <v>559</v>
      </c>
    </row>
    <row r="35" spans="1:16" x14ac:dyDescent="0.3">
      <c r="A35">
        <f ca="1"/>
        <v>44690</v>
      </c>
      <c r="B35" t="str">
        <f ca="1"/>
        <v>Camera</v>
      </c>
      <c r="C35" t="str">
        <f ca="1"/>
        <v>Electronics</v>
      </c>
      <c r="D35" t="str">
        <f ca="1"/>
        <v>West</v>
      </c>
      <c r="E35">
        <f ca="1"/>
        <v>6</v>
      </c>
      <c r="F35">
        <f ca="1"/>
        <v>4296</v>
      </c>
      <c r="G35">
        <f ca="1"/>
        <v>1240.31</v>
      </c>
      <c r="H35">
        <f ca="1"/>
        <v>0.28871275605214153</v>
      </c>
      <c r="I35">
        <f ca="1"/>
        <v>1633</v>
      </c>
      <c r="J35" t="str">
        <f ca="1"/>
        <v>CAMERA</v>
      </c>
      <c r="K35" t="str">
        <f ca="1"/>
        <v>ELECTRONICS</v>
      </c>
      <c r="L35">
        <f ca="1"/>
        <v>2022</v>
      </c>
      <c r="M35" t="str">
        <f ca="1"/>
        <v>CAM22-E</v>
      </c>
      <c r="N35" t="str">
        <f ca="1"/>
        <v>CAM</v>
      </c>
      <c r="O35" t="str">
        <f ca="1"/>
        <v>HIGH</v>
      </c>
      <c r="P35">
        <f ca="1"/>
        <v>570</v>
      </c>
    </row>
    <row r="36" spans="1:16" x14ac:dyDescent="0.3">
      <c r="A36">
        <f ca="1"/>
        <v>45294</v>
      </c>
      <c r="B36" t="str">
        <f ca="1"/>
        <v>Camera</v>
      </c>
      <c r="C36" t="str">
        <f ca="1"/>
        <v>Electronics</v>
      </c>
      <c r="D36" t="str">
        <f ca="1"/>
        <v>West</v>
      </c>
      <c r="E36">
        <f ca="1"/>
        <v>9</v>
      </c>
      <c r="F36">
        <f ca="1"/>
        <v>3627</v>
      </c>
      <c r="G36">
        <f ca="1"/>
        <v>797.53</v>
      </c>
      <c r="H36">
        <f ca="1"/>
        <v>0.21988695891921697</v>
      </c>
      <c r="I36">
        <f ca="1"/>
        <v>1029</v>
      </c>
      <c r="J36" t="str">
        <f ca="1"/>
        <v>CAMERA</v>
      </c>
      <c r="K36" t="str">
        <f ca="1"/>
        <v>ELECTRONICS</v>
      </c>
      <c r="L36">
        <f ca="1"/>
        <v>2024</v>
      </c>
      <c r="M36" t="str">
        <f ca="1"/>
        <v>CAM24-E</v>
      </c>
      <c r="N36" t="str">
        <f ca="1"/>
        <v>CAM</v>
      </c>
      <c r="O36" t="str">
        <f ca="1"/>
        <v>HIGH</v>
      </c>
      <c r="P36">
        <f ca="1"/>
        <v>574</v>
      </c>
    </row>
    <row r="37" spans="1:16" x14ac:dyDescent="0.3">
      <c r="A37">
        <f ca="1"/>
        <v>44613</v>
      </c>
      <c r="B37" t="str">
        <f ca="1"/>
        <v>Tablet</v>
      </c>
      <c r="C37" t="str">
        <f ca="1"/>
        <v>Electronics</v>
      </c>
      <c r="D37" t="str">
        <f ca="1"/>
        <v>West</v>
      </c>
      <c r="E37">
        <f ca="1"/>
        <v>7</v>
      </c>
      <c r="F37">
        <f ca="1"/>
        <v>2282</v>
      </c>
      <c r="G37">
        <f ca="1"/>
        <v>537.71</v>
      </c>
      <c r="H37">
        <f ca="1"/>
        <v>0.23563102541630151</v>
      </c>
      <c r="I37">
        <f ca="1"/>
        <v>1710</v>
      </c>
      <c r="J37" t="str">
        <f ca="1"/>
        <v>TABLET</v>
      </c>
      <c r="K37" t="str">
        <f ca="1"/>
        <v>ELECTRONICS</v>
      </c>
      <c r="L37">
        <f ca="1"/>
        <v>2022</v>
      </c>
      <c r="M37" t="str">
        <f ca="1"/>
        <v>TAB22-E</v>
      </c>
      <c r="N37" t="str">
        <f ca="1"/>
        <v>TAB</v>
      </c>
      <c r="O37" t="str">
        <f ca="1"/>
        <v>HIGH</v>
      </c>
      <c r="P37">
        <f ca="1"/>
        <v>639</v>
      </c>
    </row>
    <row r="38" spans="1:16" x14ac:dyDescent="0.3">
      <c r="A38">
        <f ca="1"/>
        <v>44856</v>
      </c>
      <c r="B38" t="str">
        <f ca="1"/>
        <v>Laptop</v>
      </c>
      <c r="C38" t="str">
        <f ca="1"/>
        <v>Electronics</v>
      </c>
      <c r="D38" t="str">
        <f ca="1"/>
        <v>West</v>
      </c>
      <c r="E38">
        <f ca="1"/>
        <v>5</v>
      </c>
      <c r="F38">
        <f ca="1"/>
        <v>4405</v>
      </c>
      <c r="G38">
        <f ca="1"/>
        <v>1247.8599999999999</v>
      </c>
      <c r="H38">
        <f ca="1"/>
        <v>0.2832826333711691</v>
      </c>
      <c r="I38">
        <f ca="1"/>
        <v>1467</v>
      </c>
      <c r="J38" t="str">
        <f ca="1"/>
        <v>LAPTOP</v>
      </c>
      <c r="K38" t="str">
        <f ca="1"/>
        <v>ELECTRONICS</v>
      </c>
      <c r="L38">
        <f ca="1"/>
        <v>2022</v>
      </c>
      <c r="M38" t="str">
        <f ca="1"/>
        <v>LAP22-E</v>
      </c>
      <c r="N38" t="str">
        <f ca="1"/>
        <v>LAP</v>
      </c>
      <c r="O38" t="str">
        <f ca="1"/>
        <v>HIGH</v>
      </c>
      <c r="P38">
        <f ca="1"/>
        <v>653</v>
      </c>
    </row>
    <row r="39" spans="1:16" x14ac:dyDescent="0.3">
      <c r="A39">
        <f ca="1"/>
        <v>44746</v>
      </c>
      <c r="B39" t="str">
        <f ca="1"/>
        <v>Tablet</v>
      </c>
      <c r="C39" t="str">
        <f ca="1"/>
        <v>Electronics</v>
      </c>
      <c r="D39" t="str">
        <f ca="1"/>
        <v>West</v>
      </c>
      <c r="E39">
        <f ca="1"/>
        <v>6</v>
      </c>
      <c r="F39">
        <f ca="1"/>
        <v>3402</v>
      </c>
      <c r="G39">
        <f ca="1"/>
        <v>501.29</v>
      </c>
      <c r="H39">
        <f ca="1"/>
        <v>0.14735155790711346</v>
      </c>
      <c r="I39">
        <f ca="1"/>
        <v>1577</v>
      </c>
      <c r="J39" t="str">
        <f ca="1"/>
        <v>TABLET</v>
      </c>
      <c r="K39" t="str">
        <f ca="1"/>
        <v>ELECTRONICS</v>
      </c>
      <c r="L39">
        <f ca="1"/>
        <v>2022</v>
      </c>
      <c r="M39" t="str">
        <f ca="1"/>
        <v>TAB22-E</v>
      </c>
      <c r="N39" t="str">
        <f ca="1"/>
        <v>TAB</v>
      </c>
      <c r="O39" t="str">
        <f ca="1"/>
        <v>HIGH</v>
      </c>
      <c r="P39">
        <f ca="1"/>
        <v>661</v>
      </c>
    </row>
    <row r="40" spans="1:16" x14ac:dyDescent="0.3">
      <c r="A40">
        <f ca="1"/>
        <v>45419</v>
      </c>
      <c r="B40" t="str">
        <f ca="1"/>
        <v>Laptop</v>
      </c>
      <c r="C40" t="str">
        <f ca="1"/>
        <v>Electronics</v>
      </c>
      <c r="D40" t="str">
        <f ca="1"/>
        <v>West</v>
      </c>
      <c r="E40">
        <f ca="1"/>
        <v>7</v>
      </c>
      <c r="F40">
        <f ca="1"/>
        <v>7280</v>
      </c>
      <c r="G40">
        <f ca="1"/>
        <v>1450.82</v>
      </c>
      <c r="H40">
        <f ca="1"/>
        <v>0.19928846153846153</v>
      </c>
      <c r="I40">
        <f ca="1"/>
        <v>904</v>
      </c>
      <c r="J40" t="str">
        <f ca="1"/>
        <v>LAPTOP</v>
      </c>
      <c r="K40" t="str">
        <f ca="1"/>
        <v>ELECTRONICS</v>
      </c>
      <c r="L40">
        <f ca="1"/>
        <v>2024</v>
      </c>
      <c r="M40" t="str">
        <f ca="1"/>
        <v>LAP24-E</v>
      </c>
      <c r="N40" t="str">
        <f ca="1"/>
        <v>LAP</v>
      </c>
      <c r="O40" t="str">
        <f ca="1"/>
        <v>HIGH</v>
      </c>
      <c r="P40">
        <f ca="1"/>
        <v>670</v>
      </c>
    </row>
    <row r="41" spans="1:16" x14ac:dyDescent="0.3">
      <c r="A41">
        <f ca="1"/>
        <v>45204</v>
      </c>
      <c r="B41" t="str">
        <f ca="1"/>
        <v>Tablet</v>
      </c>
      <c r="C41" t="str">
        <f ca="1"/>
        <v>Electronics</v>
      </c>
      <c r="D41" t="str">
        <f ca="1"/>
        <v>West</v>
      </c>
      <c r="E41">
        <f ca="1"/>
        <v>6</v>
      </c>
      <c r="F41">
        <f ca="1"/>
        <v>3486</v>
      </c>
      <c r="G41">
        <f ca="1"/>
        <v>1011.74</v>
      </c>
      <c r="H41">
        <f ca="1"/>
        <v>0.29022948938611587</v>
      </c>
      <c r="I41">
        <f ca="1"/>
        <v>1119</v>
      </c>
      <c r="J41" t="str">
        <f ca="1"/>
        <v>TABLET</v>
      </c>
      <c r="K41" t="str">
        <f ca="1"/>
        <v>ELECTRONICS</v>
      </c>
      <c r="L41">
        <f ca="1"/>
        <v>2023</v>
      </c>
      <c r="M41" t="str">
        <f ca="1"/>
        <v>TAB23-E</v>
      </c>
      <c r="N41" t="str">
        <f ca="1"/>
        <v>TAB</v>
      </c>
      <c r="O41" t="str">
        <f ca="1"/>
        <v>HIGH</v>
      </c>
      <c r="P41">
        <f ca="1"/>
        <v>697</v>
      </c>
    </row>
    <row r="42" spans="1:16" x14ac:dyDescent="0.3">
      <c r="A42">
        <f ca="1"/>
        <v>45586</v>
      </c>
      <c r="B42" t="str">
        <f ca="1"/>
        <v>Camera</v>
      </c>
      <c r="C42" t="str">
        <f ca="1"/>
        <v>Electronics</v>
      </c>
      <c r="D42" t="str">
        <f ca="1"/>
        <v>West</v>
      </c>
      <c r="E42">
        <f ca="1"/>
        <v>4</v>
      </c>
      <c r="F42">
        <f ca="1"/>
        <v>2792</v>
      </c>
      <c r="G42">
        <f ca="1"/>
        <v>725.35</v>
      </c>
      <c r="H42">
        <f ca="1"/>
        <v>0.25979584527220634</v>
      </c>
      <c r="I42">
        <f ca="1"/>
        <v>737</v>
      </c>
      <c r="J42" t="str">
        <f ca="1"/>
        <v>CAMERA</v>
      </c>
      <c r="K42" t="str">
        <f ca="1"/>
        <v>ELECTRONICS</v>
      </c>
      <c r="L42">
        <f ca="1"/>
        <v>2024</v>
      </c>
      <c r="M42" t="str">
        <f ca="1"/>
        <v>CAM24-E</v>
      </c>
      <c r="N42" t="str">
        <f ca="1"/>
        <v>CAM</v>
      </c>
      <c r="O42" t="str">
        <f ca="1"/>
        <v>HIGH</v>
      </c>
      <c r="P42">
        <f ca="1"/>
        <v>734</v>
      </c>
    </row>
    <row r="43" spans="1:16" x14ac:dyDescent="0.3">
      <c r="A43">
        <f ca="1"/>
        <v>45383</v>
      </c>
      <c r="B43" t="str">
        <f ca="1"/>
        <v>Smartphone</v>
      </c>
      <c r="C43" t="str">
        <f ca="1"/>
        <v>Electronics</v>
      </c>
      <c r="D43" t="str">
        <f ca="1"/>
        <v>West</v>
      </c>
      <c r="E43">
        <f ca="1"/>
        <v>6</v>
      </c>
      <c r="F43">
        <f ca="1"/>
        <v>3252</v>
      </c>
      <c r="G43">
        <f ca="1"/>
        <v>834.84</v>
      </c>
      <c r="H43">
        <f ca="1"/>
        <v>0.25671586715867162</v>
      </c>
      <c r="I43">
        <f ca="1"/>
        <v>940</v>
      </c>
      <c r="J43" t="str">
        <f ca="1"/>
        <v>SMARTPHONE</v>
      </c>
      <c r="K43" t="str">
        <f ca="1"/>
        <v>ELECTRONICS</v>
      </c>
      <c r="L43">
        <f ca="1"/>
        <v>2024</v>
      </c>
      <c r="M43" t="str">
        <f ca="1"/>
        <v>SMA24-E</v>
      </c>
      <c r="N43" t="str">
        <f ca="1"/>
        <v>SMA</v>
      </c>
      <c r="O43" t="str">
        <f ca="1"/>
        <v>HIGH</v>
      </c>
      <c r="P43">
        <f ca="1"/>
        <v>739</v>
      </c>
    </row>
    <row r="44" spans="1:16" x14ac:dyDescent="0.3">
      <c r="A44">
        <f ca="1"/>
        <v>45136</v>
      </c>
      <c r="B44" t="str">
        <f ca="1"/>
        <v>Tablet</v>
      </c>
      <c r="C44" t="str">
        <f ca="1"/>
        <v>Electronics</v>
      </c>
      <c r="D44" t="str">
        <f ca="1"/>
        <v>West</v>
      </c>
      <c r="E44">
        <f ca="1"/>
        <v>7</v>
      </c>
      <c r="F44">
        <f ca="1"/>
        <v>5264</v>
      </c>
      <c r="G44">
        <f ca="1"/>
        <v>756.33</v>
      </c>
      <c r="H44">
        <f ca="1"/>
        <v>0.1436797112462006</v>
      </c>
      <c r="I44">
        <f ca="1"/>
        <v>1187</v>
      </c>
      <c r="J44" t="str">
        <f ca="1"/>
        <v>TABLET</v>
      </c>
      <c r="K44" t="str">
        <f ca="1"/>
        <v>ELECTRONICS</v>
      </c>
      <c r="L44">
        <f ca="1"/>
        <v>2023</v>
      </c>
      <c r="M44" t="str">
        <f ca="1"/>
        <v>TAB23-E</v>
      </c>
      <c r="N44" t="str">
        <f ca="1"/>
        <v>TAB</v>
      </c>
      <c r="O44" t="str">
        <f ca="1"/>
        <v>HIGH</v>
      </c>
      <c r="P44">
        <f ca="1"/>
        <v>796</v>
      </c>
    </row>
    <row r="45" spans="1:16" x14ac:dyDescent="0.3">
      <c r="A45">
        <f ca="1"/>
        <v>45426</v>
      </c>
      <c r="B45" t="str">
        <f ca="1"/>
        <v>Camera</v>
      </c>
      <c r="C45" t="str">
        <f ca="1"/>
        <v>Electronics</v>
      </c>
      <c r="D45" t="str">
        <f ca="1"/>
        <v>West</v>
      </c>
      <c r="E45">
        <f ca="1"/>
        <v>9</v>
      </c>
      <c r="F45">
        <f ca="1"/>
        <v>10143</v>
      </c>
      <c r="G45">
        <f ca="1"/>
        <v>1690.66</v>
      </c>
      <c r="H45">
        <f ca="1"/>
        <v>0.16668244109237898</v>
      </c>
      <c r="I45">
        <f ca="1"/>
        <v>897</v>
      </c>
      <c r="J45" t="str">
        <f ca="1"/>
        <v>CAMERA</v>
      </c>
      <c r="K45" t="str">
        <f ca="1"/>
        <v>ELECTRONICS</v>
      </c>
      <c r="L45">
        <f ca="1"/>
        <v>2024</v>
      </c>
      <c r="M45" t="str">
        <f ca="1"/>
        <v>CAM24-E</v>
      </c>
      <c r="N45" t="str">
        <f ca="1"/>
        <v>CAM</v>
      </c>
      <c r="O45" t="str">
        <f ca="1"/>
        <v>HIGH</v>
      </c>
      <c r="P45">
        <f ca="1"/>
        <v>847</v>
      </c>
    </row>
    <row r="46" spans="1:16" x14ac:dyDescent="0.3">
      <c r="A46">
        <f ca="1"/>
        <v>45143</v>
      </c>
      <c r="B46" t="str">
        <f ca="1"/>
        <v>Smartwatch</v>
      </c>
      <c r="C46" t="str">
        <f ca="1"/>
        <v>Electronics</v>
      </c>
      <c r="D46" t="str">
        <f ca="1"/>
        <v>West</v>
      </c>
      <c r="E46">
        <f ca="1"/>
        <v>7</v>
      </c>
      <c r="F46">
        <f ca="1"/>
        <v>8141</v>
      </c>
      <c r="G46">
        <f ca="1"/>
        <v>767.6</v>
      </c>
      <c r="H46">
        <f ca="1"/>
        <v>9.4288170986365313E-2</v>
      </c>
      <c r="I46">
        <f ca="1"/>
        <v>1180</v>
      </c>
      <c r="J46" t="str">
        <f ca="1"/>
        <v>SMARTWATCH</v>
      </c>
      <c r="K46" t="str">
        <f ca="1"/>
        <v>ELECTRONICS</v>
      </c>
      <c r="L46">
        <f ca="1"/>
        <v>2023</v>
      </c>
      <c r="M46" t="str">
        <f ca="1"/>
        <v>SMA23-E</v>
      </c>
      <c r="N46" t="str">
        <f ca="1"/>
        <v>SMA</v>
      </c>
      <c r="O46" t="str">
        <f ca="1"/>
        <v>HIGH</v>
      </c>
      <c r="P46">
        <f ca="1"/>
        <v>860</v>
      </c>
    </row>
    <row r="47" spans="1:16" x14ac:dyDescent="0.3">
      <c r="A47">
        <f ca="1"/>
        <v>44570</v>
      </c>
      <c r="B47" t="str">
        <f ca="1"/>
        <v>Tablet</v>
      </c>
      <c r="C47" t="str">
        <f ca="1"/>
        <v>Electronics</v>
      </c>
      <c r="D47" t="str">
        <f ca="1"/>
        <v>West</v>
      </c>
      <c r="E47">
        <f ca="1"/>
        <v>7</v>
      </c>
      <c r="F47">
        <f ca="1"/>
        <v>7623</v>
      </c>
      <c r="G47">
        <f ca="1"/>
        <v>1459.84</v>
      </c>
      <c r="H47">
        <f ca="1"/>
        <v>0.19150465695920241</v>
      </c>
      <c r="I47">
        <f ca="1"/>
        <v>1753</v>
      </c>
      <c r="J47" t="str">
        <f ca="1"/>
        <v>TABLET</v>
      </c>
      <c r="K47" t="str">
        <f ca="1"/>
        <v>ELECTRONICS</v>
      </c>
      <c r="L47">
        <f ca="1"/>
        <v>2022</v>
      </c>
      <c r="M47" t="str">
        <f ca="1"/>
        <v>TAB22-E</v>
      </c>
      <c r="N47" t="str">
        <f ca="1"/>
        <v>TAB</v>
      </c>
      <c r="O47" t="str">
        <f ca="1"/>
        <v>HIGH</v>
      </c>
      <c r="P47">
        <f ca="1"/>
        <v>874</v>
      </c>
    </row>
    <row r="48" spans="1:16" x14ac:dyDescent="0.3">
      <c r="A48">
        <f ca="1"/>
        <v>45635</v>
      </c>
      <c r="B48" t="str">
        <f ca="1"/>
        <v>Smartphone</v>
      </c>
      <c r="C48" t="str">
        <f ca="1"/>
        <v>Electronics</v>
      </c>
      <c r="D48" t="str">
        <f ca="1"/>
        <v>West</v>
      </c>
      <c r="E48">
        <f ca="1"/>
        <v>8</v>
      </c>
      <c r="F48">
        <f ca="1"/>
        <v>5832</v>
      </c>
      <c r="G48">
        <f ca="1"/>
        <v>662.72</v>
      </c>
      <c r="H48">
        <f ca="1"/>
        <v>0.11363511659807957</v>
      </c>
      <c r="I48">
        <f ca="1"/>
        <v>688</v>
      </c>
      <c r="J48" t="str">
        <f ca="1"/>
        <v>SMARTPHONE</v>
      </c>
      <c r="K48" t="str">
        <f ca="1"/>
        <v>ELECTRONICS</v>
      </c>
      <c r="L48">
        <f ca="1"/>
        <v>2024</v>
      </c>
      <c r="M48" t="str">
        <f ca="1"/>
        <v>SMA24-E</v>
      </c>
      <c r="N48" t="str">
        <f ca="1"/>
        <v>SMA</v>
      </c>
      <c r="O48" t="str">
        <f ca="1"/>
        <v>HIGH</v>
      </c>
      <c r="P48">
        <f ca="1"/>
        <v>893</v>
      </c>
    </row>
    <row r="49" spans="1:16" x14ac:dyDescent="0.3">
      <c r="A49">
        <f ca="1"/>
        <v>45161</v>
      </c>
      <c r="B49" t="str">
        <f ca="1"/>
        <v>Smartwatch</v>
      </c>
      <c r="C49" t="str">
        <f ca="1"/>
        <v>Electronics</v>
      </c>
      <c r="D49" t="str">
        <f ca="1"/>
        <v>West</v>
      </c>
      <c r="E49">
        <f ca="1"/>
        <v>9</v>
      </c>
      <c r="F49">
        <f ca="1"/>
        <v>7245</v>
      </c>
      <c r="G49">
        <f ca="1"/>
        <v>1410.92</v>
      </c>
      <c r="H49">
        <f ca="1"/>
        <v>0.19474396135265701</v>
      </c>
      <c r="I49">
        <f ca="1"/>
        <v>1162</v>
      </c>
      <c r="J49" t="str">
        <f ca="1"/>
        <v>SMARTWATCH</v>
      </c>
      <c r="K49" t="str">
        <f ca="1"/>
        <v>ELECTRONICS</v>
      </c>
      <c r="L49">
        <f ca="1"/>
        <v>2023</v>
      </c>
      <c r="M49" t="str">
        <f ca="1"/>
        <v>SMA23-E</v>
      </c>
      <c r="N49" t="str">
        <f ca="1"/>
        <v>SMA</v>
      </c>
      <c r="O49" t="str">
        <f ca="1"/>
        <v>HIGH</v>
      </c>
      <c r="P49">
        <f ca="1"/>
        <v>904</v>
      </c>
    </row>
    <row r="50" spans="1:16" x14ac:dyDescent="0.3">
      <c r="A50">
        <f ca="1"/>
        <v>44879</v>
      </c>
      <c r="B50" t="str">
        <f ca="1"/>
        <v>Laptop</v>
      </c>
      <c r="C50" t="str">
        <f ca="1"/>
        <v>Electronics</v>
      </c>
      <c r="D50" t="str">
        <f ca="1"/>
        <v>West</v>
      </c>
      <c r="E50">
        <f ca="1"/>
        <v>9</v>
      </c>
      <c r="F50">
        <f ca="1"/>
        <v>2493</v>
      </c>
      <c r="G50">
        <f ca="1"/>
        <v>696.69</v>
      </c>
      <c r="H50">
        <f ca="1"/>
        <v>0.27945848375451265</v>
      </c>
      <c r="I50">
        <f ca="1"/>
        <v>1444</v>
      </c>
      <c r="J50" t="str">
        <f ca="1"/>
        <v>LAPTOP</v>
      </c>
      <c r="K50" t="str">
        <f ca="1"/>
        <v>ELECTRONICS</v>
      </c>
      <c r="L50">
        <f ca="1"/>
        <v>2022</v>
      </c>
      <c r="M50" t="str">
        <f ca="1"/>
        <v>LAP22-E</v>
      </c>
      <c r="N50" t="str">
        <f ca="1"/>
        <v>LAP</v>
      </c>
      <c r="O50" t="str">
        <f ca="1"/>
        <v>HIGH</v>
      </c>
      <c r="P50">
        <f ca="1"/>
        <v>942</v>
      </c>
    </row>
    <row r="51" spans="1:16" x14ac:dyDescent="0.3">
      <c r="A51">
        <f ca="1"/>
        <v>45296</v>
      </c>
      <c r="B51" t="str">
        <f ca="1"/>
        <v>Laptop</v>
      </c>
      <c r="C51" t="str">
        <f ca="1"/>
        <v>Electronics</v>
      </c>
      <c r="D51" t="str">
        <f ca="1"/>
        <v>West</v>
      </c>
      <c r="E51">
        <f ca="1"/>
        <v>9</v>
      </c>
      <c r="F51">
        <f ca="1"/>
        <v>9783</v>
      </c>
      <c r="G51">
        <f ca="1"/>
        <v>2347.4899999999998</v>
      </c>
      <c r="H51">
        <f ca="1"/>
        <v>0.23995604620259631</v>
      </c>
      <c r="I51">
        <f ca="1"/>
        <v>1027</v>
      </c>
      <c r="J51" t="str">
        <f ca="1"/>
        <v>LAPTOP</v>
      </c>
      <c r="K51" t="str">
        <f ca="1"/>
        <v>ELECTRONICS</v>
      </c>
      <c r="L51">
        <f ca="1"/>
        <v>2024</v>
      </c>
      <c r="M51" t="str">
        <f ca="1"/>
        <v>LAP24-E</v>
      </c>
      <c r="N51" t="str">
        <f ca="1"/>
        <v>LAP</v>
      </c>
      <c r="O51" t="str">
        <f ca="1"/>
        <v>HIGH</v>
      </c>
      <c r="P51">
        <f ca="1"/>
        <v>978</v>
      </c>
    </row>
    <row r="52" spans="1:16" x14ac:dyDescent="0.3">
      <c r="A52">
        <f ca="1"/>
        <v>44709</v>
      </c>
      <c r="B52" t="str">
        <f ca="1"/>
        <v>Smartwatch</v>
      </c>
      <c r="C52" t="str">
        <f ca="1"/>
        <v>Electronics</v>
      </c>
      <c r="D52" t="str">
        <f ca="1"/>
        <v>West</v>
      </c>
      <c r="E52">
        <f ca="1"/>
        <v>8</v>
      </c>
      <c r="F52">
        <f ca="1"/>
        <v>4288</v>
      </c>
      <c r="G52">
        <f ca="1"/>
        <v>597.09</v>
      </c>
      <c r="H52">
        <f ca="1"/>
        <v>0.13924673507462687</v>
      </c>
      <c r="I52">
        <f ca="1"/>
        <v>1614</v>
      </c>
      <c r="J52" t="str">
        <f ca="1"/>
        <v>SMARTWATCH</v>
      </c>
      <c r="K52" t="str">
        <f ca="1"/>
        <v>ELECTRONICS</v>
      </c>
      <c r="L52">
        <f ca="1"/>
        <v>2022</v>
      </c>
      <c r="M52" t="str">
        <f ca="1"/>
        <v>SMA22-E</v>
      </c>
      <c r="N52" t="str">
        <f ca="1"/>
        <v>SMA</v>
      </c>
      <c r="O52" t="str">
        <f ca="1"/>
        <v>HIGH</v>
      </c>
      <c r="P52">
        <f ca="1"/>
        <v>986</v>
      </c>
    </row>
    <row r="53" spans="1:16" x14ac:dyDescent="0.3">
      <c r="A53">
        <f ca="1"/>
        <v>44983</v>
      </c>
      <c r="B53" t="str">
        <f ca="1"/>
        <v>Laptop</v>
      </c>
      <c r="C53" t="str">
        <f ca="1"/>
        <v>Electronics</v>
      </c>
      <c r="D53" t="str">
        <f ca="1"/>
        <v>West</v>
      </c>
      <c r="E53">
        <f ca="1"/>
        <v>5</v>
      </c>
      <c r="F53">
        <f ca="1"/>
        <v>4445</v>
      </c>
      <c r="G53">
        <f ca="1"/>
        <v>580.15</v>
      </c>
      <c r="H53">
        <f ca="1"/>
        <v>0.13051743532058493</v>
      </c>
      <c r="I53">
        <f ca="1"/>
        <v>1340</v>
      </c>
      <c r="J53" t="str">
        <f ca="1"/>
        <v>LAPTOP</v>
      </c>
      <c r="K53" t="str">
        <f ca="1"/>
        <v>ELECTRONICS</v>
      </c>
      <c r="L53">
        <f ca="1"/>
        <v>2023</v>
      </c>
      <c r="M53" t="str">
        <f ca="1"/>
        <v>LAP23-E</v>
      </c>
      <c r="N53" t="str">
        <f ca="1"/>
        <v>LAP</v>
      </c>
      <c r="O53" t="str">
        <f ca="1"/>
        <v>HIGH</v>
      </c>
      <c r="P53">
        <f ca="1"/>
        <v>998</v>
      </c>
    </row>
    <row r="54" spans="1:16" x14ac:dyDescent="0.3">
      <c r="A54">
        <f ca="1"/>
        <v>45394</v>
      </c>
      <c r="B54" t="str">
        <f ca="1"/>
        <v>Smartphone</v>
      </c>
      <c r="C54" t="str">
        <f ca="1"/>
        <v>Electronics</v>
      </c>
      <c r="D54" t="str">
        <f ca="1"/>
        <v>West</v>
      </c>
      <c r="E54">
        <f ca="1"/>
        <v>5</v>
      </c>
      <c r="F54">
        <f ca="1"/>
        <v>4555</v>
      </c>
      <c r="G54">
        <f ca="1"/>
        <v>776.65</v>
      </c>
      <c r="H54">
        <f ca="1"/>
        <v>0.17050493962678376</v>
      </c>
      <c r="I54">
        <f ca="1"/>
        <v>929</v>
      </c>
      <c r="J54" t="str">
        <f ca="1"/>
        <v>SMARTPHONE</v>
      </c>
      <c r="K54" t="str">
        <f ca="1"/>
        <v>ELECTRONICS</v>
      </c>
      <c r="L54">
        <f ca="1"/>
        <v>2024</v>
      </c>
      <c r="M54" t="str">
        <f ca="1"/>
        <v>SMA24-E</v>
      </c>
      <c r="N54" t="str">
        <f ca="1"/>
        <v>SMA</v>
      </c>
      <c r="O54" t="str">
        <f ca="1"/>
        <v>HIGH</v>
      </c>
      <c r="P54">
        <f ca="1"/>
        <v>1020</v>
      </c>
    </row>
    <row r="55" spans="1:16" x14ac:dyDescent="0.3">
      <c r="A55">
        <f ca="1"/>
        <v>45485</v>
      </c>
      <c r="B55" t="str">
        <f ca="1"/>
        <v>Smartwatch</v>
      </c>
      <c r="C55" t="str">
        <f ca="1"/>
        <v>Electronics</v>
      </c>
      <c r="D55" t="str">
        <f ca="1"/>
        <v>West</v>
      </c>
      <c r="E55">
        <f ca="1"/>
        <v>8</v>
      </c>
      <c r="F55">
        <f ca="1"/>
        <v>5504</v>
      </c>
      <c r="G55">
        <f ca="1"/>
        <v>1196.78</v>
      </c>
      <c r="H55">
        <f ca="1"/>
        <v>0.21743822674418603</v>
      </c>
      <c r="I55">
        <f ca="1"/>
        <v>838</v>
      </c>
      <c r="J55" t="str">
        <f ca="1"/>
        <v>SMARTWATCH</v>
      </c>
      <c r="K55" t="str">
        <f ca="1"/>
        <v>ELECTRONICS</v>
      </c>
      <c r="L55">
        <f ca="1"/>
        <v>2024</v>
      </c>
      <c r="M55" t="str">
        <f ca="1"/>
        <v>SMA24-E</v>
      </c>
      <c r="N55" t="str">
        <f ca="1"/>
        <v>SMA</v>
      </c>
      <c r="O55" t="str">
        <f ca="1"/>
        <v>HIGH</v>
      </c>
      <c r="P55">
        <f ca="1"/>
        <v>1027</v>
      </c>
    </row>
    <row r="56" spans="1:16" x14ac:dyDescent="0.3">
      <c r="A56">
        <f ca="1"/>
        <v>44632</v>
      </c>
      <c r="B56" t="str">
        <f ca="1"/>
        <v>Smartwatch</v>
      </c>
      <c r="C56" t="str">
        <f ca="1"/>
        <v>Electronics</v>
      </c>
      <c r="D56" t="str">
        <f ca="1"/>
        <v>West</v>
      </c>
      <c r="E56">
        <f ca="1"/>
        <v>6</v>
      </c>
      <c r="F56">
        <f ca="1"/>
        <v>5310</v>
      </c>
      <c r="G56">
        <f ca="1"/>
        <v>1099.8399999999999</v>
      </c>
      <c r="H56">
        <f ca="1"/>
        <v>0.20712617702448211</v>
      </c>
      <c r="I56">
        <f ca="1"/>
        <v>1691</v>
      </c>
      <c r="J56" t="str">
        <f ca="1"/>
        <v>SMARTWATCH</v>
      </c>
      <c r="K56" t="str">
        <f ca="1"/>
        <v>ELECTRONICS</v>
      </c>
      <c r="L56">
        <f ca="1"/>
        <v>2022</v>
      </c>
      <c r="M56" t="str">
        <f ca="1"/>
        <v>SMA22-E</v>
      </c>
      <c r="N56" t="str">
        <f ca="1"/>
        <v>SMA</v>
      </c>
      <c r="O56" t="str">
        <f ca="1"/>
        <v>HIGH</v>
      </c>
      <c r="P56">
        <f ca="1"/>
        <v>1035</v>
      </c>
    </row>
    <row r="57" spans="1:16" x14ac:dyDescent="0.3">
      <c r="A57">
        <f ca="1"/>
        <v>45612</v>
      </c>
      <c r="B57" t="str">
        <f ca="1"/>
        <v>Laptop</v>
      </c>
      <c r="C57" t="str">
        <f ca="1"/>
        <v>Electronics</v>
      </c>
      <c r="D57" t="str">
        <f ca="1"/>
        <v>West</v>
      </c>
      <c r="E57">
        <f ca="1"/>
        <v>7</v>
      </c>
      <c r="F57">
        <f ca="1"/>
        <v>6587</v>
      </c>
      <c r="G57">
        <f ca="1"/>
        <v>1173.9100000000001</v>
      </c>
      <c r="H57">
        <f ca="1"/>
        <v>0.17821618339152878</v>
      </c>
      <c r="I57">
        <f ca="1"/>
        <v>711</v>
      </c>
      <c r="J57" t="str">
        <f ca="1"/>
        <v>LAPTOP</v>
      </c>
      <c r="K57" t="str">
        <f ca="1"/>
        <v>ELECTRONICS</v>
      </c>
      <c r="L57">
        <f ca="1"/>
        <v>2024</v>
      </c>
      <c r="M57" t="str">
        <f ca="1"/>
        <v>LAP24-E</v>
      </c>
      <c r="N57" t="str">
        <f ca="1"/>
        <v>LAP</v>
      </c>
      <c r="O57" t="str">
        <f ca="1"/>
        <v>HIGH</v>
      </c>
      <c r="P57">
        <f ca="1"/>
        <v>1072</v>
      </c>
    </row>
    <row r="58" spans="1:16" x14ac:dyDescent="0.3">
      <c r="A58">
        <f ca="1"/>
        <v>45203</v>
      </c>
      <c r="B58" t="str">
        <f ca="1"/>
        <v>Laptop</v>
      </c>
      <c r="C58" t="str">
        <f ca="1"/>
        <v>Electronics</v>
      </c>
      <c r="D58" t="str">
        <f ca="1"/>
        <v>West</v>
      </c>
      <c r="E58">
        <f ca="1"/>
        <v>6</v>
      </c>
      <c r="F58">
        <f ca="1"/>
        <v>6984</v>
      </c>
      <c r="G58">
        <f ca="1"/>
        <v>1433.65</v>
      </c>
      <c r="H58">
        <f ca="1"/>
        <v>0.20527634593356245</v>
      </c>
      <c r="I58">
        <f ca="1"/>
        <v>1120</v>
      </c>
      <c r="J58" t="str">
        <f ca="1"/>
        <v>LAPTOP</v>
      </c>
      <c r="K58" t="str">
        <f ca="1"/>
        <v>ELECTRONICS</v>
      </c>
      <c r="L58">
        <f ca="1"/>
        <v>2023</v>
      </c>
      <c r="M58" t="str">
        <f ca="1"/>
        <v>LAP23-E</v>
      </c>
      <c r="N58" t="str">
        <f ca="1"/>
        <v>LAP</v>
      </c>
      <c r="O58" t="str">
        <f ca="1"/>
        <v>HIGH</v>
      </c>
      <c r="P58">
        <f ca="1"/>
        <v>1099</v>
      </c>
    </row>
    <row r="59" spans="1:16" x14ac:dyDescent="0.3">
      <c r="A59">
        <f ca="1"/>
        <v>45606</v>
      </c>
      <c r="B59" t="str">
        <f ca="1"/>
        <v>Smartphone</v>
      </c>
      <c r="C59" t="str">
        <f ca="1"/>
        <v>Electronics</v>
      </c>
      <c r="D59" t="str">
        <f ca="1"/>
        <v>West</v>
      </c>
      <c r="E59">
        <f ca="1"/>
        <v>9</v>
      </c>
      <c r="F59">
        <f ca="1"/>
        <v>8667</v>
      </c>
      <c r="G59">
        <f ca="1"/>
        <v>1597.49</v>
      </c>
      <c r="H59">
        <f ca="1"/>
        <v>0.18431868005076729</v>
      </c>
      <c r="I59">
        <f ca="1"/>
        <v>717</v>
      </c>
      <c r="J59" t="str">
        <f ca="1"/>
        <v>SMARTPHONE</v>
      </c>
      <c r="K59" t="str">
        <f ca="1"/>
        <v>ELECTRONICS</v>
      </c>
      <c r="L59">
        <f ca="1"/>
        <v>2024</v>
      </c>
      <c r="M59" t="str">
        <f ca="1"/>
        <v>SMA24-E</v>
      </c>
      <c r="N59" t="str">
        <f ca="1"/>
        <v>SMA</v>
      </c>
      <c r="O59" t="str">
        <f ca="1"/>
        <v>HIGH</v>
      </c>
      <c r="P59">
        <f ca="1"/>
        <v>1143</v>
      </c>
    </row>
    <row r="60" spans="1:16" x14ac:dyDescent="0.3">
      <c r="A60">
        <f ca="1"/>
        <v>45437</v>
      </c>
      <c r="B60" t="str">
        <f ca="1"/>
        <v>Smartphone</v>
      </c>
      <c r="C60" t="str">
        <f ca="1"/>
        <v>Electronics</v>
      </c>
      <c r="D60" t="str">
        <f ca="1"/>
        <v>West</v>
      </c>
      <c r="E60">
        <f ca="1"/>
        <v>6</v>
      </c>
      <c r="F60">
        <f ca="1"/>
        <v>5724</v>
      </c>
      <c r="G60">
        <f ca="1"/>
        <v>1640.19</v>
      </c>
      <c r="H60">
        <f ca="1"/>
        <v>0.2865461215932914</v>
      </c>
      <c r="I60">
        <f ca="1"/>
        <v>886</v>
      </c>
      <c r="J60" t="str">
        <f ca="1"/>
        <v>SMARTPHONE</v>
      </c>
      <c r="K60" t="str">
        <f ca="1"/>
        <v>ELECTRONICS</v>
      </c>
      <c r="L60">
        <f ca="1"/>
        <v>2024</v>
      </c>
      <c r="M60" t="str">
        <f ca="1"/>
        <v>SMA24-E</v>
      </c>
      <c r="N60" t="str">
        <f ca="1"/>
        <v>SMA</v>
      </c>
      <c r="O60" t="str">
        <f ca="1"/>
        <v>HIGH</v>
      </c>
      <c r="P60">
        <f ca="1"/>
        <v>1226</v>
      </c>
    </row>
    <row r="61" spans="1:16" x14ac:dyDescent="0.3">
      <c r="A61">
        <f ca="1"/>
        <v>45407</v>
      </c>
      <c r="B61" t="str">
        <f ca="1"/>
        <v>Smartphone</v>
      </c>
      <c r="C61" t="str">
        <f ca="1"/>
        <v>Electronics</v>
      </c>
      <c r="D61" t="str">
        <f ca="1"/>
        <v>West</v>
      </c>
      <c r="E61">
        <f ca="1"/>
        <v>7</v>
      </c>
      <c r="F61">
        <f ca="1"/>
        <v>7994</v>
      </c>
      <c r="G61">
        <f ca="1"/>
        <v>908.65</v>
      </c>
      <c r="H61">
        <f ca="1"/>
        <v>0.11366649987490618</v>
      </c>
      <c r="I61">
        <f ca="1"/>
        <v>916</v>
      </c>
      <c r="J61" t="str">
        <f ca="1"/>
        <v>SMARTPHONE</v>
      </c>
      <c r="K61" t="str">
        <f ca="1"/>
        <v>ELECTRONICS</v>
      </c>
      <c r="L61">
        <f ca="1"/>
        <v>2024</v>
      </c>
      <c r="M61" t="str">
        <f ca="1"/>
        <v>SMA24-E</v>
      </c>
      <c r="N61" t="str">
        <f ca="1"/>
        <v>SMA</v>
      </c>
      <c r="O61" t="str">
        <f ca="1"/>
        <v>HIGH</v>
      </c>
      <c r="P61">
        <f ca="1"/>
        <v>1229</v>
      </c>
    </row>
    <row r="62" spans="1:16" x14ac:dyDescent="0.3">
      <c r="A62">
        <f ca="1"/>
        <v>45416</v>
      </c>
      <c r="B62" t="str">
        <f ca="1"/>
        <v>Tablet</v>
      </c>
      <c r="C62" t="str">
        <f ca="1"/>
        <v>Electronics</v>
      </c>
      <c r="D62" t="str">
        <f ca="1"/>
        <v>West</v>
      </c>
      <c r="E62">
        <f ca="1"/>
        <v>3</v>
      </c>
      <c r="F62">
        <f ca="1"/>
        <v>2682</v>
      </c>
      <c r="G62">
        <f ca="1"/>
        <v>584.69000000000005</v>
      </c>
      <c r="H62">
        <f ca="1"/>
        <v>0.21800521998508579</v>
      </c>
      <c r="I62">
        <f ca="1"/>
        <v>907</v>
      </c>
      <c r="J62" t="str">
        <f ca="1"/>
        <v>TABLET</v>
      </c>
      <c r="K62" t="str">
        <f ca="1"/>
        <v>ELECTRONICS</v>
      </c>
      <c r="L62">
        <f ca="1"/>
        <v>2024</v>
      </c>
      <c r="M62" t="str">
        <f ca="1"/>
        <v>TAB24-E</v>
      </c>
      <c r="N62" t="str">
        <f ca="1"/>
        <v>TAB</v>
      </c>
      <c r="O62" t="str">
        <f ca="1"/>
        <v>HIGH</v>
      </c>
      <c r="P62">
        <f ca="1"/>
        <v>1265</v>
      </c>
    </row>
    <row r="63" spans="1:16" x14ac:dyDescent="0.3">
      <c r="A63">
        <f ca="1"/>
        <v>44606</v>
      </c>
      <c r="B63" t="str">
        <f ca="1"/>
        <v>Laptop</v>
      </c>
      <c r="C63" t="str">
        <f ca="1"/>
        <v>Electronics</v>
      </c>
      <c r="D63" t="str">
        <f ca="1"/>
        <v>West</v>
      </c>
      <c r="E63">
        <f ca="1"/>
        <v>3</v>
      </c>
      <c r="F63">
        <f ca="1"/>
        <v>2703</v>
      </c>
      <c r="G63">
        <f ca="1"/>
        <v>609.75</v>
      </c>
      <c r="H63">
        <f ca="1"/>
        <v>0.2255826859045505</v>
      </c>
      <c r="I63">
        <f ca="1"/>
        <v>1717</v>
      </c>
      <c r="J63" t="str">
        <f ca="1"/>
        <v>LAPTOP</v>
      </c>
      <c r="K63" t="str">
        <f ca="1"/>
        <v>ELECTRONICS</v>
      </c>
      <c r="L63">
        <f ca="1"/>
        <v>2022</v>
      </c>
      <c r="M63" t="str">
        <f ca="1"/>
        <v>LAP22-E</v>
      </c>
      <c r="N63" t="str">
        <f ca="1"/>
        <v>LAP</v>
      </c>
      <c r="O63" t="str">
        <f ca="1"/>
        <v>HIGH</v>
      </c>
      <c r="P63">
        <f ca="1"/>
        <v>1289</v>
      </c>
    </row>
    <row r="64" spans="1:16" x14ac:dyDescent="0.3">
      <c r="A64">
        <f ca="1"/>
        <v>45501</v>
      </c>
      <c r="B64" t="str">
        <f ca="1"/>
        <v>Smartphone</v>
      </c>
      <c r="C64" t="str">
        <f ca="1"/>
        <v>Electronics</v>
      </c>
      <c r="D64" t="str">
        <f ca="1"/>
        <v>West</v>
      </c>
      <c r="E64">
        <f ca="1"/>
        <v>7</v>
      </c>
      <c r="F64">
        <f ca="1"/>
        <v>5978</v>
      </c>
      <c r="G64">
        <f ca="1"/>
        <v>1791.25</v>
      </c>
      <c r="H64">
        <f ca="1"/>
        <v>0.2996403479424557</v>
      </c>
      <c r="I64">
        <f ca="1"/>
        <v>822</v>
      </c>
      <c r="J64" t="str">
        <f ca="1"/>
        <v>SMARTPHONE</v>
      </c>
      <c r="K64" t="str">
        <f ca="1"/>
        <v>ELECTRONICS</v>
      </c>
      <c r="L64">
        <f ca="1"/>
        <v>2024</v>
      </c>
      <c r="M64" t="str">
        <f ca="1"/>
        <v>SMA24-E</v>
      </c>
      <c r="N64" t="str">
        <f ca="1"/>
        <v>SMA</v>
      </c>
      <c r="O64" t="str">
        <f ca="1"/>
        <v>HIGH</v>
      </c>
      <c r="P64">
        <f ca="1"/>
        <v>1301</v>
      </c>
    </row>
    <row r="65" spans="1:16" x14ac:dyDescent="0.3">
      <c r="A65">
        <f ca="1"/>
        <v>44924</v>
      </c>
      <c r="B65" t="str">
        <f ca="1"/>
        <v>Camera</v>
      </c>
      <c r="C65" t="str">
        <f ca="1"/>
        <v>Electronics</v>
      </c>
      <c r="D65" t="str">
        <f ca="1"/>
        <v>West</v>
      </c>
      <c r="E65">
        <f ca="1"/>
        <v>9</v>
      </c>
      <c r="F65">
        <f ca="1"/>
        <v>7083</v>
      </c>
      <c r="G65">
        <f ca="1"/>
        <v>560.88</v>
      </c>
      <c r="H65">
        <f ca="1"/>
        <v>7.9186785260482839E-2</v>
      </c>
      <c r="I65">
        <f ca="1"/>
        <v>1399</v>
      </c>
      <c r="J65" t="str">
        <f ca="1"/>
        <v>CAMERA</v>
      </c>
      <c r="K65" t="str">
        <f ca="1"/>
        <v>ELECTRONICS</v>
      </c>
      <c r="L65">
        <f ca="1"/>
        <v>2022</v>
      </c>
      <c r="M65" t="str">
        <f ca="1"/>
        <v>CAM22-E</v>
      </c>
      <c r="N65" t="str">
        <f ca="1"/>
        <v>CAM</v>
      </c>
      <c r="O65" t="str">
        <f ca="1"/>
        <v>HIGH</v>
      </c>
      <c r="P65">
        <f ca="1"/>
        <v>1316</v>
      </c>
    </row>
    <row r="66" spans="1:16" x14ac:dyDescent="0.3">
      <c r="A66">
        <f ca="1"/>
        <v>45419</v>
      </c>
      <c r="B66" t="str">
        <f ca="1"/>
        <v>Smartphone</v>
      </c>
      <c r="C66" t="str">
        <f ca="1"/>
        <v>Electronics</v>
      </c>
      <c r="D66" t="str">
        <f ca="1"/>
        <v>West</v>
      </c>
      <c r="E66">
        <f ca="1"/>
        <v>6</v>
      </c>
      <c r="F66">
        <f ca="1"/>
        <v>5532</v>
      </c>
      <c r="G66">
        <f ca="1"/>
        <v>552.74</v>
      </c>
      <c r="H66">
        <f ca="1"/>
        <v>9.9916847433116421E-2</v>
      </c>
      <c r="I66">
        <f ca="1"/>
        <v>904</v>
      </c>
      <c r="J66" t="str">
        <f ca="1"/>
        <v>SMARTPHONE</v>
      </c>
      <c r="K66" t="str">
        <f ca="1"/>
        <v>ELECTRONICS</v>
      </c>
      <c r="L66">
        <f ca="1"/>
        <v>2024</v>
      </c>
      <c r="M66" t="str">
        <f ca="1"/>
        <v>SMA24-E</v>
      </c>
      <c r="N66" t="str">
        <f ca="1"/>
        <v>SMA</v>
      </c>
      <c r="O66" t="str">
        <f ca="1"/>
        <v>HIGH</v>
      </c>
      <c r="P66">
        <f ca="1"/>
        <v>1319</v>
      </c>
    </row>
    <row r="67" spans="1:16" x14ac:dyDescent="0.3">
      <c r="A67">
        <f ca="1"/>
        <v>45146</v>
      </c>
      <c r="B67" t="str">
        <f ca="1"/>
        <v>Camera</v>
      </c>
      <c r="C67" t="str">
        <f ca="1"/>
        <v>Electronics</v>
      </c>
      <c r="D67" t="str">
        <f ca="1"/>
        <v>West</v>
      </c>
      <c r="E67">
        <f ca="1"/>
        <v>6</v>
      </c>
      <c r="F67">
        <f ca="1"/>
        <v>5106</v>
      </c>
      <c r="G67">
        <f ca="1"/>
        <v>1341.93</v>
      </c>
      <c r="H67">
        <f ca="1"/>
        <v>0.26281433607520566</v>
      </c>
      <c r="I67">
        <f ca="1"/>
        <v>1177</v>
      </c>
      <c r="J67" t="str">
        <f ca="1"/>
        <v>CAMERA</v>
      </c>
      <c r="K67" t="str">
        <f ca="1"/>
        <v>ELECTRONICS</v>
      </c>
      <c r="L67">
        <f ca="1"/>
        <v>2023</v>
      </c>
      <c r="M67" t="str">
        <f ca="1"/>
        <v>CAM23-E</v>
      </c>
      <c r="N67" t="str">
        <f ca="1"/>
        <v>CAM</v>
      </c>
      <c r="O67" t="str">
        <f ca="1"/>
        <v>HIGH</v>
      </c>
      <c r="P67">
        <f ca="1"/>
        <v>1336</v>
      </c>
    </row>
    <row r="68" spans="1:16" x14ac:dyDescent="0.3">
      <c r="A68">
        <f ca="1"/>
        <v>45613</v>
      </c>
      <c r="B68" t="str">
        <f ca="1"/>
        <v>Smartwatch</v>
      </c>
      <c r="C68" t="str">
        <f ca="1"/>
        <v>Electronics</v>
      </c>
      <c r="D68" t="str">
        <f ca="1"/>
        <v>West</v>
      </c>
      <c r="E68">
        <f ca="1"/>
        <v>4</v>
      </c>
      <c r="F68">
        <f ca="1"/>
        <v>3224</v>
      </c>
      <c r="G68">
        <f ca="1"/>
        <v>871.53</v>
      </c>
      <c r="H68">
        <f ca="1"/>
        <v>0.270325682382134</v>
      </c>
      <c r="I68">
        <f ca="1"/>
        <v>710</v>
      </c>
      <c r="J68" t="str">
        <f ca="1"/>
        <v>SMARTWATCH</v>
      </c>
      <c r="K68" t="str">
        <f ca="1"/>
        <v>ELECTRONICS</v>
      </c>
      <c r="L68">
        <f ca="1"/>
        <v>2024</v>
      </c>
      <c r="M68" t="str">
        <f ca="1"/>
        <v>SMA24-E</v>
      </c>
      <c r="N68" t="str">
        <f ca="1"/>
        <v>SMA</v>
      </c>
      <c r="O68" t="str">
        <f ca="1"/>
        <v>HIGH</v>
      </c>
      <c r="P68">
        <f ca="1"/>
        <v>1349</v>
      </c>
    </row>
    <row r="69" spans="1:16" x14ac:dyDescent="0.3">
      <c r="A69">
        <f ca="1"/>
        <v>44614</v>
      </c>
      <c r="B69" t="str">
        <f ca="1"/>
        <v>Laptop</v>
      </c>
      <c r="C69" t="str">
        <f ca="1"/>
        <v>Electronics</v>
      </c>
      <c r="D69" t="str">
        <f ca="1"/>
        <v>West</v>
      </c>
      <c r="E69">
        <f ca="1"/>
        <v>5</v>
      </c>
      <c r="F69">
        <f ca="1"/>
        <v>3165</v>
      </c>
      <c r="G69">
        <f ca="1"/>
        <v>895.33</v>
      </c>
      <c r="H69">
        <f ca="1"/>
        <v>0.28288467614533969</v>
      </c>
      <c r="I69">
        <f ca="1"/>
        <v>1709</v>
      </c>
      <c r="J69" t="str">
        <f ca="1"/>
        <v>LAPTOP</v>
      </c>
      <c r="K69" t="str">
        <f ca="1"/>
        <v>ELECTRONICS</v>
      </c>
      <c r="L69">
        <f ca="1"/>
        <v>2022</v>
      </c>
      <c r="M69" t="str">
        <f ca="1"/>
        <v>LAP22-E</v>
      </c>
      <c r="N69" t="str">
        <f ca="1"/>
        <v>LAP</v>
      </c>
      <c r="O69" t="str">
        <f ca="1"/>
        <v>HIGH</v>
      </c>
      <c r="P69">
        <f ca="1"/>
        <v>1361</v>
      </c>
    </row>
    <row r="70" spans="1:16" x14ac:dyDescent="0.3">
      <c r="A70">
        <f ca="1"/>
        <v>45320</v>
      </c>
      <c r="B70" t="str">
        <f ca="1"/>
        <v>Smartphone</v>
      </c>
      <c r="C70" t="str">
        <f ca="1"/>
        <v>Electronics</v>
      </c>
      <c r="D70" t="str">
        <f ca="1"/>
        <v>West</v>
      </c>
      <c r="E70">
        <f ca="1"/>
        <v>9</v>
      </c>
      <c r="F70">
        <f ca="1"/>
        <v>8343</v>
      </c>
      <c r="G70">
        <f ca="1"/>
        <v>821</v>
      </c>
      <c r="H70">
        <f ca="1"/>
        <v>9.8405849214910704E-2</v>
      </c>
      <c r="I70">
        <f ca="1"/>
        <v>1003</v>
      </c>
      <c r="J70" t="str">
        <f ca="1"/>
        <v>SMARTPHONE</v>
      </c>
      <c r="K70" t="str">
        <f ca="1"/>
        <v>ELECTRONICS</v>
      </c>
      <c r="L70">
        <f ca="1"/>
        <v>2024</v>
      </c>
      <c r="M70" t="str">
        <f ca="1"/>
        <v>SMA24-E</v>
      </c>
      <c r="N70" t="str">
        <f ca="1"/>
        <v>SMA</v>
      </c>
      <c r="O70" t="str">
        <f ca="1"/>
        <v>HIGH</v>
      </c>
      <c r="P70">
        <f ca="1"/>
        <v>1364</v>
      </c>
    </row>
    <row r="71" spans="1:16" x14ac:dyDescent="0.3">
      <c r="A71">
        <f ca="1"/>
        <v>44939</v>
      </c>
      <c r="B71" t="str">
        <f ca="1"/>
        <v>Smartphone</v>
      </c>
      <c r="C71" t="str">
        <f ca="1"/>
        <v>Electronics</v>
      </c>
      <c r="D71" t="str">
        <f ca="1"/>
        <v>West</v>
      </c>
      <c r="E71">
        <f ca="1"/>
        <v>6</v>
      </c>
      <c r="F71">
        <f ca="1"/>
        <v>7014</v>
      </c>
      <c r="G71">
        <f ca="1"/>
        <v>1202.25</v>
      </c>
      <c r="H71">
        <f ca="1"/>
        <v>0.17140718562874252</v>
      </c>
      <c r="I71">
        <f ca="1"/>
        <v>1384</v>
      </c>
      <c r="J71" t="str">
        <f ca="1"/>
        <v>SMARTPHONE</v>
      </c>
      <c r="K71" t="str">
        <f ca="1"/>
        <v>ELECTRONICS</v>
      </c>
      <c r="L71">
        <f ca="1"/>
        <v>2023</v>
      </c>
      <c r="M71" t="str">
        <f ca="1"/>
        <v>SMA23-E</v>
      </c>
      <c r="N71" t="str">
        <f ca="1"/>
        <v>SMA</v>
      </c>
      <c r="O71" t="str">
        <f ca="1"/>
        <v>HIGH</v>
      </c>
      <c r="P71">
        <f ca="1"/>
        <v>1370</v>
      </c>
    </row>
    <row r="72" spans="1:16" x14ac:dyDescent="0.3">
      <c r="A72">
        <f ca="1"/>
        <v>45377</v>
      </c>
      <c r="B72" t="str">
        <f ca="1"/>
        <v>Camera</v>
      </c>
      <c r="C72" t="str">
        <f ca="1"/>
        <v>Electronics</v>
      </c>
      <c r="D72" t="str">
        <f ca="1"/>
        <v>West</v>
      </c>
      <c r="E72">
        <f ca="1"/>
        <v>4</v>
      </c>
      <c r="F72">
        <f ca="1"/>
        <v>4596</v>
      </c>
      <c r="G72">
        <f ca="1"/>
        <v>553.58000000000004</v>
      </c>
      <c r="H72">
        <f ca="1"/>
        <v>0.12044821583986076</v>
      </c>
      <c r="I72">
        <f ca="1"/>
        <v>946</v>
      </c>
      <c r="J72" t="str">
        <f ca="1"/>
        <v>CAMERA</v>
      </c>
      <c r="K72" t="str">
        <f ca="1"/>
        <v>ELECTRONICS</v>
      </c>
      <c r="L72">
        <f ca="1"/>
        <v>2024</v>
      </c>
      <c r="M72" t="str">
        <f ca="1"/>
        <v>CAM24-E</v>
      </c>
      <c r="N72" t="str">
        <f ca="1"/>
        <v>CAM</v>
      </c>
      <c r="O72" t="str">
        <f ca="1"/>
        <v>HIGH</v>
      </c>
      <c r="P72">
        <f ca="1"/>
        <v>1379</v>
      </c>
    </row>
    <row r="73" spans="1:16" x14ac:dyDescent="0.3">
      <c r="A73">
        <f ca="1"/>
        <v>45355</v>
      </c>
      <c r="B73" t="str">
        <f ca="1"/>
        <v>Smartphone</v>
      </c>
      <c r="C73" t="str">
        <f ca="1"/>
        <v>Electronics</v>
      </c>
      <c r="D73" t="str">
        <f ca="1"/>
        <v>West</v>
      </c>
      <c r="E73">
        <f ca="1"/>
        <v>9</v>
      </c>
      <c r="F73">
        <f ca="1"/>
        <v>10458</v>
      </c>
      <c r="G73">
        <f ca="1"/>
        <v>1835.21</v>
      </c>
      <c r="H73">
        <f ca="1"/>
        <v>0.17548384012239435</v>
      </c>
      <c r="I73">
        <f ca="1"/>
        <v>968</v>
      </c>
      <c r="J73" t="str">
        <f ca="1"/>
        <v>SMARTPHONE</v>
      </c>
      <c r="K73" t="str">
        <f ca="1"/>
        <v>ELECTRONICS</v>
      </c>
      <c r="L73">
        <f ca="1"/>
        <v>2024</v>
      </c>
      <c r="M73" t="str">
        <f ca="1"/>
        <v>SMA24-E</v>
      </c>
      <c r="N73" t="str">
        <f ca="1"/>
        <v>SMA</v>
      </c>
      <c r="O73" t="str">
        <f ca="1"/>
        <v>HIGH</v>
      </c>
      <c r="P73">
        <f ca="1"/>
        <v>1431</v>
      </c>
    </row>
    <row r="74" spans="1:16" x14ac:dyDescent="0.3">
      <c r="A74">
        <f ca="1"/>
        <v>45443</v>
      </c>
      <c r="B74" t="str">
        <f ca="1"/>
        <v>Tablet</v>
      </c>
      <c r="C74" t="str">
        <f ca="1"/>
        <v>Electronics</v>
      </c>
      <c r="D74" t="str">
        <f ca="1"/>
        <v>West</v>
      </c>
      <c r="E74">
        <f ca="1"/>
        <v>6</v>
      </c>
      <c r="F74">
        <f ca="1"/>
        <v>5124</v>
      </c>
      <c r="G74">
        <f ca="1"/>
        <v>501.5</v>
      </c>
      <c r="H74">
        <f ca="1"/>
        <v>9.7872755659640903E-2</v>
      </c>
      <c r="I74">
        <f ca="1"/>
        <v>880</v>
      </c>
      <c r="J74" t="str">
        <f ca="1"/>
        <v>TABLET</v>
      </c>
      <c r="K74" t="str">
        <f ca="1"/>
        <v>ELECTRONICS</v>
      </c>
      <c r="L74">
        <f ca="1"/>
        <v>2024</v>
      </c>
      <c r="M74" t="str">
        <f ca="1"/>
        <v>TAB24-E</v>
      </c>
      <c r="N74" t="str">
        <f ca="1"/>
        <v>TAB</v>
      </c>
      <c r="O74" t="str">
        <f ca="1"/>
        <v>HIGH</v>
      </c>
      <c r="P74">
        <f ca="1"/>
        <v>1447</v>
      </c>
    </row>
    <row r="75" spans="1:16" x14ac:dyDescent="0.3">
      <c r="A75">
        <f ca="1"/>
        <v>44787</v>
      </c>
      <c r="B75" t="str">
        <f ca="1"/>
        <v>Smartwatch</v>
      </c>
      <c r="C75" t="str">
        <f ca="1"/>
        <v>Electronics</v>
      </c>
      <c r="D75" t="str">
        <f ca="1"/>
        <v>West</v>
      </c>
      <c r="E75">
        <f ca="1"/>
        <v>5</v>
      </c>
      <c r="F75">
        <f ca="1"/>
        <v>2455</v>
      </c>
      <c r="G75">
        <f ca="1"/>
        <v>714.35</v>
      </c>
      <c r="H75">
        <f ca="1"/>
        <v>0.29097759674134421</v>
      </c>
      <c r="I75">
        <f ca="1"/>
        <v>1536</v>
      </c>
      <c r="J75" t="str">
        <f ca="1"/>
        <v>SMARTWATCH</v>
      </c>
      <c r="K75" t="str">
        <f ca="1"/>
        <v>ELECTRONICS</v>
      </c>
      <c r="L75">
        <f ca="1"/>
        <v>2022</v>
      </c>
      <c r="M75" t="str">
        <f ca="1"/>
        <v>SMA22-E</v>
      </c>
      <c r="N75" t="str">
        <f ca="1"/>
        <v>SMA</v>
      </c>
      <c r="O75" t="str">
        <f ca="1"/>
        <v>HIGH</v>
      </c>
      <c r="P75">
        <f ca="1"/>
        <v>1448</v>
      </c>
    </row>
    <row r="76" spans="1:16" x14ac:dyDescent="0.3">
      <c r="A76">
        <f ca="1"/>
        <v>45405</v>
      </c>
      <c r="B76" t="str">
        <f ca="1"/>
        <v>Camera</v>
      </c>
      <c r="C76" t="str">
        <f ca="1"/>
        <v>Electronics</v>
      </c>
      <c r="D76" t="str">
        <f ca="1"/>
        <v>West</v>
      </c>
      <c r="E76">
        <f ca="1"/>
        <v>8</v>
      </c>
      <c r="F76">
        <f ca="1"/>
        <v>3752</v>
      </c>
      <c r="G76">
        <f ca="1"/>
        <v>537.98</v>
      </c>
      <c r="H76">
        <f ca="1"/>
        <v>0.14338486140724946</v>
      </c>
      <c r="I76">
        <f ca="1"/>
        <v>918</v>
      </c>
      <c r="J76" t="str">
        <f ca="1"/>
        <v>CAMERA</v>
      </c>
      <c r="K76" t="str">
        <f ca="1"/>
        <v>ELECTRONICS</v>
      </c>
      <c r="L76">
        <f ca="1"/>
        <v>2024</v>
      </c>
      <c r="M76" t="str">
        <f ca="1"/>
        <v>CAM24-E</v>
      </c>
      <c r="N76" t="str">
        <f ca="1"/>
        <v>CAM</v>
      </c>
      <c r="O76" t="str">
        <f ca="1"/>
        <v>HIGH</v>
      </c>
      <c r="P76">
        <f ca="1"/>
        <v>1455</v>
      </c>
    </row>
    <row r="77" spans="1:16" x14ac:dyDescent="0.3">
      <c r="A77">
        <f ca="1"/>
        <v>45208</v>
      </c>
      <c r="B77" t="str">
        <f ca="1"/>
        <v>Camera</v>
      </c>
      <c r="C77" t="str">
        <f ca="1"/>
        <v>Electronics</v>
      </c>
      <c r="D77" t="str">
        <f ca="1"/>
        <v>West</v>
      </c>
      <c r="E77">
        <f ca="1"/>
        <v>3</v>
      </c>
      <c r="F77">
        <f ca="1"/>
        <v>1821</v>
      </c>
      <c r="G77">
        <f ca="1"/>
        <v>543.01</v>
      </c>
      <c r="H77">
        <f ca="1"/>
        <v>0.29819330038440417</v>
      </c>
      <c r="I77">
        <f ca="1"/>
        <v>1115</v>
      </c>
      <c r="J77" t="str">
        <f ca="1"/>
        <v>CAMERA</v>
      </c>
      <c r="K77" t="str">
        <f ca="1"/>
        <v>ELECTRONICS</v>
      </c>
      <c r="L77">
        <f ca="1"/>
        <v>2023</v>
      </c>
      <c r="M77" t="str">
        <f ca="1"/>
        <v>CAM23-E</v>
      </c>
      <c r="N77" t="str">
        <f ca="1"/>
        <v>CAM</v>
      </c>
      <c r="O77" t="str">
        <f ca="1"/>
        <v>HIGH</v>
      </c>
      <c r="P77">
        <f ca="1"/>
        <v>1461</v>
      </c>
    </row>
    <row r="78" spans="1:16" x14ac:dyDescent="0.3">
      <c r="A78">
        <f ca="1"/>
        <v>44852</v>
      </c>
      <c r="B78" t="str">
        <f ca="1"/>
        <v>Smartwatch</v>
      </c>
      <c r="C78" t="str">
        <f ca="1"/>
        <v>Electronics</v>
      </c>
      <c r="D78" t="str">
        <f ca="1"/>
        <v>West</v>
      </c>
      <c r="E78">
        <f ca="1"/>
        <v>8</v>
      </c>
      <c r="F78">
        <f ca="1"/>
        <v>8768</v>
      </c>
      <c r="G78">
        <f ca="1"/>
        <v>1065.8</v>
      </c>
      <c r="H78">
        <f ca="1"/>
        <v>0.12155565693430656</v>
      </c>
      <c r="I78">
        <f ca="1"/>
        <v>1471</v>
      </c>
      <c r="J78" t="str">
        <f ca="1"/>
        <v>SMARTWATCH</v>
      </c>
      <c r="K78" t="str">
        <f ca="1"/>
        <v>ELECTRONICS</v>
      </c>
      <c r="L78">
        <f ca="1"/>
        <v>2022</v>
      </c>
      <c r="M78" t="str">
        <f ca="1"/>
        <v>SMA22-E</v>
      </c>
      <c r="N78" t="str">
        <f ca="1"/>
        <v>SMA</v>
      </c>
      <c r="O78" t="str">
        <f ca="1"/>
        <v>HIGH</v>
      </c>
      <c r="P78">
        <f ca="1"/>
        <v>1481</v>
      </c>
    </row>
    <row r="79" spans="1:16" x14ac:dyDescent="0.3">
      <c r="A79">
        <f ca="1"/>
        <v>44906</v>
      </c>
      <c r="B79" t="str">
        <f ca="1"/>
        <v>Camera</v>
      </c>
      <c r="C79" t="str">
        <f ca="1"/>
        <v>Electronics</v>
      </c>
      <c r="D79" t="str">
        <f ca="1"/>
        <v>West</v>
      </c>
      <c r="E79">
        <f ca="1"/>
        <v>7</v>
      </c>
      <c r="F79">
        <f ca="1"/>
        <v>5572</v>
      </c>
      <c r="G79">
        <f ca="1"/>
        <v>690.68</v>
      </c>
      <c r="H79">
        <f ca="1"/>
        <v>0.12395549174443646</v>
      </c>
      <c r="I79">
        <f ca="1"/>
        <v>1417</v>
      </c>
      <c r="J79" t="str">
        <f ca="1"/>
        <v>CAMERA</v>
      </c>
      <c r="K79" t="str">
        <f ca="1"/>
        <v>ELECTRONICS</v>
      </c>
      <c r="L79">
        <f ca="1"/>
        <v>2022</v>
      </c>
      <c r="M79" t="str">
        <f ca="1"/>
        <v>CAM22-E</v>
      </c>
      <c r="N79" t="str">
        <f ca="1"/>
        <v>CAM</v>
      </c>
      <c r="O79" t="str">
        <f ca="1"/>
        <v>HIGH</v>
      </c>
      <c r="P79">
        <f ca="1"/>
        <v>1520</v>
      </c>
    </row>
    <row r="80" spans="1:16" x14ac:dyDescent="0.3">
      <c r="A80">
        <f ca="1"/>
        <v>45602</v>
      </c>
      <c r="B80" t="str">
        <f ca="1"/>
        <v>Smartphone</v>
      </c>
      <c r="C80" t="str">
        <f ca="1"/>
        <v>Electronics</v>
      </c>
      <c r="D80" t="str">
        <f ca="1"/>
        <v>West</v>
      </c>
      <c r="E80">
        <f ca="1"/>
        <v>2</v>
      </c>
      <c r="F80">
        <f ca="1"/>
        <v>2204</v>
      </c>
      <c r="G80">
        <f ca="1"/>
        <v>523.82000000000005</v>
      </c>
      <c r="H80">
        <f ca="1"/>
        <v>0.2376678765880218</v>
      </c>
      <c r="I80">
        <f ca="1"/>
        <v>721</v>
      </c>
      <c r="J80" t="str">
        <f ca="1"/>
        <v>SMARTPHONE</v>
      </c>
      <c r="K80" t="str">
        <f ca="1"/>
        <v>ELECTRONICS</v>
      </c>
      <c r="L80">
        <f ca="1"/>
        <v>2024</v>
      </c>
      <c r="M80" t="str">
        <f ca="1"/>
        <v>SMA24-E</v>
      </c>
      <c r="N80" t="str">
        <f ca="1"/>
        <v>SMA</v>
      </c>
      <c r="O80" t="str">
        <f ca="1"/>
        <v>HIGH</v>
      </c>
      <c r="P80">
        <f ca="1"/>
        <v>1524</v>
      </c>
    </row>
    <row r="81" spans="1:16" x14ac:dyDescent="0.3">
      <c r="A81">
        <f ca="1"/>
        <v>44740</v>
      </c>
      <c r="B81" t="str">
        <f ca="1"/>
        <v>Tablet</v>
      </c>
      <c r="C81" t="str">
        <f ca="1"/>
        <v>Electronics</v>
      </c>
      <c r="D81" t="str">
        <f ca="1"/>
        <v>West</v>
      </c>
      <c r="E81">
        <f ca="1"/>
        <v>5</v>
      </c>
      <c r="F81">
        <f ca="1"/>
        <v>5645</v>
      </c>
      <c r="G81">
        <f ca="1"/>
        <v>1320.86</v>
      </c>
      <c r="H81">
        <f ca="1"/>
        <v>0.23398759964570415</v>
      </c>
      <c r="I81">
        <f ca="1"/>
        <v>1583</v>
      </c>
      <c r="J81" t="str">
        <f ca="1"/>
        <v>TABLET</v>
      </c>
      <c r="K81" t="str">
        <f ca="1"/>
        <v>ELECTRONICS</v>
      </c>
      <c r="L81">
        <f ca="1"/>
        <v>2022</v>
      </c>
      <c r="M81" t="str">
        <f ca="1"/>
        <v>TAB22-E</v>
      </c>
      <c r="N81" t="str">
        <f ca="1"/>
        <v>TAB</v>
      </c>
      <c r="O81" t="str">
        <f ca="1"/>
        <v>HIGH</v>
      </c>
      <c r="P81">
        <f ca="1"/>
        <v>1546</v>
      </c>
    </row>
    <row r="82" spans="1:16" x14ac:dyDescent="0.3">
      <c r="A82">
        <f ca="1"/>
        <v>45484</v>
      </c>
      <c r="B82" t="str">
        <f ca="1"/>
        <v>Smartphone</v>
      </c>
      <c r="C82" t="str">
        <f ca="1"/>
        <v>Electronics</v>
      </c>
      <c r="D82" t="str">
        <f ca="1"/>
        <v>West</v>
      </c>
      <c r="E82">
        <f ca="1"/>
        <v>8</v>
      </c>
      <c r="F82">
        <f ca="1"/>
        <v>7424</v>
      </c>
      <c r="G82">
        <f ca="1"/>
        <v>1878.07</v>
      </c>
      <c r="H82">
        <f ca="1"/>
        <v>0.25297279094827585</v>
      </c>
      <c r="I82">
        <f ca="1"/>
        <v>839</v>
      </c>
      <c r="J82" t="str">
        <f ca="1"/>
        <v>SMARTPHONE</v>
      </c>
      <c r="K82" t="str">
        <f ca="1"/>
        <v>ELECTRONICS</v>
      </c>
      <c r="L82">
        <f ca="1"/>
        <v>2024</v>
      </c>
      <c r="M82" t="str">
        <f ca="1"/>
        <v>SMA24-E</v>
      </c>
      <c r="N82" t="str">
        <f ca="1"/>
        <v>SMA</v>
      </c>
      <c r="O82" t="str">
        <f ca="1"/>
        <v>HIGH</v>
      </c>
      <c r="P82">
        <f ca="1"/>
        <v>1603</v>
      </c>
    </row>
    <row r="83" spans="1:16" x14ac:dyDescent="0.3">
      <c r="A83">
        <f ca="1"/>
        <v>45308</v>
      </c>
      <c r="B83" t="str">
        <f ca="1"/>
        <v>Laptop</v>
      </c>
      <c r="C83" t="str">
        <f ca="1"/>
        <v>Electronics</v>
      </c>
      <c r="D83" t="str">
        <f ca="1"/>
        <v>West</v>
      </c>
      <c r="E83">
        <f ca="1"/>
        <v>4</v>
      </c>
      <c r="F83">
        <f ca="1"/>
        <v>4140</v>
      </c>
      <c r="G83">
        <f ca="1"/>
        <v>1229.8499999999999</v>
      </c>
      <c r="H83">
        <f ca="1"/>
        <v>0.29706521739130431</v>
      </c>
      <c r="I83">
        <f ca="1"/>
        <v>1015</v>
      </c>
      <c r="J83" t="str">
        <f ca="1"/>
        <v>LAPTOP</v>
      </c>
      <c r="K83" t="str">
        <f ca="1"/>
        <v>ELECTRONICS</v>
      </c>
      <c r="L83">
        <f ca="1"/>
        <v>2024</v>
      </c>
      <c r="M83" t="str">
        <f ca="1"/>
        <v>LAP24-E</v>
      </c>
      <c r="N83" t="str">
        <f ca="1"/>
        <v>LAP</v>
      </c>
      <c r="O83" t="str">
        <f ca="1"/>
        <v>HIGH</v>
      </c>
      <c r="P83">
        <f ca="1"/>
        <v>1615</v>
      </c>
    </row>
    <row r="84" spans="1:16" x14ac:dyDescent="0.3">
      <c r="A84">
        <f ca="1"/>
        <v>44954</v>
      </c>
      <c r="B84" t="str">
        <f ca="1"/>
        <v>Smartwatch</v>
      </c>
      <c r="C84" t="str">
        <f ca="1"/>
        <v>Electronics</v>
      </c>
      <c r="D84" t="str">
        <f ca="1"/>
        <v>West</v>
      </c>
      <c r="E84">
        <f ca="1"/>
        <v>9</v>
      </c>
      <c r="F84">
        <f ca="1"/>
        <v>10206</v>
      </c>
      <c r="G84">
        <f ca="1"/>
        <v>592.77</v>
      </c>
      <c r="H84">
        <f ca="1"/>
        <v>5.8080540858318631E-2</v>
      </c>
      <c r="I84">
        <f ca="1"/>
        <v>1369</v>
      </c>
      <c r="J84" t="str">
        <f ca="1"/>
        <v>SMARTWATCH</v>
      </c>
      <c r="K84" t="str">
        <f ca="1"/>
        <v>ELECTRONICS</v>
      </c>
      <c r="L84">
        <f ca="1"/>
        <v>2023</v>
      </c>
      <c r="M84" t="str">
        <f ca="1"/>
        <v>SMA23-E</v>
      </c>
      <c r="N84" t="str">
        <f ca="1"/>
        <v>SMA</v>
      </c>
      <c r="O84" t="str">
        <f ca="1"/>
        <v>HIGH</v>
      </c>
      <c r="P84">
        <f ca="1"/>
        <v>1621</v>
      </c>
    </row>
    <row r="85" spans="1:16" x14ac:dyDescent="0.3">
      <c r="A85">
        <f ca="1"/>
        <v>45252</v>
      </c>
      <c r="B85" t="str">
        <f ca="1"/>
        <v>Smartphone</v>
      </c>
      <c r="C85" t="str">
        <f ca="1"/>
        <v>Electronics</v>
      </c>
      <c r="D85" t="str">
        <f ca="1"/>
        <v>West</v>
      </c>
      <c r="E85">
        <f ca="1"/>
        <v>4</v>
      </c>
      <c r="F85">
        <f ca="1"/>
        <v>3684</v>
      </c>
      <c r="G85">
        <f ca="1"/>
        <v>1009.1</v>
      </c>
      <c r="H85">
        <f ca="1"/>
        <v>0.27391422366992402</v>
      </c>
      <c r="I85">
        <f ca="1"/>
        <v>1071</v>
      </c>
      <c r="J85" t="str">
        <f ca="1"/>
        <v>SMARTPHONE</v>
      </c>
      <c r="K85" t="str">
        <f ca="1"/>
        <v>ELECTRONICS</v>
      </c>
      <c r="L85">
        <f ca="1"/>
        <v>2023</v>
      </c>
      <c r="M85" t="str">
        <f ca="1"/>
        <v>SMA23-E</v>
      </c>
      <c r="N85" t="str">
        <f ca="1"/>
        <v>SMA</v>
      </c>
      <c r="O85" t="str">
        <f ca="1"/>
        <v>HIGH</v>
      </c>
      <c r="P85">
        <f ca="1"/>
        <v>1626</v>
      </c>
    </row>
    <row r="86" spans="1:16" x14ac:dyDescent="0.3">
      <c r="A86">
        <f ca="1"/>
        <v>44683</v>
      </c>
      <c r="B86" t="str">
        <f ca="1"/>
        <v>Laptop</v>
      </c>
      <c r="C86" t="str">
        <f ca="1"/>
        <v>Electronics</v>
      </c>
      <c r="D86" t="str">
        <f ca="1"/>
        <v>West</v>
      </c>
      <c r="E86">
        <f ca="1"/>
        <v>8</v>
      </c>
      <c r="F86">
        <f ca="1"/>
        <v>4624</v>
      </c>
      <c r="G86">
        <f ca="1"/>
        <v>1313.36</v>
      </c>
      <c r="H86">
        <f ca="1"/>
        <v>0.28403114186851208</v>
      </c>
      <c r="I86">
        <f ca="1"/>
        <v>1640</v>
      </c>
      <c r="J86" t="str">
        <f ca="1"/>
        <v>LAPTOP</v>
      </c>
      <c r="K86" t="str">
        <f ca="1"/>
        <v>ELECTRONICS</v>
      </c>
      <c r="L86">
        <f ca="1"/>
        <v>2022</v>
      </c>
      <c r="M86" t="str">
        <f ca="1"/>
        <v>LAP22-E</v>
      </c>
      <c r="N86" t="str">
        <f ca="1"/>
        <v>LAP</v>
      </c>
      <c r="O86" t="str">
        <f ca="1"/>
        <v>HIGH</v>
      </c>
      <c r="P86">
        <f ca="1"/>
        <v>1633</v>
      </c>
    </row>
    <row r="87" spans="1:16" x14ac:dyDescent="0.3">
      <c r="A87">
        <f ca="1"/>
        <v>45273</v>
      </c>
      <c r="B87" t="str">
        <f ca="1"/>
        <v>Smartwatch</v>
      </c>
      <c r="C87" t="str">
        <f ca="1"/>
        <v>Electronics</v>
      </c>
      <c r="D87" t="str">
        <f ca="1"/>
        <v>West</v>
      </c>
      <c r="E87">
        <f ca="1"/>
        <v>6</v>
      </c>
      <c r="F87">
        <f ca="1"/>
        <v>4812</v>
      </c>
      <c r="G87">
        <f ca="1"/>
        <v>662.54</v>
      </c>
      <c r="H87">
        <f ca="1"/>
        <v>0.13768495428096425</v>
      </c>
      <c r="I87">
        <f ca="1"/>
        <v>1050</v>
      </c>
      <c r="J87" t="str">
        <f ca="1"/>
        <v>SMARTWATCH</v>
      </c>
      <c r="K87" t="str">
        <f ca="1"/>
        <v>ELECTRONICS</v>
      </c>
      <c r="L87">
        <f ca="1"/>
        <v>2023</v>
      </c>
      <c r="M87" t="str">
        <f ca="1"/>
        <v>SMA23-E</v>
      </c>
      <c r="N87" t="str">
        <f ca="1"/>
        <v>SMA</v>
      </c>
      <c r="O87" t="str">
        <f ca="1"/>
        <v>HIGH</v>
      </c>
      <c r="P87">
        <f ca="1"/>
        <v>1634</v>
      </c>
    </row>
    <row r="88" spans="1:16" x14ac:dyDescent="0.3">
      <c r="A88">
        <f ca="1"/>
        <v>45616</v>
      </c>
      <c r="B88" t="str">
        <f ca="1"/>
        <v>Smartwatch</v>
      </c>
      <c r="C88" t="str">
        <f ca="1"/>
        <v>Electronics</v>
      </c>
      <c r="D88" t="str">
        <f ca="1"/>
        <v>West</v>
      </c>
      <c r="E88">
        <f ca="1"/>
        <v>7</v>
      </c>
      <c r="F88">
        <f ca="1"/>
        <v>5453</v>
      </c>
      <c r="G88">
        <f ca="1"/>
        <v>1592.37</v>
      </c>
      <c r="H88">
        <f ca="1"/>
        <v>0.29201723821749492</v>
      </c>
      <c r="I88">
        <f ca="1"/>
        <v>707</v>
      </c>
      <c r="J88" t="str">
        <f ca="1"/>
        <v>SMARTWATCH</v>
      </c>
      <c r="K88" t="str">
        <f ca="1"/>
        <v>ELECTRONICS</v>
      </c>
      <c r="L88">
        <f ca="1"/>
        <v>2024</v>
      </c>
      <c r="M88" t="str">
        <f ca="1"/>
        <v>SMA24-E</v>
      </c>
      <c r="N88" t="str">
        <f ca="1"/>
        <v>SMA</v>
      </c>
      <c r="O88" t="str">
        <f ca="1"/>
        <v>HIGH</v>
      </c>
      <c r="P88">
        <f ca="1"/>
        <v>1661</v>
      </c>
    </row>
    <row r="89" spans="1:16" x14ac:dyDescent="0.3">
      <c r="A89">
        <f ca="1"/>
        <v>45426</v>
      </c>
      <c r="B89" t="str">
        <f ca="1"/>
        <v>Smartwatch</v>
      </c>
      <c r="C89" t="str">
        <f ca="1"/>
        <v>Electronics</v>
      </c>
      <c r="D89" t="str">
        <f ca="1"/>
        <v>West</v>
      </c>
      <c r="E89">
        <f ca="1"/>
        <v>4</v>
      </c>
      <c r="F89">
        <f ca="1"/>
        <v>2580</v>
      </c>
      <c r="G89">
        <f ca="1"/>
        <v>602.5</v>
      </c>
      <c r="H89">
        <f ca="1"/>
        <v>0.23352713178294573</v>
      </c>
      <c r="I89">
        <f ca="1"/>
        <v>897</v>
      </c>
      <c r="J89" t="str">
        <f ca="1"/>
        <v>SMARTWATCH</v>
      </c>
      <c r="K89" t="str">
        <f ca="1"/>
        <v>ELECTRONICS</v>
      </c>
      <c r="L89">
        <f ca="1"/>
        <v>2024</v>
      </c>
      <c r="M89" t="str">
        <f ca="1"/>
        <v>SMA24-E</v>
      </c>
      <c r="N89" t="str">
        <f ca="1"/>
        <v>SMA</v>
      </c>
      <c r="O89" t="str">
        <f ca="1"/>
        <v>HIGH</v>
      </c>
      <c r="P89">
        <f ca="1"/>
        <v>1701</v>
      </c>
    </row>
    <row r="90" spans="1:16" x14ac:dyDescent="0.3">
      <c r="A90">
        <f ca="1"/>
        <v>44666</v>
      </c>
      <c r="B90" t="str">
        <f ca="1"/>
        <v>Tablet</v>
      </c>
      <c r="C90" t="str">
        <f ca="1"/>
        <v>Electronics</v>
      </c>
      <c r="D90" t="str">
        <f ca="1"/>
        <v>West</v>
      </c>
      <c r="E90">
        <f ca="1"/>
        <v>9</v>
      </c>
      <c r="F90">
        <f ca="1"/>
        <v>3321</v>
      </c>
      <c r="G90">
        <f ca="1"/>
        <v>689.64</v>
      </c>
      <c r="H90">
        <f ca="1"/>
        <v>0.20766034327009936</v>
      </c>
      <c r="I90">
        <f ca="1"/>
        <v>1657</v>
      </c>
      <c r="J90" t="str">
        <f ca="1"/>
        <v>TABLET</v>
      </c>
      <c r="K90" t="str">
        <f ca="1"/>
        <v>ELECTRONICS</v>
      </c>
      <c r="L90">
        <f ca="1"/>
        <v>2022</v>
      </c>
      <c r="M90" t="str">
        <f ca="1"/>
        <v>TAB22-E</v>
      </c>
      <c r="N90" t="str">
        <f ca="1"/>
        <v>TAB</v>
      </c>
      <c r="O90" t="str">
        <f ca="1"/>
        <v>HIGH</v>
      </c>
      <c r="P90">
        <f ca="1"/>
        <v>1715</v>
      </c>
    </row>
    <row r="91" spans="1:16" x14ac:dyDescent="0.3">
      <c r="A91">
        <f ca="1"/>
        <v>45273</v>
      </c>
      <c r="B91" t="str">
        <f ca="1"/>
        <v>Smartphone</v>
      </c>
      <c r="C91" t="str">
        <f ca="1"/>
        <v>Electronics</v>
      </c>
      <c r="D91" t="str">
        <f ca="1"/>
        <v>West</v>
      </c>
      <c r="E91">
        <f ca="1"/>
        <v>6</v>
      </c>
      <c r="F91">
        <f ca="1"/>
        <v>6978</v>
      </c>
      <c r="G91">
        <f ca="1"/>
        <v>2028.63</v>
      </c>
      <c r="H91">
        <f ca="1"/>
        <v>0.29071797076526229</v>
      </c>
      <c r="I91">
        <f ca="1"/>
        <v>1050</v>
      </c>
      <c r="J91" t="str">
        <f ca="1"/>
        <v>SMARTPHONE</v>
      </c>
      <c r="K91" t="str">
        <f ca="1"/>
        <v>ELECTRONICS</v>
      </c>
      <c r="L91">
        <f ca="1"/>
        <v>2023</v>
      </c>
      <c r="M91" t="str">
        <f ca="1"/>
        <v>SMA23-E</v>
      </c>
      <c r="N91" t="str">
        <f ca="1"/>
        <v>SMA</v>
      </c>
      <c r="O91" t="str">
        <f ca="1"/>
        <v>HIGH</v>
      </c>
      <c r="P91">
        <f ca="1"/>
        <v>1733</v>
      </c>
    </row>
    <row r="92" spans="1:16" x14ac:dyDescent="0.3">
      <c r="A92">
        <f ca="1"/>
        <v>44577</v>
      </c>
      <c r="B92" t="str">
        <f ca="1"/>
        <v>Laptop</v>
      </c>
      <c r="C92" t="str">
        <f ca="1"/>
        <v>Electronics</v>
      </c>
      <c r="D92" t="str">
        <f ca="1"/>
        <v>West</v>
      </c>
      <c r="E92">
        <f ca="1"/>
        <v>9</v>
      </c>
      <c r="F92">
        <f ca="1"/>
        <v>7650</v>
      </c>
      <c r="G92">
        <f ca="1"/>
        <v>2130.8200000000002</v>
      </c>
      <c r="H92">
        <f ca="1"/>
        <v>0.27853856209150329</v>
      </c>
      <c r="I92">
        <f ca="1"/>
        <v>1746</v>
      </c>
      <c r="J92" t="str">
        <f ca="1"/>
        <v>LAPTOP</v>
      </c>
      <c r="K92" t="str">
        <f ca="1"/>
        <v>ELECTRONICS</v>
      </c>
      <c r="L92">
        <f ca="1"/>
        <v>2022</v>
      </c>
      <c r="M92" t="str">
        <f ca="1"/>
        <v>LAP22-E</v>
      </c>
      <c r="N92" t="str">
        <f ca="1"/>
        <v>LAP</v>
      </c>
      <c r="O92" t="str">
        <f ca="1"/>
        <v>HIGH</v>
      </c>
      <c r="P92">
        <f ca="1"/>
        <v>1770</v>
      </c>
    </row>
    <row r="93" spans="1:16" x14ac:dyDescent="0.3">
      <c r="A93">
        <f ca="1"/>
        <v>45037</v>
      </c>
      <c r="B93" t="str">
        <f ca="1"/>
        <v>Smartphone</v>
      </c>
      <c r="C93" t="str">
        <f ca="1"/>
        <v>Electronics</v>
      </c>
      <c r="D93" t="str">
        <f ca="1"/>
        <v>West</v>
      </c>
      <c r="E93">
        <f ca="1"/>
        <v>9</v>
      </c>
      <c r="F93">
        <f ca="1"/>
        <v>9891</v>
      </c>
      <c r="G93">
        <f ca="1"/>
        <v>1774.03</v>
      </c>
      <c r="H93">
        <f ca="1"/>
        <v>0.17935800222424425</v>
      </c>
      <c r="I93">
        <f ca="1"/>
        <v>1286</v>
      </c>
      <c r="J93" t="str">
        <f ca="1"/>
        <v>SMARTPHONE</v>
      </c>
      <c r="K93" t="str">
        <f ca="1"/>
        <v>ELECTRONICS</v>
      </c>
      <c r="L93">
        <f ca="1"/>
        <v>2023</v>
      </c>
      <c r="M93" t="str">
        <f ca="1"/>
        <v>SMA23-E</v>
      </c>
      <c r="N93" t="str">
        <f ca="1"/>
        <v>SMA</v>
      </c>
      <c r="O93" t="str">
        <f ca="1"/>
        <v>HIGH</v>
      </c>
      <c r="P93">
        <f ca="1"/>
        <v>1802</v>
      </c>
    </row>
    <row r="94" spans="1:16" x14ac:dyDescent="0.3">
      <c r="A94">
        <f ca="1"/>
        <v>44767</v>
      </c>
      <c r="B94" t="str">
        <f ca="1"/>
        <v>Camera</v>
      </c>
      <c r="C94" t="str">
        <f ca="1"/>
        <v>Electronics</v>
      </c>
      <c r="D94" t="str">
        <f ca="1"/>
        <v>West</v>
      </c>
      <c r="E94">
        <f ca="1"/>
        <v>6</v>
      </c>
      <c r="F94">
        <f ca="1"/>
        <v>2706</v>
      </c>
      <c r="G94">
        <f ca="1"/>
        <v>766.68</v>
      </c>
      <c r="H94">
        <f ca="1"/>
        <v>0.28332594235033259</v>
      </c>
      <c r="I94">
        <f ca="1"/>
        <v>1556</v>
      </c>
      <c r="J94" t="str">
        <f ca="1"/>
        <v>CAMERA</v>
      </c>
      <c r="K94" t="str">
        <f ca="1"/>
        <v>ELECTRONICS</v>
      </c>
      <c r="L94">
        <f ca="1"/>
        <v>2022</v>
      </c>
      <c r="M94" t="str">
        <f ca="1"/>
        <v>CAM22-E</v>
      </c>
      <c r="N94" t="str">
        <f ca="1"/>
        <v>CAM</v>
      </c>
      <c r="O94" t="str">
        <f ca="1"/>
        <v>HIGH</v>
      </c>
      <c r="P94">
        <f ca="1"/>
        <v>1825</v>
      </c>
    </row>
    <row r="95" spans="1:16" x14ac:dyDescent="0.3">
      <c r="A95">
        <f ca="1"/>
        <v>45260</v>
      </c>
      <c r="B95" t="str">
        <f ca="1"/>
        <v>Smartwatch</v>
      </c>
      <c r="C95" t="str">
        <f ca="1"/>
        <v>Electronics</v>
      </c>
      <c r="D95" t="str">
        <f ca="1"/>
        <v>West</v>
      </c>
      <c r="E95">
        <f ca="1"/>
        <v>8</v>
      </c>
      <c r="F95">
        <f ca="1"/>
        <v>3928</v>
      </c>
      <c r="G95">
        <f ca="1"/>
        <v>700.38</v>
      </c>
      <c r="H95">
        <f ca="1"/>
        <v>0.17830448065173116</v>
      </c>
      <c r="I95">
        <f ca="1"/>
        <v>1063</v>
      </c>
      <c r="J95" t="str">
        <f ca="1"/>
        <v>SMARTWATCH</v>
      </c>
      <c r="K95" t="str">
        <f ca="1"/>
        <v>ELECTRONICS</v>
      </c>
      <c r="L95">
        <f ca="1"/>
        <v>2023</v>
      </c>
      <c r="M95" t="str">
        <f ca="1"/>
        <v>SMA23-E</v>
      </c>
      <c r="N95" t="str">
        <f ca="1"/>
        <v>SMA</v>
      </c>
      <c r="O95" t="str">
        <f ca="1"/>
        <v>HIGH</v>
      </c>
      <c r="P95">
        <f ca="1"/>
        <v>1864</v>
      </c>
    </row>
    <row r="96" spans="1:16" x14ac:dyDescent="0.3">
      <c r="A96">
        <f ca="1"/>
        <v>45310</v>
      </c>
      <c r="B96" t="str">
        <f ca="1"/>
        <v>Tablet</v>
      </c>
      <c r="C96" t="str">
        <f ca="1"/>
        <v>Electronics</v>
      </c>
      <c r="D96" t="str">
        <f ca="1"/>
        <v>West</v>
      </c>
      <c r="E96">
        <f ca="1"/>
        <v>3</v>
      </c>
      <c r="F96">
        <f ca="1"/>
        <v>3549</v>
      </c>
      <c r="G96">
        <f ca="1"/>
        <v>996.05</v>
      </c>
      <c r="H96">
        <f ca="1"/>
        <v>0.28065652296421528</v>
      </c>
      <c r="I96">
        <f ca="1"/>
        <v>1013</v>
      </c>
      <c r="J96" t="str">
        <f ca="1"/>
        <v>TABLET</v>
      </c>
      <c r="K96" t="str">
        <f ca="1"/>
        <v>ELECTRONICS</v>
      </c>
      <c r="L96">
        <f ca="1"/>
        <v>2024</v>
      </c>
      <c r="M96" t="str">
        <f ca="1"/>
        <v>TAB24-E</v>
      </c>
      <c r="N96" t="str">
        <f ca="1"/>
        <v>TAB</v>
      </c>
      <c r="O96" t="str">
        <f ca="1"/>
        <v>HIGH</v>
      </c>
      <c r="P96">
        <f ca="1"/>
        <v>1869</v>
      </c>
    </row>
    <row r="97" spans="1:16" x14ac:dyDescent="0.3">
      <c r="A97">
        <f ca="1"/>
        <v>45419</v>
      </c>
      <c r="B97" t="str">
        <f ca="1"/>
        <v>Smartphone</v>
      </c>
      <c r="C97" t="str">
        <f ca="1"/>
        <v>Electronics</v>
      </c>
      <c r="D97" t="str">
        <f ca="1"/>
        <v>West</v>
      </c>
      <c r="E97">
        <f ca="1"/>
        <v>5</v>
      </c>
      <c r="F97">
        <f ca="1"/>
        <v>2985</v>
      </c>
      <c r="G97">
        <f ca="1"/>
        <v>698.22</v>
      </c>
      <c r="H97">
        <f ca="1"/>
        <v>0.23390954773869346</v>
      </c>
      <c r="I97">
        <f ca="1"/>
        <v>904</v>
      </c>
      <c r="J97" t="str">
        <f ca="1"/>
        <v>SMARTPHONE</v>
      </c>
      <c r="K97" t="str">
        <f ca="1"/>
        <v>ELECTRONICS</v>
      </c>
      <c r="L97">
        <f ca="1"/>
        <v>2024</v>
      </c>
      <c r="M97" t="str">
        <f ca="1"/>
        <v>SMA24-E</v>
      </c>
      <c r="N97" t="str">
        <f ca="1"/>
        <v>SMA</v>
      </c>
      <c r="O97" t="str">
        <f ca="1"/>
        <v>HIGH</v>
      </c>
      <c r="P97">
        <f ca="1"/>
        <v>1886</v>
      </c>
    </row>
    <row r="98" spans="1:16" x14ac:dyDescent="0.3">
      <c r="A98">
        <f ca="1"/>
        <v>45540</v>
      </c>
      <c r="B98" t="str">
        <f ca="1"/>
        <v>Camera</v>
      </c>
      <c r="C98" t="str">
        <f ca="1"/>
        <v>Electronics</v>
      </c>
      <c r="D98" t="str">
        <f ca="1"/>
        <v>West</v>
      </c>
      <c r="E98">
        <f ca="1"/>
        <v>9</v>
      </c>
      <c r="F98">
        <f ca="1"/>
        <v>3177</v>
      </c>
      <c r="G98">
        <f ca="1"/>
        <v>629.96</v>
      </c>
      <c r="H98">
        <f ca="1"/>
        <v>0.19828769279194208</v>
      </c>
      <c r="I98">
        <f ca="1"/>
        <v>783</v>
      </c>
      <c r="J98" t="str">
        <f ca="1"/>
        <v>CAMERA</v>
      </c>
      <c r="K98" t="str">
        <f ca="1"/>
        <v>ELECTRONICS</v>
      </c>
      <c r="L98">
        <f ca="1"/>
        <v>2024</v>
      </c>
      <c r="M98" t="str">
        <f ca="1"/>
        <v>CAM24-E</v>
      </c>
      <c r="N98" t="str">
        <f ca="1"/>
        <v>CAM</v>
      </c>
      <c r="O98" t="str">
        <f ca="1"/>
        <v>HIGH</v>
      </c>
      <c r="P98">
        <f ca="1"/>
        <v>1902</v>
      </c>
    </row>
    <row r="99" spans="1:16" x14ac:dyDescent="0.3">
      <c r="A99">
        <f ca="1"/>
        <v>45429</v>
      </c>
      <c r="B99" t="str">
        <f ca="1"/>
        <v>Tablet</v>
      </c>
      <c r="C99" t="str">
        <f ca="1"/>
        <v>Electronics</v>
      </c>
      <c r="D99" t="str">
        <f ca="1"/>
        <v>West</v>
      </c>
      <c r="E99">
        <f ca="1"/>
        <v>8</v>
      </c>
      <c r="F99">
        <f ca="1"/>
        <v>6584</v>
      </c>
      <c r="G99">
        <f ca="1"/>
        <v>544.62</v>
      </c>
      <c r="H99">
        <f ca="1"/>
        <v>8.2718712029161603E-2</v>
      </c>
      <c r="I99">
        <f ca="1"/>
        <v>894</v>
      </c>
      <c r="J99" t="str">
        <f ca="1"/>
        <v>TABLET</v>
      </c>
      <c r="K99" t="str">
        <f ca="1"/>
        <v>ELECTRONICS</v>
      </c>
      <c r="L99">
        <f ca="1"/>
        <v>2024</v>
      </c>
      <c r="M99" t="str">
        <f ca="1"/>
        <v>TAB24-E</v>
      </c>
      <c r="N99" t="str">
        <f ca="1"/>
        <v>TAB</v>
      </c>
      <c r="O99" t="str">
        <f ca="1"/>
        <v>HIGH</v>
      </c>
      <c r="P99">
        <f ca="1"/>
        <v>1939</v>
      </c>
    </row>
    <row r="100" spans="1:16" x14ac:dyDescent="0.3">
      <c r="A100">
        <f ca="1"/>
        <v>45267</v>
      </c>
      <c r="B100" t="str">
        <f ca="1"/>
        <v>Smartphone</v>
      </c>
      <c r="C100" t="str">
        <f ca="1"/>
        <v>Electronics</v>
      </c>
      <c r="D100" t="str">
        <f ca="1"/>
        <v>West</v>
      </c>
      <c r="E100">
        <f ca="1"/>
        <v>9</v>
      </c>
      <c r="F100">
        <f ca="1"/>
        <v>10404</v>
      </c>
      <c r="G100">
        <f ca="1"/>
        <v>2028.21</v>
      </c>
      <c r="H100">
        <f ca="1"/>
        <v>0.19494521337946943</v>
      </c>
      <c r="I100">
        <f ca="1"/>
        <v>1056</v>
      </c>
      <c r="J100" t="str">
        <f ca="1"/>
        <v>SMARTPHONE</v>
      </c>
      <c r="K100" t="str">
        <f ca="1"/>
        <v>ELECTRONICS</v>
      </c>
      <c r="L100">
        <f ca="1"/>
        <v>2023</v>
      </c>
      <c r="M100" t="str">
        <f ca="1"/>
        <v>SMA23-E</v>
      </c>
      <c r="N100" t="str">
        <f ca="1"/>
        <v>SMA</v>
      </c>
      <c r="O100" t="str">
        <f ca="1"/>
        <v>HIGH</v>
      </c>
      <c r="P100">
        <f ca="1"/>
        <v>1968</v>
      </c>
    </row>
    <row r="101" spans="1:16" x14ac:dyDescent="0.3">
      <c r="A101">
        <f ca="1"/>
        <v>45391</v>
      </c>
      <c r="B101" t="str">
        <f ca="1"/>
        <v>Smartwatch</v>
      </c>
      <c r="C101" t="str">
        <f ca="1"/>
        <v>Electronics</v>
      </c>
      <c r="D101" t="str">
        <f ca="1"/>
        <v>West</v>
      </c>
      <c r="E101">
        <f ca="1"/>
        <v>9</v>
      </c>
      <c r="F101">
        <f ca="1"/>
        <v>3231</v>
      </c>
      <c r="G101">
        <f ca="1"/>
        <v>670.85</v>
      </c>
      <c r="H101">
        <f ca="1"/>
        <v>0.20762921696069328</v>
      </c>
      <c r="I101">
        <f ca="1"/>
        <v>932</v>
      </c>
      <c r="J101" t="str">
        <f ca="1"/>
        <v>SMARTWATCH</v>
      </c>
      <c r="K101" t="str">
        <f ca="1"/>
        <v>ELECTRONICS</v>
      </c>
      <c r="L101">
        <f ca="1"/>
        <v>2024</v>
      </c>
      <c r="M101" t="str">
        <f ca="1"/>
        <v>SMA24-E</v>
      </c>
      <c r="N101" t="str">
        <f ca="1"/>
        <v>SMA</v>
      </c>
      <c r="O101" t="str">
        <f ca="1"/>
        <v>HIGH</v>
      </c>
      <c r="P101">
        <f ca="1"/>
        <v>1976</v>
      </c>
    </row>
    <row r="102" spans="1:16" x14ac:dyDescent="0.3">
      <c r="A102">
        <f ca="1"/>
        <v>44896</v>
      </c>
      <c r="B102" t="str">
        <f ca="1"/>
        <v>Laptop</v>
      </c>
      <c r="C102" t="str">
        <f ca="1"/>
        <v>Electronics</v>
      </c>
      <c r="D102" t="str">
        <f ca="1"/>
        <v>West</v>
      </c>
      <c r="E102">
        <f ca="1"/>
        <v>8</v>
      </c>
      <c r="F102">
        <f ca="1"/>
        <v>9512</v>
      </c>
      <c r="G102">
        <f ca="1"/>
        <v>663.23</v>
      </c>
      <c r="H102">
        <f ca="1"/>
        <v>6.9725609756097567E-2</v>
      </c>
      <c r="I102">
        <f ca="1"/>
        <v>1427</v>
      </c>
      <c r="J102" t="str">
        <f ca="1"/>
        <v>LAPTOP</v>
      </c>
      <c r="K102" t="str">
        <f ca="1"/>
        <v>ELECTRONICS</v>
      </c>
      <c r="L102">
        <f ca="1"/>
        <v>2022</v>
      </c>
      <c r="M102" t="str">
        <f ca="1"/>
        <v>LAP22-E</v>
      </c>
      <c r="N102" t="str">
        <f ca="1"/>
        <v>LAP</v>
      </c>
      <c r="O102" t="str">
        <f ca="1"/>
        <v>HIGH</v>
      </c>
      <c r="P102">
        <f ca="1"/>
        <v>1983</v>
      </c>
    </row>
    <row r="103" spans="1:16" x14ac:dyDescent="0.3">
      <c r="A103">
        <f ca="1"/>
        <v>44967</v>
      </c>
      <c r="B103" t="str">
        <f ca="1"/>
        <v>Camera</v>
      </c>
      <c r="C103" t="str">
        <f ca="1"/>
        <v>Electronics</v>
      </c>
      <c r="D103" t="str">
        <f ca="1"/>
        <v>West</v>
      </c>
      <c r="E103">
        <f ca="1"/>
        <v>7</v>
      </c>
      <c r="F103">
        <f ca="1"/>
        <v>5355</v>
      </c>
      <c r="G103">
        <f ca="1"/>
        <v>1143.1600000000001</v>
      </c>
      <c r="H103">
        <f ca="1"/>
        <v>0.21347525676937443</v>
      </c>
      <c r="I103">
        <f ca="1"/>
        <v>1356</v>
      </c>
      <c r="J103" t="str">
        <f ca="1"/>
        <v>CAMERA</v>
      </c>
      <c r="K103" t="str">
        <f ca="1"/>
        <v>ELECTRONICS</v>
      </c>
      <c r="L103">
        <f ca="1"/>
        <v>2023</v>
      </c>
      <c r="M103" t="str">
        <f ca="1"/>
        <v>CAM23-E</v>
      </c>
      <c r="N103" t="str">
        <f ca="1"/>
        <v>CAM</v>
      </c>
      <c r="O103" t="str">
        <f ca="1"/>
        <v>HIGH</v>
      </c>
      <c r="P103">
        <f ca="1"/>
        <v>2000</v>
      </c>
    </row>
    <row r="104" spans="1:16" x14ac:dyDescent="0.3">
      <c r="A104">
        <f ca="1"/>
        <v>44835</v>
      </c>
      <c r="B104" t="str">
        <f ca="1"/>
        <v>Tablet</v>
      </c>
      <c r="C104" t="str">
        <f ca="1"/>
        <v>Electronics</v>
      </c>
      <c r="D104" t="str">
        <f ca="1"/>
        <v>West</v>
      </c>
      <c r="E104">
        <f ca="1"/>
        <v>6</v>
      </c>
      <c r="F104">
        <f ca="1"/>
        <v>5706</v>
      </c>
      <c r="G104">
        <f ca="1"/>
        <v>1306.92</v>
      </c>
      <c r="H104">
        <f ca="1"/>
        <v>0.22904311251314408</v>
      </c>
      <c r="I104">
        <f ca="1"/>
        <v>1488</v>
      </c>
      <c r="J104" t="str">
        <f ca="1"/>
        <v>TABLET</v>
      </c>
      <c r="K104" t="str">
        <f ca="1"/>
        <v>ELECTRONICS</v>
      </c>
      <c r="L104">
        <f ca="1"/>
        <v>2022</v>
      </c>
      <c r="M104" t="str">
        <f ca="1"/>
        <v>TAB22-E</v>
      </c>
      <c r="N104" t="str">
        <f ca="1"/>
        <v>TAB</v>
      </c>
      <c r="O104" t="str">
        <f ca="1"/>
        <v>HIGH</v>
      </c>
      <c r="P104">
        <f ca="1"/>
        <v>2012</v>
      </c>
    </row>
    <row r="105" spans="1:16" x14ac:dyDescent="0.3">
      <c r="A105">
        <f ca="1"/>
        <v>45188</v>
      </c>
      <c r="B105" t="str">
        <f ca="1"/>
        <v>Smartphone</v>
      </c>
      <c r="C105" t="str">
        <f ca="1"/>
        <v>Electronics</v>
      </c>
      <c r="D105" t="str">
        <f ca="1"/>
        <v>West</v>
      </c>
      <c r="E105">
        <f ca="1"/>
        <v>7</v>
      </c>
      <c r="F105">
        <f ca="1"/>
        <v>4452</v>
      </c>
      <c r="G105">
        <f ca="1"/>
        <v>920.05</v>
      </c>
      <c r="H105">
        <f ca="1"/>
        <v>0.20665992812219225</v>
      </c>
      <c r="I105">
        <f ca="1"/>
        <v>1135</v>
      </c>
      <c r="J105" t="str">
        <f ca="1"/>
        <v>SMARTPHONE</v>
      </c>
      <c r="K105" t="str">
        <f ca="1"/>
        <v>ELECTRONICS</v>
      </c>
      <c r="L105">
        <f ca="1"/>
        <v>2023</v>
      </c>
      <c r="M105" t="str">
        <f ca="1"/>
        <v>SMA23-E</v>
      </c>
      <c r="N105" t="str">
        <f ca="1"/>
        <v>SMA</v>
      </c>
      <c r="O105" t="str">
        <f ca="1"/>
        <v>HIGH</v>
      </c>
      <c r="P105">
        <f ca="1"/>
        <v>2030</v>
      </c>
    </row>
    <row r="106" spans="1:16" x14ac:dyDescent="0.3">
      <c r="A106">
        <f ca="1"/>
        <v>44672</v>
      </c>
      <c r="B106" t="str">
        <f ca="1"/>
        <v>Smartphone</v>
      </c>
      <c r="C106" t="str">
        <f ca="1"/>
        <v>Electronics</v>
      </c>
      <c r="D106" t="str">
        <f ca="1"/>
        <v>West</v>
      </c>
      <c r="E106">
        <f ca="1"/>
        <v>8</v>
      </c>
      <c r="F106">
        <f ca="1"/>
        <v>2680</v>
      </c>
      <c r="G106">
        <f ca="1"/>
        <v>598.97</v>
      </c>
      <c r="H106">
        <f ca="1"/>
        <v>0.22349626865671643</v>
      </c>
      <c r="I106">
        <f ca="1"/>
        <v>1651</v>
      </c>
      <c r="J106" t="str">
        <f ca="1"/>
        <v>SMARTPHONE</v>
      </c>
      <c r="K106" t="str">
        <f ca="1"/>
        <v>ELECTRONICS</v>
      </c>
      <c r="L106">
        <f ca="1"/>
        <v>2022</v>
      </c>
      <c r="M106" t="str">
        <f ca="1"/>
        <v>SMA22-E</v>
      </c>
      <c r="N106" t="str">
        <f ca="1"/>
        <v>SMA</v>
      </c>
      <c r="O106" t="str">
        <f ca="1"/>
        <v>HIGH</v>
      </c>
      <c r="P106">
        <f ca="1"/>
        <v>2061</v>
      </c>
    </row>
    <row r="107" spans="1:16" x14ac:dyDescent="0.3">
      <c r="A107">
        <f ca="1"/>
        <v>45535</v>
      </c>
      <c r="B107" t="str">
        <f ca="1"/>
        <v>Smartphone</v>
      </c>
      <c r="C107" t="str">
        <f ca="1"/>
        <v>Electronics</v>
      </c>
      <c r="D107" t="str">
        <f ca="1"/>
        <v>West</v>
      </c>
      <c r="E107">
        <f ca="1"/>
        <v>4</v>
      </c>
      <c r="F107">
        <f ca="1"/>
        <v>4512</v>
      </c>
      <c r="G107">
        <f ca="1"/>
        <v>546.71</v>
      </c>
      <c r="H107">
        <f ca="1"/>
        <v>0.12116799645390072</v>
      </c>
      <c r="I107">
        <f ca="1"/>
        <v>788</v>
      </c>
      <c r="J107" t="str">
        <f ca="1"/>
        <v>SMARTPHONE</v>
      </c>
      <c r="K107" t="str">
        <f ca="1"/>
        <v>ELECTRONICS</v>
      </c>
      <c r="L107">
        <f ca="1"/>
        <v>2024</v>
      </c>
      <c r="M107" t="str">
        <f ca="1"/>
        <v>SMA24-E</v>
      </c>
      <c r="N107" t="str">
        <f ca="1"/>
        <v>SMA</v>
      </c>
      <c r="O107" t="str">
        <f ca="1"/>
        <v>HIGH</v>
      </c>
      <c r="P107">
        <f ca="1"/>
        <v>2065</v>
      </c>
    </row>
    <row r="108" spans="1:16" x14ac:dyDescent="0.3">
      <c r="A108">
        <f ca="1"/>
        <v>45355</v>
      </c>
      <c r="B108" t="str">
        <f ca="1"/>
        <v>Camera</v>
      </c>
      <c r="C108" t="str">
        <f ca="1"/>
        <v>Electronics</v>
      </c>
      <c r="D108" t="str">
        <f ca="1"/>
        <v>West</v>
      </c>
      <c r="E108">
        <f ca="1"/>
        <v>9</v>
      </c>
      <c r="F108">
        <f ca="1"/>
        <v>7974</v>
      </c>
      <c r="G108">
        <f ca="1"/>
        <v>1965.96</v>
      </c>
      <c r="H108">
        <f ca="1"/>
        <v>0.24654627539503388</v>
      </c>
      <c r="I108">
        <f ca="1"/>
        <v>968</v>
      </c>
      <c r="J108" t="str">
        <f ca="1"/>
        <v>CAMERA</v>
      </c>
      <c r="K108" t="str">
        <f ca="1"/>
        <v>ELECTRONICS</v>
      </c>
      <c r="L108">
        <f ca="1"/>
        <v>2024</v>
      </c>
      <c r="M108" t="str">
        <f ca="1"/>
        <v>CAM24-E</v>
      </c>
      <c r="N108" t="str">
        <f ca="1"/>
        <v>CAM</v>
      </c>
      <c r="O108" t="str">
        <f ca="1"/>
        <v>HIGH</v>
      </c>
      <c r="P108">
        <f ca="1"/>
        <v>2066</v>
      </c>
    </row>
    <row r="109" spans="1:16" x14ac:dyDescent="0.3">
      <c r="A109">
        <f ca="1"/>
        <v>45478</v>
      </c>
      <c r="B109" t="str">
        <f ca="1"/>
        <v>Smartwatch</v>
      </c>
      <c r="C109" t="str">
        <f ca="1"/>
        <v>Electronics</v>
      </c>
      <c r="D109" t="str">
        <f ca="1"/>
        <v>West</v>
      </c>
      <c r="E109">
        <f ca="1"/>
        <v>9</v>
      </c>
      <c r="F109">
        <f ca="1"/>
        <v>4599</v>
      </c>
      <c r="G109">
        <f ca="1"/>
        <v>618.89</v>
      </c>
      <c r="H109">
        <f ca="1"/>
        <v>0.13457055881713414</v>
      </c>
      <c r="I109">
        <f ca="1"/>
        <v>845</v>
      </c>
      <c r="J109" t="str">
        <f ca="1"/>
        <v>SMARTWATCH</v>
      </c>
      <c r="K109" t="str">
        <f ca="1"/>
        <v>ELECTRONICS</v>
      </c>
      <c r="L109">
        <f ca="1"/>
        <v>2024</v>
      </c>
      <c r="M109" t="str">
        <f ca="1"/>
        <v>SMA24-E</v>
      </c>
      <c r="N109" t="str">
        <f ca="1"/>
        <v>SMA</v>
      </c>
      <c r="O109" t="str">
        <f ca="1"/>
        <v>HIGH</v>
      </c>
      <c r="P109">
        <f ca="1"/>
        <v>2069</v>
      </c>
    </row>
    <row r="110" spans="1:16" x14ac:dyDescent="0.3">
      <c r="A110">
        <f ca="1"/>
        <v>44915</v>
      </c>
      <c r="B110" t="str">
        <f ca="1"/>
        <v>Smartwatch</v>
      </c>
      <c r="C110" t="str">
        <f ca="1"/>
        <v>Electronics</v>
      </c>
      <c r="D110" t="str">
        <f ca="1"/>
        <v>West</v>
      </c>
      <c r="E110">
        <f ca="1"/>
        <v>6</v>
      </c>
      <c r="F110">
        <f ca="1"/>
        <v>6792</v>
      </c>
      <c r="G110">
        <f ca="1"/>
        <v>1787.97</v>
      </c>
      <c r="H110">
        <f ca="1"/>
        <v>0.26324646643109539</v>
      </c>
      <c r="I110">
        <f ca="1"/>
        <v>1408</v>
      </c>
      <c r="J110" t="str">
        <f ca="1"/>
        <v>SMARTWATCH</v>
      </c>
      <c r="K110" t="str">
        <f ca="1"/>
        <v>ELECTRONICS</v>
      </c>
      <c r="L110">
        <f ca="1"/>
        <v>2022</v>
      </c>
      <c r="M110" t="str">
        <f ca="1"/>
        <v>SMA22-E</v>
      </c>
      <c r="N110" t="str">
        <f ca="1"/>
        <v>SMA</v>
      </c>
      <c r="O110" t="str">
        <f ca="1"/>
        <v>HIGH</v>
      </c>
      <c r="P110">
        <f ca="1"/>
        <v>2083</v>
      </c>
    </row>
    <row r="111" spans="1:16" x14ac:dyDescent="0.3">
      <c r="A111">
        <f ca="1"/>
        <v>44607</v>
      </c>
      <c r="B111" t="str">
        <f ca="1"/>
        <v>Tablet</v>
      </c>
      <c r="C111" t="str">
        <f ca="1"/>
        <v>Electronics</v>
      </c>
      <c r="D111" t="str">
        <f ca="1"/>
        <v>West</v>
      </c>
      <c r="E111">
        <f ca="1"/>
        <v>4</v>
      </c>
      <c r="F111">
        <f ca="1"/>
        <v>3452</v>
      </c>
      <c r="G111">
        <f ca="1"/>
        <v>560.30999999999995</v>
      </c>
      <c r="H111">
        <f ca="1"/>
        <v>0.16231460023174971</v>
      </c>
      <c r="I111">
        <f ca="1"/>
        <v>1716</v>
      </c>
      <c r="J111" t="str">
        <f ca="1"/>
        <v>TABLET</v>
      </c>
      <c r="K111" t="str">
        <f ca="1"/>
        <v>ELECTRONICS</v>
      </c>
      <c r="L111">
        <f ca="1"/>
        <v>2022</v>
      </c>
      <c r="M111" t="str">
        <f ca="1"/>
        <v>TAB22-E</v>
      </c>
      <c r="N111" t="str">
        <f ca="1"/>
        <v>TAB</v>
      </c>
      <c r="O111" t="str">
        <f ca="1"/>
        <v>HIGH</v>
      </c>
      <c r="P111">
        <f ca="1"/>
        <v>2109</v>
      </c>
    </row>
    <row r="112" spans="1:16" x14ac:dyDescent="0.3">
      <c r="A112">
        <f ca="1"/>
        <v>44823</v>
      </c>
      <c r="B112" t="str">
        <f ca="1"/>
        <v>Laptop</v>
      </c>
      <c r="C112" t="str">
        <f ca="1"/>
        <v>Electronics</v>
      </c>
      <c r="D112" t="str">
        <f ca="1"/>
        <v>West</v>
      </c>
      <c r="E112">
        <f ca="1"/>
        <v>5</v>
      </c>
      <c r="F112">
        <f ca="1"/>
        <v>4580</v>
      </c>
      <c r="G112">
        <f ca="1"/>
        <v>1148.06</v>
      </c>
      <c r="H112">
        <f ca="1"/>
        <v>0.25066812227074237</v>
      </c>
      <c r="I112">
        <f ca="1"/>
        <v>1500</v>
      </c>
      <c r="J112" t="str">
        <f ca="1"/>
        <v>LAPTOP</v>
      </c>
      <c r="K112" t="str">
        <f ca="1"/>
        <v>ELECTRONICS</v>
      </c>
      <c r="L112">
        <f ca="1"/>
        <v>2022</v>
      </c>
      <c r="M112" t="str">
        <f ca="1"/>
        <v>LAP22-E</v>
      </c>
      <c r="N112" t="str">
        <f ca="1"/>
        <v>LAP</v>
      </c>
      <c r="O112" t="str">
        <f ca="1"/>
        <v>HIGH</v>
      </c>
      <c r="P112">
        <f ca="1"/>
        <v>2112</v>
      </c>
    </row>
    <row r="113" spans="1:16" x14ac:dyDescent="0.3">
      <c r="A113">
        <f ca="1"/>
        <v>45336</v>
      </c>
      <c r="B113" t="str">
        <f ca="1"/>
        <v>Camera</v>
      </c>
      <c r="C113" t="str">
        <f ca="1"/>
        <v>Electronics</v>
      </c>
      <c r="D113" t="str">
        <f ca="1"/>
        <v>West</v>
      </c>
      <c r="E113">
        <f ca="1"/>
        <v>8</v>
      </c>
      <c r="F113">
        <f ca="1"/>
        <v>9232</v>
      </c>
      <c r="G113">
        <f ca="1"/>
        <v>880.52</v>
      </c>
      <c r="H113">
        <f ca="1"/>
        <v>9.5376949740034661E-2</v>
      </c>
      <c r="I113">
        <f ca="1"/>
        <v>987</v>
      </c>
      <c r="J113" t="str">
        <f ca="1"/>
        <v>CAMERA</v>
      </c>
      <c r="K113" t="str">
        <f ca="1"/>
        <v>ELECTRONICS</v>
      </c>
      <c r="L113">
        <f ca="1"/>
        <v>2024</v>
      </c>
      <c r="M113" t="str">
        <f ca="1"/>
        <v>CAM24-E</v>
      </c>
      <c r="N113" t="str">
        <f ca="1"/>
        <v>CAM</v>
      </c>
      <c r="O113" t="str">
        <f ca="1"/>
        <v>HIGH</v>
      </c>
      <c r="P113">
        <f ca="1"/>
        <v>2128</v>
      </c>
    </row>
    <row r="114" spans="1:16" x14ac:dyDescent="0.3">
      <c r="A114">
        <f ca="1"/>
        <v>44869</v>
      </c>
      <c r="B114" t="str">
        <f ca="1"/>
        <v>Smartwatch</v>
      </c>
      <c r="C114" t="str">
        <f ca="1"/>
        <v>Electronics</v>
      </c>
      <c r="D114" t="str">
        <f ca="1"/>
        <v>West</v>
      </c>
      <c r="E114">
        <f ca="1"/>
        <v>8</v>
      </c>
      <c r="F114">
        <f ca="1"/>
        <v>6488</v>
      </c>
      <c r="G114">
        <f ca="1"/>
        <v>1845.07</v>
      </c>
      <c r="H114">
        <f ca="1"/>
        <v>0.28438193588162763</v>
      </c>
      <c r="I114">
        <f ca="1"/>
        <v>1454</v>
      </c>
      <c r="J114" t="str">
        <f ca="1"/>
        <v>SMARTWATCH</v>
      </c>
      <c r="K114" t="str">
        <f ca="1"/>
        <v>ELECTRONICS</v>
      </c>
      <c r="L114">
        <f ca="1"/>
        <v>2022</v>
      </c>
      <c r="M114" t="str">
        <f ca="1"/>
        <v>SMA22-E</v>
      </c>
      <c r="N114" t="str">
        <f ca="1"/>
        <v>SMA</v>
      </c>
      <c r="O114" t="str">
        <f ca="1"/>
        <v>HIGH</v>
      </c>
      <c r="P114">
        <f ca="1"/>
        <v>2185</v>
      </c>
    </row>
    <row r="115" spans="1:16" x14ac:dyDescent="0.3">
      <c r="A115">
        <f ca="1"/>
        <v>45393</v>
      </c>
      <c r="B115" t="str">
        <f ca="1"/>
        <v>Smartwatch</v>
      </c>
      <c r="C115" t="str">
        <f ca="1"/>
        <v>Electronics</v>
      </c>
      <c r="D115" t="str">
        <f ca="1"/>
        <v>West</v>
      </c>
      <c r="E115">
        <f ca="1"/>
        <v>4</v>
      </c>
      <c r="F115">
        <f ca="1"/>
        <v>4284</v>
      </c>
      <c r="G115">
        <f ca="1"/>
        <v>848.44</v>
      </c>
      <c r="H115">
        <f ca="1"/>
        <v>0.19804855275443511</v>
      </c>
      <c r="I115">
        <f ca="1"/>
        <v>930</v>
      </c>
      <c r="J115" t="str">
        <f ca="1"/>
        <v>SMARTWATCH</v>
      </c>
      <c r="K115" t="str">
        <f ca="1"/>
        <v>ELECTRONICS</v>
      </c>
      <c r="L115">
        <f ca="1"/>
        <v>2024</v>
      </c>
      <c r="M115" t="str">
        <f ca="1"/>
        <v>SMA24-E</v>
      </c>
      <c r="N115" t="str">
        <f ca="1"/>
        <v>SMA</v>
      </c>
      <c r="O115" t="str">
        <f ca="1"/>
        <v>HIGH</v>
      </c>
      <c r="P115">
        <f ca="1"/>
        <v>2186</v>
      </c>
    </row>
    <row r="116" spans="1:16" x14ac:dyDescent="0.3">
      <c r="A116">
        <f ca="1"/>
        <v>45420</v>
      </c>
      <c r="B116" t="str">
        <f ca="1"/>
        <v>Camera</v>
      </c>
      <c r="C116" t="str">
        <f ca="1"/>
        <v>Electronics</v>
      </c>
      <c r="D116" t="str">
        <f ca="1"/>
        <v>West</v>
      </c>
      <c r="E116">
        <f ca="1"/>
        <v>5</v>
      </c>
      <c r="F116">
        <f ca="1"/>
        <v>4435</v>
      </c>
      <c r="G116">
        <f ca="1"/>
        <v>954.12</v>
      </c>
      <c r="H116">
        <f ca="1"/>
        <v>0.21513416009019165</v>
      </c>
      <c r="I116">
        <f ca="1"/>
        <v>903</v>
      </c>
      <c r="J116" t="str">
        <f ca="1"/>
        <v>CAMERA</v>
      </c>
      <c r="K116" t="str">
        <f ca="1"/>
        <v>ELECTRONICS</v>
      </c>
      <c r="L116">
        <f ca="1"/>
        <v>2024</v>
      </c>
      <c r="M116" t="str">
        <f ca="1"/>
        <v>CAM24-E</v>
      </c>
      <c r="N116" t="str">
        <f ca="1"/>
        <v>CAM</v>
      </c>
      <c r="O116" t="str">
        <f ca="1"/>
        <v>HIGH</v>
      </c>
      <c r="P116">
        <f ca="1"/>
        <v>2188</v>
      </c>
    </row>
    <row r="117" spans="1:16" x14ac:dyDescent="0.3">
      <c r="A117">
        <f ca="1"/>
        <v>45450</v>
      </c>
      <c r="B117" t="str">
        <f ca="1"/>
        <v>Tablet</v>
      </c>
      <c r="C117" t="str">
        <f ca="1"/>
        <v>Electronics</v>
      </c>
      <c r="D117" t="str">
        <f ca="1"/>
        <v>West</v>
      </c>
      <c r="E117">
        <f ca="1"/>
        <v>9</v>
      </c>
      <c r="F117">
        <f ca="1"/>
        <v>6507</v>
      </c>
      <c r="G117">
        <f ca="1"/>
        <v>1075.51</v>
      </c>
      <c r="H117">
        <f ca="1"/>
        <v>0.16528507760872907</v>
      </c>
      <c r="I117">
        <f ca="1"/>
        <v>873</v>
      </c>
      <c r="J117" t="str">
        <f ca="1"/>
        <v>TABLET</v>
      </c>
      <c r="K117" t="str">
        <f ca="1"/>
        <v>ELECTRONICS</v>
      </c>
      <c r="L117">
        <f ca="1"/>
        <v>2024</v>
      </c>
      <c r="M117" t="str">
        <f ca="1"/>
        <v>TAB24-E</v>
      </c>
      <c r="N117" t="str">
        <f ca="1"/>
        <v>TAB</v>
      </c>
      <c r="O117" t="str">
        <f ca="1"/>
        <v>HIGH</v>
      </c>
      <c r="P117">
        <f ca="1"/>
        <v>2198</v>
      </c>
    </row>
    <row r="118" spans="1:16" x14ac:dyDescent="0.3">
      <c r="A118">
        <f ca="1"/>
        <v>45510</v>
      </c>
      <c r="B118" t="str">
        <f ca="1"/>
        <v>Tablet</v>
      </c>
      <c r="C118" t="str">
        <f ca="1"/>
        <v>Electronics</v>
      </c>
      <c r="D118" t="str">
        <f ca="1"/>
        <v>West</v>
      </c>
      <c r="E118">
        <f ca="1"/>
        <v>9</v>
      </c>
      <c r="F118">
        <f ca="1"/>
        <v>4149</v>
      </c>
      <c r="G118">
        <f ca="1"/>
        <v>605.52</v>
      </c>
      <c r="H118">
        <f ca="1"/>
        <v>0.14594360086767896</v>
      </c>
      <c r="I118">
        <f ca="1"/>
        <v>813</v>
      </c>
      <c r="J118" t="str">
        <f ca="1"/>
        <v>TABLET</v>
      </c>
      <c r="K118" t="str">
        <f ca="1"/>
        <v>ELECTRONICS</v>
      </c>
      <c r="L118">
        <f ca="1"/>
        <v>2024</v>
      </c>
      <c r="M118" t="str">
        <f ca="1"/>
        <v>TAB24-E</v>
      </c>
      <c r="N118" t="str">
        <f ca="1"/>
        <v>TAB</v>
      </c>
      <c r="O118" t="str">
        <f ca="1"/>
        <v>HIGH</v>
      </c>
      <c r="P118">
        <f ca="1"/>
        <v>2230</v>
      </c>
    </row>
    <row r="119" spans="1:16" x14ac:dyDescent="0.3">
      <c r="A119">
        <f ca="1"/>
        <v>45160</v>
      </c>
      <c r="B119" t="str">
        <f ca="1"/>
        <v>Laptop</v>
      </c>
      <c r="C119" t="str">
        <f ca="1"/>
        <v>Electronics</v>
      </c>
      <c r="D119" t="str">
        <f ca="1"/>
        <v>West</v>
      </c>
      <c r="E119">
        <f ca="1"/>
        <v>8</v>
      </c>
      <c r="F119">
        <f ca="1"/>
        <v>8296</v>
      </c>
      <c r="G119">
        <f ca="1"/>
        <v>1884.18</v>
      </c>
      <c r="H119">
        <f ca="1"/>
        <v>0.22711909353905496</v>
      </c>
      <c r="I119">
        <f ca="1"/>
        <v>1163</v>
      </c>
      <c r="J119" t="str">
        <f ca="1"/>
        <v>LAPTOP</v>
      </c>
      <c r="K119" t="str">
        <f ca="1"/>
        <v>ELECTRONICS</v>
      </c>
      <c r="L119">
        <f ca="1"/>
        <v>2023</v>
      </c>
      <c r="M119" t="str">
        <f ca="1"/>
        <v>LAP23-E</v>
      </c>
      <c r="N119" t="str">
        <f ca="1"/>
        <v>LAP</v>
      </c>
      <c r="O119" t="str">
        <f ca="1"/>
        <v>HIGH</v>
      </c>
      <c r="P119">
        <f ca="1"/>
        <v>2250</v>
      </c>
    </row>
    <row r="120" spans="1:16" x14ac:dyDescent="0.3">
      <c r="A120">
        <f ca="1"/>
        <v>45124</v>
      </c>
      <c r="B120" t="str">
        <f ca="1"/>
        <v>Smartwatch</v>
      </c>
      <c r="C120" t="str">
        <f ca="1"/>
        <v>Electronics</v>
      </c>
      <c r="D120" t="str">
        <f ca="1"/>
        <v>West</v>
      </c>
      <c r="E120">
        <f ca="1"/>
        <v>9</v>
      </c>
      <c r="F120">
        <f ca="1"/>
        <v>3861</v>
      </c>
      <c r="G120">
        <f ca="1"/>
        <v>536.04</v>
      </c>
      <c r="H120">
        <f ca="1"/>
        <v>0.13883449883449883</v>
      </c>
      <c r="I120">
        <f ca="1"/>
        <v>1199</v>
      </c>
      <c r="J120" t="str">
        <f ca="1"/>
        <v>SMARTWATCH</v>
      </c>
      <c r="K120" t="str">
        <f ca="1"/>
        <v>ELECTRONICS</v>
      </c>
      <c r="L120">
        <f ca="1"/>
        <v>2023</v>
      </c>
      <c r="M120" t="str">
        <f ca="1"/>
        <v>SMA23-E</v>
      </c>
      <c r="N120" t="str">
        <f ca="1"/>
        <v>SMA</v>
      </c>
      <c r="O120" t="str">
        <f ca="1"/>
        <v>HIGH</v>
      </c>
      <c r="P120">
        <f ca="1"/>
        <v>2323</v>
      </c>
    </row>
    <row r="121" spans="1:16" x14ac:dyDescent="0.3">
      <c r="A121">
        <f ca="1"/>
        <v>44893</v>
      </c>
      <c r="B121" t="str">
        <f ca="1"/>
        <v>Smartwatch</v>
      </c>
      <c r="C121" t="str">
        <f ca="1"/>
        <v>Electronics</v>
      </c>
      <c r="D121" t="str">
        <f ca="1"/>
        <v>West</v>
      </c>
      <c r="E121">
        <f ca="1"/>
        <v>9</v>
      </c>
      <c r="F121">
        <f ca="1"/>
        <v>5382</v>
      </c>
      <c r="G121">
        <f ca="1"/>
        <v>1037.04</v>
      </c>
      <c r="H121">
        <f ca="1"/>
        <v>0.19268673355629876</v>
      </c>
      <c r="I121">
        <f ca="1"/>
        <v>1430</v>
      </c>
      <c r="J121" t="str">
        <f ca="1"/>
        <v>SMARTWATCH</v>
      </c>
      <c r="K121" t="str">
        <f ca="1"/>
        <v>ELECTRONICS</v>
      </c>
      <c r="L121">
        <f ca="1"/>
        <v>2022</v>
      </c>
      <c r="M121" t="str">
        <f ca="1"/>
        <v>SMA22-E</v>
      </c>
      <c r="N121" t="str">
        <f ca="1"/>
        <v>SMA</v>
      </c>
      <c r="O121" t="str">
        <f ca="1"/>
        <v>HIGH</v>
      </c>
      <c r="P121">
        <f ca="1"/>
        <v>2329</v>
      </c>
    </row>
    <row r="122" spans="1:16" x14ac:dyDescent="0.3">
      <c r="A122">
        <f ca="1"/>
        <v>45097</v>
      </c>
      <c r="B122" t="str">
        <f ca="1"/>
        <v>Tablet</v>
      </c>
      <c r="C122" t="str">
        <f ca="1"/>
        <v>Electronics</v>
      </c>
      <c r="D122" t="str">
        <f ca="1"/>
        <v>West</v>
      </c>
      <c r="E122">
        <f ca="1"/>
        <v>4</v>
      </c>
      <c r="F122">
        <f ca="1"/>
        <v>2048</v>
      </c>
      <c r="G122">
        <f ca="1"/>
        <v>507.01</v>
      </c>
      <c r="H122">
        <f ca="1"/>
        <v>0.2475634765625</v>
      </c>
      <c r="I122">
        <f ca="1"/>
        <v>1226</v>
      </c>
      <c r="J122" t="str">
        <f ca="1"/>
        <v>TABLET</v>
      </c>
      <c r="K122" t="str">
        <f ca="1"/>
        <v>ELECTRONICS</v>
      </c>
      <c r="L122">
        <f ca="1"/>
        <v>2023</v>
      </c>
      <c r="M122" t="str">
        <f ca="1"/>
        <v>TAB23-E</v>
      </c>
      <c r="N122" t="str">
        <f ca="1"/>
        <v>TAB</v>
      </c>
      <c r="O122" t="str">
        <f ca="1"/>
        <v>HIGH</v>
      </c>
      <c r="P122">
        <f ca="1"/>
        <v>2362</v>
      </c>
    </row>
    <row r="123" spans="1:16" x14ac:dyDescent="0.3">
      <c r="A123">
        <f ca="1"/>
        <v>44709</v>
      </c>
      <c r="B123" t="str">
        <f ca="1"/>
        <v>Laptop</v>
      </c>
      <c r="C123" t="str">
        <f ca="1"/>
        <v>Electronics</v>
      </c>
      <c r="D123" t="str">
        <f ca="1"/>
        <v>West</v>
      </c>
      <c r="E123">
        <f ca="1"/>
        <v>8</v>
      </c>
      <c r="F123">
        <f ca="1"/>
        <v>5272</v>
      </c>
      <c r="G123">
        <f ca="1"/>
        <v>1188.1600000000001</v>
      </c>
      <c r="H123">
        <f ca="1"/>
        <v>0.22537177541729894</v>
      </c>
      <c r="I123">
        <f ca="1"/>
        <v>1614</v>
      </c>
      <c r="J123" t="str">
        <f ca="1"/>
        <v>LAPTOP</v>
      </c>
      <c r="K123" t="str">
        <f ca="1"/>
        <v>ELECTRONICS</v>
      </c>
      <c r="L123">
        <f ca="1"/>
        <v>2022</v>
      </c>
      <c r="M123" t="str">
        <f ca="1"/>
        <v>LAP22-E</v>
      </c>
      <c r="N123" t="str">
        <f ca="1"/>
        <v>LAP</v>
      </c>
      <c r="O123" t="str">
        <f ca="1"/>
        <v>HIGH</v>
      </c>
      <c r="P123">
        <f ca="1"/>
        <v>2364</v>
      </c>
    </row>
    <row r="124" spans="1:16" x14ac:dyDescent="0.3">
      <c r="A124">
        <f ca="1"/>
        <v>45036</v>
      </c>
      <c r="B124" t="str">
        <f ca="1"/>
        <v>Laptop</v>
      </c>
      <c r="C124" t="str">
        <f ca="1"/>
        <v>Electronics</v>
      </c>
      <c r="D124" t="str">
        <f ca="1"/>
        <v>West</v>
      </c>
      <c r="E124">
        <f ca="1"/>
        <v>8</v>
      </c>
      <c r="F124">
        <f ca="1"/>
        <v>4544</v>
      </c>
      <c r="G124">
        <f ca="1"/>
        <v>727.05</v>
      </c>
      <c r="H124">
        <f ca="1"/>
        <v>0.16000220070422536</v>
      </c>
      <c r="I124">
        <f ca="1"/>
        <v>1287</v>
      </c>
      <c r="J124" t="str">
        <f ca="1"/>
        <v>LAPTOP</v>
      </c>
      <c r="K124" t="str">
        <f ca="1"/>
        <v>ELECTRONICS</v>
      </c>
      <c r="L124">
        <f ca="1"/>
        <v>2023</v>
      </c>
      <c r="M124" t="str">
        <f ca="1"/>
        <v>LAP23-E</v>
      </c>
      <c r="N124" t="str">
        <f ca="1"/>
        <v>LAP</v>
      </c>
      <c r="O124" t="str">
        <f ca="1"/>
        <v>HIGH</v>
      </c>
      <c r="P124">
        <f ca="1"/>
        <v>2377</v>
      </c>
    </row>
    <row r="125" spans="1:16" x14ac:dyDescent="0.3">
      <c r="A125">
        <f ca="1"/>
        <v>44988</v>
      </c>
      <c r="B125" t="str">
        <f ca="1"/>
        <v>Tablet</v>
      </c>
      <c r="C125" t="str">
        <f ca="1"/>
        <v>Electronics</v>
      </c>
      <c r="D125" t="str">
        <f ca="1"/>
        <v>West</v>
      </c>
      <c r="E125">
        <f ca="1"/>
        <v>5</v>
      </c>
      <c r="F125">
        <f ca="1"/>
        <v>2595</v>
      </c>
      <c r="G125">
        <f ca="1"/>
        <v>774.2</v>
      </c>
      <c r="H125">
        <f ca="1"/>
        <v>0.29834296724470138</v>
      </c>
      <c r="I125">
        <f ca="1"/>
        <v>1335</v>
      </c>
      <c r="J125" t="str">
        <f ca="1"/>
        <v>TABLET</v>
      </c>
      <c r="K125" t="str">
        <f ca="1"/>
        <v>ELECTRONICS</v>
      </c>
      <c r="L125">
        <f ca="1"/>
        <v>2023</v>
      </c>
      <c r="M125" t="str">
        <f ca="1"/>
        <v>TAB23-E</v>
      </c>
      <c r="N125" t="str">
        <f ca="1"/>
        <v>TAB</v>
      </c>
      <c r="O125" t="str">
        <f ca="1"/>
        <v>HIGH</v>
      </c>
      <c r="P125">
        <f ca="1"/>
        <v>2380</v>
      </c>
    </row>
    <row r="126" spans="1:16" x14ac:dyDescent="0.3">
      <c r="A126">
        <f ca="1"/>
        <v>44914</v>
      </c>
      <c r="B126" t="str">
        <f ca="1"/>
        <v>Camera</v>
      </c>
      <c r="C126" t="str">
        <f ca="1"/>
        <v>Electronics</v>
      </c>
      <c r="D126" t="str">
        <f ca="1"/>
        <v>West</v>
      </c>
      <c r="E126">
        <f ca="1"/>
        <v>7</v>
      </c>
      <c r="F126">
        <f ca="1"/>
        <v>6937</v>
      </c>
      <c r="G126">
        <f ca="1"/>
        <v>1753.02</v>
      </c>
      <c r="H126">
        <f ca="1"/>
        <v>0.25270578059679977</v>
      </c>
      <c r="I126">
        <f ca="1"/>
        <v>1409</v>
      </c>
      <c r="J126" t="str">
        <f ca="1"/>
        <v>CAMERA</v>
      </c>
      <c r="K126" t="str">
        <f ca="1"/>
        <v>ELECTRONICS</v>
      </c>
      <c r="L126">
        <f ca="1"/>
        <v>2022</v>
      </c>
      <c r="M126" t="str">
        <f ca="1"/>
        <v>CAM22-E</v>
      </c>
      <c r="N126" t="str">
        <f ca="1"/>
        <v>CAM</v>
      </c>
      <c r="O126" t="str">
        <f ca="1"/>
        <v>HIGH</v>
      </c>
      <c r="P126">
        <f ca="1"/>
        <v>2401</v>
      </c>
    </row>
    <row r="127" spans="1:16" x14ac:dyDescent="0.3">
      <c r="A127">
        <f ca="1"/>
        <v>45590</v>
      </c>
      <c r="B127" t="str">
        <f ca="1"/>
        <v>Tablet</v>
      </c>
      <c r="C127" t="str">
        <f ca="1"/>
        <v>Electronics</v>
      </c>
      <c r="D127" t="str">
        <f ca="1"/>
        <v>West</v>
      </c>
      <c r="E127">
        <f ca="1"/>
        <v>8</v>
      </c>
      <c r="F127">
        <f ca="1"/>
        <v>8336</v>
      </c>
      <c r="G127">
        <f ca="1"/>
        <v>782.8</v>
      </c>
      <c r="H127">
        <f ca="1"/>
        <v>9.390595009596929E-2</v>
      </c>
      <c r="I127">
        <f ca="1"/>
        <v>733</v>
      </c>
      <c r="J127" t="str">
        <f ca="1"/>
        <v>TABLET</v>
      </c>
      <c r="K127" t="str">
        <f ca="1"/>
        <v>ELECTRONICS</v>
      </c>
      <c r="L127">
        <f ca="1"/>
        <v>2024</v>
      </c>
      <c r="M127" t="str">
        <f ca="1"/>
        <v>TAB24-E</v>
      </c>
      <c r="N127" t="str">
        <f ca="1"/>
        <v>TAB</v>
      </c>
      <c r="O127" t="str">
        <f ca="1"/>
        <v>HIGH</v>
      </c>
      <c r="P127">
        <f ca="1"/>
        <v>2430</v>
      </c>
    </row>
    <row r="128" spans="1:16" x14ac:dyDescent="0.3">
      <c r="A128">
        <f ca="1"/>
        <v>45140</v>
      </c>
      <c r="B128" t="str">
        <f ca="1"/>
        <v>Smartwatch</v>
      </c>
      <c r="C128" t="str">
        <f ca="1"/>
        <v>Electronics</v>
      </c>
      <c r="D128" t="str">
        <f ca="1"/>
        <v>West</v>
      </c>
      <c r="E128">
        <f ca="1"/>
        <v>5</v>
      </c>
      <c r="F128">
        <f ca="1"/>
        <v>5845</v>
      </c>
      <c r="G128">
        <f ca="1"/>
        <v>978.75</v>
      </c>
      <c r="H128">
        <f ca="1"/>
        <v>0.16745081266039349</v>
      </c>
      <c r="I128">
        <f ca="1"/>
        <v>1183</v>
      </c>
      <c r="J128" t="str">
        <f ca="1"/>
        <v>SMARTWATCH</v>
      </c>
      <c r="K128" t="str">
        <f ca="1"/>
        <v>ELECTRONICS</v>
      </c>
      <c r="L128">
        <f ca="1"/>
        <v>2023</v>
      </c>
      <c r="M128" t="str">
        <f ca="1"/>
        <v>SMA23-E</v>
      </c>
      <c r="N128" t="str">
        <f ca="1"/>
        <v>SMA</v>
      </c>
      <c r="O128" t="str">
        <f ca="1"/>
        <v>HIGH</v>
      </c>
      <c r="P128">
        <f ca="1"/>
        <v>2448</v>
      </c>
    </row>
    <row r="129" spans="1:16" x14ac:dyDescent="0.3">
      <c r="A129">
        <f ca="1"/>
        <v>44624</v>
      </c>
      <c r="B129" t="str">
        <f ca="1"/>
        <v>Smartphone</v>
      </c>
      <c r="C129" t="str">
        <f ca="1"/>
        <v>Electronics</v>
      </c>
      <c r="D129" t="str">
        <f ca="1"/>
        <v>West</v>
      </c>
      <c r="E129">
        <f ca="1"/>
        <v>6</v>
      </c>
      <c r="F129">
        <f ca="1"/>
        <v>7128</v>
      </c>
      <c r="G129">
        <f ca="1"/>
        <v>544.54</v>
      </c>
      <c r="H129">
        <f ca="1"/>
        <v>7.6394500561167228E-2</v>
      </c>
      <c r="I129">
        <f ca="1"/>
        <v>1699</v>
      </c>
      <c r="J129" t="str">
        <f ca="1"/>
        <v>SMARTPHONE</v>
      </c>
      <c r="K129" t="str">
        <f ca="1"/>
        <v>ELECTRONICS</v>
      </c>
      <c r="L129">
        <f ca="1"/>
        <v>2022</v>
      </c>
      <c r="M129" t="str">
        <f ca="1"/>
        <v>SMA22-E</v>
      </c>
      <c r="N129" t="str">
        <f ca="1"/>
        <v>SMA</v>
      </c>
      <c r="O129" t="str">
        <f ca="1"/>
        <v>HIGH</v>
      </c>
      <c r="P129">
        <f ca="1"/>
        <v>2455</v>
      </c>
    </row>
    <row r="130" spans="1:16" x14ac:dyDescent="0.3">
      <c r="A130">
        <f ca="1"/>
        <v>44730</v>
      </c>
      <c r="B130" t="str">
        <f ca="1"/>
        <v>Smartphone</v>
      </c>
      <c r="C130" t="str">
        <f ca="1"/>
        <v>Electronics</v>
      </c>
      <c r="D130" t="str">
        <f ca="1"/>
        <v>West</v>
      </c>
      <c r="E130">
        <f ca="1"/>
        <v>8</v>
      </c>
      <c r="F130">
        <f ca="1"/>
        <v>8032</v>
      </c>
      <c r="G130">
        <f ca="1"/>
        <v>1987.82</v>
      </c>
      <c r="H130">
        <f ca="1"/>
        <v>0.24748754980079679</v>
      </c>
      <c r="I130">
        <f ca="1"/>
        <v>1593</v>
      </c>
      <c r="J130" t="str">
        <f ca="1"/>
        <v>SMARTPHONE</v>
      </c>
      <c r="K130" t="str">
        <f ca="1"/>
        <v>ELECTRONICS</v>
      </c>
      <c r="L130">
        <f ca="1"/>
        <v>2022</v>
      </c>
      <c r="M130" t="str">
        <f ca="1"/>
        <v>SMA22-E</v>
      </c>
      <c r="N130" t="str">
        <f ca="1"/>
        <v>SMA</v>
      </c>
      <c r="O130" t="str">
        <f ca="1"/>
        <v>HIGH</v>
      </c>
      <c r="P130">
        <f ca="1"/>
        <v>2458</v>
      </c>
    </row>
    <row r="131" spans="1:16" x14ac:dyDescent="0.3">
      <c r="A131">
        <f ca="1"/>
        <v>45272</v>
      </c>
      <c r="B131" t="str">
        <f ca="1"/>
        <v>Laptop</v>
      </c>
      <c r="C131" t="str">
        <f ca="1"/>
        <v>Electronics</v>
      </c>
      <c r="D131" t="str">
        <f ca="1"/>
        <v>West</v>
      </c>
      <c r="E131">
        <f ca="1"/>
        <v>3</v>
      </c>
      <c r="F131">
        <f ca="1"/>
        <v>2598</v>
      </c>
      <c r="G131">
        <f ca="1"/>
        <v>560.82000000000005</v>
      </c>
      <c r="H131">
        <f ca="1"/>
        <v>0.21586605080831411</v>
      </c>
      <c r="I131">
        <f ca="1"/>
        <v>1051</v>
      </c>
      <c r="J131" t="str">
        <f ca="1"/>
        <v>LAPTOP</v>
      </c>
      <c r="K131" t="str">
        <f ca="1"/>
        <v>ELECTRONICS</v>
      </c>
      <c r="L131">
        <f ca="1"/>
        <v>2023</v>
      </c>
      <c r="M131" t="str">
        <f ca="1"/>
        <v>LAP23-E</v>
      </c>
      <c r="N131" t="str">
        <f ca="1"/>
        <v>LAP</v>
      </c>
      <c r="O131" t="str">
        <f ca="1"/>
        <v>HIGH</v>
      </c>
      <c r="P131">
        <f ca="1"/>
        <v>2467</v>
      </c>
    </row>
    <row r="132" spans="1:16" x14ac:dyDescent="0.3">
      <c r="A132">
        <f ca="1"/>
        <v>44928</v>
      </c>
      <c r="B132" t="str">
        <f ca="1"/>
        <v>Laptop</v>
      </c>
      <c r="C132" t="str">
        <f ca="1"/>
        <v>Electronics</v>
      </c>
      <c r="D132" t="str">
        <f ca="1"/>
        <v>West</v>
      </c>
      <c r="E132">
        <f ca="1"/>
        <v>9</v>
      </c>
      <c r="F132">
        <f ca="1"/>
        <v>9315</v>
      </c>
      <c r="G132">
        <f ca="1"/>
        <v>1808.68</v>
      </c>
      <c r="H132">
        <f ca="1"/>
        <v>0.19416854535695116</v>
      </c>
      <c r="I132">
        <f ca="1"/>
        <v>1395</v>
      </c>
      <c r="J132" t="str">
        <f ca="1"/>
        <v>LAPTOP</v>
      </c>
      <c r="K132" t="str">
        <f ca="1"/>
        <v>ELECTRONICS</v>
      </c>
      <c r="L132">
        <f ca="1"/>
        <v>2023</v>
      </c>
      <c r="M132" t="str">
        <f ca="1"/>
        <v>LAP23-E</v>
      </c>
      <c r="N132" t="str">
        <f ca="1"/>
        <v>LAP</v>
      </c>
      <c r="O132" t="str">
        <f ca="1"/>
        <v>HIGH</v>
      </c>
      <c r="P132">
        <f ca="1"/>
        <v>2479</v>
      </c>
    </row>
    <row r="133" spans="1:16" x14ac:dyDescent="0.3">
      <c r="A133">
        <f ca="1"/>
        <v>45255</v>
      </c>
      <c r="B133" t="str">
        <f ca="1"/>
        <v>Smartphone</v>
      </c>
      <c r="C133" t="str">
        <f ca="1"/>
        <v>Electronics</v>
      </c>
      <c r="D133" t="str">
        <f ca="1"/>
        <v>West</v>
      </c>
      <c r="E133">
        <f ca="1"/>
        <v>9</v>
      </c>
      <c r="F133">
        <f ca="1"/>
        <v>9090</v>
      </c>
      <c r="G133">
        <f ca="1"/>
        <v>937.69</v>
      </c>
      <c r="H133">
        <f ca="1"/>
        <v>0.10315621562156216</v>
      </c>
      <c r="I133">
        <f ca="1"/>
        <v>1068</v>
      </c>
      <c r="J133" t="str">
        <f ca="1"/>
        <v>SMARTPHONE</v>
      </c>
      <c r="K133" t="str">
        <f ca="1"/>
        <v>ELECTRONICS</v>
      </c>
      <c r="L133">
        <f ca="1"/>
        <v>2023</v>
      </c>
      <c r="M133" t="str">
        <f ca="1"/>
        <v>SMA23-E</v>
      </c>
      <c r="N133" t="str">
        <f ca="1"/>
        <v>SMA</v>
      </c>
      <c r="O133" t="str">
        <f ca="1"/>
        <v>HIGH</v>
      </c>
      <c r="P133">
        <f ca="1"/>
        <v>2485</v>
      </c>
    </row>
    <row r="134" spans="1:16" x14ac:dyDescent="0.3">
      <c r="A134">
        <f ca="1"/>
        <v>45077</v>
      </c>
      <c r="B134" t="str">
        <f ca="1"/>
        <v>Smartwatch</v>
      </c>
      <c r="C134" t="str">
        <f ca="1"/>
        <v>Electronics</v>
      </c>
      <c r="D134" t="str">
        <f ca="1"/>
        <v>West</v>
      </c>
      <c r="E134">
        <f ca="1"/>
        <v>9</v>
      </c>
      <c r="F134">
        <f ca="1"/>
        <v>9054</v>
      </c>
      <c r="G134">
        <f ca="1"/>
        <v>644.36</v>
      </c>
      <c r="H134">
        <f ca="1"/>
        <v>7.1168544289816657E-2</v>
      </c>
      <c r="I134">
        <f ca="1"/>
        <v>1246</v>
      </c>
      <c r="J134" t="str">
        <f ca="1"/>
        <v>SMARTWATCH</v>
      </c>
      <c r="K134" t="str">
        <f ca="1"/>
        <v>ELECTRONICS</v>
      </c>
      <c r="L134">
        <f ca="1"/>
        <v>2023</v>
      </c>
      <c r="M134" t="str">
        <f ca="1"/>
        <v>SMA23-E</v>
      </c>
      <c r="N134" t="str">
        <f ca="1"/>
        <v>SMA</v>
      </c>
      <c r="O134" t="str">
        <f ca="1"/>
        <v>HIGH</v>
      </c>
      <c r="P134">
        <f ca="1"/>
        <v>2531</v>
      </c>
    </row>
    <row r="135" spans="1:16" x14ac:dyDescent="0.3">
      <c r="A135">
        <f ca="1"/>
        <v>45094</v>
      </c>
      <c r="B135" t="str">
        <f ca="1"/>
        <v>Tablet</v>
      </c>
      <c r="C135" t="str">
        <f ca="1"/>
        <v>Electronics</v>
      </c>
      <c r="D135" t="str">
        <f ca="1"/>
        <v>West</v>
      </c>
      <c r="E135">
        <f ca="1"/>
        <v>4</v>
      </c>
      <c r="F135">
        <f ca="1"/>
        <v>4572</v>
      </c>
      <c r="G135">
        <f ca="1"/>
        <v>1199.49</v>
      </c>
      <c r="H135">
        <f ca="1"/>
        <v>0.26235564304461945</v>
      </c>
      <c r="I135">
        <f ca="1"/>
        <v>1229</v>
      </c>
      <c r="J135" t="str">
        <f ca="1"/>
        <v>TABLET</v>
      </c>
      <c r="K135" t="str">
        <f ca="1"/>
        <v>ELECTRONICS</v>
      </c>
      <c r="L135">
        <f ca="1"/>
        <v>2023</v>
      </c>
      <c r="M135" t="str">
        <f ca="1"/>
        <v>TAB23-E</v>
      </c>
      <c r="N135" t="str">
        <f ca="1"/>
        <v>TAB</v>
      </c>
      <c r="O135" t="str">
        <f ca="1"/>
        <v>HIGH</v>
      </c>
      <c r="P135">
        <f ca="1"/>
        <v>2578</v>
      </c>
    </row>
    <row r="136" spans="1:16" x14ac:dyDescent="0.3">
      <c r="A136">
        <f ca="1"/>
        <v>44953</v>
      </c>
      <c r="B136" t="str">
        <f ca="1"/>
        <v>Laptop</v>
      </c>
      <c r="C136" t="str">
        <f ca="1"/>
        <v>Electronics</v>
      </c>
      <c r="D136" t="str">
        <f ca="1"/>
        <v>West</v>
      </c>
      <c r="E136">
        <f ca="1"/>
        <v>6</v>
      </c>
      <c r="F136">
        <f ca="1"/>
        <v>5448</v>
      </c>
      <c r="G136">
        <f ca="1"/>
        <v>963.82</v>
      </c>
      <c r="H136">
        <f ca="1"/>
        <v>0.17691262848751838</v>
      </c>
      <c r="I136">
        <f ca="1"/>
        <v>1370</v>
      </c>
      <c r="J136" t="str">
        <f ca="1"/>
        <v>LAPTOP</v>
      </c>
      <c r="K136" t="str">
        <f ca="1"/>
        <v>ELECTRONICS</v>
      </c>
      <c r="L136">
        <f ca="1"/>
        <v>2023</v>
      </c>
      <c r="M136" t="str">
        <f ca="1"/>
        <v>LAP23-E</v>
      </c>
      <c r="N136" t="str">
        <f ca="1"/>
        <v>LAP</v>
      </c>
      <c r="O136" t="str">
        <f ca="1"/>
        <v>HIGH</v>
      </c>
      <c r="P136">
        <f ca="1"/>
        <v>2637</v>
      </c>
    </row>
    <row r="137" spans="1:16" x14ac:dyDescent="0.3">
      <c r="A137">
        <f ca="1"/>
        <v>44791</v>
      </c>
      <c r="B137" t="str">
        <f ca="1"/>
        <v>Smartwatch</v>
      </c>
      <c r="C137" t="str">
        <f ca="1"/>
        <v>Electronics</v>
      </c>
      <c r="D137" t="str">
        <f ca="1"/>
        <v>West</v>
      </c>
      <c r="E137">
        <f ca="1"/>
        <v>6</v>
      </c>
      <c r="F137">
        <f ca="1"/>
        <v>7026</v>
      </c>
      <c r="G137">
        <f ca="1"/>
        <v>1814.21</v>
      </c>
      <c r="H137">
        <f ca="1"/>
        <v>0.25821377739823514</v>
      </c>
      <c r="I137">
        <f ca="1"/>
        <v>1532</v>
      </c>
      <c r="J137" t="str">
        <f ca="1"/>
        <v>SMARTWATCH</v>
      </c>
      <c r="K137" t="str">
        <f ca="1"/>
        <v>ELECTRONICS</v>
      </c>
      <c r="L137">
        <f ca="1"/>
        <v>2022</v>
      </c>
      <c r="M137" t="str">
        <f ca="1"/>
        <v>SMA22-E</v>
      </c>
      <c r="N137" t="str">
        <f ca="1"/>
        <v>SMA</v>
      </c>
      <c r="O137" t="str">
        <f ca="1"/>
        <v>HIGH</v>
      </c>
      <c r="P137">
        <f ca="1"/>
        <v>2654</v>
      </c>
    </row>
    <row r="138" spans="1:16" x14ac:dyDescent="0.3">
      <c r="A138">
        <f ca="1"/>
        <v>44877</v>
      </c>
      <c r="B138" t="str">
        <f ca="1"/>
        <v>Laptop</v>
      </c>
      <c r="C138" t="str">
        <f ca="1"/>
        <v>Electronics</v>
      </c>
      <c r="D138" t="str">
        <f ca="1"/>
        <v>West</v>
      </c>
      <c r="E138">
        <f ca="1"/>
        <v>4</v>
      </c>
      <c r="F138">
        <f ca="1"/>
        <v>4196</v>
      </c>
      <c r="G138">
        <f ca="1"/>
        <v>655.29</v>
      </c>
      <c r="H138">
        <f ca="1"/>
        <v>0.15617016205910389</v>
      </c>
      <c r="I138">
        <f ca="1"/>
        <v>1446</v>
      </c>
      <c r="J138" t="str">
        <f ca="1"/>
        <v>LAPTOP</v>
      </c>
      <c r="K138" t="str">
        <f ca="1"/>
        <v>ELECTRONICS</v>
      </c>
      <c r="L138">
        <f ca="1"/>
        <v>2022</v>
      </c>
      <c r="M138" t="str">
        <f ca="1"/>
        <v>LAP22-E</v>
      </c>
      <c r="N138" t="str">
        <f ca="1"/>
        <v>LAP</v>
      </c>
      <c r="O138" t="str">
        <f ca="1"/>
        <v>HIGH</v>
      </c>
      <c r="P138">
        <f ca="1"/>
        <v>2711</v>
      </c>
    </row>
    <row r="139" spans="1:16" x14ac:dyDescent="0.3">
      <c r="A139">
        <f ca="1"/>
        <v>44719</v>
      </c>
      <c r="B139" t="str">
        <f ca="1"/>
        <v>Smartphone</v>
      </c>
      <c r="C139" t="str">
        <f ca="1"/>
        <v>Electronics</v>
      </c>
      <c r="D139" t="str">
        <f ca="1"/>
        <v>West</v>
      </c>
      <c r="E139">
        <f ca="1"/>
        <v>7</v>
      </c>
      <c r="F139">
        <f ca="1"/>
        <v>4438</v>
      </c>
      <c r="G139">
        <f ca="1"/>
        <v>770.3</v>
      </c>
      <c r="H139">
        <f ca="1"/>
        <v>0.17356917530419105</v>
      </c>
      <c r="I139">
        <f ca="1"/>
        <v>1604</v>
      </c>
      <c r="J139" t="str">
        <f ca="1"/>
        <v>SMARTPHONE</v>
      </c>
      <c r="K139" t="str">
        <f ca="1"/>
        <v>ELECTRONICS</v>
      </c>
      <c r="L139">
        <f ca="1"/>
        <v>2022</v>
      </c>
      <c r="M139" t="str">
        <f ca="1"/>
        <v>SMA22-E</v>
      </c>
      <c r="N139" t="str">
        <f ca="1"/>
        <v>SMA</v>
      </c>
      <c r="O139" t="str">
        <f ca="1"/>
        <v>HIGH</v>
      </c>
      <c r="P139">
        <f ca="1"/>
        <v>2727</v>
      </c>
    </row>
    <row r="140" spans="1:16" x14ac:dyDescent="0.3">
      <c r="A140">
        <f ca="1"/>
        <v>45088</v>
      </c>
      <c r="B140" t="str">
        <f ca="1"/>
        <v>Camera</v>
      </c>
      <c r="C140" t="str">
        <f ca="1"/>
        <v>Electronics</v>
      </c>
      <c r="D140" t="str">
        <f ca="1"/>
        <v>West</v>
      </c>
      <c r="E140">
        <f ca="1"/>
        <v>4</v>
      </c>
      <c r="F140">
        <f ca="1"/>
        <v>2472</v>
      </c>
      <c r="G140">
        <f ca="1"/>
        <v>594.62</v>
      </c>
      <c r="H140">
        <f ca="1"/>
        <v>0.240542071197411</v>
      </c>
      <c r="I140">
        <f ca="1"/>
        <v>1235</v>
      </c>
      <c r="J140" t="str">
        <f ca="1"/>
        <v>CAMERA</v>
      </c>
      <c r="K140" t="str">
        <f ca="1"/>
        <v>ELECTRONICS</v>
      </c>
      <c r="L140">
        <f ca="1"/>
        <v>2023</v>
      </c>
      <c r="M140" t="str">
        <f ca="1"/>
        <v>CAM23-E</v>
      </c>
      <c r="N140" t="str">
        <f ca="1"/>
        <v>CAM</v>
      </c>
      <c r="O140" t="str">
        <f ca="1"/>
        <v>HIGH</v>
      </c>
      <c r="P140">
        <f ca="1"/>
        <v>2744</v>
      </c>
    </row>
    <row r="141" spans="1:16" x14ac:dyDescent="0.3">
      <c r="A141">
        <f ca="1"/>
        <v>45651</v>
      </c>
      <c r="B141" t="str">
        <f ca="1"/>
        <v>Camera</v>
      </c>
      <c r="C141" t="str">
        <f ca="1"/>
        <v>Electronics</v>
      </c>
      <c r="D141" t="str">
        <f ca="1"/>
        <v>West</v>
      </c>
      <c r="E141">
        <f ca="1"/>
        <v>5</v>
      </c>
      <c r="F141">
        <f ca="1"/>
        <v>2525</v>
      </c>
      <c r="G141">
        <f ca="1"/>
        <v>699.74</v>
      </c>
      <c r="H141">
        <f ca="1"/>
        <v>0.27712475247524754</v>
      </c>
      <c r="I141">
        <f ca="1"/>
        <v>672</v>
      </c>
      <c r="J141" t="str">
        <f ca="1"/>
        <v>CAMERA</v>
      </c>
      <c r="K141" t="str">
        <f ca="1"/>
        <v>ELECTRONICS</v>
      </c>
      <c r="L141">
        <f ca="1"/>
        <v>2024</v>
      </c>
      <c r="M141" t="str">
        <f ca="1"/>
        <v>CAM24-E</v>
      </c>
      <c r="N141" t="str">
        <f ca="1"/>
        <v>CAM</v>
      </c>
      <c r="O141" t="str">
        <f ca="1"/>
        <v>HIGH</v>
      </c>
      <c r="P141">
        <f ca="1"/>
        <v>2746</v>
      </c>
    </row>
    <row r="142" spans="1:16" x14ac:dyDescent="0.3">
      <c r="A142">
        <f ca="1"/>
        <v>45079</v>
      </c>
      <c r="B142" t="str">
        <f ca="1"/>
        <v>Tablet</v>
      </c>
      <c r="C142" t="str">
        <f ca="1"/>
        <v>Electronics</v>
      </c>
      <c r="D142" t="str">
        <f ca="1"/>
        <v>West</v>
      </c>
      <c r="E142">
        <f ca="1"/>
        <v>6</v>
      </c>
      <c r="F142">
        <f ca="1"/>
        <v>6030</v>
      </c>
      <c r="G142">
        <f ca="1"/>
        <v>511.7</v>
      </c>
      <c r="H142">
        <f ca="1"/>
        <v>8.4859038142620233E-2</v>
      </c>
      <c r="I142">
        <f ca="1"/>
        <v>1244</v>
      </c>
      <c r="J142" t="str">
        <f ca="1"/>
        <v>TABLET</v>
      </c>
      <c r="K142" t="str">
        <f ca="1"/>
        <v>ELECTRONICS</v>
      </c>
      <c r="L142">
        <f ca="1"/>
        <v>2023</v>
      </c>
      <c r="M142" t="str">
        <f ca="1"/>
        <v>TAB23-E</v>
      </c>
      <c r="N142" t="str">
        <f ca="1"/>
        <v>TAB</v>
      </c>
      <c r="O142" t="str">
        <f ca="1"/>
        <v>HIGH</v>
      </c>
      <c r="P142">
        <f ca="1"/>
        <v>2761</v>
      </c>
    </row>
    <row r="143" spans="1:16" x14ac:dyDescent="0.3">
      <c r="A143">
        <f ca="1"/>
        <v>44964</v>
      </c>
      <c r="B143" t="str">
        <f ca="1"/>
        <v>Smartwatch</v>
      </c>
      <c r="C143" t="str">
        <f ca="1"/>
        <v>Electronics</v>
      </c>
      <c r="D143" t="str">
        <f ca="1"/>
        <v>West</v>
      </c>
      <c r="E143">
        <f ca="1"/>
        <v>8</v>
      </c>
      <c r="F143">
        <f ca="1"/>
        <v>7072</v>
      </c>
      <c r="G143">
        <f ca="1"/>
        <v>1983.42</v>
      </c>
      <c r="H143">
        <f ca="1"/>
        <v>0.28046097285067872</v>
      </c>
      <c r="I143">
        <f ca="1"/>
        <v>1359</v>
      </c>
      <c r="J143" t="str">
        <f ca="1"/>
        <v>SMARTWATCH</v>
      </c>
      <c r="K143" t="str">
        <f ca="1"/>
        <v>ELECTRONICS</v>
      </c>
      <c r="L143">
        <f ca="1"/>
        <v>2023</v>
      </c>
      <c r="M143" t="str">
        <f ca="1"/>
        <v>SMA23-E</v>
      </c>
      <c r="N143" t="str">
        <f ca="1"/>
        <v>SMA</v>
      </c>
      <c r="O143" t="str">
        <f ca="1"/>
        <v>HIGH</v>
      </c>
      <c r="P143">
        <f ca="1"/>
        <v>2766</v>
      </c>
    </row>
    <row r="144" spans="1:16" x14ac:dyDescent="0.3">
      <c r="A144">
        <f ca="1"/>
        <v>45444</v>
      </c>
      <c r="B144" t="str">
        <f ca="1"/>
        <v>Camera</v>
      </c>
      <c r="C144" t="str">
        <f ca="1"/>
        <v>Electronics</v>
      </c>
      <c r="D144" t="str">
        <f ca="1"/>
        <v>West</v>
      </c>
      <c r="E144">
        <f ca="1"/>
        <v>7</v>
      </c>
      <c r="F144">
        <f ca="1"/>
        <v>2597</v>
      </c>
      <c r="G144">
        <f ca="1"/>
        <v>766.32</v>
      </c>
      <c r="H144">
        <f ca="1"/>
        <v>0.29507893723527151</v>
      </c>
      <c r="I144">
        <f ca="1"/>
        <v>879</v>
      </c>
      <c r="J144" t="str">
        <f ca="1"/>
        <v>CAMERA</v>
      </c>
      <c r="K144" t="str">
        <f ca="1"/>
        <v>ELECTRONICS</v>
      </c>
      <c r="L144">
        <f ca="1"/>
        <v>2024</v>
      </c>
      <c r="M144" t="str">
        <f ca="1"/>
        <v>CAM24-E</v>
      </c>
      <c r="N144" t="str">
        <f ca="1"/>
        <v>CAM</v>
      </c>
      <c r="O144" t="str">
        <f ca="1"/>
        <v>HIGH</v>
      </c>
      <c r="P144">
        <f ca="1"/>
        <v>2772</v>
      </c>
    </row>
    <row r="145" spans="1:16" x14ac:dyDescent="0.3">
      <c r="A145">
        <f ca="1"/>
        <v>45073</v>
      </c>
      <c r="B145" t="str">
        <f ca="1"/>
        <v>Smartphone</v>
      </c>
      <c r="C145" t="str">
        <f ca="1"/>
        <v>Electronics</v>
      </c>
      <c r="D145" t="str">
        <f ca="1"/>
        <v>West</v>
      </c>
      <c r="E145">
        <f ca="1"/>
        <v>6</v>
      </c>
      <c r="F145">
        <f ca="1"/>
        <v>4188</v>
      </c>
      <c r="G145">
        <f ca="1"/>
        <v>1231.1600000000001</v>
      </c>
      <c r="H145">
        <f ca="1"/>
        <v>0.29397325692454634</v>
      </c>
      <c r="I145">
        <f ca="1"/>
        <v>1250</v>
      </c>
      <c r="J145" t="str">
        <f ca="1"/>
        <v>SMARTPHONE</v>
      </c>
      <c r="K145" t="str">
        <f ca="1"/>
        <v>ELECTRONICS</v>
      </c>
      <c r="L145">
        <f ca="1"/>
        <v>2023</v>
      </c>
      <c r="M145" t="str">
        <f ca="1"/>
        <v>SMA23-E</v>
      </c>
      <c r="N145" t="str">
        <f ca="1"/>
        <v>SMA</v>
      </c>
      <c r="O145" t="str">
        <f ca="1"/>
        <v>HIGH</v>
      </c>
      <c r="P145">
        <f ca="1"/>
        <v>2833</v>
      </c>
    </row>
    <row r="146" spans="1:16" x14ac:dyDescent="0.3">
      <c r="A146">
        <f ca="1"/>
        <v>45502</v>
      </c>
      <c r="B146" t="str">
        <f ca="1"/>
        <v>Camera</v>
      </c>
      <c r="C146" t="str">
        <f ca="1"/>
        <v>Electronics</v>
      </c>
      <c r="D146" t="str">
        <f ca="1"/>
        <v>West</v>
      </c>
      <c r="E146">
        <f ca="1"/>
        <v>6</v>
      </c>
      <c r="F146">
        <f ca="1"/>
        <v>4146</v>
      </c>
      <c r="G146">
        <f ca="1"/>
        <v>700.46</v>
      </c>
      <c r="H146">
        <f ca="1"/>
        <v>0.16894838398456344</v>
      </c>
      <c r="I146">
        <f ca="1"/>
        <v>821</v>
      </c>
      <c r="J146" t="str">
        <f ca="1"/>
        <v>CAMERA</v>
      </c>
      <c r="K146" t="str">
        <f ca="1"/>
        <v>ELECTRONICS</v>
      </c>
      <c r="L146">
        <f ca="1"/>
        <v>2024</v>
      </c>
      <c r="M146" t="str">
        <f ca="1"/>
        <v>CAM24-E</v>
      </c>
      <c r="N146" t="str">
        <f ca="1"/>
        <v>CAM</v>
      </c>
      <c r="O146" t="str">
        <f ca="1"/>
        <v>HIGH</v>
      </c>
      <c r="P146">
        <f ca="1"/>
        <v>2847</v>
      </c>
    </row>
    <row r="147" spans="1:16" x14ac:dyDescent="0.3">
      <c r="A147">
        <f ca="1"/>
        <v>45636</v>
      </c>
      <c r="B147" t="str">
        <f ca="1"/>
        <v>Camera</v>
      </c>
      <c r="C147" t="str">
        <f ca="1"/>
        <v>Electronics</v>
      </c>
      <c r="D147" t="str">
        <f ca="1"/>
        <v>West</v>
      </c>
      <c r="E147">
        <f ca="1"/>
        <v>4</v>
      </c>
      <c r="F147">
        <f ca="1"/>
        <v>3360</v>
      </c>
      <c r="G147">
        <f ca="1"/>
        <v>540.38</v>
      </c>
      <c r="H147">
        <f ca="1"/>
        <v>0.16082738095238094</v>
      </c>
      <c r="I147">
        <f ca="1"/>
        <v>687</v>
      </c>
      <c r="J147" t="str">
        <f ca="1"/>
        <v>CAMERA</v>
      </c>
      <c r="K147" t="str">
        <f ca="1"/>
        <v>ELECTRONICS</v>
      </c>
      <c r="L147">
        <f ca="1"/>
        <v>2024</v>
      </c>
      <c r="M147" t="str">
        <f ca="1"/>
        <v>CAM24-E</v>
      </c>
      <c r="N147" t="str">
        <f ca="1"/>
        <v>CAM</v>
      </c>
      <c r="O147" t="str">
        <f ca="1"/>
        <v>HIGH</v>
      </c>
      <c r="P147">
        <f ca="1"/>
        <v>2868</v>
      </c>
    </row>
    <row r="148" spans="1:16" x14ac:dyDescent="0.3">
      <c r="A148">
        <f ca="1"/>
        <v>45342</v>
      </c>
      <c r="B148" t="str">
        <f ca="1"/>
        <v>Smartphone</v>
      </c>
      <c r="C148" t="str">
        <f ca="1"/>
        <v>Electronics</v>
      </c>
      <c r="D148" t="str">
        <f ca="1"/>
        <v>West</v>
      </c>
      <c r="E148">
        <f ca="1"/>
        <v>9</v>
      </c>
      <c r="F148">
        <f ca="1"/>
        <v>6813</v>
      </c>
      <c r="G148">
        <f ca="1"/>
        <v>890.05</v>
      </c>
      <c r="H148">
        <f ca="1"/>
        <v>0.1306399530309702</v>
      </c>
      <c r="I148">
        <f ca="1"/>
        <v>981</v>
      </c>
      <c r="J148" t="str">
        <f ca="1"/>
        <v>SMARTPHONE</v>
      </c>
      <c r="K148" t="str">
        <f ca="1"/>
        <v>ELECTRONICS</v>
      </c>
      <c r="L148">
        <f ca="1"/>
        <v>2024</v>
      </c>
      <c r="M148" t="str">
        <f ca="1"/>
        <v>SMA24-E</v>
      </c>
      <c r="N148" t="str">
        <f ca="1"/>
        <v>SMA</v>
      </c>
      <c r="O148" t="str">
        <f ca="1"/>
        <v>HIGH</v>
      </c>
      <c r="P148">
        <f ca="1"/>
        <v>2873</v>
      </c>
    </row>
    <row r="149" spans="1:16" x14ac:dyDescent="0.3">
      <c r="A149">
        <f ca="1"/>
        <v>45045</v>
      </c>
      <c r="B149" t="str">
        <f ca="1"/>
        <v>Camera</v>
      </c>
      <c r="C149" t="str">
        <f ca="1"/>
        <v>Electronics</v>
      </c>
      <c r="D149" t="str">
        <f ca="1"/>
        <v>West</v>
      </c>
      <c r="E149">
        <f ca="1"/>
        <v>5</v>
      </c>
      <c r="F149">
        <f ca="1"/>
        <v>5170</v>
      </c>
      <c r="G149">
        <f ca="1"/>
        <v>1248.6600000000001</v>
      </c>
      <c r="H149">
        <f ca="1"/>
        <v>0.2415203094777563</v>
      </c>
      <c r="I149">
        <f ca="1"/>
        <v>1278</v>
      </c>
      <c r="J149" t="str">
        <f ca="1"/>
        <v>CAMERA</v>
      </c>
      <c r="K149" t="str">
        <f ca="1"/>
        <v>ELECTRONICS</v>
      </c>
      <c r="L149">
        <f ca="1"/>
        <v>2023</v>
      </c>
      <c r="M149" t="str">
        <f ca="1"/>
        <v>CAM23-E</v>
      </c>
      <c r="N149" t="str">
        <f ca="1"/>
        <v>CAM</v>
      </c>
      <c r="O149" t="str">
        <f ca="1"/>
        <v>HIGH</v>
      </c>
      <c r="P149">
        <f ca="1"/>
        <v>2884</v>
      </c>
    </row>
    <row r="150" spans="1:16" x14ac:dyDescent="0.3">
      <c r="A150">
        <f ca="1"/>
        <v>44771</v>
      </c>
      <c r="B150" t="str">
        <f ca="1"/>
        <v>Smartwatch</v>
      </c>
      <c r="C150" t="str">
        <f ca="1"/>
        <v>Electronics</v>
      </c>
      <c r="D150" t="str">
        <f ca="1"/>
        <v>West</v>
      </c>
      <c r="E150">
        <f ca="1"/>
        <v>9</v>
      </c>
      <c r="F150">
        <f ca="1"/>
        <v>3321</v>
      </c>
      <c r="G150">
        <f ca="1"/>
        <v>540.66999999999996</v>
      </c>
      <c r="H150">
        <f ca="1"/>
        <v>0.1628033724781692</v>
      </c>
      <c r="I150">
        <f ca="1"/>
        <v>1552</v>
      </c>
      <c r="J150" t="str">
        <f ca="1"/>
        <v>SMARTWATCH</v>
      </c>
      <c r="K150" t="str">
        <f ca="1"/>
        <v>ELECTRONICS</v>
      </c>
      <c r="L150">
        <f ca="1"/>
        <v>2022</v>
      </c>
      <c r="M150" t="str">
        <f ca="1"/>
        <v>SMA22-E</v>
      </c>
      <c r="N150" t="str">
        <f ca="1"/>
        <v>SMA</v>
      </c>
      <c r="O150" t="str">
        <f ca="1"/>
        <v>HIGH</v>
      </c>
      <c r="P150">
        <f ca="1"/>
        <v>2898</v>
      </c>
    </row>
    <row r="151" spans="1:16" x14ac:dyDescent="0.3">
      <c r="A151">
        <f ca="1"/>
        <v>45633</v>
      </c>
      <c r="B151" t="str">
        <f ca="1"/>
        <v>Smartphone</v>
      </c>
      <c r="C151" t="str">
        <f ca="1"/>
        <v>Electronics</v>
      </c>
      <c r="D151" t="str">
        <f ca="1"/>
        <v>West</v>
      </c>
      <c r="E151">
        <f ca="1"/>
        <v>8</v>
      </c>
      <c r="F151">
        <f ca="1"/>
        <v>6576</v>
      </c>
      <c r="G151">
        <f ca="1"/>
        <v>1337.38</v>
      </c>
      <c r="H151">
        <f ca="1"/>
        <v>0.20337287104622873</v>
      </c>
      <c r="I151">
        <f ca="1"/>
        <v>690</v>
      </c>
      <c r="J151" t="str">
        <f ca="1"/>
        <v>SMARTPHONE</v>
      </c>
      <c r="K151" t="str">
        <f ca="1"/>
        <v>ELECTRONICS</v>
      </c>
      <c r="L151">
        <f ca="1"/>
        <v>2024</v>
      </c>
      <c r="M151" t="str">
        <f ca="1"/>
        <v>SMA24-E</v>
      </c>
      <c r="N151" t="str">
        <f ca="1"/>
        <v>SMA</v>
      </c>
      <c r="O151" t="str">
        <f ca="1"/>
        <v>HIGH</v>
      </c>
      <c r="P151">
        <f ca="1"/>
        <v>2927</v>
      </c>
    </row>
    <row r="152" spans="1:16" x14ac:dyDescent="0.3">
      <c r="A152">
        <f ca="1"/>
        <v>44854</v>
      </c>
      <c r="B152" t="str">
        <f ca="1"/>
        <v>Smartphone</v>
      </c>
      <c r="C152" t="str">
        <f ca="1"/>
        <v>Electronics</v>
      </c>
      <c r="D152" t="str">
        <f ca="1"/>
        <v>West</v>
      </c>
      <c r="E152">
        <f ca="1"/>
        <v>8</v>
      </c>
      <c r="F152">
        <f ca="1"/>
        <v>4240</v>
      </c>
      <c r="G152">
        <f ca="1"/>
        <v>519.72</v>
      </c>
      <c r="H152">
        <f ca="1"/>
        <v>0.12257547169811321</v>
      </c>
      <c r="I152">
        <f ca="1"/>
        <v>1469</v>
      </c>
      <c r="J152" t="str">
        <f ca="1"/>
        <v>SMARTPHONE</v>
      </c>
      <c r="K152" t="str">
        <f ca="1"/>
        <v>ELECTRONICS</v>
      </c>
      <c r="L152">
        <f ca="1"/>
        <v>2022</v>
      </c>
      <c r="M152" t="str">
        <f ca="1"/>
        <v>SMA22-E</v>
      </c>
      <c r="N152" t="str">
        <f ca="1"/>
        <v>SMA</v>
      </c>
      <c r="O152" t="str">
        <f ca="1"/>
        <v>HIGH</v>
      </c>
      <c r="P152">
        <f ca="1"/>
        <v>2943</v>
      </c>
    </row>
    <row r="153" spans="1:16" x14ac:dyDescent="0.3">
      <c r="A153">
        <f ca="1"/>
        <v>45583</v>
      </c>
      <c r="B153" t="str">
        <f ca="1"/>
        <v>Tablet</v>
      </c>
      <c r="C153" t="str">
        <f ca="1"/>
        <v>Electronics</v>
      </c>
      <c r="D153" t="str">
        <f ca="1"/>
        <v>West</v>
      </c>
      <c r="E153">
        <f ca="1"/>
        <v>5</v>
      </c>
      <c r="F153">
        <f ca="1"/>
        <v>4560</v>
      </c>
      <c r="G153">
        <f ca="1"/>
        <v>1180.8</v>
      </c>
      <c r="H153">
        <f ca="1"/>
        <v>0.25894736842105265</v>
      </c>
      <c r="I153">
        <f ca="1"/>
        <v>740</v>
      </c>
      <c r="J153" t="str">
        <f ca="1"/>
        <v>TABLET</v>
      </c>
      <c r="K153" t="str">
        <f ca="1"/>
        <v>ELECTRONICS</v>
      </c>
      <c r="L153">
        <f ca="1"/>
        <v>2024</v>
      </c>
      <c r="M153" t="str">
        <f ca="1"/>
        <v>TAB24-E</v>
      </c>
      <c r="N153" t="str">
        <f ca="1"/>
        <v>TAB</v>
      </c>
      <c r="O153" t="str">
        <f ca="1"/>
        <v>HIGH</v>
      </c>
      <c r="P153">
        <f ca="1"/>
        <v>2974</v>
      </c>
    </row>
    <row r="154" spans="1:16" x14ac:dyDescent="0.3">
      <c r="A154">
        <f ca="1"/>
        <v>45549</v>
      </c>
      <c r="B154" t="str">
        <f ca="1"/>
        <v>Smartphone</v>
      </c>
      <c r="C154" t="str">
        <f ca="1"/>
        <v>Electronics</v>
      </c>
      <c r="D154" t="str">
        <f ca="1"/>
        <v>West</v>
      </c>
      <c r="E154">
        <f ca="1"/>
        <v>8</v>
      </c>
      <c r="F154">
        <f ca="1"/>
        <v>7496</v>
      </c>
      <c r="G154">
        <f ca="1"/>
        <v>2019.32</v>
      </c>
      <c r="H154">
        <f ca="1"/>
        <v>0.2693863393810032</v>
      </c>
      <c r="I154">
        <f ca="1"/>
        <v>774</v>
      </c>
      <c r="J154" t="str">
        <f ca="1"/>
        <v>SMARTPHONE</v>
      </c>
      <c r="K154" t="str">
        <f ca="1"/>
        <v>ELECTRONICS</v>
      </c>
      <c r="L154">
        <f ca="1"/>
        <v>2024</v>
      </c>
      <c r="M154" t="str">
        <f ca="1"/>
        <v>SMA24-E</v>
      </c>
      <c r="N154" t="str">
        <f ca="1"/>
        <v>SMA</v>
      </c>
      <c r="O154" t="str">
        <f ca="1"/>
        <v>HIGH</v>
      </c>
      <c r="P154">
        <f ca="1"/>
        <v>2975</v>
      </c>
    </row>
    <row r="155" spans="1:16" x14ac:dyDescent="0.3">
      <c r="A155">
        <f ca="1"/>
        <v>45532</v>
      </c>
      <c r="B155" t="str">
        <f ca="1"/>
        <v>Camera</v>
      </c>
      <c r="C155" t="str">
        <f ca="1"/>
        <v>Electronics</v>
      </c>
      <c r="D155" t="str">
        <f ca="1"/>
        <v>West</v>
      </c>
      <c r="E155">
        <f ca="1"/>
        <v>7</v>
      </c>
      <c r="F155">
        <f ca="1"/>
        <v>8113</v>
      </c>
      <c r="G155">
        <f ca="1"/>
        <v>1103.57</v>
      </c>
      <c r="H155">
        <f ca="1"/>
        <v>0.13602489831135214</v>
      </c>
      <c r="I155">
        <f ca="1"/>
        <v>791</v>
      </c>
      <c r="J155" t="str">
        <f ca="1"/>
        <v>CAMERA</v>
      </c>
      <c r="K155" t="str">
        <f ca="1"/>
        <v>ELECTRONICS</v>
      </c>
      <c r="L155">
        <f ca="1"/>
        <v>2024</v>
      </c>
      <c r="M155" t="str">
        <f ca="1"/>
        <v>CAM24-E</v>
      </c>
      <c r="N155" t="str">
        <f ca="1"/>
        <v>CAM</v>
      </c>
      <c r="O155" t="str">
        <f ca="1"/>
        <v>HIGH</v>
      </c>
      <c r="P155">
        <f ca="1"/>
        <v>2979</v>
      </c>
    </row>
    <row r="156" spans="1:16" x14ac:dyDescent="0.3">
      <c r="A156">
        <f ca="1"/>
        <v>44917</v>
      </c>
      <c r="B156" t="str">
        <f ca="1"/>
        <v>Tablet</v>
      </c>
      <c r="C156" t="str">
        <f ca="1"/>
        <v>Electronics</v>
      </c>
      <c r="D156" t="str">
        <f ca="1"/>
        <v>West</v>
      </c>
      <c r="E156">
        <f ca="1"/>
        <v>6</v>
      </c>
      <c r="F156">
        <f ca="1"/>
        <v>6324</v>
      </c>
      <c r="G156">
        <f ca="1"/>
        <v>629.20000000000005</v>
      </c>
      <c r="H156">
        <f ca="1"/>
        <v>9.9493991144845043E-2</v>
      </c>
      <c r="I156">
        <f ca="1"/>
        <v>1406</v>
      </c>
      <c r="J156" t="str">
        <f ca="1"/>
        <v>TABLET</v>
      </c>
      <c r="K156" t="str">
        <f ca="1"/>
        <v>ELECTRONICS</v>
      </c>
      <c r="L156">
        <f ca="1"/>
        <v>2022</v>
      </c>
      <c r="M156" t="str">
        <f ca="1"/>
        <v>TAB22-E</v>
      </c>
      <c r="N156" t="str">
        <f ca="1"/>
        <v>TAB</v>
      </c>
      <c r="O156" t="str">
        <f ca="1"/>
        <v>HIGH</v>
      </c>
      <c r="P156">
        <f ca="1"/>
        <v>2983</v>
      </c>
    </row>
    <row r="157" spans="1:16" x14ac:dyDescent="0.3">
      <c r="A157">
        <f ca="1"/>
        <v>44757</v>
      </c>
      <c r="B157" t="str">
        <f ca="1"/>
        <v>Smartwatch</v>
      </c>
      <c r="C157" t="str">
        <f ca="1"/>
        <v>Electronics</v>
      </c>
      <c r="D157" t="str">
        <f ca="1"/>
        <v>West</v>
      </c>
      <c r="E157">
        <f ca="1"/>
        <v>9</v>
      </c>
      <c r="F157">
        <f ca="1"/>
        <v>8802</v>
      </c>
      <c r="G157">
        <f ca="1"/>
        <v>2519.9299999999998</v>
      </c>
      <c r="H157">
        <f ca="1"/>
        <v>0.28629061576914333</v>
      </c>
      <c r="I157">
        <f ca="1"/>
        <v>1566</v>
      </c>
      <c r="J157" t="str">
        <f ca="1"/>
        <v>SMARTWATCH</v>
      </c>
      <c r="K157" t="str">
        <f ca="1"/>
        <v>ELECTRONICS</v>
      </c>
      <c r="L157">
        <f ca="1"/>
        <v>2022</v>
      </c>
      <c r="M157" t="str">
        <f ca="1"/>
        <v>SMA22-E</v>
      </c>
      <c r="N157" t="str">
        <f ca="1"/>
        <v>SMA</v>
      </c>
      <c r="O157" t="str">
        <f ca="1"/>
        <v>HIGH</v>
      </c>
      <c r="P157">
        <f ca="1"/>
        <v>2997</v>
      </c>
    </row>
    <row r="158" spans="1:16" x14ac:dyDescent="0.3">
      <c r="A158">
        <f ca="1"/>
        <v>45225</v>
      </c>
      <c r="B158" t="str">
        <f ca="1"/>
        <v>Laptop</v>
      </c>
      <c r="C158" t="str">
        <f ca="1"/>
        <v>Electronics</v>
      </c>
      <c r="D158" t="str">
        <f ca="1"/>
        <v>West</v>
      </c>
      <c r="E158">
        <f ca="1"/>
        <v>6</v>
      </c>
      <c r="F158">
        <f ca="1"/>
        <v>3306</v>
      </c>
      <c r="G158">
        <f ca="1"/>
        <v>697.74</v>
      </c>
      <c r="H158">
        <f ca="1"/>
        <v>0.21105263157894738</v>
      </c>
      <c r="I158">
        <f ca="1"/>
        <v>1098</v>
      </c>
      <c r="J158" t="str">
        <f ca="1"/>
        <v>LAPTOP</v>
      </c>
      <c r="K158" t="str">
        <f ca="1"/>
        <v>ELECTRONICS</v>
      </c>
      <c r="L158">
        <f ca="1"/>
        <v>2023</v>
      </c>
      <c r="M158" t="str">
        <f ca="1"/>
        <v>LAP23-E</v>
      </c>
      <c r="N158" t="str">
        <f ca="1"/>
        <v>LAP</v>
      </c>
      <c r="O158" t="str">
        <f ca="1"/>
        <v>HIGH</v>
      </c>
      <c r="P158">
        <f ca="1"/>
        <v>3053</v>
      </c>
    </row>
    <row r="159" spans="1:16" x14ac:dyDescent="0.3">
      <c r="A159">
        <f ca="1"/>
        <v>44942</v>
      </c>
      <c r="B159" t="str">
        <f ca="1"/>
        <v>Camera</v>
      </c>
      <c r="C159" t="str">
        <f ca="1"/>
        <v>Electronics</v>
      </c>
      <c r="D159" t="str">
        <f ca="1"/>
        <v>West</v>
      </c>
      <c r="E159">
        <f ca="1"/>
        <v>9</v>
      </c>
      <c r="F159">
        <f ca="1"/>
        <v>6876</v>
      </c>
      <c r="G159">
        <f ca="1"/>
        <v>1895.24</v>
      </c>
      <c r="H159">
        <f ca="1"/>
        <v>0.27563118091913902</v>
      </c>
      <c r="I159">
        <f ca="1"/>
        <v>1381</v>
      </c>
      <c r="J159" t="str">
        <f ca="1"/>
        <v>CAMERA</v>
      </c>
      <c r="K159" t="str">
        <f ca="1"/>
        <v>ELECTRONICS</v>
      </c>
      <c r="L159">
        <f ca="1"/>
        <v>2023</v>
      </c>
      <c r="M159" t="str">
        <f ca="1"/>
        <v>CAM23-E</v>
      </c>
      <c r="N159" t="str">
        <f ca="1"/>
        <v>CAM</v>
      </c>
      <c r="O159" t="str">
        <f ca="1"/>
        <v>HIGH</v>
      </c>
      <c r="P159">
        <f ca="1"/>
        <v>3059</v>
      </c>
    </row>
    <row r="160" spans="1:16" x14ac:dyDescent="0.3">
      <c r="A160">
        <f ca="1"/>
        <v>45026</v>
      </c>
      <c r="B160" t="str">
        <f ca="1"/>
        <v>Camera</v>
      </c>
      <c r="C160" t="str">
        <f ca="1"/>
        <v>Electronics</v>
      </c>
      <c r="D160" t="str">
        <f ca="1"/>
        <v>West</v>
      </c>
      <c r="E160">
        <f ca="1"/>
        <v>7</v>
      </c>
      <c r="F160">
        <f ca="1"/>
        <v>6384</v>
      </c>
      <c r="G160">
        <f ca="1"/>
        <v>1324.49</v>
      </c>
      <c r="H160">
        <f ca="1"/>
        <v>0.2074702380952381</v>
      </c>
      <c r="I160">
        <f ca="1"/>
        <v>1297</v>
      </c>
      <c r="J160" t="str">
        <f ca="1"/>
        <v>CAMERA</v>
      </c>
      <c r="K160" t="str">
        <f ca="1"/>
        <v>ELECTRONICS</v>
      </c>
      <c r="L160">
        <f ca="1"/>
        <v>2023</v>
      </c>
      <c r="M160" t="str">
        <f ca="1"/>
        <v>CAM23-E</v>
      </c>
      <c r="N160" t="str">
        <f ca="1"/>
        <v>CAM</v>
      </c>
      <c r="O160" t="str">
        <f ca="1"/>
        <v>HIGH</v>
      </c>
      <c r="P160">
        <f ca="1"/>
        <v>3077</v>
      </c>
    </row>
    <row r="161" spans="1:16" x14ac:dyDescent="0.3">
      <c r="A161">
        <f ca="1"/>
        <v>45650</v>
      </c>
      <c r="B161" t="str">
        <f ca="1"/>
        <v>Tablet</v>
      </c>
      <c r="C161" t="str">
        <f ca="1"/>
        <v>Electronics</v>
      </c>
      <c r="D161" t="str">
        <f ca="1"/>
        <v>West</v>
      </c>
      <c r="E161">
        <f ca="1"/>
        <v>6</v>
      </c>
      <c r="F161">
        <f ca="1"/>
        <v>2676</v>
      </c>
      <c r="G161">
        <f ca="1"/>
        <v>646.70000000000005</v>
      </c>
      <c r="H161">
        <f ca="1"/>
        <v>0.2416666666666667</v>
      </c>
      <c r="I161">
        <f ca="1"/>
        <v>673</v>
      </c>
      <c r="J161" t="str">
        <f ca="1"/>
        <v>TABLET</v>
      </c>
      <c r="K161" t="str">
        <f ca="1"/>
        <v>ELECTRONICS</v>
      </c>
      <c r="L161">
        <f ca="1"/>
        <v>2024</v>
      </c>
      <c r="M161" t="str">
        <f ca="1"/>
        <v>TAB24-E</v>
      </c>
      <c r="N161" t="str">
        <f ca="1"/>
        <v>TAB</v>
      </c>
      <c r="O161" t="str">
        <f ca="1"/>
        <v>HIGH</v>
      </c>
      <c r="P161">
        <f ca="1"/>
        <v>3093</v>
      </c>
    </row>
    <row r="162" spans="1:16" x14ac:dyDescent="0.3">
      <c r="A162">
        <f ca="1"/>
        <v>44734</v>
      </c>
      <c r="B162" t="str">
        <f ca="1"/>
        <v>Camera</v>
      </c>
      <c r="C162" t="str">
        <f ca="1"/>
        <v>Electronics</v>
      </c>
      <c r="D162" t="str">
        <f ca="1"/>
        <v>West</v>
      </c>
      <c r="E162">
        <f ca="1"/>
        <v>3</v>
      </c>
      <c r="F162">
        <f ca="1"/>
        <v>1848</v>
      </c>
      <c r="G162">
        <f ca="1"/>
        <v>549.34</v>
      </c>
      <c r="H162">
        <f ca="1"/>
        <v>0.29726190476190478</v>
      </c>
      <c r="I162">
        <f ca="1"/>
        <v>1589</v>
      </c>
      <c r="J162" t="str">
        <f ca="1"/>
        <v>CAMERA</v>
      </c>
      <c r="K162" t="str">
        <f ca="1"/>
        <v>ELECTRONICS</v>
      </c>
      <c r="L162">
        <f ca="1"/>
        <v>2022</v>
      </c>
      <c r="M162" t="str">
        <f ca="1"/>
        <v>CAM22-E</v>
      </c>
      <c r="N162" t="str">
        <f ca="1"/>
        <v>CAM</v>
      </c>
      <c r="O162" t="str">
        <f ca="1"/>
        <v>HIGH</v>
      </c>
      <c r="P162">
        <f ca="1"/>
        <v>3168</v>
      </c>
    </row>
    <row r="163" spans="1:16" x14ac:dyDescent="0.3">
      <c r="A163">
        <f ca="1"/>
        <v>45371</v>
      </c>
      <c r="B163" t="str">
        <f ca="1"/>
        <v>Tablet</v>
      </c>
      <c r="C163" t="str">
        <f ca="1"/>
        <v>Electronics</v>
      </c>
      <c r="D163" t="str">
        <f ca="1"/>
        <v>West</v>
      </c>
      <c r="E163">
        <f ca="1"/>
        <v>6</v>
      </c>
      <c r="F163">
        <f ca="1"/>
        <v>5820</v>
      </c>
      <c r="G163">
        <f ca="1"/>
        <v>1423.67</v>
      </c>
      <c r="H163">
        <f ca="1"/>
        <v>0.24461683848797253</v>
      </c>
      <c r="I163">
        <f ca="1"/>
        <v>952</v>
      </c>
      <c r="J163" t="str">
        <f ca="1"/>
        <v>TABLET</v>
      </c>
      <c r="K163" t="str">
        <f ca="1"/>
        <v>ELECTRONICS</v>
      </c>
      <c r="L163">
        <f ca="1"/>
        <v>2024</v>
      </c>
      <c r="M163" t="str">
        <f ca="1"/>
        <v>TAB24-E</v>
      </c>
      <c r="N163" t="str">
        <f ca="1"/>
        <v>TAB</v>
      </c>
      <c r="O163" t="str">
        <f ca="1"/>
        <v>HIGH</v>
      </c>
      <c r="P163">
        <f ca="1"/>
        <v>3197</v>
      </c>
    </row>
    <row r="164" spans="1:16" x14ac:dyDescent="0.3">
      <c r="A164">
        <f ca="1"/>
        <v>45305</v>
      </c>
      <c r="B164" t="str">
        <f ca="1"/>
        <v>Laptop</v>
      </c>
      <c r="C164" t="str">
        <f ca="1"/>
        <v>Electronics</v>
      </c>
      <c r="D164" t="str">
        <f ca="1"/>
        <v>West</v>
      </c>
      <c r="E164">
        <f ca="1"/>
        <v>6</v>
      </c>
      <c r="F164">
        <f ca="1"/>
        <v>4728</v>
      </c>
      <c r="G164">
        <f ca="1"/>
        <v>682.01</v>
      </c>
      <c r="H164">
        <f ca="1"/>
        <v>0.14424915397631133</v>
      </c>
      <c r="I164">
        <f ca="1"/>
        <v>1018</v>
      </c>
      <c r="J164" t="str">
        <f ca="1"/>
        <v>LAPTOP</v>
      </c>
      <c r="K164" t="str">
        <f ca="1"/>
        <v>ELECTRONICS</v>
      </c>
      <c r="L164">
        <f ca="1"/>
        <v>2024</v>
      </c>
      <c r="M164" t="str">
        <f ca="1"/>
        <v>LAP24-E</v>
      </c>
      <c r="N164" t="str">
        <f ca="1"/>
        <v>LAP</v>
      </c>
      <c r="O164" t="str">
        <f ca="1"/>
        <v>HIGH</v>
      </c>
      <c r="P164">
        <f ca="1"/>
        <v>3206</v>
      </c>
    </row>
    <row r="165" spans="1:16" x14ac:dyDescent="0.3">
      <c r="A165">
        <f ca="1"/>
        <v>45536</v>
      </c>
      <c r="B165" t="str">
        <f ca="1"/>
        <v>Laptop</v>
      </c>
      <c r="C165" t="str">
        <f ca="1"/>
        <v>Electronics</v>
      </c>
      <c r="D165" t="str">
        <f ca="1"/>
        <v>West</v>
      </c>
      <c r="E165">
        <f ca="1"/>
        <v>5</v>
      </c>
      <c r="F165">
        <f ca="1"/>
        <v>5845</v>
      </c>
      <c r="G165">
        <f ca="1"/>
        <v>941.79</v>
      </c>
      <c r="H165">
        <f ca="1"/>
        <v>0.16112745936698031</v>
      </c>
      <c r="I165">
        <f ca="1"/>
        <v>787</v>
      </c>
      <c r="J165" t="str">
        <f ca="1"/>
        <v>LAPTOP</v>
      </c>
      <c r="K165" t="str">
        <f ca="1"/>
        <v>ELECTRONICS</v>
      </c>
      <c r="L165">
        <f ca="1"/>
        <v>2024</v>
      </c>
      <c r="M165" t="str">
        <f ca="1"/>
        <v>LAP24-E</v>
      </c>
      <c r="N165" t="str">
        <f ca="1"/>
        <v>LAP</v>
      </c>
      <c r="O165" t="str">
        <f ca="1"/>
        <v>HIGH</v>
      </c>
      <c r="P165">
        <f ca="1"/>
        <v>3209</v>
      </c>
    </row>
    <row r="166" spans="1:16" x14ac:dyDescent="0.3">
      <c r="A166">
        <f ca="1"/>
        <v>44789</v>
      </c>
      <c r="B166" t="str">
        <f ca="1"/>
        <v>Camera</v>
      </c>
      <c r="C166" t="str">
        <f ca="1"/>
        <v>Electronics</v>
      </c>
      <c r="D166" t="str">
        <f ca="1"/>
        <v>West</v>
      </c>
      <c r="E166">
        <f ca="1"/>
        <v>6</v>
      </c>
      <c r="F166">
        <f ca="1"/>
        <v>4800</v>
      </c>
      <c r="G166">
        <f ca="1"/>
        <v>930.44</v>
      </c>
      <c r="H166">
        <f ca="1"/>
        <v>0.19384166666666669</v>
      </c>
      <c r="I166">
        <f ca="1"/>
        <v>1534</v>
      </c>
      <c r="J166" t="str">
        <f ca="1"/>
        <v>CAMERA</v>
      </c>
      <c r="K166" t="str">
        <f ca="1"/>
        <v>ELECTRONICS</v>
      </c>
      <c r="L166">
        <f ca="1"/>
        <v>2022</v>
      </c>
      <c r="M166" t="str">
        <f ca="1"/>
        <v>CAM22-E</v>
      </c>
      <c r="N166" t="str">
        <f ca="1"/>
        <v>CAM</v>
      </c>
      <c r="O166" t="str">
        <f ca="1"/>
        <v>HIGH</v>
      </c>
      <c r="P166">
        <f ca="1"/>
        <v>3215</v>
      </c>
    </row>
    <row r="167" spans="1:16" x14ac:dyDescent="0.3">
      <c r="A167">
        <f ca="1"/>
        <v>45620</v>
      </c>
      <c r="B167" t="str">
        <f ca="1"/>
        <v>Smartwatch</v>
      </c>
      <c r="C167" t="str">
        <f ca="1"/>
        <v>Electronics</v>
      </c>
      <c r="D167" t="str">
        <f ca="1"/>
        <v>West</v>
      </c>
      <c r="E167">
        <f ca="1"/>
        <v>8</v>
      </c>
      <c r="F167">
        <f ca="1"/>
        <v>8560</v>
      </c>
      <c r="G167">
        <f ca="1"/>
        <v>991.94</v>
      </c>
      <c r="H167">
        <f ca="1"/>
        <v>0.11588084112149534</v>
      </c>
      <c r="I167">
        <f ca="1"/>
        <v>703</v>
      </c>
      <c r="J167" t="str">
        <f ca="1"/>
        <v>SMARTWATCH</v>
      </c>
      <c r="K167" t="str">
        <f ca="1"/>
        <v>ELECTRONICS</v>
      </c>
      <c r="L167">
        <f ca="1"/>
        <v>2024</v>
      </c>
      <c r="M167" t="str">
        <f ca="1"/>
        <v>SMA24-E</v>
      </c>
      <c r="N167" t="str">
        <f ca="1"/>
        <v>SMA</v>
      </c>
      <c r="O167" t="str">
        <f ca="1"/>
        <v>HIGH</v>
      </c>
      <c r="P167">
        <f ca="1"/>
        <v>3222</v>
      </c>
    </row>
    <row r="168" spans="1:16" x14ac:dyDescent="0.3">
      <c r="A168">
        <f ca="1"/>
        <v>45611</v>
      </c>
      <c r="B168" t="str">
        <f ca="1"/>
        <v>Tablet</v>
      </c>
      <c r="C168" t="str">
        <f ca="1"/>
        <v>Electronics</v>
      </c>
      <c r="D168" t="str">
        <f ca="1"/>
        <v>West</v>
      </c>
      <c r="E168">
        <f ca="1"/>
        <v>6</v>
      </c>
      <c r="F168">
        <f ca="1"/>
        <v>4722</v>
      </c>
      <c r="G168">
        <f ca="1"/>
        <v>522.16</v>
      </c>
      <c r="H168">
        <f ca="1"/>
        <v>0.11058026260059296</v>
      </c>
      <c r="I168">
        <f ca="1"/>
        <v>712</v>
      </c>
      <c r="J168" t="str">
        <f ca="1"/>
        <v>TABLET</v>
      </c>
      <c r="K168" t="str">
        <f ca="1"/>
        <v>ELECTRONICS</v>
      </c>
      <c r="L168">
        <f ca="1"/>
        <v>2024</v>
      </c>
      <c r="M168" t="str">
        <f ca="1"/>
        <v>TAB24-E</v>
      </c>
      <c r="N168" t="str">
        <f ca="1"/>
        <v>TAB</v>
      </c>
      <c r="O168" t="str">
        <f ca="1"/>
        <v>HIGH</v>
      </c>
      <c r="P168">
        <f ca="1"/>
        <v>3226</v>
      </c>
    </row>
    <row r="169" spans="1:16" x14ac:dyDescent="0.3">
      <c r="A169">
        <f ca="1"/>
        <v>45425</v>
      </c>
      <c r="B169" t="str">
        <f ca="1"/>
        <v>Camera</v>
      </c>
      <c r="C169" t="str">
        <f ca="1"/>
        <v>Electronics</v>
      </c>
      <c r="D169" t="str">
        <f ca="1"/>
        <v>West</v>
      </c>
      <c r="E169">
        <f ca="1"/>
        <v>6</v>
      </c>
      <c r="F169">
        <f ca="1"/>
        <v>5250</v>
      </c>
      <c r="G169">
        <f ca="1"/>
        <v>1228.49</v>
      </c>
      <c r="H169">
        <f ca="1"/>
        <v>0.23399809523809523</v>
      </c>
      <c r="I169">
        <f ca="1"/>
        <v>898</v>
      </c>
      <c r="J169" t="str">
        <f ca="1"/>
        <v>CAMERA</v>
      </c>
      <c r="K169" t="str">
        <f ca="1"/>
        <v>ELECTRONICS</v>
      </c>
      <c r="L169">
        <f ca="1"/>
        <v>2024</v>
      </c>
      <c r="M169" t="str">
        <f ca="1"/>
        <v>CAM24-E</v>
      </c>
      <c r="N169" t="str">
        <f ca="1"/>
        <v>CAM</v>
      </c>
      <c r="O169" t="str">
        <f ca="1"/>
        <v>HIGH</v>
      </c>
      <c r="P169">
        <f ca="1"/>
        <v>3241</v>
      </c>
    </row>
    <row r="170" spans="1:16" x14ac:dyDescent="0.3">
      <c r="A170">
        <f ca="1"/>
        <v>45217</v>
      </c>
      <c r="B170" t="str">
        <f ca="1"/>
        <v>Camera</v>
      </c>
      <c r="C170" t="str">
        <f ca="1"/>
        <v>Electronics</v>
      </c>
      <c r="D170" t="str">
        <f ca="1"/>
        <v>West</v>
      </c>
      <c r="E170">
        <f ca="1"/>
        <v>6</v>
      </c>
      <c r="F170">
        <f ca="1"/>
        <v>6846</v>
      </c>
      <c r="G170">
        <f ca="1"/>
        <v>932.21</v>
      </c>
      <c r="H170">
        <f ca="1"/>
        <v>0.1361685655857435</v>
      </c>
      <c r="I170">
        <f ca="1"/>
        <v>1106</v>
      </c>
      <c r="J170" t="str">
        <f ca="1"/>
        <v>CAMERA</v>
      </c>
      <c r="K170" t="str">
        <f ca="1"/>
        <v>ELECTRONICS</v>
      </c>
      <c r="L170">
        <f ca="1"/>
        <v>2023</v>
      </c>
      <c r="M170" t="str">
        <f ca="1"/>
        <v>CAM23-E</v>
      </c>
      <c r="N170" t="str">
        <f ca="1"/>
        <v>CAM</v>
      </c>
      <c r="O170" t="str">
        <f ca="1"/>
        <v>HIGH</v>
      </c>
      <c r="P170">
        <f ca="1"/>
        <v>3251</v>
      </c>
    </row>
    <row r="171" spans="1:16" x14ac:dyDescent="0.3">
      <c r="A171">
        <f ca="1"/>
        <v>45646</v>
      </c>
      <c r="B171" t="str">
        <f ca="1"/>
        <v>Tablet</v>
      </c>
      <c r="C171" t="str">
        <f ca="1"/>
        <v>Electronics</v>
      </c>
      <c r="D171" t="str">
        <f ca="1"/>
        <v>West</v>
      </c>
      <c r="E171">
        <f ca="1"/>
        <v>6</v>
      </c>
      <c r="F171">
        <f ca="1"/>
        <v>3384</v>
      </c>
      <c r="G171">
        <f ca="1"/>
        <v>503.86</v>
      </c>
      <c r="H171">
        <f ca="1"/>
        <v>0.14889479905437353</v>
      </c>
      <c r="I171">
        <f ca="1"/>
        <v>677</v>
      </c>
      <c r="J171" t="str">
        <f ca="1"/>
        <v>TABLET</v>
      </c>
      <c r="K171" t="str">
        <f ca="1"/>
        <v>ELECTRONICS</v>
      </c>
      <c r="L171">
        <f ca="1"/>
        <v>2024</v>
      </c>
      <c r="M171" t="str">
        <f ca="1"/>
        <v>TAB24-E</v>
      </c>
      <c r="N171" t="str">
        <f ca="1"/>
        <v>TAB</v>
      </c>
      <c r="O171" t="str">
        <f ca="1"/>
        <v>HIGH</v>
      </c>
      <c r="P171">
        <f ca="1"/>
        <v>3298</v>
      </c>
    </row>
    <row r="172" spans="1:16" x14ac:dyDescent="0.3">
      <c r="A172">
        <f ca="1"/>
        <v>44835</v>
      </c>
      <c r="B172" t="str">
        <f ca="1"/>
        <v>Tablet</v>
      </c>
      <c r="C172" t="str">
        <f ca="1"/>
        <v>Electronics</v>
      </c>
      <c r="D172" t="str">
        <f ca="1"/>
        <v>West</v>
      </c>
      <c r="E172">
        <f ca="1"/>
        <v>7</v>
      </c>
      <c r="F172">
        <f ca="1"/>
        <v>2611</v>
      </c>
      <c r="G172">
        <f ca="1"/>
        <v>539.37</v>
      </c>
      <c r="H172">
        <f ca="1"/>
        <v>0.20657602451168136</v>
      </c>
      <c r="I172">
        <f ca="1"/>
        <v>1488</v>
      </c>
      <c r="J172" t="str">
        <f ca="1"/>
        <v>TABLET</v>
      </c>
      <c r="K172" t="str">
        <f ca="1"/>
        <v>ELECTRONICS</v>
      </c>
      <c r="L172">
        <f ca="1"/>
        <v>2022</v>
      </c>
      <c r="M172" t="str">
        <f ca="1"/>
        <v>TAB22-E</v>
      </c>
      <c r="N172" t="str">
        <f ca="1"/>
        <v>TAB</v>
      </c>
      <c r="O172" t="str">
        <f ca="1"/>
        <v>HIGH</v>
      </c>
      <c r="P172">
        <f ca="1"/>
        <v>3319</v>
      </c>
    </row>
    <row r="173" spans="1:16" x14ac:dyDescent="0.3">
      <c r="A173">
        <f ca="1"/>
        <v>45473</v>
      </c>
      <c r="B173" t="str">
        <f ca="1"/>
        <v>Laptop</v>
      </c>
      <c r="C173" t="str">
        <f ca="1"/>
        <v>Electronics</v>
      </c>
      <c r="D173" t="str">
        <f ca="1"/>
        <v>West</v>
      </c>
      <c r="E173">
        <f ca="1"/>
        <v>6</v>
      </c>
      <c r="F173">
        <f ca="1"/>
        <v>6234</v>
      </c>
      <c r="G173">
        <f ca="1"/>
        <v>1829.07</v>
      </c>
      <c r="H173">
        <f ca="1"/>
        <v>0.29340230991337823</v>
      </c>
      <c r="I173">
        <f ca="1"/>
        <v>850</v>
      </c>
      <c r="J173" t="str">
        <f ca="1"/>
        <v>LAPTOP</v>
      </c>
      <c r="K173" t="str">
        <f ca="1"/>
        <v>ELECTRONICS</v>
      </c>
      <c r="L173">
        <f ca="1"/>
        <v>2024</v>
      </c>
      <c r="M173" t="str">
        <f ca="1"/>
        <v>LAP24-E</v>
      </c>
      <c r="N173" t="str">
        <f ca="1"/>
        <v>LAP</v>
      </c>
      <c r="O173" t="str">
        <f ca="1"/>
        <v>HIGH</v>
      </c>
      <c r="P173">
        <f ca="1"/>
        <v>3324</v>
      </c>
    </row>
    <row r="174" spans="1:16" x14ac:dyDescent="0.3">
      <c r="A174">
        <f ca="1"/>
        <v>45560</v>
      </c>
      <c r="B174" t="str">
        <f ca="1"/>
        <v>Smartphone</v>
      </c>
      <c r="C174" t="str">
        <f ca="1"/>
        <v>Electronics</v>
      </c>
      <c r="D174" t="str">
        <f ca="1"/>
        <v>West</v>
      </c>
      <c r="E174">
        <f ca="1"/>
        <v>4</v>
      </c>
      <c r="F174">
        <f ca="1"/>
        <v>1852</v>
      </c>
      <c r="G174">
        <f ca="1"/>
        <v>535.07000000000005</v>
      </c>
      <c r="H174">
        <f ca="1"/>
        <v>0.288914686825054</v>
      </c>
      <c r="I174">
        <f ca="1"/>
        <v>763</v>
      </c>
      <c r="J174" t="str">
        <f ca="1"/>
        <v>SMARTPHONE</v>
      </c>
      <c r="K174" t="str">
        <f ca="1"/>
        <v>ELECTRONICS</v>
      </c>
      <c r="L174">
        <f ca="1"/>
        <v>2024</v>
      </c>
      <c r="M174" t="str">
        <f ca="1"/>
        <v>SMA24-E</v>
      </c>
      <c r="N174" t="str">
        <f ca="1"/>
        <v>SMA</v>
      </c>
      <c r="O174" t="str">
        <f ca="1"/>
        <v>HIGH</v>
      </c>
      <c r="P174">
        <f ca="1"/>
        <v>3325</v>
      </c>
    </row>
    <row r="175" spans="1:16" x14ac:dyDescent="0.3">
      <c r="A175">
        <f ca="1"/>
        <v>45027</v>
      </c>
      <c r="B175" t="str">
        <f ca="1"/>
        <v>Laptop</v>
      </c>
      <c r="C175" t="str">
        <f ca="1"/>
        <v>Electronics</v>
      </c>
      <c r="D175" t="str">
        <f ca="1"/>
        <v>West</v>
      </c>
      <c r="E175">
        <f ca="1"/>
        <v>6</v>
      </c>
      <c r="F175">
        <f ca="1"/>
        <v>5136</v>
      </c>
      <c r="G175">
        <f ca="1"/>
        <v>1225.4000000000001</v>
      </c>
      <c r="H175">
        <f ca="1"/>
        <v>0.23859034267912774</v>
      </c>
      <c r="I175">
        <f ca="1"/>
        <v>1296</v>
      </c>
      <c r="J175" t="str">
        <f ca="1"/>
        <v>LAPTOP</v>
      </c>
      <c r="K175" t="str">
        <f ca="1"/>
        <v>ELECTRONICS</v>
      </c>
      <c r="L175">
        <f ca="1"/>
        <v>2023</v>
      </c>
      <c r="M175" t="str">
        <f ca="1"/>
        <v>LAP23-E</v>
      </c>
      <c r="N175" t="str">
        <f ca="1"/>
        <v>LAP</v>
      </c>
      <c r="O175" t="str">
        <f ca="1"/>
        <v>HIGH</v>
      </c>
      <c r="P175">
        <f ca="1"/>
        <v>3334</v>
      </c>
    </row>
    <row r="176" spans="1:16" x14ac:dyDescent="0.3">
      <c r="A176">
        <f ca="1"/>
        <v>44571</v>
      </c>
      <c r="B176" t="str">
        <f ca="1"/>
        <v>Camera</v>
      </c>
      <c r="C176" t="str">
        <f ca="1"/>
        <v>Electronics</v>
      </c>
      <c r="D176" t="str">
        <f ca="1"/>
        <v>West</v>
      </c>
      <c r="E176">
        <f ca="1"/>
        <v>7</v>
      </c>
      <c r="F176">
        <f ca="1"/>
        <v>6076</v>
      </c>
      <c r="G176">
        <f ca="1"/>
        <v>788.14</v>
      </c>
      <c r="H176">
        <f ca="1"/>
        <v>0.12971362738643843</v>
      </c>
      <c r="I176">
        <f ca="1"/>
        <v>1752</v>
      </c>
      <c r="J176" t="str">
        <f ca="1"/>
        <v>CAMERA</v>
      </c>
      <c r="K176" t="str">
        <f ca="1"/>
        <v>ELECTRONICS</v>
      </c>
      <c r="L176">
        <f ca="1"/>
        <v>2022</v>
      </c>
      <c r="M176" t="str">
        <f ca="1"/>
        <v>CAM22-E</v>
      </c>
      <c r="N176" t="str">
        <f ca="1"/>
        <v>CAM</v>
      </c>
      <c r="O176" t="str">
        <f ca="1"/>
        <v>HIGH</v>
      </c>
      <c r="P176">
        <f ca="1"/>
        <v>3373</v>
      </c>
    </row>
    <row r="177" spans="1:16" x14ac:dyDescent="0.3">
      <c r="A177">
        <f ca="1"/>
        <v>45087</v>
      </c>
      <c r="B177" t="str">
        <f ca="1"/>
        <v>Smartphone</v>
      </c>
      <c r="C177" t="str">
        <f ca="1"/>
        <v>Electronics</v>
      </c>
      <c r="D177" t="str">
        <f ca="1"/>
        <v>West</v>
      </c>
      <c r="E177">
        <f ca="1"/>
        <v>7</v>
      </c>
      <c r="F177">
        <f ca="1"/>
        <v>5712</v>
      </c>
      <c r="G177">
        <f ca="1"/>
        <v>929.42</v>
      </c>
      <c r="H177">
        <f ca="1"/>
        <v>0.16271358543417366</v>
      </c>
      <c r="I177">
        <f ca="1"/>
        <v>1236</v>
      </c>
      <c r="J177" t="str">
        <f ca="1"/>
        <v>SMARTPHONE</v>
      </c>
      <c r="K177" t="str">
        <f ca="1"/>
        <v>ELECTRONICS</v>
      </c>
      <c r="L177">
        <f ca="1"/>
        <v>2023</v>
      </c>
      <c r="M177" t="str">
        <f ca="1"/>
        <v>SMA23-E</v>
      </c>
      <c r="N177" t="str">
        <f ca="1"/>
        <v>SMA</v>
      </c>
      <c r="O177" t="str">
        <f ca="1"/>
        <v>HIGH</v>
      </c>
      <c r="P177">
        <f ca="1"/>
        <v>3429</v>
      </c>
    </row>
    <row r="178" spans="1:16" x14ac:dyDescent="0.3">
      <c r="A178">
        <f ca="1"/>
        <v>45023</v>
      </c>
      <c r="B178" t="str">
        <f ca="1"/>
        <v>Smartwatch</v>
      </c>
      <c r="C178" t="str">
        <f ca="1"/>
        <v>Electronics</v>
      </c>
      <c r="D178" t="str">
        <f ca="1"/>
        <v>West</v>
      </c>
      <c r="E178">
        <f ca="1"/>
        <v>5</v>
      </c>
      <c r="F178">
        <f ca="1"/>
        <v>2480</v>
      </c>
      <c r="G178">
        <f ca="1"/>
        <v>601.66</v>
      </c>
      <c r="H178">
        <f ca="1"/>
        <v>0.24260483870967742</v>
      </c>
      <c r="I178">
        <f ca="1"/>
        <v>1300</v>
      </c>
      <c r="J178" t="str">
        <f ca="1"/>
        <v>SMARTWATCH</v>
      </c>
      <c r="K178" t="str">
        <f ca="1"/>
        <v>ELECTRONICS</v>
      </c>
      <c r="L178">
        <f ca="1"/>
        <v>2023</v>
      </c>
      <c r="M178" t="str">
        <f ca="1"/>
        <v>SMA23-E</v>
      </c>
      <c r="N178" t="str">
        <f ca="1"/>
        <v>SMA</v>
      </c>
      <c r="O178" t="str">
        <f ca="1"/>
        <v>HIGH</v>
      </c>
      <c r="P178">
        <f ca="1"/>
        <v>3443</v>
      </c>
    </row>
    <row r="179" spans="1:16" x14ac:dyDescent="0.3">
      <c r="A179">
        <f ca="1"/>
        <v>45009</v>
      </c>
      <c r="B179" t="str">
        <f ca="1"/>
        <v>Camera</v>
      </c>
      <c r="C179" t="str">
        <f ca="1"/>
        <v>Electronics</v>
      </c>
      <c r="D179" t="str">
        <f ca="1"/>
        <v>West</v>
      </c>
      <c r="E179">
        <f ca="1"/>
        <v>7</v>
      </c>
      <c r="F179">
        <f ca="1"/>
        <v>7455</v>
      </c>
      <c r="G179">
        <f ca="1"/>
        <v>966.64</v>
      </c>
      <c r="H179">
        <f ca="1"/>
        <v>0.12966331321260899</v>
      </c>
      <c r="I179">
        <f ca="1"/>
        <v>1314</v>
      </c>
      <c r="J179" t="str">
        <f ca="1"/>
        <v>CAMERA</v>
      </c>
      <c r="K179" t="str">
        <f ca="1"/>
        <v>ELECTRONICS</v>
      </c>
      <c r="L179">
        <f ca="1"/>
        <v>2023</v>
      </c>
      <c r="M179" t="str">
        <f ca="1"/>
        <v>CAM23-E</v>
      </c>
      <c r="N179" t="str">
        <f ca="1"/>
        <v>CAM</v>
      </c>
      <c r="O179" t="str">
        <f ca="1"/>
        <v>HIGH</v>
      </c>
      <c r="P179">
        <f ca="1"/>
        <v>3468</v>
      </c>
    </row>
    <row r="180" spans="1:16" x14ac:dyDescent="0.3">
      <c r="A180">
        <f ca="1"/>
        <v>44771</v>
      </c>
      <c r="B180" t="str">
        <f ca="1"/>
        <v>Camera</v>
      </c>
      <c r="C180" t="str">
        <f ca="1"/>
        <v>Electronics</v>
      </c>
      <c r="D180" t="str">
        <f ca="1"/>
        <v>West</v>
      </c>
      <c r="E180">
        <f ca="1"/>
        <v>9</v>
      </c>
      <c r="F180">
        <f ca="1"/>
        <v>10017</v>
      </c>
      <c r="G180">
        <f ca="1"/>
        <v>1468.72</v>
      </c>
      <c r="H180">
        <f ca="1"/>
        <v>0.14662274133972247</v>
      </c>
      <c r="I180">
        <f ca="1"/>
        <v>1552</v>
      </c>
      <c r="J180" t="str">
        <f ca="1"/>
        <v>CAMERA</v>
      </c>
      <c r="K180" t="str">
        <f ca="1"/>
        <v>ELECTRONICS</v>
      </c>
      <c r="L180">
        <f ca="1"/>
        <v>2022</v>
      </c>
      <c r="M180" t="str">
        <f ca="1"/>
        <v>CAM22-E</v>
      </c>
      <c r="N180" t="str">
        <f ca="1"/>
        <v>CAM</v>
      </c>
      <c r="O180" t="str">
        <f ca="1"/>
        <v>HIGH</v>
      </c>
      <c r="P180">
        <f ca="1"/>
        <v>3477</v>
      </c>
    </row>
    <row r="181" spans="1:16" x14ac:dyDescent="0.3">
      <c r="A181">
        <f ca="1"/>
        <v>44736</v>
      </c>
      <c r="B181" t="str">
        <f ca="1"/>
        <v>Smartwatch</v>
      </c>
      <c r="C181" t="str">
        <f ca="1"/>
        <v>Electronics</v>
      </c>
      <c r="D181" t="str">
        <f ca="1"/>
        <v>West</v>
      </c>
      <c r="E181">
        <f ca="1"/>
        <v>2</v>
      </c>
      <c r="F181">
        <f ca="1"/>
        <v>2314</v>
      </c>
      <c r="G181">
        <f ca="1"/>
        <v>600.76</v>
      </c>
      <c r="H181">
        <f ca="1"/>
        <v>0.25961970613656005</v>
      </c>
      <c r="I181">
        <f ca="1"/>
        <v>1587</v>
      </c>
      <c r="J181" t="str">
        <f ca="1"/>
        <v>SMARTWATCH</v>
      </c>
      <c r="K181" t="str">
        <f ca="1"/>
        <v>ELECTRONICS</v>
      </c>
      <c r="L181">
        <f ca="1"/>
        <v>2022</v>
      </c>
      <c r="M181" t="str">
        <f ca="1"/>
        <v>SMA22-E</v>
      </c>
      <c r="N181" t="str">
        <f ca="1"/>
        <v>SMA</v>
      </c>
      <c r="O181" t="str">
        <f ca="1"/>
        <v>HIGH</v>
      </c>
      <c r="P181">
        <f ca="1"/>
        <v>3483</v>
      </c>
    </row>
    <row r="182" spans="1:16" x14ac:dyDescent="0.3">
      <c r="A182">
        <f ca="1"/>
        <v>45060</v>
      </c>
      <c r="B182" t="str">
        <f ca="1"/>
        <v>Laptop</v>
      </c>
      <c r="C182" t="str">
        <f ca="1"/>
        <v>Electronics</v>
      </c>
      <c r="D182" t="str">
        <f ca="1"/>
        <v>West</v>
      </c>
      <c r="E182">
        <f ca="1"/>
        <v>9</v>
      </c>
      <c r="F182">
        <f ca="1"/>
        <v>9702</v>
      </c>
      <c r="G182">
        <f ca="1"/>
        <v>2771.49</v>
      </c>
      <c r="H182">
        <f ca="1"/>
        <v>0.28566171923314776</v>
      </c>
      <c r="I182">
        <f ca="1"/>
        <v>1263</v>
      </c>
      <c r="J182" t="str">
        <f ca="1"/>
        <v>LAPTOP</v>
      </c>
      <c r="K182" t="str">
        <f ca="1"/>
        <v>ELECTRONICS</v>
      </c>
      <c r="L182">
        <f ca="1"/>
        <v>2023</v>
      </c>
      <c r="M182" t="str">
        <f ca="1"/>
        <v>LAP23-E</v>
      </c>
      <c r="N182" t="str">
        <f ca="1"/>
        <v>LAP</v>
      </c>
      <c r="O182" t="str">
        <f ca="1"/>
        <v>HIGH</v>
      </c>
      <c r="P182">
        <f ca="1"/>
        <v>3491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531DE-765A-44F0-863A-A8FC51FACFC4}">
  <dimension ref="B1:D15"/>
  <sheetViews>
    <sheetView topLeftCell="A2" workbookViewId="0">
      <selection activeCell="D5" sqref="D5"/>
    </sheetView>
  </sheetViews>
  <sheetFormatPr defaultRowHeight="15.6" x14ac:dyDescent="0.3"/>
  <cols>
    <col min="2" max="2" width="24.3984375" customWidth="1"/>
    <col min="3" max="3" width="11.3984375" customWidth="1"/>
  </cols>
  <sheetData>
    <row r="1" spans="2:4" ht="19.8" x14ac:dyDescent="0.4">
      <c r="B1" s="10" t="s">
        <v>33</v>
      </c>
    </row>
    <row r="3" spans="2:4" x14ac:dyDescent="0.3">
      <c r="B3" s="9" t="s">
        <v>37</v>
      </c>
      <c r="C3" s="6"/>
      <c r="D3" s="6"/>
    </row>
    <row r="5" spans="2:4" x14ac:dyDescent="0.3">
      <c r="B5" s="4" t="s">
        <v>34</v>
      </c>
      <c r="C5" s="5">
        <v>1000</v>
      </c>
    </row>
    <row r="6" spans="2:4" x14ac:dyDescent="0.3">
      <c r="B6" t="s">
        <v>35</v>
      </c>
      <c r="C6" s="1" t="str">
        <f>IFERROR(TEXT(_xlfn.XLOOKUP($C$5,InvNumber,Order_date),"D MMM, YYYY"), "Check entry")</f>
        <v>26 Sep, 2023</v>
      </c>
    </row>
    <row r="7" spans="2:4" x14ac:dyDescent="0.3">
      <c r="B7" t="s">
        <v>36</v>
      </c>
      <c r="C7" t="str">
        <f>IFERROR(_xlfn.XLOOKUP(C5,InvNumber,Product_Name), "Check entry")</f>
        <v>Monitor</v>
      </c>
    </row>
    <row r="8" spans="2:4" x14ac:dyDescent="0.3">
      <c r="B8" t="s">
        <v>2</v>
      </c>
      <c r="C8" t="str">
        <f>IFERROR(_xlfn.XLOOKUP(C5,InvNumber,Category), "Check entry")</f>
        <v>Accessories</v>
      </c>
    </row>
    <row r="9" spans="2:4" x14ac:dyDescent="0.3">
      <c r="B9" t="s">
        <v>3</v>
      </c>
      <c r="C9" t="str">
        <f>IFERROR(_xlfn.XLOOKUP(C5,InvNumber,Region), "Check entry")</f>
        <v>North</v>
      </c>
    </row>
    <row r="10" spans="2:4" x14ac:dyDescent="0.3">
      <c r="B10" t="s">
        <v>4</v>
      </c>
      <c r="C10" t="str" cm="1">
        <f t="array" aca="1" ref="C10" ca="1">IFERROR(G10XLOOKUP(C5,InvNumber,Quantity), "Check entry")</f>
        <v>Check entry</v>
      </c>
    </row>
    <row r="11" spans="2:4" x14ac:dyDescent="0.3">
      <c r="B11" t="s">
        <v>5</v>
      </c>
      <c r="C11" s="8">
        <f>IFERROR(_xlfn.XLOOKUP(C5,InvNumber,Sales), "Check entry")</f>
        <v>4165</v>
      </c>
    </row>
    <row r="12" spans="2:4" x14ac:dyDescent="0.3">
      <c r="B12" t="s">
        <v>6</v>
      </c>
      <c r="C12" s="7">
        <f>IFERROR(_xlfn.XLOOKUP(C5,InvNumber,Profit),"Check entry")</f>
        <v>263.26</v>
      </c>
    </row>
    <row r="15" spans="2:4" x14ac:dyDescent="0.3">
      <c r="B15" s="9" t="s">
        <v>38</v>
      </c>
      <c r="C15" s="6"/>
      <c r="D1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ecommerce_sales_data</vt:lpstr>
      <vt:lpstr>Funcion filtro</vt:lpstr>
      <vt:lpstr>Buscador de ordenes</vt:lpstr>
      <vt:lpstr>Analisis_margen</vt:lpstr>
      <vt:lpstr>Category</vt:lpstr>
      <vt:lpstr>CatUpper</vt:lpstr>
      <vt:lpstr>Dias_transcurridos</vt:lpstr>
      <vt:lpstr>Ext_Year</vt:lpstr>
      <vt:lpstr>InvNumber</vt:lpstr>
      <vt:lpstr>Key_ID</vt:lpstr>
      <vt:lpstr>Margen_Neto</vt:lpstr>
      <vt:lpstr>Order_date</vt:lpstr>
      <vt:lpstr>Product_Name</vt:lpstr>
      <vt:lpstr>ProdUpper</vt:lpstr>
      <vt:lpstr>Profit</vt:lpstr>
      <vt:lpstr>Quantity</vt:lpstr>
      <vt:lpstr>Referencia_Hoy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Torres Castillo</cp:lastModifiedBy>
  <dcterms:created xsi:type="dcterms:W3CDTF">2026-02-11T19:27:32Z</dcterms:created>
  <dcterms:modified xsi:type="dcterms:W3CDTF">2026-10-28T18:56:05Z</dcterms:modified>
</cp:coreProperties>
</file>