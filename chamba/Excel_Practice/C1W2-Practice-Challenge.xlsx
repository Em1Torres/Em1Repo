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lex_\Em1Repo\chamba\Excel_Practice\"/>
    </mc:Choice>
  </mc:AlternateContent>
  <xr:revisionPtr revIDLastSave="0" documentId="13_ncr:1_{A22574FA-DEA7-4290-A88F-D74D54495D7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HR Performance Review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0QY746fe+8GRxxLZnMor1XXEAZtNGMWBCzJHaqDij8k="/>
    </ext>
  </extLst>
</workbook>
</file>

<file path=xl/calcChain.xml><?xml version="1.0" encoding="utf-8"?>
<calcChain xmlns="http://schemas.openxmlformats.org/spreadsheetml/2006/main">
  <c r="O5" i="2" l="1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5" i="2"/>
  <c r="I2" i="2"/>
  <c r="L2" i="2" s="1"/>
  <c r="O2" i="2" s="1"/>
  <c r="F2" i="2" l="1"/>
</calcChain>
</file>

<file path=xl/sharedStrings.xml><?xml version="1.0" encoding="utf-8"?>
<sst xmlns="http://schemas.openxmlformats.org/spreadsheetml/2006/main" count="229" uniqueCount="171">
  <si>
    <t>Excel Skills for Data Analytics and Visualization</t>
  </si>
  <si>
    <t>Course 1 — Excel Fundamentals for Data Analysis</t>
  </si>
  <si>
    <t>Week 2 Practice Challenge</t>
  </si>
  <si>
    <t>Instructions</t>
  </si>
  <si>
    <r>
      <rPr>
        <sz val="11"/>
        <color theme="1"/>
        <rFont val="Calibri"/>
      </rPr>
      <t xml:space="preserve">All the following instructions are to be carried out in the </t>
    </r>
    <r>
      <rPr>
        <b/>
        <sz val="11"/>
        <color theme="1"/>
        <rFont val="Calibri"/>
      </rPr>
      <t>HR Performance Reviews</t>
    </r>
    <r>
      <rPr>
        <sz val="11"/>
        <color theme="1"/>
        <rFont val="Calibri"/>
      </rPr>
      <t xml:space="preserve"> sheet. To get help with the more difficult questions click on the Hint to the right. </t>
    </r>
  </si>
  <si>
    <t>1)</t>
  </si>
  <si>
    <r>
      <rPr>
        <sz val="11"/>
        <color theme="1"/>
        <rFont val="Calibri"/>
      </rPr>
      <t xml:space="preserve">In </t>
    </r>
    <r>
      <rPr>
        <b/>
        <sz val="11"/>
        <color theme="1"/>
        <rFont val="Calibri"/>
      </rPr>
      <t>I2</t>
    </r>
    <r>
      <rPr>
        <sz val="11"/>
        <color theme="1"/>
        <rFont val="Calibri"/>
      </rPr>
      <t xml:space="preserve"> use a function to return the current date.</t>
    </r>
  </si>
  <si>
    <t>2a)</t>
  </si>
  <si>
    <r>
      <rPr>
        <sz val="11"/>
        <color theme="1"/>
        <rFont val="Calibri"/>
      </rPr>
      <t xml:space="preserve">In </t>
    </r>
    <r>
      <rPr>
        <b/>
        <sz val="11"/>
        <color theme="1"/>
        <rFont val="Calibri"/>
      </rPr>
      <t>F5</t>
    </r>
    <r>
      <rPr>
        <sz val="11"/>
        <color theme="1"/>
        <rFont val="Calibri"/>
      </rPr>
      <t xml:space="preserve">, using what we learned last week, extract just the rating from </t>
    </r>
    <r>
      <rPr>
        <b/>
        <sz val="11"/>
        <color theme="1"/>
        <rFont val="Calibri"/>
      </rPr>
      <t>E5</t>
    </r>
    <r>
      <rPr>
        <sz val="11"/>
        <color theme="1"/>
        <rFont val="Calibri"/>
      </rPr>
      <t>, i.e. "7"</t>
    </r>
  </si>
  <si>
    <t>b)</t>
  </si>
  <si>
    <r>
      <rPr>
        <sz val="11"/>
        <color theme="1"/>
        <rFont val="Calibri"/>
      </rPr>
      <t xml:space="preserve">Convert the result in </t>
    </r>
    <r>
      <rPr>
        <b/>
        <sz val="11"/>
        <color theme="1"/>
        <rFont val="Calibri"/>
      </rPr>
      <t>F5</t>
    </r>
    <r>
      <rPr>
        <sz val="11"/>
        <color theme="1"/>
        <rFont val="Calibri"/>
      </rPr>
      <t xml:space="preserve"> to a number and copy the formula down.</t>
    </r>
  </si>
  <si>
    <t>3)</t>
  </si>
  <si>
    <r>
      <rPr>
        <sz val="11"/>
        <color theme="1"/>
        <rFont val="Calibri"/>
      </rPr>
      <t xml:space="preserve">In </t>
    </r>
    <r>
      <rPr>
        <b/>
        <sz val="11"/>
        <color theme="1"/>
        <rFont val="Calibri"/>
      </rPr>
      <t>H5</t>
    </r>
    <r>
      <rPr>
        <sz val="11"/>
        <color theme="1"/>
        <rFont val="Calibri"/>
      </rPr>
      <t xml:space="preserve"> use a function to calculate the name of the month in which Stevie was born, i.e. "December". Copy the formula down.</t>
    </r>
  </si>
  <si>
    <t>4)</t>
  </si>
  <si>
    <r>
      <rPr>
        <sz val="11"/>
        <color theme="1"/>
        <rFont val="Calibri"/>
      </rPr>
      <t xml:space="preserve">In </t>
    </r>
    <r>
      <rPr>
        <b/>
        <sz val="11"/>
        <color theme="1"/>
        <rFont val="Calibri"/>
      </rPr>
      <t>I5</t>
    </r>
    <r>
      <rPr>
        <sz val="11"/>
        <color theme="1"/>
        <rFont val="Calibri"/>
      </rPr>
      <t xml:space="preserve"> use a single function to extract just the year of birth (as a number not text). Copy the formula down.</t>
    </r>
  </si>
  <si>
    <t>5a)</t>
  </si>
  <si>
    <r>
      <rPr>
        <sz val="11"/>
        <color theme="1"/>
        <rFont val="Calibri"/>
      </rPr>
      <t xml:space="preserve">In </t>
    </r>
    <r>
      <rPr>
        <b/>
        <sz val="11"/>
        <color theme="1"/>
        <rFont val="Calibri"/>
      </rPr>
      <t>J5</t>
    </r>
    <r>
      <rPr>
        <sz val="11"/>
        <color theme="1"/>
        <rFont val="Calibri"/>
      </rPr>
      <t>, using the current date and birthdate calculate Stevie's age in years.</t>
    </r>
  </si>
  <si>
    <r>
      <rPr>
        <sz val="11"/>
        <color theme="1"/>
        <rFont val="Calibri"/>
      </rPr>
      <t xml:space="preserve">Neaten up the result in </t>
    </r>
    <r>
      <rPr>
        <b/>
        <sz val="11"/>
        <color theme="1"/>
        <rFont val="Calibri"/>
      </rPr>
      <t>J5</t>
    </r>
    <r>
      <rPr>
        <sz val="11"/>
        <color theme="1"/>
        <rFont val="Calibri"/>
      </rPr>
      <t xml:space="preserve"> by applying a </t>
    </r>
    <r>
      <rPr>
        <b/>
        <sz val="11"/>
        <color theme="1"/>
        <rFont val="Calibri"/>
      </rPr>
      <t>ROUNDDOWN</t>
    </r>
    <r>
      <rPr>
        <sz val="11"/>
        <color theme="1"/>
        <rFont val="Calibri"/>
      </rPr>
      <t xml:space="preserve"> function (covered in toolbox) and copy the formula down.</t>
    </r>
  </si>
  <si>
    <t>6)</t>
  </si>
  <si>
    <r>
      <rPr>
        <sz val="11"/>
        <color theme="1"/>
        <rFont val="Calibri"/>
      </rPr>
      <t xml:space="preserve">In </t>
    </r>
    <r>
      <rPr>
        <b/>
        <sz val="11"/>
        <color theme="1"/>
        <rFont val="Calibri"/>
      </rPr>
      <t>L5</t>
    </r>
    <r>
      <rPr>
        <sz val="11"/>
        <color theme="1"/>
        <rFont val="Calibri"/>
      </rPr>
      <t xml:space="preserve"> Calculate years of service and copy the formula down.</t>
    </r>
  </si>
  <si>
    <t>7a)</t>
  </si>
  <si>
    <r>
      <rPr>
        <sz val="11"/>
        <color theme="1"/>
        <rFont val="Calibri"/>
      </rPr>
      <t xml:space="preserve">The next review date should be set for a year after the previous review. In </t>
    </r>
    <r>
      <rPr>
        <b/>
        <sz val="11"/>
        <color theme="1"/>
        <rFont val="Calibri"/>
      </rPr>
      <t>N5</t>
    </r>
    <r>
      <rPr>
        <sz val="11"/>
        <color theme="1"/>
        <rFont val="Calibri"/>
      </rPr>
      <t xml:space="preserve"> calculate the </t>
    </r>
    <r>
      <rPr>
        <b/>
        <sz val="11"/>
        <color theme="1"/>
        <rFont val="Calibri"/>
      </rPr>
      <t>Next Review Date</t>
    </r>
    <r>
      <rPr>
        <sz val="11"/>
        <color theme="1"/>
        <rFont val="Calibri"/>
      </rPr>
      <t>.</t>
    </r>
  </si>
  <si>
    <r>
      <rPr>
        <sz val="11"/>
        <color theme="1"/>
        <rFont val="Calibri"/>
      </rPr>
      <t xml:space="preserve">Adjust the calculation in </t>
    </r>
    <r>
      <rPr>
        <b/>
        <sz val="11"/>
        <color theme="1"/>
        <rFont val="Calibri"/>
      </rPr>
      <t>N5</t>
    </r>
    <r>
      <rPr>
        <sz val="11"/>
        <color theme="1"/>
        <rFont val="Calibri"/>
      </rPr>
      <t xml:space="preserve"> so that the </t>
    </r>
    <r>
      <rPr>
        <b/>
        <sz val="11"/>
        <color theme="1"/>
        <rFont val="Calibri"/>
      </rPr>
      <t>Next Review Date</t>
    </r>
    <r>
      <rPr>
        <sz val="11"/>
        <color theme="1"/>
        <rFont val="Calibri"/>
      </rPr>
      <t xml:space="preserve"> falls on the next workday after the calculated date if it's not a workday (ignore holidays). Copy Down.</t>
    </r>
  </si>
  <si>
    <t>8a)</t>
  </si>
  <si>
    <r>
      <rPr>
        <sz val="11"/>
        <color theme="1"/>
        <rFont val="Calibri"/>
      </rPr>
      <t xml:space="preserve">Review Reminders are issued on the first day of the month of the review. In </t>
    </r>
    <r>
      <rPr>
        <b/>
        <sz val="11"/>
        <color theme="1"/>
        <rFont val="Calibri"/>
      </rPr>
      <t>O5</t>
    </r>
    <r>
      <rPr>
        <sz val="11"/>
        <color theme="1"/>
        <rFont val="Calibri"/>
      </rPr>
      <t xml:space="preserve"> use an </t>
    </r>
    <r>
      <rPr>
        <b/>
        <sz val="11"/>
        <color theme="1"/>
        <rFont val="Calibri"/>
      </rPr>
      <t>EOMONTH</t>
    </r>
    <r>
      <rPr>
        <sz val="11"/>
        <color theme="1"/>
        <rFont val="Calibri"/>
      </rPr>
      <t xml:space="preserve"> function to calculate the reminder date.</t>
    </r>
  </si>
  <si>
    <r>
      <rPr>
        <sz val="11"/>
        <color theme="1"/>
        <rFont val="Calibri"/>
      </rPr>
      <t xml:space="preserve">Adjust the calculation in </t>
    </r>
    <r>
      <rPr>
        <b/>
        <sz val="11"/>
        <color theme="1"/>
        <rFont val="Calibri"/>
      </rPr>
      <t>O5</t>
    </r>
    <r>
      <rPr>
        <sz val="11"/>
        <color theme="1"/>
        <rFont val="Calibri"/>
      </rPr>
      <t xml:space="preserve"> so that it falls on a workday (ignore holidays). Copy Down.</t>
    </r>
  </si>
  <si>
    <t>9)</t>
  </si>
  <si>
    <r>
      <rPr>
        <sz val="11"/>
        <color theme="1"/>
        <rFont val="Calibri"/>
      </rPr>
      <t xml:space="preserve">In </t>
    </r>
    <r>
      <rPr>
        <b/>
        <sz val="11"/>
        <color theme="1"/>
        <rFont val="Calibri"/>
      </rPr>
      <t>L2</t>
    </r>
    <r>
      <rPr>
        <sz val="11"/>
        <color theme="1"/>
        <rFont val="Calibri"/>
      </rPr>
      <t xml:space="preserve"> calculate the start date for the current year (use the year from </t>
    </r>
    <r>
      <rPr>
        <b/>
        <sz val="11"/>
        <color theme="1"/>
        <rFont val="Calibri"/>
      </rPr>
      <t>I2</t>
    </r>
    <r>
      <rPr>
        <sz val="11"/>
        <color theme="1"/>
        <rFont val="Calibri"/>
      </rPr>
      <t>).</t>
    </r>
  </si>
  <si>
    <t>10)</t>
  </si>
  <si>
    <r>
      <rPr>
        <sz val="11"/>
        <color theme="1"/>
        <rFont val="Calibri"/>
      </rPr>
      <t xml:space="preserve">In </t>
    </r>
    <r>
      <rPr>
        <b/>
        <sz val="11"/>
        <color theme="1"/>
        <rFont val="Calibri"/>
      </rPr>
      <t>O2</t>
    </r>
    <r>
      <rPr>
        <sz val="11"/>
        <color theme="1"/>
        <rFont val="Calibri"/>
      </rPr>
      <t xml:space="preserve"> calculate how many working days there have been in the year so far (up to the current date ignoring holidays).</t>
    </r>
  </si>
  <si>
    <t>The answers will vary with the current date, to check your answers please consult the solution file provided.</t>
  </si>
  <si>
    <t>ZenCo Performance Reviews</t>
  </si>
  <si>
    <t>Average Rating:</t>
  </si>
  <si>
    <t>Current Date:</t>
  </si>
  <si>
    <t>Start of Year:</t>
  </si>
  <si>
    <t>Workdays :</t>
  </si>
  <si>
    <t>Emp ID</t>
  </si>
  <si>
    <t>Full Name</t>
  </si>
  <si>
    <t>Email</t>
  </si>
  <si>
    <t>Department</t>
  </si>
  <si>
    <t>Last Rating</t>
  </si>
  <si>
    <t>Rating Conv</t>
  </si>
  <si>
    <t>Birthdate</t>
  </si>
  <si>
    <t>Birth Month</t>
  </si>
  <si>
    <t>Birth Year</t>
  </si>
  <si>
    <t>Age</t>
  </si>
  <si>
    <t>Date of Hire</t>
  </si>
  <si>
    <t>Years Service</t>
  </si>
  <si>
    <t>Last Review</t>
  </si>
  <si>
    <t>Next Review</t>
  </si>
  <si>
    <t>Reminder</t>
  </si>
  <si>
    <t>F1180</t>
  </si>
  <si>
    <t>Stevie Bacata</t>
  </si>
  <si>
    <t>sbacata@zenco.com</t>
  </si>
  <si>
    <t>Sales</t>
  </si>
  <si>
    <t>7 out of 10</t>
  </si>
  <si>
    <t>F1110</t>
  </si>
  <si>
    <t>Adam Barry</t>
  </si>
  <si>
    <t>abarry@zenco.com</t>
  </si>
  <si>
    <t>Customer Service</t>
  </si>
  <si>
    <t>4 out of 10</t>
  </si>
  <si>
    <t>F1232</t>
  </si>
  <si>
    <t>Connor Betts</t>
  </si>
  <si>
    <t>cbetts@zenco.com</t>
  </si>
  <si>
    <t>10 out of 10</t>
  </si>
  <si>
    <t>P1243</t>
  </si>
  <si>
    <t>Fred Binga</t>
  </si>
  <si>
    <t>fbinga@zenco.com</t>
  </si>
  <si>
    <t>Human Resources</t>
  </si>
  <si>
    <t>8 out of 10</t>
  </si>
  <si>
    <t>P1248</t>
  </si>
  <si>
    <t>Yvette Biti</t>
  </si>
  <si>
    <t>ybiti@zenco.com</t>
  </si>
  <si>
    <t>P1227</t>
  </si>
  <si>
    <t>Jim Boller</t>
  </si>
  <si>
    <t>jboller@zenco.com</t>
  </si>
  <si>
    <t>Accounting</t>
  </si>
  <si>
    <t>3 out of 10</t>
  </si>
  <si>
    <t>P1230</t>
  </si>
  <si>
    <t>Charlie Bui</t>
  </si>
  <si>
    <t>cbui@zenco.com</t>
  </si>
  <si>
    <t>6 out of 10</t>
  </si>
  <si>
    <t>F1162</t>
  </si>
  <si>
    <t>Barbara Carlton</t>
  </si>
  <si>
    <t>bcarlton@zenco.com</t>
  </si>
  <si>
    <t>5 out of 10</t>
  </si>
  <si>
    <t>P1001</t>
  </si>
  <si>
    <t>Joe Carol</t>
  </si>
  <si>
    <t>jcarol@zenco.com</t>
  </si>
  <si>
    <t>Executive</t>
  </si>
  <si>
    <t>F1224</t>
  </si>
  <si>
    <t>Jim Chaffee</t>
  </si>
  <si>
    <t>jchaffee@zenco.com</t>
  </si>
  <si>
    <t>Facilities</t>
  </si>
  <si>
    <t>P1203</t>
  </si>
  <si>
    <t>Samantha Chairs</t>
  </si>
  <si>
    <t>schairs@zenco.com</t>
  </si>
  <si>
    <t>P1211</t>
  </si>
  <si>
    <t>Uma Chaudri</t>
  </si>
  <si>
    <t>uchaudri@zenco.com</t>
  </si>
  <si>
    <t>P1198</t>
  </si>
  <si>
    <t>Elizabeth Chu</t>
  </si>
  <si>
    <t>echu@zenco.com</t>
  </si>
  <si>
    <t>IT</t>
  </si>
  <si>
    <t>F1003</t>
  </si>
  <si>
    <t>Eric Chung</t>
  </si>
  <si>
    <t>echung@zenco.com</t>
  </si>
  <si>
    <t>F1235</t>
  </si>
  <si>
    <t>Anna Clark</t>
  </si>
  <si>
    <t>aclark@zenco.com</t>
  </si>
  <si>
    <t>P1253</t>
  </si>
  <si>
    <t>Elizabeth Clark</t>
  </si>
  <si>
    <t>eclark@zenco.com</t>
  </si>
  <si>
    <t>P1221</t>
  </si>
  <si>
    <t>Sabrina Cole</t>
  </si>
  <si>
    <t>scole@zenco.com</t>
  </si>
  <si>
    <t>F1186</t>
  </si>
  <si>
    <t>Janet Comuntzis</t>
  </si>
  <si>
    <t>jcomuntzis@zenco.com</t>
  </si>
  <si>
    <t>P1218</t>
  </si>
  <si>
    <t>Bob Decker</t>
  </si>
  <si>
    <t>bdecker@zenco.com</t>
  </si>
  <si>
    <t>9 out of 10</t>
  </si>
  <si>
    <t>F1215</t>
  </si>
  <si>
    <t>Tina Desiato</t>
  </si>
  <si>
    <t>tdesiato@zenco.com</t>
  </si>
  <si>
    <t>P1241</t>
  </si>
  <si>
    <t>Alexandra Donnell</t>
  </si>
  <si>
    <t>adonnell@zenco.com</t>
  </si>
  <si>
    <t>F1246</t>
  </si>
  <si>
    <t>Mark Ellis</t>
  </si>
  <si>
    <t>mellis@zenco.com</t>
  </si>
  <si>
    <t>F1172</t>
  </si>
  <si>
    <t>Nicholas Fernandes</t>
  </si>
  <si>
    <t>nfernandes@zenco.com</t>
  </si>
  <si>
    <t>F1134</t>
  </si>
  <si>
    <t>Mary Ferris</t>
  </si>
  <si>
    <t>mferris@zenco.com</t>
  </si>
  <si>
    <t>F1150</t>
  </si>
  <si>
    <t>Susan Filosa</t>
  </si>
  <si>
    <t>sfilosa@zenco.com</t>
  </si>
  <si>
    <t>P1004</t>
  </si>
  <si>
    <t>Daniel Flanders</t>
  </si>
  <si>
    <t>dflanders@zenco.com</t>
  </si>
  <si>
    <t>F1239</t>
  </si>
  <si>
    <t>Leighton Forrest</t>
  </si>
  <si>
    <t>lforrest@zenco.com</t>
  </si>
  <si>
    <t>F1250</t>
  </si>
  <si>
    <t>Phoebe Gour</t>
  </si>
  <si>
    <t>pgour@zenco.com</t>
  </si>
  <si>
    <t>P1192</t>
  </si>
  <si>
    <t>Mihael Khan</t>
  </si>
  <si>
    <t>mkhan@zenco.com</t>
  </si>
  <si>
    <t>P1249</t>
  </si>
  <si>
    <t>Sean Sanders</t>
  </si>
  <si>
    <t>ssanders@zenco.com</t>
  </si>
  <si>
    <t>P1245</t>
  </si>
  <si>
    <t>Preston Senome</t>
  </si>
  <si>
    <t>psenome@zenco.com</t>
  </si>
  <si>
    <t>P1207</t>
  </si>
  <si>
    <t>Natasha Song</t>
  </si>
  <si>
    <t>nsong@zenco.com</t>
  </si>
  <si>
    <t>P1244</t>
  </si>
  <si>
    <t>Radhya Staples</t>
  </si>
  <si>
    <t>rstaples@zenco.com</t>
  </si>
  <si>
    <t>F1252</t>
  </si>
  <si>
    <t>Mei Wang</t>
  </si>
  <si>
    <t>mwang@zenco.com</t>
  </si>
  <si>
    <t>F1237</t>
  </si>
  <si>
    <t>Aanya Zhang</t>
  </si>
  <si>
    <t>azhang@zenco.com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</si>
</sst>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scheme val="minor"/>
    </font>
    <font>
      <sz val="11"/>
      <color theme="1"/>
      <name val="Calibri"/>
    </font>
    <font>
      <sz val="24"/>
      <color theme="1"/>
      <name val="Calibri"/>
    </font>
    <font>
      <sz val="16"/>
      <color theme="1"/>
      <name val="Calibri"/>
    </font>
    <font>
      <b/>
      <sz val="14"/>
      <color theme="1"/>
      <name val="Calibri"/>
    </font>
    <font>
      <sz val="11"/>
      <name val="Calibri"/>
    </font>
    <font>
      <sz val="14"/>
      <color theme="1"/>
      <name val="Calibri"/>
    </font>
    <font>
      <sz val="11"/>
      <color theme="1"/>
      <name val="Calibri"/>
      <scheme val="minor"/>
    </font>
    <font>
      <sz val="11"/>
      <color rgb="FFC00000"/>
      <name val="Calibri"/>
    </font>
    <font>
      <sz val="18"/>
      <color rgb="FF44546A"/>
      <name val="Calibri"/>
    </font>
    <font>
      <sz val="11"/>
      <color theme="0"/>
      <name val="Calibri"/>
    </font>
    <font>
      <sz val="12"/>
      <color theme="0"/>
      <name val="Calibri"/>
    </font>
    <font>
      <b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right"/>
    </xf>
    <xf numFmtId="0" fontId="6" fillId="0" borderId="4" xfId="0" applyFont="1" applyBorder="1" applyAlignment="1">
      <alignment horizontal="left"/>
    </xf>
    <xf numFmtId="0" fontId="1" fillId="0" borderId="4" xfId="0" applyFont="1" applyBorder="1"/>
    <xf numFmtId="0" fontId="7" fillId="0" borderId="0" xfId="0" applyFont="1"/>
    <xf numFmtId="0" fontId="8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" fillId="0" borderId="0" xfId="0" applyFont="1"/>
    <xf numFmtId="0" fontId="10" fillId="0" borderId="0" xfId="0" applyFont="1"/>
    <xf numFmtId="14" fontId="1" fillId="0" borderId="0" xfId="0" applyNumberFormat="1" applyFont="1"/>
    <xf numFmtId="0" fontId="10" fillId="3" borderId="5" xfId="0" applyFont="1" applyFill="1" applyBorder="1"/>
    <xf numFmtId="164" fontId="1" fillId="0" borderId="6" xfId="0" applyNumberFormat="1" applyFont="1" applyBorder="1"/>
    <xf numFmtId="14" fontId="1" fillId="0" borderId="6" xfId="0" applyNumberFormat="1" applyFont="1" applyBorder="1"/>
    <xf numFmtId="0" fontId="1" fillId="0" borderId="6" xfId="0" applyFont="1" applyBorder="1"/>
    <xf numFmtId="0" fontId="11" fillId="3" borderId="5" xfId="0" applyFont="1" applyFill="1" applyBorder="1" applyAlignment="1">
      <alignment horizontal="left" wrapText="1"/>
    </xf>
    <xf numFmtId="0" fontId="11" fillId="3" borderId="5" xfId="0" applyFont="1" applyFill="1" applyBorder="1" applyAlignment="1">
      <alignment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14" fontId="1" fillId="0" borderId="0" xfId="0" applyNumberFormat="1" applyFont="1" applyAlignment="1">
      <alignment horizontal="left" wrapText="1"/>
    </xf>
    <xf numFmtId="0" fontId="2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1" fontId="1" fillId="0" borderId="0" xfId="0" applyNumberFormat="1" applyFont="1" applyAlignment="1">
      <alignment horizontal="left" wrapText="1"/>
    </xf>
    <xf numFmtId="0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381500" cy="1438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B30738"/>
      </a:accent1>
      <a:accent2>
        <a:srgbClr val="A5A5A5"/>
      </a:accent2>
      <a:accent3>
        <a:srgbClr val="595959"/>
      </a:accent3>
      <a:accent4>
        <a:srgbClr val="4472C4"/>
      </a:accent4>
      <a:accent5>
        <a:srgbClr val="5B9BD5"/>
      </a:accent5>
      <a:accent6>
        <a:srgbClr val="8B1324"/>
      </a:accent6>
      <a:hlink>
        <a:srgbClr val="4472C4"/>
      </a:hlink>
      <a:folHlink>
        <a:srgbClr val="4472C4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1000"/>
  <sheetViews>
    <sheetView showGridLines="0" topLeftCell="A11" workbookViewId="0">
      <selection activeCell="M21" sqref="M21"/>
    </sheetView>
  </sheetViews>
  <sheetFormatPr defaultColWidth="14.44140625" defaultRowHeight="15" customHeight="1" x14ac:dyDescent="0.3"/>
  <cols>
    <col min="1" max="1" width="5.33203125" customWidth="1"/>
    <col min="2" max="2" width="4.44140625" customWidth="1"/>
    <col min="3" max="7" width="8.6640625" customWidth="1"/>
    <col min="8" max="8" width="12.88671875" customWidth="1"/>
    <col min="9" max="14" width="8.6640625" customWidth="1"/>
    <col min="15" max="15" width="24.44140625" customWidth="1"/>
    <col min="16" max="16" width="7.44140625" customWidth="1"/>
    <col min="17" max="26" width="8.6640625" customWidth="1"/>
  </cols>
  <sheetData>
    <row r="1" spans="2:16" ht="14.4" x14ac:dyDescent="0.3">
      <c r="B1" s="1"/>
    </row>
    <row r="2" spans="2:16" ht="31.2" x14ac:dyDescent="0.6">
      <c r="B2" s="1"/>
      <c r="I2" s="20" t="s">
        <v>0</v>
      </c>
      <c r="J2" s="21"/>
      <c r="K2" s="21"/>
      <c r="L2" s="21"/>
      <c r="M2" s="21"/>
      <c r="N2" s="21"/>
      <c r="O2" s="21"/>
      <c r="P2" s="21"/>
    </row>
    <row r="3" spans="2:16" ht="21" x14ac:dyDescent="0.4">
      <c r="B3" s="1"/>
      <c r="I3" s="22" t="s">
        <v>1</v>
      </c>
      <c r="J3" s="21"/>
      <c r="K3" s="21"/>
      <c r="L3" s="21"/>
      <c r="M3" s="21"/>
      <c r="N3" s="21"/>
      <c r="O3" s="21"/>
      <c r="P3" s="21"/>
    </row>
    <row r="4" spans="2:16" ht="17.25" customHeight="1" x14ac:dyDescent="0.3">
      <c r="B4" s="1"/>
    </row>
    <row r="5" spans="2:16" ht="21" customHeight="1" x14ac:dyDescent="0.3">
      <c r="B5" s="1"/>
      <c r="I5" s="23" t="s">
        <v>2</v>
      </c>
      <c r="J5" s="24"/>
      <c r="K5" s="24"/>
      <c r="L5" s="24"/>
      <c r="M5" s="24"/>
      <c r="N5" s="24"/>
      <c r="O5" s="24"/>
      <c r="P5" s="25"/>
    </row>
    <row r="6" spans="2:16" ht="14.4" x14ac:dyDescent="0.3">
      <c r="B6" s="1"/>
    </row>
    <row r="7" spans="2:16" ht="14.4" x14ac:dyDescent="0.3">
      <c r="B7" s="1"/>
    </row>
    <row r="8" spans="2:16" ht="18" x14ac:dyDescent="0.35">
      <c r="B8" s="2" t="s">
        <v>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2:16" ht="18.75" customHeight="1" x14ac:dyDescent="0.3">
      <c r="B9" s="4" t="s">
        <v>4</v>
      </c>
    </row>
    <row r="10" spans="2:16" ht="8.25" customHeight="1" x14ac:dyDescent="0.3">
      <c r="B10" s="1"/>
    </row>
    <row r="11" spans="2:16" ht="14.4" x14ac:dyDescent="0.3">
      <c r="B11" s="1" t="s">
        <v>5</v>
      </c>
      <c r="C11" s="4" t="s">
        <v>6</v>
      </c>
    </row>
    <row r="12" spans="2:16" ht="8.25" customHeight="1" x14ac:dyDescent="0.3">
      <c r="B12" s="1"/>
    </row>
    <row r="13" spans="2:16" ht="14.4" x14ac:dyDescent="0.3">
      <c r="B13" s="1" t="s">
        <v>7</v>
      </c>
      <c r="C13" s="4" t="s">
        <v>8</v>
      </c>
      <c r="P13" s="5"/>
    </row>
    <row r="14" spans="2:16" ht="14.4" x14ac:dyDescent="0.3">
      <c r="B14" s="1" t="s">
        <v>9</v>
      </c>
      <c r="C14" s="4" t="s">
        <v>10</v>
      </c>
    </row>
    <row r="15" spans="2:16" ht="8.25" customHeight="1" x14ac:dyDescent="0.3">
      <c r="B15" s="1"/>
    </row>
    <row r="16" spans="2:16" ht="14.4" x14ac:dyDescent="0.3">
      <c r="B16" s="1" t="s">
        <v>11</v>
      </c>
      <c r="C16" s="4" t="s">
        <v>12</v>
      </c>
    </row>
    <row r="17" spans="2:16" ht="8.25" customHeight="1" x14ac:dyDescent="0.3">
      <c r="B17" s="1"/>
    </row>
    <row r="18" spans="2:16" ht="14.4" x14ac:dyDescent="0.3">
      <c r="B18" s="1" t="s">
        <v>13</v>
      </c>
      <c r="C18" s="4" t="s">
        <v>14</v>
      </c>
    </row>
    <row r="19" spans="2:16" ht="8.25" customHeight="1" x14ac:dyDescent="0.3">
      <c r="B19" s="1"/>
    </row>
    <row r="20" spans="2:16" ht="14.4" x14ac:dyDescent="0.3">
      <c r="B20" s="1" t="s">
        <v>15</v>
      </c>
      <c r="C20" s="4" t="s">
        <v>16</v>
      </c>
      <c r="P20" s="5"/>
    </row>
    <row r="21" spans="2:16" ht="15.75" customHeight="1" x14ac:dyDescent="0.3">
      <c r="B21" s="1" t="s">
        <v>9</v>
      </c>
      <c r="C21" s="4" t="s">
        <v>17</v>
      </c>
    </row>
    <row r="22" spans="2:16" ht="8.25" customHeight="1" x14ac:dyDescent="0.3">
      <c r="B22" s="1"/>
    </row>
    <row r="23" spans="2:16" ht="15.75" customHeight="1" x14ac:dyDescent="0.3">
      <c r="B23" s="1" t="s">
        <v>18</v>
      </c>
      <c r="C23" s="4" t="s">
        <v>19</v>
      </c>
    </row>
    <row r="24" spans="2:16" ht="8.25" customHeight="1" x14ac:dyDescent="0.3">
      <c r="B24" s="1"/>
    </row>
    <row r="25" spans="2:16" ht="15.75" customHeight="1" x14ac:dyDescent="0.3">
      <c r="B25" s="1" t="s">
        <v>20</v>
      </c>
      <c r="C25" s="4" t="s">
        <v>21</v>
      </c>
      <c r="P25" s="5"/>
    </row>
    <row r="26" spans="2:16" ht="15.75" customHeight="1" x14ac:dyDescent="0.3">
      <c r="B26" s="1" t="s">
        <v>9</v>
      </c>
      <c r="C26" s="4" t="s">
        <v>22</v>
      </c>
      <c r="P26" s="5"/>
    </row>
    <row r="27" spans="2:16" ht="8.25" customHeight="1" x14ac:dyDescent="0.3">
      <c r="B27" s="1"/>
    </row>
    <row r="28" spans="2:16" ht="15.75" customHeight="1" x14ac:dyDescent="0.3">
      <c r="B28" s="1" t="s">
        <v>23</v>
      </c>
      <c r="C28" s="4" t="s">
        <v>24</v>
      </c>
      <c r="P28" s="5"/>
    </row>
    <row r="29" spans="2:16" ht="15.75" customHeight="1" x14ac:dyDescent="0.3">
      <c r="B29" s="1" t="s">
        <v>9</v>
      </c>
      <c r="C29" s="4" t="s">
        <v>25</v>
      </c>
    </row>
    <row r="30" spans="2:16" ht="8.25" customHeight="1" x14ac:dyDescent="0.3">
      <c r="B30" s="1"/>
    </row>
    <row r="31" spans="2:16" ht="15.75" customHeight="1" x14ac:dyDescent="0.3">
      <c r="B31" s="1" t="s">
        <v>26</v>
      </c>
      <c r="C31" s="4" t="s">
        <v>27</v>
      </c>
      <c r="P31" s="5"/>
    </row>
    <row r="32" spans="2:16" ht="8.25" customHeight="1" x14ac:dyDescent="0.3">
      <c r="B32" s="1"/>
    </row>
    <row r="33" spans="2:16" ht="15.75" customHeight="1" x14ac:dyDescent="0.3">
      <c r="B33" s="1" t="s">
        <v>28</v>
      </c>
      <c r="C33" s="4" t="s">
        <v>29</v>
      </c>
      <c r="P33" s="5"/>
    </row>
    <row r="34" spans="2:16" ht="15.75" customHeight="1" x14ac:dyDescent="0.3">
      <c r="B34" s="1"/>
    </row>
    <row r="35" spans="2:16" ht="15.75" customHeight="1" x14ac:dyDescent="0.3">
      <c r="B35" s="6" t="s">
        <v>30</v>
      </c>
    </row>
    <row r="36" spans="2:16" ht="15.75" customHeight="1" x14ac:dyDescent="0.3">
      <c r="B36" s="1"/>
    </row>
    <row r="37" spans="2:16" ht="15.75" customHeight="1" x14ac:dyDescent="0.3">
      <c r="B37" s="1"/>
    </row>
    <row r="38" spans="2:16" ht="15.75" customHeight="1" x14ac:dyDescent="0.3">
      <c r="B38" s="1"/>
    </row>
    <row r="39" spans="2:16" ht="15.75" customHeight="1" x14ac:dyDescent="0.3">
      <c r="B39" s="1"/>
    </row>
    <row r="40" spans="2:16" ht="15.75" customHeight="1" x14ac:dyDescent="0.3">
      <c r="B40" s="1"/>
    </row>
    <row r="41" spans="2:16" ht="15.75" customHeight="1" x14ac:dyDescent="0.3">
      <c r="B41" s="1"/>
    </row>
    <row r="42" spans="2:16" ht="15.75" customHeight="1" x14ac:dyDescent="0.3">
      <c r="B42" s="1"/>
    </row>
    <row r="43" spans="2:16" ht="15.75" customHeight="1" x14ac:dyDescent="0.3">
      <c r="B43" s="1"/>
    </row>
    <row r="44" spans="2:16" ht="15.75" customHeight="1" x14ac:dyDescent="0.3">
      <c r="B44" s="1"/>
    </row>
    <row r="45" spans="2:16" ht="15.75" customHeight="1" x14ac:dyDescent="0.3">
      <c r="B45" s="1"/>
    </row>
    <row r="46" spans="2:16" ht="15.75" customHeight="1" x14ac:dyDescent="0.3">
      <c r="B46" s="1"/>
    </row>
    <row r="47" spans="2:16" ht="15.75" customHeight="1" x14ac:dyDescent="0.3">
      <c r="B47" s="1"/>
    </row>
    <row r="48" spans="2:16" ht="15.75" customHeight="1" x14ac:dyDescent="0.3">
      <c r="B48" s="1"/>
    </row>
    <row r="49" spans="2:2" ht="15.75" customHeight="1" x14ac:dyDescent="0.3">
      <c r="B49" s="1"/>
    </row>
    <row r="50" spans="2:2" ht="15.75" customHeight="1" x14ac:dyDescent="0.3">
      <c r="B50" s="1"/>
    </row>
    <row r="51" spans="2:2" ht="15.75" customHeight="1" x14ac:dyDescent="0.3">
      <c r="B51" s="1"/>
    </row>
    <row r="52" spans="2:2" ht="15.75" customHeight="1" x14ac:dyDescent="0.3">
      <c r="B52" s="1"/>
    </row>
    <row r="53" spans="2:2" ht="15.75" customHeight="1" x14ac:dyDescent="0.3">
      <c r="B53" s="1"/>
    </row>
    <row r="54" spans="2:2" ht="15.75" customHeight="1" x14ac:dyDescent="0.3">
      <c r="B54" s="1"/>
    </row>
    <row r="55" spans="2:2" ht="15.75" customHeight="1" x14ac:dyDescent="0.3">
      <c r="B55" s="1"/>
    </row>
    <row r="56" spans="2:2" ht="15.75" customHeight="1" x14ac:dyDescent="0.3">
      <c r="B56" s="1"/>
    </row>
    <row r="57" spans="2:2" ht="15.75" customHeight="1" x14ac:dyDescent="0.3">
      <c r="B57" s="1"/>
    </row>
    <row r="58" spans="2:2" ht="15.75" customHeight="1" x14ac:dyDescent="0.3">
      <c r="B58" s="1"/>
    </row>
    <row r="59" spans="2:2" ht="15.75" customHeight="1" x14ac:dyDescent="0.3">
      <c r="B59" s="1"/>
    </row>
    <row r="60" spans="2:2" ht="15.75" customHeight="1" x14ac:dyDescent="0.3">
      <c r="B60" s="1"/>
    </row>
    <row r="61" spans="2:2" ht="15.75" customHeight="1" x14ac:dyDescent="0.3">
      <c r="B61" s="1"/>
    </row>
    <row r="62" spans="2:2" ht="15.75" customHeight="1" x14ac:dyDescent="0.3">
      <c r="B62" s="1"/>
    </row>
    <row r="63" spans="2:2" ht="15.75" customHeight="1" x14ac:dyDescent="0.3">
      <c r="B63" s="1"/>
    </row>
    <row r="64" spans="2:2" ht="15.75" customHeight="1" x14ac:dyDescent="0.3">
      <c r="B64" s="1"/>
    </row>
    <row r="65" spans="2:2" ht="15.75" customHeight="1" x14ac:dyDescent="0.3">
      <c r="B65" s="1"/>
    </row>
    <row r="66" spans="2:2" ht="15.75" customHeight="1" x14ac:dyDescent="0.3">
      <c r="B66" s="1"/>
    </row>
    <row r="67" spans="2:2" ht="15.75" customHeight="1" x14ac:dyDescent="0.3">
      <c r="B67" s="1"/>
    </row>
    <row r="68" spans="2:2" ht="15.75" customHeight="1" x14ac:dyDescent="0.3">
      <c r="B68" s="1"/>
    </row>
    <row r="69" spans="2:2" ht="15.75" customHeight="1" x14ac:dyDescent="0.3">
      <c r="B69" s="1"/>
    </row>
    <row r="70" spans="2:2" ht="15.75" customHeight="1" x14ac:dyDescent="0.3">
      <c r="B70" s="1"/>
    </row>
    <row r="71" spans="2:2" ht="15.75" customHeight="1" x14ac:dyDescent="0.3">
      <c r="B71" s="1"/>
    </row>
    <row r="72" spans="2:2" ht="15.75" customHeight="1" x14ac:dyDescent="0.3">
      <c r="B72" s="1"/>
    </row>
    <row r="73" spans="2:2" ht="15.75" customHeight="1" x14ac:dyDescent="0.3">
      <c r="B73" s="1"/>
    </row>
    <row r="74" spans="2:2" ht="15.75" customHeight="1" x14ac:dyDescent="0.3">
      <c r="B74" s="1"/>
    </row>
    <row r="75" spans="2:2" ht="15.75" customHeight="1" x14ac:dyDescent="0.3">
      <c r="B75" s="1"/>
    </row>
    <row r="76" spans="2:2" ht="15.75" customHeight="1" x14ac:dyDescent="0.3">
      <c r="B76" s="1"/>
    </row>
    <row r="77" spans="2:2" ht="15.75" customHeight="1" x14ac:dyDescent="0.3">
      <c r="B77" s="1"/>
    </row>
    <row r="78" spans="2:2" ht="15.75" customHeight="1" x14ac:dyDescent="0.3">
      <c r="B78" s="1"/>
    </row>
    <row r="79" spans="2:2" ht="15.75" customHeight="1" x14ac:dyDescent="0.3">
      <c r="B79" s="1"/>
    </row>
    <row r="80" spans="2:2" ht="15.75" customHeight="1" x14ac:dyDescent="0.3">
      <c r="B80" s="1"/>
    </row>
    <row r="81" spans="2:2" ht="15.75" customHeight="1" x14ac:dyDescent="0.3">
      <c r="B81" s="1"/>
    </row>
    <row r="82" spans="2:2" ht="15.75" customHeight="1" x14ac:dyDescent="0.3">
      <c r="B82" s="1"/>
    </row>
    <row r="83" spans="2:2" ht="15.75" customHeight="1" x14ac:dyDescent="0.3">
      <c r="B83" s="1"/>
    </row>
    <row r="84" spans="2:2" ht="15.75" customHeight="1" x14ac:dyDescent="0.3">
      <c r="B84" s="1"/>
    </row>
    <row r="85" spans="2:2" ht="15.75" customHeight="1" x14ac:dyDescent="0.3">
      <c r="B85" s="1"/>
    </row>
    <row r="86" spans="2:2" ht="15.75" customHeight="1" x14ac:dyDescent="0.3">
      <c r="B86" s="1"/>
    </row>
    <row r="87" spans="2:2" ht="15.75" customHeight="1" x14ac:dyDescent="0.3">
      <c r="B87" s="1"/>
    </row>
    <row r="88" spans="2:2" ht="15.75" customHeight="1" x14ac:dyDescent="0.3">
      <c r="B88" s="1"/>
    </row>
    <row r="89" spans="2:2" ht="15.75" customHeight="1" x14ac:dyDescent="0.3">
      <c r="B89" s="1"/>
    </row>
    <row r="90" spans="2:2" ht="15.75" customHeight="1" x14ac:dyDescent="0.3">
      <c r="B90" s="1"/>
    </row>
    <row r="91" spans="2:2" ht="15.75" customHeight="1" x14ac:dyDescent="0.3">
      <c r="B91" s="1"/>
    </row>
    <row r="92" spans="2:2" ht="15.75" customHeight="1" x14ac:dyDescent="0.3">
      <c r="B92" s="1"/>
    </row>
    <row r="93" spans="2:2" ht="15.75" customHeight="1" x14ac:dyDescent="0.3">
      <c r="B93" s="1"/>
    </row>
    <row r="94" spans="2:2" ht="15.75" customHeight="1" x14ac:dyDescent="0.3">
      <c r="B94" s="1"/>
    </row>
    <row r="95" spans="2:2" ht="15.75" customHeight="1" x14ac:dyDescent="0.3">
      <c r="B95" s="1"/>
    </row>
    <row r="96" spans="2:2" ht="15.75" customHeight="1" x14ac:dyDescent="0.3">
      <c r="B96" s="1"/>
    </row>
    <row r="97" spans="2:2" ht="15.75" customHeight="1" x14ac:dyDescent="0.3">
      <c r="B97" s="1"/>
    </row>
    <row r="98" spans="2:2" ht="15.75" customHeight="1" x14ac:dyDescent="0.3">
      <c r="B98" s="1"/>
    </row>
    <row r="99" spans="2:2" ht="15.75" customHeight="1" x14ac:dyDescent="0.3">
      <c r="B99" s="1"/>
    </row>
    <row r="100" spans="2:2" ht="15.75" customHeight="1" x14ac:dyDescent="0.3">
      <c r="B100" s="1"/>
    </row>
    <row r="101" spans="2:2" ht="15.75" customHeight="1" x14ac:dyDescent="0.3">
      <c r="B101" s="1"/>
    </row>
    <row r="102" spans="2:2" ht="15.75" customHeight="1" x14ac:dyDescent="0.3">
      <c r="B102" s="1"/>
    </row>
    <row r="103" spans="2:2" ht="15.75" customHeight="1" x14ac:dyDescent="0.3">
      <c r="B103" s="1"/>
    </row>
    <row r="104" spans="2:2" ht="15.75" customHeight="1" x14ac:dyDescent="0.3">
      <c r="B104" s="1"/>
    </row>
    <row r="105" spans="2:2" ht="15.75" customHeight="1" x14ac:dyDescent="0.3">
      <c r="B105" s="1"/>
    </row>
    <row r="106" spans="2:2" ht="15.75" customHeight="1" x14ac:dyDescent="0.3">
      <c r="B106" s="1"/>
    </row>
    <row r="107" spans="2:2" ht="15.75" customHeight="1" x14ac:dyDescent="0.3">
      <c r="B107" s="1"/>
    </row>
    <row r="108" spans="2:2" ht="15.75" customHeight="1" x14ac:dyDescent="0.3">
      <c r="B108" s="1"/>
    </row>
    <row r="109" spans="2:2" ht="15.75" customHeight="1" x14ac:dyDescent="0.3">
      <c r="B109" s="1"/>
    </row>
    <row r="110" spans="2:2" ht="15.75" customHeight="1" x14ac:dyDescent="0.3">
      <c r="B110" s="1"/>
    </row>
    <row r="111" spans="2:2" ht="15.75" customHeight="1" x14ac:dyDescent="0.3">
      <c r="B111" s="1"/>
    </row>
    <row r="112" spans="2:2" ht="15.75" customHeight="1" x14ac:dyDescent="0.3">
      <c r="B112" s="1"/>
    </row>
    <row r="113" spans="2:2" ht="15.75" customHeight="1" x14ac:dyDescent="0.3">
      <c r="B113" s="1"/>
    </row>
    <row r="114" spans="2:2" ht="15.75" customHeight="1" x14ac:dyDescent="0.3">
      <c r="B114" s="1"/>
    </row>
    <row r="115" spans="2:2" ht="15.75" customHeight="1" x14ac:dyDescent="0.3">
      <c r="B115" s="1"/>
    </row>
    <row r="116" spans="2:2" ht="15.75" customHeight="1" x14ac:dyDescent="0.3">
      <c r="B116" s="1"/>
    </row>
    <row r="117" spans="2:2" ht="15.75" customHeight="1" x14ac:dyDescent="0.3">
      <c r="B117" s="1"/>
    </row>
    <row r="118" spans="2:2" ht="15.75" customHeight="1" x14ac:dyDescent="0.3">
      <c r="B118" s="1"/>
    </row>
    <row r="119" spans="2:2" ht="15.75" customHeight="1" x14ac:dyDescent="0.3">
      <c r="B119" s="1"/>
    </row>
    <row r="120" spans="2:2" ht="15.75" customHeight="1" x14ac:dyDescent="0.3">
      <c r="B120" s="1"/>
    </row>
    <row r="121" spans="2:2" ht="15.75" customHeight="1" x14ac:dyDescent="0.3">
      <c r="B121" s="1"/>
    </row>
    <row r="122" spans="2:2" ht="15.75" customHeight="1" x14ac:dyDescent="0.3">
      <c r="B122" s="1"/>
    </row>
    <row r="123" spans="2:2" ht="15.75" customHeight="1" x14ac:dyDescent="0.3">
      <c r="B123" s="1"/>
    </row>
    <row r="124" spans="2:2" ht="15.75" customHeight="1" x14ac:dyDescent="0.3">
      <c r="B124" s="1"/>
    </row>
    <row r="125" spans="2:2" ht="15.75" customHeight="1" x14ac:dyDescent="0.3">
      <c r="B125" s="1"/>
    </row>
    <row r="126" spans="2:2" ht="15.75" customHeight="1" x14ac:dyDescent="0.3">
      <c r="B126" s="1"/>
    </row>
    <row r="127" spans="2:2" ht="15.75" customHeight="1" x14ac:dyDescent="0.3">
      <c r="B127" s="1"/>
    </row>
    <row r="128" spans="2:2" ht="15.75" customHeight="1" x14ac:dyDescent="0.3">
      <c r="B128" s="1"/>
    </row>
    <row r="129" spans="2:2" ht="15.75" customHeight="1" x14ac:dyDescent="0.3">
      <c r="B129" s="1"/>
    </row>
    <row r="130" spans="2:2" ht="15.75" customHeight="1" x14ac:dyDescent="0.3">
      <c r="B130" s="1"/>
    </row>
    <row r="131" spans="2:2" ht="15.75" customHeight="1" x14ac:dyDescent="0.3">
      <c r="B131" s="1"/>
    </row>
    <row r="132" spans="2:2" ht="15.75" customHeight="1" x14ac:dyDescent="0.3">
      <c r="B132" s="1"/>
    </row>
    <row r="133" spans="2:2" ht="15.75" customHeight="1" x14ac:dyDescent="0.3">
      <c r="B133" s="1"/>
    </row>
    <row r="134" spans="2:2" ht="15.75" customHeight="1" x14ac:dyDescent="0.3">
      <c r="B134" s="1"/>
    </row>
    <row r="135" spans="2:2" ht="15.75" customHeight="1" x14ac:dyDescent="0.3">
      <c r="B135" s="1"/>
    </row>
    <row r="136" spans="2:2" ht="15.75" customHeight="1" x14ac:dyDescent="0.3">
      <c r="B136" s="1"/>
    </row>
    <row r="137" spans="2:2" ht="15.75" customHeight="1" x14ac:dyDescent="0.3">
      <c r="B137" s="1"/>
    </row>
    <row r="138" spans="2:2" ht="15.75" customHeight="1" x14ac:dyDescent="0.3">
      <c r="B138" s="1"/>
    </row>
    <row r="139" spans="2:2" ht="15.75" customHeight="1" x14ac:dyDescent="0.3">
      <c r="B139" s="1"/>
    </row>
    <row r="140" spans="2:2" ht="15.75" customHeight="1" x14ac:dyDescent="0.3">
      <c r="B140" s="1"/>
    </row>
    <row r="141" spans="2:2" ht="15.75" customHeight="1" x14ac:dyDescent="0.3">
      <c r="B141" s="1"/>
    </row>
    <row r="142" spans="2:2" ht="15.75" customHeight="1" x14ac:dyDescent="0.3">
      <c r="B142" s="1"/>
    </row>
    <row r="143" spans="2:2" ht="15.75" customHeight="1" x14ac:dyDescent="0.3">
      <c r="B143" s="1"/>
    </row>
    <row r="144" spans="2:2" ht="15.75" customHeight="1" x14ac:dyDescent="0.3">
      <c r="B144" s="1"/>
    </row>
    <row r="145" spans="2:2" ht="15.75" customHeight="1" x14ac:dyDescent="0.3">
      <c r="B145" s="1"/>
    </row>
    <row r="146" spans="2:2" ht="15.75" customHeight="1" x14ac:dyDescent="0.3">
      <c r="B146" s="1"/>
    </row>
    <row r="147" spans="2:2" ht="15.75" customHeight="1" x14ac:dyDescent="0.3">
      <c r="B147" s="1"/>
    </row>
    <row r="148" spans="2:2" ht="15.75" customHeight="1" x14ac:dyDescent="0.3">
      <c r="B148" s="1"/>
    </row>
    <row r="149" spans="2:2" ht="15.75" customHeight="1" x14ac:dyDescent="0.3">
      <c r="B149" s="1"/>
    </row>
    <row r="150" spans="2:2" ht="15.75" customHeight="1" x14ac:dyDescent="0.3">
      <c r="B150" s="1"/>
    </row>
    <row r="151" spans="2:2" ht="15.75" customHeight="1" x14ac:dyDescent="0.3">
      <c r="B151" s="1"/>
    </row>
    <row r="152" spans="2:2" ht="15.75" customHeight="1" x14ac:dyDescent="0.3">
      <c r="B152" s="1"/>
    </row>
    <row r="153" spans="2:2" ht="15.75" customHeight="1" x14ac:dyDescent="0.3">
      <c r="B153" s="1"/>
    </row>
    <row r="154" spans="2:2" ht="15.75" customHeight="1" x14ac:dyDescent="0.3">
      <c r="B154" s="1"/>
    </row>
    <row r="155" spans="2:2" ht="15.75" customHeight="1" x14ac:dyDescent="0.3">
      <c r="B155" s="1"/>
    </row>
    <row r="156" spans="2:2" ht="15.75" customHeight="1" x14ac:dyDescent="0.3">
      <c r="B156" s="1"/>
    </row>
    <row r="157" spans="2:2" ht="15.75" customHeight="1" x14ac:dyDescent="0.3">
      <c r="B157" s="1"/>
    </row>
    <row r="158" spans="2:2" ht="15.75" customHeight="1" x14ac:dyDescent="0.3">
      <c r="B158" s="1"/>
    </row>
    <row r="159" spans="2:2" ht="15.75" customHeight="1" x14ac:dyDescent="0.3">
      <c r="B159" s="1"/>
    </row>
    <row r="160" spans="2:2" ht="15.75" customHeight="1" x14ac:dyDescent="0.3">
      <c r="B160" s="1"/>
    </row>
    <row r="161" spans="2:2" ht="15.75" customHeight="1" x14ac:dyDescent="0.3">
      <c r="B161" s="1"/>
    </row>
    <row r="162" spans="2:2" ht="15.75" customHeight="1" x14ac:dyDescent="0.3">
      <c r="B162" s="1"/>
    </row>
    <row r="163" spans="2:2" ht="15.75" customHeight="1" x14ac:dyDescent="0.3">
      <c r="B163" s="1"/>
    </row>
    <row r="164" spans="2:2" ht="15.75" customHeight="1" x14ac:dyDescent="0.3">
      <c r="B164" s="1"/>
    </row>
    <row r="165" spans="2:2" ht="15.75" customHeight="1" x14ac:dyDescent="0.3">
      <c r="B165" s="1"/>
    </row>
    <row r="166" spans="2:2" ht="15.75" customHeight="1" x14ac:dyDescent="0.3">
      <c r="B166" s="1"/>
    </row>
    <row r="167" spans="2:2" ht="15.75" customHeight="1" x14ac:dyDescent="0.3">
      <c r="B167" s="1"/>
    </row>
    <row r="168" spans="2:2" ht="15.75" customHeight="1" x14ac:dyDescent="0.3">
      <c r="B168" s="1"/>
    </row>
    <row r="169" spans="2:2" ht="15.75" customHeight="1" x14ac:dyDescent="0.3">
      <c r="B169" s="1"/>
    </row>
    <row r="170" spans="2:2" ht="15.75" customHeight="1" x14ac:dyDescent="0.3">
      <c r="B170" s="1"/>
    </row>
    <row r="171" spans="2:2" ht="15.75" customHeight="1" x14ac:dyDescent="0.3">
      <c r="B171" s="1"/>
    </row>
    <row r="172" spans="2:2" ht="15.75" customHeight="1" x14ac:dyDescent="0.3">
      <c r="B172" s="1"/>
    </row>
    <row r="173" spans="2:2" ht="15.75" customHeight="1" x14ac:dyDescent="0.3">
      <c r="B173" s="1"/>
    </row>
    <row r="174" spans="2:2" ht="15.75" customHeight="1" x14ac:dyDescent="0.3">
      <c r="B174" s="1"/>
    </row>
    <row r="175" spans="2:2" ht="15.75" customHeight="1" x14ac:dyDescent="0.3">
      <c r="B175" s="1"/>
    </row>
    <row r="176" spans="2:2" ht="15.75" customHeight="1" x14ac:dyDescent="0.3">
      <c r="B176" s="1"/>
    </row>
    <row r="177" spans="2:2" ht="15.75" customHeight="1" x14ac:dyDescent="0.3">
      <c r="B177" s="1"/>
    </row>
    <row r="178" spans="2:2" ht="15.75" customHeight="1" x14ac:dyDescent="0.3">
      <c r="B178" s="1"/>
    </row>
    <row r="179" spans="2:2" ht="15.75" customHeight="1" x14ac:dyDescent="0.3">
      <c r="B179" s="1"/>
    </row>
    <row r="180" spans="2:2" ht="15.75" customHeight="1" x14ac:dyDescent="0.3">
      <c r="B180" s="1"/>
    </row>
    <row r="181" spans="2:2" ht="15.75" customHeight="1" x14ac:dyDescent="0.3">
      <c r="B181" s="1"/>
    </row>
    <row r="182" spans="2:2" ht="15.75" customHeight="1" x14ac:dyDescent="0.3">
      <c r="B182" s="1"/>
    </row>
    <row r="183" spans="2:2" ht="15.75" customHeight="1" x14ac:dyDescent="0.3">
      <c r="B183" s="1"/>
    </row>
    <row r="184" spans="2:2" ht="15.75" customHeight="1" x14ac:dyDescent="0.3">
      <c r="B184" s="1"/>
    </row>
    <row r="185" spans="2:2" ht="15.75" customHeight="1" x14ac:dyDescent="0.3">
      <c r="B185" s="1"/>
    </row>
    <row r="186" spans="2:2" ht="15.75" customHeight="1" x14ac:dyDescent="0.3">
      <c r="B186" s="1"/>
    </row>
    <row r="187" spans="2:2" ht="15.75" customHeight="1" x14ac:dyDescent="0.3">
      <c r="B187" s="1"/>
    </row>
    <row r="188" spans="2:2" ht="15.75" customHeight="1" x14ac:dyDescent="0.3">
      <c r="B188" s="1"/>
    </row>
    <row r="189" spans="2:2" ht="15.75" customHeight="1" x14ac:dyDescent="0.3">
      <c r="B189" s="1"/>
    </row>
    <row r="190" spans="2:2" ht="15.75" customHeight="1" x14ac:dyDescent="0.3">
      <c r="B190" s="1"/>
    </row>
    <row r="191" spans="2:2" ht="15.75" customHeight="1" x14ac:dyDescent="0.3">
      <c r="B191" s="1"/>
    </row>
    <row r="192" spans="2:2" ht="15.75" customHeight="1" x14ac:dyDescent="0.3">
      <c r="B192" s="1"/>
    </row>
    <row r="193" spans="2:2" ht="15.75" customHeight="1" x14ac:dyDescent="0.3">
      <c r="B193" s="1"/>
    </row>
    <row r="194" spans="2:2" ht="15.75" customHeight="1" x14ac:dyDescent="0.3">
      <c r="B194" s="1"/>
    </row>
    <row r="195" spans="2:2" ht="15.75" customHeight="1" x14ac:dyDescent="0.3">
      <c r="B195" s="1"/>
    </row>
    <row r="196" spans="2:2" ht="15.75" customHeight="1" x14ac:dyDescent="0.3">
      <c r="B196" s="1"/>
    </row>
    <row r="197" spans="2:2" ht="15.75" customHeight="1" x14ac:dyDescent="0.3">
      <c r="B197" s="1"/>
    </row>
    <row r="198" spans="2:2" ht="15.75" customHeight="1" x14ac:dyDescent="0.3">
      <c r="B198" s="1"/>
    </row>
    <row r="199" spans="2:2" ht="15.75" customHeight="1" x14ac:dyDescent="0.3">
      <c r="B199" s="1"/>
    </row>
    <row r="200" spans="2:2" ht="15.75" customHeight="1" x14ac:dyDescent="0.3">
      <c r="B200" s="1"/>
    </row>
    <row r="201" spans="2:2" ht="15.75" customHeight="1" x14ac:dyDescent="0.3">
      <c r="B201" s="1"/>
    </row>
    <row r="202" spans="2:2" ht="15.75" customHeight="1" x14ac:dyDescent="0.3">
      <c r="B202" s="1"/>
    </row>
    <row r="203" spans="2:2" ht="15.75" customHeight="1" x14ac:dyDescent="0.3">
      <c r="B203" s="1"/>
    </row>
    <row r="204" spans="2:2" ht="15.75" customHeight="1" x14ac:dyDescent="0.3">
      <c r="B204" s="1"/>
    </row>
    <row r="205" spans="2:2" ht="15.75" customHeight="1" x14ac:dyDescent="0.3">
      <c r="B205" s="1"/>
    </row>
    <row r="206" spans="2:2" ht="15.75" customHeight="1" x14ac:dyDescent="0.3">
      <c r="B206" s="1"/>
    </row>
    <row r="207" spans="2:2" ht="15.75" customHeight="1" x14ac:dyDescent="0.3">
      <c r="B207" s="1"/>
    </row>
    <row r="208" spans="2:2" ht="15.75" customHeight="1" x14ac:dyDescent="0.3">
      <c r="B208" s="1"/>
    </row>
    <row r="209" spans="2:2" ht="15.75" customHeight="1" x14ac:dyDescent="0.3">
      <c r="B209" s="1"/>
    </row>
    <row r="210" spans="2:2" ht="15.75" customHeight="1" x14ac:dyDescent="0.3">
      <c r="B210" s="1"/>
    </row>
    <row r="211" spans="2:2" ht="15.75" customHeight="1" x14ac:dyDescent="0.3">
      <c r="B211" s="1"/>
    </row>
    <row r="212" spans="2:2" ht="15.75" customHeight="1" x14ac:dyDescent="0.3">
      <c r="B212" s="1"/>
    </row>
    <row r="213" spans="2:2" ht="15.75" customHeight="1" x14ac:dyDescent="0.3">
      <c r="B213" s="1"/>
    </row>
    <row r="214" spans="2:2" ht="15.75" customHeight="1" x14ac:dyDescent="0.3">
      <c r="B214" s="1"/>
    </row>
    <row r="215" spans="2:2" ht="15.75" customHeight="1" x14ac:dyDescent="0.3">
      <c r="B215" s="1"/>
    </row>
    <row r="216" spans="2:2" ht="15.75" customHeight="1" x14ac:dyDescent="0.3">
      <c r="B216" s="1"/>
    </row>
    <row r="217" spans="2:2" ht="15.75" customHeight="1" x14ac:dyDescent="0.3">
      <c r="B217" s="1"/>
    </row>
    <row r="218" spans="2:2" ht="15.75" customHeight="1" x14ac:dyDescent="0.3">
      <c r="B218" s="1"/>
    </row>
    <row r="219" spans="2:2" ht="15.75" customHeight="1" x14ac:dyDescent="0.3">
      <c r="B219" s="1"/>
    </row>
    <row r="220" spans="2:2" ht="15.75" customHeight="1" x14ac:dyDescent="0.3">
      <c r="B220" s="1"/>
    </row>
    <row r="221" spans="2:2" ht="15.75" customHeight="1" x14ac:dyDescent="0.3">
      <c r="B221" s="1"/>
    </row>
    <row r="222" spans="2:2" ht="15.75" customHeight="1" x14ac:dyDescent="0.3">
      <c r="B222" s="1"/>
    </row>
    <row r="223" spans="2:2" ht="15.75" customHeight="1" x14ac:dyDescent="0.3">
      <c r="B223" s="1"/>
    </row>
    <row r="224" spans="2:2" ht="15.75" customHeight="1" x14ac:dyDescent="0.3">
      <c r="B224" s="1"/>
    </row>
    <row r="225" spans="2:2" ht="15.75" customHeight="1" x14ac:dyDescent="0.3">
      <c r="B225" s="1"/>
    </row>
    <row r="226" spans="2:2" ht="15.75" customHeight="1" x14ac:dyDescent="0.3">
      <c r="B226" s="1"/>
    </row>
    <row r="227" spans="2:2" ht="15.75" customHeight="1" x14ac:dyDescent="0.3">
      <c r="B227" s="1"/>
    </row>
    <row r="228" spans="2:2" ht="15.75" customHeight="1" x14ac:dyDescent="0.3">
      <c r="B228" s="1"/>
    </row>
    <row r="229" spans="2:2" ht="15.75" customHeight="1" x14ac:dyDescent="0.3">
      <c r="B229" s="1"/>
    </row>
    <row r="230" spans="2:2" ht="15.75" customHeight="1" x14ac:dyDescent="0.3">
      <c r="B230" s="1"/>
    </row>
    <row r="231" spans="2:2" ht="15.75" customHeight="1" x14ac:dyDescent="0.3">
      <c r="B231" s="1"/>
    </row>
    <row r="232" spans="2:2" ht="15.75" customHeight="1" x14ac:dyDescent="0.3">
      <c r="B232" s="1"/>
    </row>
    <row r="233" spans="2:2" ht="15.75" customHeight="1" x14ac:dyDescent="0.3">
      <c r="B233" s="1"/>
    </row>
    <row r="234" spans="2:2" ht="15.75" customHeight="1" x14ac:dyDescent="0.3">
      <c r="B234" s="1"/>
    </row>
    <row r="235" spans="2:2" ht="15.75" customHeight="1" x14ac:dyDescent="0.3">
      <c r="B235" s="1"/>
    </row>
    <row r="236" spans="2:2" ht="15.75" customHeight="1" x14ac:dyDescent="0.3">
      <c r="B236" s="1"/>
    </row>
    <row r="237" spans="2:2" ht="15.75" customHeight="1" x14ac:dyDescent="0.3">
      <c r="B237" s="1"/>
    </row>
    <row r="238" spans="2:2" ht="15.75" customHeight="1" x14ac:dyDescent="0.3">
      <c r="B238" s="1"/>
    </row>
    <row r="239" spans="2:2" ht="15.75" customHeight="1" x14ac:dyDescent="0.3">
      <c r="B239" s="1"/>
    </row>
    <row r="240" spans="2:2" ht="15.75" customHeight="1" x14ac:dyDescent="0.3">
      <c r="B240" s="1"/>
    </row>
    <row r="241" spans="2:2" ht="15.75" customHeight="1" x14ac:dyDescent="0.3">
      <c r="B241" s="1"/>
    </row>
    <row r="242" spans="2:2" ht="15.75" customHeight="1" x14ac:dyDescent="0.3">
      <c r="B242" s="1"/>
    </row>
    <row r="243" spans="2:2" ht="15.75" customHeight="1" x14ac:dyDescent="0.3">
      <c r="B243" s="1"/>
    </row>
    <row r="244" spans="2:2" ht="15.75" customHeight="1" x14ac:dyDescent="0.3">
      <c r="B244" s="1"/>
    </row>
    <row r="245" spans="2:2" ht="15.75" customHeight="1" x14ac:dyDescent="0.3">
      <c r="B245" s="1"/>
    </row>
    <row r="246" spans="2:2" ht="15.75" customHeight="1" x14ac:dyDescent="0.3">
      <c r="B246" s="1"/>
    </row>
    <row r="247" spans="2:2" ht="15.75" customHeight="1" x14ac:dyDescent="0.3">
      <c r="B247" s="1"/>
    </row>
    <row r="248" spans="2:2" ht="15.75" customHeight="1" x14ac:dyDescent="0.3">
      <c r="B248" s="1"/>
    </row>
    <row r="249" spans="2:2" ht="15.75" customHeight="1" x14ac:dyDescent="0.3">
      <c r="B249" s="1"/>
    </row>
    <row r="250" spans="2:2" ht="15.75" customHeight="1" x14ac:dyDescent="0.3">
      <c r="B250" s="1"/>
    </row>
    <row r="251" spans="2:2" ht="15.75" customHeight="1" x14ac:dyDescent="0.3">
      <c r="B251" s="1"/>
    </row>
    <row r="252" spans="2:2" ht="15.75" customHeight="1" x14ac:dyDescent="0.3">
      <c r="B252" s="1"/>
    </row>
    <row r="253" spans="2:2" ht="15.75" customHeight="1" x14ac:dyDescent="0.3">
      <c r="B253" s="1"/>
    </row>
    <row r="254" spans="2:2" ht="15.75" customHeight="1" x14ac:dyDescent="0.3">
      <c r="B254" s="1"/>
    </row>
    <row r="255" spans="2:2" ht="15.75" customHeight="1" x14ac:dyDescent="0.3">
      <c r="B255" s="1"/>
    </row>
    <row r="256" spans="2:2" ht="15.75" customHeight="1" x14ac:dyDescent="0.3">
      <c r="B256" s="1"/>
    </row>
    <row r="257" spans="2:2" ht="15.75" customHeight="1" x14ac:dyDescent="0.3">
      <c r="B257" s="1"/>
    </row>
    <row r="258" spans="2:2" ht="15.75" customHeight="1" x14ac:dyDescent="0.3">
      <c r="B258" s="1"/>
    </row>
    <row r="259" spans="2:2" ht="15.75" customHeight="1" x14ac:dyDescent="0.3">
      <c r="B259" s="1"/>
    </row>
    <row r="260" spans="2:2" ht="15.75" customHeight="1" x14ac:dyDescent="0.3">
      <c r="B260" s="1"/>
    </row>
    <row r="261" spans="2:2" ht="15.75" customHeight="1" x14ac:dyDescent="0.3">
      <c r="B261" s="1"/>
    </row>
    <row r="262" spans="2:2" ht="15.75" customHeight="1" x14ac:dyDescent="0.3">
      <c r="B262" s="1"/>
    </row>
    <row r="263" spans="2:2" ht="15.75" customHeight="1" x14ac:dyDescent="0.3">
      <c r="B263" s="1"/>
    </row>
    <row r="264" spans="2:2" ht="15.75" customHeight="1" x14ac:dyDescent="0.3">
      <c r="B264" s="1"/>
    </row>
    <row r="265" spans="2:2" ht="15.75" customHeight="1" x14ac:dyDescent="0.3">
      <c r="B265" s="1"/>
    </row>
    <row r="266" spans="2:2" ht="15.75" customHeight="1" x14ac:dyDescent="0.3">
      <c r="B266" s="1"/>
    </row>
    <row r="267" spans="2:2" ht="15.75" customHeight="1" x14ac:dyDescent="0.3">
      <c r="B267" s="1"/>
    </row>
    <row r="268" spans="2:2" ht="15.75" customHeight="1" x14ac:dyDescent="0.3">
      <c r="B268" s="1"/>
    </row>
    <row r="269" spans="2:2" ht="15.75" customHeight="1" x14ac:dyDescent="0.3">
      <c r="B269" s="1"/>
    </row>
    <row r="270" spans="2:2" ht="15.75" customHeight="1" x14ac:dyDescent="0.3">
      <c r="B270" s="1"/>
    </row>
    <row r="271" spans="2:2" ht="15.75" customHeight="1" x14ac:dyDescent="0.3">
      <c r="B271" s="1"/>
    </row>
    <row r="272" spans="2:2" ht="15.75" customHeight="1" x14ac:dyDescent="0.3">
      <c r="B272" s="1"/>
    </row>
    <row r="273" spans="2:2" ht="15.75" customHeight="1" x14ac:dyDescent="0.3">
      <c r="B273" s="1"/>
    </row>
    <row r="274" spans="2:2" ht="15.75" customHeight="1" x14ac:dyDescent="0.3">
      <c r="B274" s="1"/>
    </row>
    <row r="275" spans="2:2" ht="15.75" customHeight="1" x14ac:dyDescent="0.3">
      <c r="B275" s="1"/>
    </row>
    <row r="276" spans="2:2" ht="15.75" customHeight="1" x14ac:dyDescent="0.3">
      <c r="B276" s="1"/>
    </row>
    <row r="277" spans="2:2" ht="15.75" customHeight="1" x14ac:dyDescent="0.3">
      <c r="B277" s="1"/>
    </row>
    <row r="278" spans="2:2" ht="15.75" customHeight="1" x14ac:dyDescent="0.3">
      <c r="B278" s="1"/>
    </row>
    <row r="279" spans="2:2" ht="15.75" customHeight="1" x14ac:dyDescent="0.3">
      <c r="B279" s="1"/>
    </row>
    <row r="280" spans="2:2" ht="15.75" customHeight="1" x14ac:dyDescent="0.3">
      <c r="B280" s="1"/>
    </row>
    <row r="281" spans="2:2" ht="15.75" customHeight="1" x14ac:dyDescent="0.3">
      <c r="B281" s="1"/>
    </row>
    <row r="282" spans="2:2" ht="15.75" customHeight="1" x14ac:dyDescent="0.3">
      <c r="B282" s="1"/>
    </row>
    <row r="283" spans="2:2" ht="15.75" customHeight="1" x14ac:dyDescent="0.3">
      <c r="B283" s="1"/>
    </row>
    <row r="284" spans="2:2" ht="15.75" customHeight="1" x14ac:dyDescent="0.3">
      <c r="B284" s="1"/>
    </row>
    <row r="285" spans="2:2" ht="15.75" customHeight="1" x14ac:dyDescent="0.3">
      <c r="B285" s="1"/>
    </row>
    <row r="286" spans="2:2" ht="15.75" customHeight="1" x14ac:dyDescent="0.3">
      <c r="B286" s="1"/>
    </row>
    <row r="287" spans="2:2" ht="15.75" customHeight="1" x14ac:dyDescent="0.3">
      <c r="B287" s="1"/>
    </row>
    <row r="288" spans="2:2" ht="15.75" customHeight="1" x14ac:dyDescent="0.3">
      <c r="B288" s="1"/>
    </row>
    <row r="289" spans="2:2" ht="15.75" customHeight="1" x14ac:dyDescent="0.3">
      <c r="B289" s="1"/>
    </row>
    <row r="290" spans="2:2" ht="15.75" customHeight="1" x14ac:dyDescent="0.3">
      <c r="B290" s="1"/>
    </row>
    <row r="291" spans="2:2" ht="15.75" customHeight="1" x14ac:dyDescent="0.3">
      <c r="B291" s="1"/>
    </row>
    <row r="292" spans="2:2" ht="15.75" customHeight="1" x14ac:dyDescent="0.3">
      <c r="B292" s="1"/>
    </row>
    <row r="293" spans="2:2" ht="15.75" customHeight="1" x14ac:dyDescent="0.3">
      <c r="B293" s="1"/>
    </row>
    <row r="294" spans="2:2" ht="15.75" customHeight="1" x14ac:dyDescent="0.3">
      <c r="B294" s="1"/>
    </row>
    <row r="295" spans="2:2" ht="15.75" customHeight="1" x14ac:dyDescent="0.3">
      <c r="B295" s="1"/>
    </row>
    <row r="296" spans="2:2" ht="15.75" customHeight="1" x14ac:dyDescent="0.3">
      <c r="B296" s="1"/>
    </row>
    <row r="297" spans="2:2" ht="15.75" customHeight="1" x14ac:dyDescent="0.3">
      <c r="B297" s="1"/>
    </row>
    <row r="298" spans="2:2" ht="15.75" customHeight="1" x14ac:dyDescent="0.3">
      <c r="B298" s="1"/>
    </row>
    <row r="299" spans="2:2" ht="15.75" customHeight="1" x14ac:dyDescent="0.3">
      <c r="B299" s="1"/>
    </row>
    <row r="300" spans="2:2" ht="15.75" customHeight="1" x14ac:dyDescent="0.3">
      <c r="B300" s="1"/>
    </row>
    <row r="301" spans="2:2" ht="15.75" customHeight="1" x14ac:dyDescent="0.3">
      <c r="B301" s="1"/>
    </row>
    <row r="302" spans="2:2" ht="15.75" customHeight="1" x14ac:dyDescent="0.3">
      <c r="B302" s="1"/>
    </row>
    <row r="303" spans="2:2" ht="15.75" customHeight="1" x14ac:dyDescent="0.3">
      <c r="B303" s="1"/>
    </row>
    <row r="304" spans="2:2" ht="15.75" customHeight="1" x14ac:dyDescent="0.3">
      <c r="B304" s="1"/>
    </row>
    <row r="305" spans="2:2" ht="15.75" customHeight="1" x14ac:dyDescent="0.3">
      <c r="B305" s="1"/>
    </row>
    <row r="306" spans="2:2" ht="15.75" customHeight="1" x14ac:dyDescent="0.3">
      <c r="B306" s="1"/>
    </row>
    <row r="307" spans="2:2" ht="15.75" customHeight="1" x14ac:dyDescent="0.3">
      <c r="B307" s="1"/>
    </row>
    <row r="308" spans="2:2" ht="15.75" customHeight="1" x14ac:dyDescent="0.3">
      <c r="B308" s="1"/>
    </row>
    <row r="309" spans="2:2" ht="15.75" customHeight="1" x14ac:dyDescent="0.3">
      <c r="B309" s="1"/>
    </row>
    <row r="310" spans="2:2" ht="15.75" customHeight="1" x14ac:dyDescent="0.3">
      <c r="B310" s="1"/>
    </row>
    <row r="311" spans="2:2" ht="15.75" customHeight="1" x14ac:dyDescent="0.3">
      <c r="B311" s="1"/>
    </row>
    <row r="312" spans="2:2" ht="15.75" customHeight="1" x14ac:dyDescent="0.3">
      <c r="B312" s="1"/>
    </row>
    <row r="313" spans="2:2" ht="15.75" customHeight="1" x14ac:dyDescent="0.3">
      <c r="B313" s="1"/>
    </row>
    <row r="314" spans="2:2" ht="15.75" customHeight="1" x14ac:dyDescent="0.3">
      <c r="B314" s="1"/>
    </row>
    <row r="315" spans="2:2" ht="15.75" customHeight="1" x14ac:dyDescent="0.3">
      <c r="B315" s="1"/>
    </row>
    <row r="316" spans="2:2" ht="15.75" customHeight="1" x14ac:dyDescent="0.3">
      <c r="B316" s="1"/>
    </row>
    <row r="317" spans="2:2" ht="15.75" customHeight="1" x14ac:dyDescent="0.3">
      <c r="B317" s="1"/>
    </row>
    <row r="318" spans="2:2" ht="15.75" customHeight="1" x14ac:dyDescent="0.3">
      <c r="B318" s="1"/>
    </row>
    <row r="319" spans="2:2" ht="15.75" customHeight="1" x14ac:dyDescent="0.3">
      <c r="B319" s="1"/>
    </row>
    <row r="320" spans="2:2" ht="15.75" customHeight="1" x14ac:dyDescent="0.3">
      <c r="B320" s="1"/>
    </row>
    <row r="321" spans="2:2" ht="15.75" customHeight="1" x14ac:dyDescent="0.3">
      <c r="B321" s="1"/>
    </row>
    <row r="322" spans="2:2" ht="15.75" customHeight="1" x14ac:dyDescent="0.3">
      <c r="B322" s="1"/>
    </row>
    <row r="323" spans="2:2" ht="15.75" customHeight="1" x14ac:dyDescent="0.3">
      <c r="B323" s="1"/>
    </row>
    <row r="324" spans="2:2" ht="15.75" customHeight="1" x14ac:dyDescent="0.3">
      <c r="B324" s="1"/>
    </row>
    <row r="325" spans="2:2" ht="15.75" customHeight="1" x14ac:dyDescent="0.3">
      <c r="B325" s="1"/>
    </row>
    <row r="326" spans="2:2" ht="15.75" customHeight="1" x14ac:dyDescent="0.3">
      <c r="B326" s="1"/>
    </row>
    <row r="327" spans="2:2" ht="15.75" customHeight="1" x14ac:dyDescent="0.3">
      <c r="B327" s="1"/>
    </row>
    <row r="328" spans="2:2" ht="15.75" customHeight="1" x14ac:dyDescent="0.3">
      <c r="B328" s="1"/>
    </row>
    <row r="329" spans="2:2" ht="15.75" customHeight="1" x14ac:dyDescent="0.3">
      <c r="B329" s="1"/>
    </row>
    <row r="330" spans="2:2" ht="15.75" customHeight="1" x14ac:dyDescent="0.3">
      <c r="B330" s="1"/>
    </row>
    <row r="331" spans="2:2" ht="15.75" customHeight="1" x14ac:dyDescent="0.3">
      <c r="B331" s="1"/>
    </row>
    <row r="332" spans="2:2" ht="15.75" customHeight="1" x14ac:dyDescent="0.3">
      <c r="B332" s="1"/>
    </row>
    <row r="333" spans="2:2" ht="15.75" customHeight="1" x14ac:dyDescent="0.3">
      <c r="B333" s="1"/>
    </row>
    <row r="334" spans="2:2" ht="15.75" customHeight="1" x14ac:dyDescent="0.3">
      <c r="B334" s="1"/>
    </row>
    <row r="335" spans="2:2" ht="15.75" customHeight="1" x14ac:dyDescent="0.3">
      <c r="B335" s="1"/>
    </row>
    <row r="336" spans="2:2" ht="15.75" customHeight="1" x14ac:dyDescent="0.3">
      <c r="B336" s="1"/>
    </row>
    <row r="337" spans="2:2" ht="15.75" customHeight="1" x14ac:dyDescent="0.3">
      <c r="B337" s="1"/>
    </row>
    <row r="338" spans="2:2" ht="15.75" customHeight="1" x14ac:dyDescent="0.3">
      <c r="B338" s="1"/>
    </row>
    <row r="339" spans="2:2" ht="15.75" customHeight="1" x14ac:dyDescent="0.3">
      <c r="B339" s="1"/>
    </row>
    <row r="340" spans="2:2" ht="15.75" customHeight="1" x14ac:dyDescent="0.3">
      <c r="B340" s="1"/>
    </row>
    <row r="341" spans="2:2" ht="15.75" customHeight="1" x14ac:dyDescent="0.3">
      <c r="B341" s="1"/>
    </row>
    <row r="342" spans="2:2" ht="15.75" customHeight="1" x14ac:dyDescent="0.3">
      <c r="B342" s="1"/>
    </row>
    <row r="343" spans="2:2" ht="15.75" customHeight="1" x14ac:dyDescent="0.3">
      <c r="B343" s="1"/>
    </row>
    <row r="344" spans="2:2" ht="15.75" customHeight="1" x14ac:dyDescent="0.3">
      <c r="B344" s="1"/>
    </row>
    <row r="345" spans="2:2" ht="15.75" customHeight="1" x14ac:dyDescent="0.3">
      <c r="B345" s="1"/>
    </row>
    <row r="346" spans="2:2" ht="15.75" customHeight="1" x14ac:dyDescent="0.3">
      <c r="B346" s="1"/>
    </row>
    <row r="347" spans="2:2" ht="15.75" customHeight="1" x14ac:dyDescent="0.3">
      <c r="B347" s="1"/>
    </row>
    <row r="348" spans="2:2" ht="15.75" customHeight="1" x14ac:dyDescent="0.3">
      <c r="B348" s="1"/>
    </row>
    <row r="349" spans="2:2" ht="15.75" customHeight="1" x14ac:dyDescent="0.3">
      <c r="B349" s="1"/>
    </row>
    <row r="350" spans="2:2" ht="15.75" customHeight="1" x14ac:dyDescent="0.3">
      <c r="B350" s="1"/>
    </row>
    <row r="351" spans="2:2" ht="15.75" customHeight="1" x14ac:dyDescent="0.3">
      <c r="B351" s="1"/>
    </row>
    <row r="352" spans="2:2" ht="15.75" customHeight="1" x14ac:dyDescent="0.3">
      <c r="B352" s="1"/>
    </row>
    <row r="353" spans="2:2" ht="15.75" customHeight="1" x14ac:dyDescent="0.3">
      <c r="B353" s="1"/>
    </row>
    <row r="354" spans="2:2" ht="15.75" customHeight="1" x14ac:dyDescent="0.3">
      <c r="B354" s="1"/>
    </row>
    <row r="355" spans="2:2" ht="15.75" customHeight="1" x14ac:dyDescent="0.3">
      <c r="B355" s="1"/>
    </row>
    <row r="356" spans="2:2" ht="15.75" customHeight="1" x14ac:dyDescent="0.3">
      <c r="B356" s="1"/>
    </row>
    <row r="357" spans="2:2" ht="15.75" customHeight="1" x14ac:dyDescent="0.3">
      <c r="B357" s="1"/>
    </row>
    <row r="358" spans="2:2" ht="15.75" customHeight="1" x14ac:dyDescent="0.3">
      <c r="B358" s="1"/>
    </row>
    <row r="359" spans="2:2" ht="15.75" customHeight="1" x14ac:dyDescent="0.3">
      <c r="B359" s="1"/>
    </row>
    <row r="360" spans="2:2" ht="15.75" customHeight="1" x14ac:dyDescent="0.3">
      <c r="B360" s="1"/>
    </row>
    <row r="361" spans="2:2" ht="15.75" customHeight="1" x14ac:dyDescent="0.3">
      <c r="B361" s="1"/>
    </row>
    <row r="362" spans="2:2" ht="15.75" customHeight="1" x14ac:dyDescent="0.3">
      <c r="B362" s="1"/>
    </row>
    <row r="363" spans="2:2" ht="15.75" customHeight="1" x14ac:dyDescent="0.3">
      <c r="B363" s="1"/>
    </row>
    <row r="364" spans="2:2" ht="15.75" customHeight="1" x14ac:dyDescent="0.3">
      <c r="B364" s="1"/>
    </row>
    <row r="365" spans="2:2" ht="15.75" customHeight="1" x14ac:dyDescent="0.3">
      <c r="B365" s="1"/>
    </row>
    <row r="366" spans="2:2" ht="15.75" customHeight="1" x14ac:dyDescent="0.3">
      <c r="B366" s="1"/>
    </row>
    <row r="367" spans="2:2" ht="15.75" customHeight="1" x14ac:dyDescent="0.3">
      <c r="B367" s="1"/>
    </row>
    <row r="368" spans="2:2" ht="15.75" customHeight="1" x14ac:dyDescent="0.3">
      <c r="B368" s="1"/>
    </row>
    <row r="369" spans="2:2" ht="15.75" customHeight="1" x14ac:dyDescent="0.3">
      <c r="B369" s="1"/>
    </row>
    <row r="370" spans="2:2" ht="15.75" customHeight="1" x14ac:dyDescent="0.3">
      <c r="B370" s="1"/>
    </row>
    <row r="371" spans="2:2" ht="15.75" customHeight="1" x14ac:dyDescent="0.3">
      <c r="B371" s="1"/>
    </row>
    <row r="372" spans="2:2" ht="15.75" customHeight="1" x14ac:dyDescent="0.3">
      <c r="B372" s="1"/>
    </row>
    <row r="373" spans="2:2" ht="15.75" customHeight="1" x14ac:dyDescent="0.3">
      <c r="B373" s="1"/>
    </row>
    <row r="374" spans="2:2" ht="15.75" customHeight="1" x14ac:dyDescent="0.3">
      <c r="B374" s="1"/>
    </row>
    <row r="375" spans="2:2" ht="15.75" customHeight="1" x14ac:dyDescent="0.3">
      <c r="B375" s="1"/>
    </row>
    <row r="376" spans="2:2" ht="15.75" customHeight="1" x14ac:dyDescent="0.3">
      <c r="B376" s="1"/>
    </row>
    <row r="377" spans="2:2" ht="15.75" customHeight="1" x14ac:dyDescent="0.3">
      <c r="B377" s="1"/>
    </row>
    <row r="378" spans="2:2" ht="15.75" customHeight="1" x14ac:dyDescent="0.3">
      <c r="B378" s="1"/>
    </row>
    <row r="379" spans="2:2" ht="15.75" customHeight="1" x14ac:dyDescent="0.3">
      <c r="B379" s="1"/>
    </row>
    <row r="380" spans="2:2" ht="15.75" customHeight="1" x14ac:dyDescent="0.3">
      <c r="B380" s="1"/>
    </row>
    <row r="381" spans="2:2" ht="15.75" customHeight="1" x14ac:dyDescent="0.3">
      <c r="B381" s="1"/>
    </row>
    <row r="382" spans="2:2" ht="15.75" customHeight="1" x14ac:dyDescent="0.3">
      <c r="B382" s="1"/>
    </row>
    <row r="383" spans="2:2" ht="15.75" customHeight="1" x14ac:dyDescent="0.3">
      <c r="B383" s="1"/>
    </row>
    <row r="384" spans="2:2" ht="15.75" customHeight="1" x14ac:dyDescent="0.3">
      <c r="B384" s="1"/>
    </row>
    <row r="385" spans="2:2" ht="15.75" customHeight="1" x14ac:dyDescent="0.3">
      <c r="B385" s="1"/>
    </row>
    <row r="386" spans="2:2" ht="15.75" customHeight="1" x14ac:dyDescent="0.3">
      <c r="B386" s="1"/>
    </row>
    <row r="387" spans="2:2" ht="15.75" customHeight="1" x14ac:dyDescent="0.3">
      <c r="B387" s="1"/>
    </row>
    <row r="388" spans="2:2" ht="15.75" customHeight="1" x14ac:dyDescent="0.3">
      <c r="B388" s="1"/>
    </row>
    <row r="389" spans="2:2" ht="15.75" customHeight="1" x14ac:dyDescent="0.3">
      <c r="B389" s="1"/>
    </row>
    <row r="390" spans="2:2" ht="15.75" customHeight="1" x14ac:dyDescent="0.3">
      <c r="B390" s="1"/>
    </row>
    <row r="391" spans="2:2" ht="15.75" customHeight="1" x14ac:dyDescent="0.3">
      <c r="B391" s="1"/>
    </row>
    <row r="392" spans="2:2" ht="15.75" customHeight="1" x14ac:dyDescent="0.3">
      <c r="B392" s="1"/>
    </row>
    <row r="393" spans="2:2" ht="15.75" customHeight="1" x14ac:dyDescent="0.3">
      <c r="B393" s="1"/>
    </row>
    <row r="394" spans="2:2" ht="15.75" customHeight="1" x14ac:dyDescent="0.3">
      <c r="B394" s="1"/>
    </row>
    <row r="395" spans="2:2" ht="15.75" customHeight="1" x14ac:dyDescent="0.3">
      <c r="B395" s="1"/>
    </row>
    <row r="396" spans="2:2" ht="15.75" customHeight="1" x14ac:dyDescent="0.3">
      <c r="B396" s="1"/>
    </row>
    <row r="397" spans="2:2" ht="15.75" customHeight="1" x14ac:dyDescent="0.3">
      <c r="B397" s="1"/>
    </row>
    <row r="398" spans="2:2" ht="15.75" customHeight="1" x14ac:dyDescent="0.3">
      <c r="B398" s="1"/>
    </row>
    <row r="399" spans="2:2" ht="15.75" customHeight="1" x14ac:dyDescent="0.3">
      <c r="B399" s="1"/>
    </row>
    <row r="400" spans="2:2" ht="15.75" customHeight="1" x14ac:dyDescent="0.3">
      <c r="B400" s="1"/>
    </row>
    <row r="401" spans="2:2" ht="15.75" customHeight="1" x14ac:dyDescent="0.3">
      <c r="B401" s="1"/>
    </row>
    <row r="402" spans="2:2" ht="15.75" customHeight="1" x14ac:dyDescent="0.3">
      <c r="B402" s="1"/>
    </row>
    <row r="403" spans="2:2" ht="15.75" customHeight="1" x14ac:dyDescent="0.3">
      <c r="B403" s="1"/>
    </row>
    <row r="404" spans="2:2" ht="15.75" customHeight="1" x14ac:dyDescent="0.3">
      <c r="B404" s="1"/>
    </row>
    <row r="405" spans="2:2" ht="15.75" customHeight="1" x14ac:dyDescent="0.3">
      <c r="B405" s="1"/>
    </row>
    <row r="406" spans="2:2" ht="15.75" customHeight="1" x14ac:dyDescent="0.3">
      <c r="B406" s="1"/>
    </row>
    <row r="407" spans="2:2" ht="15.75" customHeight="1" x14ac:dyDescent="0.3">
      <c r="B407" s="1"/>
    </row>
    <row r="408" spans="2:2" ht="15.75" customHeight="1" x14ac:dyDescent="0.3">
      <c r="B408" s="1"/>
    </row>
    <row r="409" spans="2:2" ht="15.75" customHeight="1" x14ac:dyDescent="0.3">
      <c r="B409" s="1"/>
    </row>
    <row r="410" spans="2:2" ht="15.75" customHeight="1" x14ac:dyDescent="0.3">
      <c r="B410" s="1"/>
    </row>
    <row r="411" spans="2:2" ht="15.75" customHeight="1" x14ac:dyDescent="0.3">
      <c r="B411" s="1"/>
    </row>
    <row r="412" spans="2:2" ht="15.75" customHeight="1" x14ac:dyDescent="0.3">
      <c r="B412" s="1"/>
    </row>
    <row r="413" spans="2:2" ht="15.75" customHeight="1" x14ac:dyDescent="0.3">
      <c r="B413" s="1"/>
    </row>
    <row r="414" spans="2:2" ht="15.75" customHeight="1" x14ac:dyDescent="0.3">
      <c r="B414" s="1"/>
    </row>
    <row r="415" spans="2:2" ht="15.75" customHeight="1" x14ac:dyDescent="0.3">
      <c r="B415" s="1"/>
    </row>
    <row r="416" spans="2:2" ht="15.75" customHeight="1" x14ac:dyDescent="0.3">
      <c r="B416" s="1"/>
    </row>
    <row r="417" spans="2:2" ht="15.75" customHeight="1" x14ac:dyDescent="0.3">
      <c r="B417" s="1"/>
    </row>
    <row r="418" spans="2:2" ht="15.75" customHeight="1" x14ac:dyDescent="0.3">
      <c r="B418" s="1"/>
    </row>
    <row r="419" spans="2:2" ht="15.75" customHeight="1" x14ac:dyDescent="0.3">
      <c r="B419" s="1"/>
    </row>
    <row r="420" spans="2:2" ht="15.75" customHeight="1" x14ac:dyDescent="0.3">
      <c r="B420" s="1"/>
    </row>
    <row r="421" spans="2:2" ht="15.75" customHeight="1" x14ac:dyDescent="0.3">
      <c r="B421" s="1"/>
    </row>
    <row r="422" spans="2:2" ht="15.75" customHeight="1" x14ac:dyDescent="0.3">
      <c r="B422" s="1"/>
    </row>
    <row r="423" spans="2:2" ht="15.75" customHeight="1" x14ac:dyDescent="0.3">
      <c r="B423" s="1"/>
    </row>
    <row r="424" spans="2:2" ht="15.75" customHeight="1" x14ac:dyDescent="0.3">
      <c r="B424" s="1"/>
    </row>
    <row r="425" spans="2:2" ht="15.75" customHeight="1" x14ac:dyDescent="0.3">
      <c r="B425" s="1"/>
    </row>
    <row r="426" spans="2:2" ht="15.75" customHeight="1" x14ac:dyDescent="0.3">
      <c r="B426" s="1"/>
    </row>
    <row r="427" spans="2:2" ht="15.75" customHeight="1" x14ac:dyDescent="0.3">
      <c r="B427" s="1"/>
    </row>
    <row r="428" spans="2:2" ht="15.75" customHeight="1" x14ac:dyDescent="0.3">
      <c r="B428" s="1"/>
    </row>
    <row r="429" spans="2:2" ht="15.75" customHeight="1" x14ac:dyDescent="0.3">
      <c r="B429" s="1"/>
    </row>
    <row r="430" spans="2:2" ht="15.75" customHeight="1" x14ac:dyDescent="0.3">
      <c r="B430" s="1"/>
    </row>
    <row r="431" spans="2:2" ht="15.75" customHeight="1" x14ac:dyDescent="0.3">
      <c r="B431" s="1"/>
    </row>
    <row r="432" spans="2:2" ht="15.75" customHeight="1" x14ac:dyDescent="0.3">
      <c r="B432" s="1"/>
    </row>
    <row r="433" spans="2:2" ht="15.75" customHeight="1" x14ac:dyDescent="0.3">
      <c r="B433" s="1"/>
    </row>
    <row r="434" spans="2:2" ht="15.75" customHeight="1" x14ac:dyDescent="0.3">
      <c r="B434" s="1"/>
    </row>
    <row r="435" spans="2:2" ht="15.75" customHeight="1" x14ac:dyDescent="0.3">
      <c r="B435" s="1"/>
    </row>
    <row r="436" spans="2:2" ht="15.75" customHeight="1" x14ac:dyDescent="0.3">
      <c r="B436" s="1"/>
    </row>
    <row r="437" spans="2:2" ht="15.75" customHeight="1" x14ac:dyDescent="0.3">
      <c r="B437" s="1"/>
    </row>
    <row r="438" spans="2:2" ht="15.75" customHeight="1" x14ac:dyDescent="0.3">
      <c r="B438" s="1"/>
    </row>
    <row r="439" spans="2:2" ht="15.75" customHeight="1" x14ac:dyDescent="0.3">
      <c r="B439" s="1"/>
    </row>
    <row r="440" spans="2:2" ht="15.75" customHeight="1" x14ac:dyDescent="0.3">
      <c r="B440" s="1"/>
    </row>
    <row r="441" spans="2:2" ht="15.75" customHeight="1" x14ac:dyDescent="0.3">
      <c r="B441" s="1"/>
    </row>
    <row r="442" spans="2:2" ht="15.75" customHeight="1" x14ac:dyDescent="0.3">
      <c r="B442" s="1"/>
    </row>
    <row r="443" spans="2:2" ht="15.75" customHeight="1" x14ac:dyDescent="0.3">
      <c r="B443" s="1"/>
    </row>
    <row r="444" spans="2:2" ht="15.75" customHeight="1" x14ac:dyDescent="0.3">
      <c r="B444" s="1"/>
    </row>
    <row r="445" spans="2:2" ht="15.75" customHeight="1" x14ac:dyDescent="0.3">
      <c r="B445" s="1"/>
    </row>
    <row r="446" spans="2:2" ht="15.75" customHeight="1" x14ac:dyDescent="0.3">
      <c r="B446" s="1"/>
    </row>
    <row r="447" spans="2:2" ht="15.75" customHeight="1" x14ac:dyDescent="0.3">
      <c r="B447" s="1"/>
    </row>
    <row r="448" spans="2:2" ht="15.75" customHeight="1" x14ac:dyDescent="0.3">
      <c r="B448" s="1"/>
    </row>
    <row r="449" spans="2:2" ht="15.75" customHeight="1" x14ac:dyDescent="0.3">
      <c r="B449" s="1"/>
    </row>
    <row r="450" spans="2:2" ht="15.75" customHeight="1" x14ac:dyDescent="0.3">
      <c r="B450" s="1"/>
    </row>
    <row r="451" spans="2:2" ht="15.75" customHeight="1" x14ac:dyDescent="0.3">
      <c r="B451" s="1"/>
    </row>
    <row r="452" spans="2:2" ht="15.75" customHeight="1" x14ac:dyDescent="0.3">
      <c r="B452" s="1"/>
    </row>
    <row r="453" spans="2:2" ht="15.75" customHeight="1" x14ac:dyDescent="0.3">
      <c r="B453" s="1"/>
    </row>
    <row r="454" spans="2:2" ht="15.75" customHeight="1" x14ac:dyDescent="0.3">
      <c r="B454" s="1"/>
    </row>
    <row r="455" spans="2:2" ht="15.75" customHeight="1" x14ac:dyDescent="0.3">
      <c r="B455" s="1"/>
    </row>
    <row r="456" spans="2:2" ht="15.75" customHeight="1" x14ac:dyDescent="0.3">
      <c r="B456" s="1"/>
    </row>
    <row r="457" spans="2:2" ht="15.75" customHeight="1" x14ac:dyDescent="0.3">
      <c r="B457" s="1"/>
    </row>
    <row r="458" spans="2:2" ht="15.75" customHeight="1" x14ac:dyDescent="0.3">
      <c r="B458" s="1"/>
    </row>
    <row r="459" spans="2:2" ht="15.75" customHeight="1" x14ac:dyDescent="0.3">
      <c r="B459" s="1"/>
    </row>
    <row r="460" spans="2:2" ht="15.75" customHeight="1" x14ac:dyDescent="0.3">
      <c r="B460" s="1"/>
    </row>
    <row r="461" spans="2:2" ht="15.75" customHeight="1" x14ac:dyDescent="0.3">
      <c r="B461" s="1"/>
    </row>
    <row r="462" spans="2:2" ht="15.75" customHeight="1" x14ac:dyDescent="0.3">
      <c r="B462" s="1"/>
    </row>
    <row r="463" spans="2:2" ht="15.75" customHeight="1" x14ac:dyDescent="0.3">
      <c r="B463" s="1"/>
    </row>
    <row r="464" spans="2:2" ht="15.75" customHeight="1" x14ac:dyDescent="0.3">
      <c r="B464" s="1"/>
    </row>
    <row r="465" spans="2:2" ht="15.75" customHeight="1" x14ac:dyDescent="0.3">
      <c r="B465" s="1"/>
    </row>
    <row r="466" spans="2:2" ht="15.75" customHeight="1" x14ac:dyDescent="0.3">
      <c r="B466" s="1"/>
    </row>
    <row r="467" spans="2:2" ht="15.75" customHeight="1" x14ac:dyDescent="0.3">
      <c r="B467" s="1"/>
    </row>
    <row r="468" spans="2:2" ht="15.75" customHeight="1" x14ac:dyDescent="0.3">
      <c r="B468" s="1"/>
    </row>
    <row r="469" spans="2:2" ht="15.75" customHeight="1" x14ac:dyDescent="0.3">
      <c r="B469" s="1"/>
    </row>
    <row r="470" spans="2:2" ht="15.75" customHeight="1" x14ac:dyDescent="0.3">
      <c r="B470" s="1"/>
    </row>
    <row r="471" spans="2:2" ht="15.75" customHeight="1" x14ac:dyDescent="0.3">
      <c r="B471" s="1"/>
    </row>
    <row r="472" spans="2:2" ht="15.75" customHeight="1" x14ac:dyDescent="0.3">
      <c r="B472" s="1"/>
    </row>
    <row r="473" spans="2:2" ht="15.75" customHeight="1" x14ac:dyDescent="0.3">
      <c r="B473" s="1"/>
    </row>
    <row r="474" spans="2:2" ht="15.75" customHeight="1" x14ac:dyDescent="0.3">
      <c r="B474" s="1"/>
    </row>
    <row r="475" spans="2:2" ht="15.75" customHeight="1" x14ac:dyDescent="0.3">
      <c r="B475" s="1"/>
    </row>
    <row r="476" spans="2:2" ht="15.75" customHeight="1" x14ac:dyDescent="0.3">
      <c r="B476" s="1"/>
    </row>
    <row r="477" spans="2:2" ht="15.75" customHeight="1" x14ac:dyDescent="0.3">
      <c r="B477" s="1"/>
    </row>
    <row r="478" spans="2:2" ht="15.75" customHeight="1" x14ac:dyDescent="0.3">
      <c r="B478" s="1"/>
    </row>
    <row r="479" spans="2:2" ht="15.75" customHeight="1" x14ac:dyDescent="0.3">
      <c r="B479" s="1"/>
    </row>
    <row r="480" spans="2:2" ht="15.75" customHeight="1" x14ac:dyDescent="0.3">
      <c r="B480" s="1"/>
    </row>
    <row r="481" spans="2:2" ht="15.75" customHeight="1" x14ac:dyDescent="0.3">
      <c r="B481" s="1"/>
    </row>
    <row r="482" spans="2:2" ht="15.75" customHeight="1" x14ac:dyDescent="0.3">
      <c r="B482" s="1"/>
    </row>
    <row r="483" spans="2:2" ht="15.75" customHeight="1" x14ac:dyDescent="0.3">
      <c r="B483" s="1"/>
    </row>
    <row r="484" spans="2:2" ht="15.75" customHeight="1" x14ac:dyDescent="0.3">
      <c r="B484" s="1"/>
    </row>
    <row r="485" spans="2:2" ht="15.75" customHeight="1" x14ac:dyDescent="0.3">
      <c r="B485" s="1"/>
    </row>
    <row r="486" spans="2:2" ht="15.75" customHeight="1" x14ac:dyDescent="0.3">
      <c r="B486" s="1"/>
    </row>
    <row r="487" spans="2:2" ht="15.75" customHeight="1" x14ac:dyDescent="0.3">
      <c r="B487" s="1"/>
    </row>
    <row r="488" spans="2:2" ht="15.75" customHeight="1" x14ac:dyDescent="0.3">
      <c r="B488" s="1"/>
    </row>
    <row r="489" spans="2:2" ht="15.75" customHeight="1" x14ac:dyDescent="0.3">
      <c r="B489" s="1"/>
    </row>
    <row r="490" spans="2:2" ht="15.75" customHeight="1" x14ac:dyDescent="0.3">
      <c r="B490" s="1"/>
    </row>
    <row r="491" spans="2:2" ht="15.75" customHeight="1" x14ac:dyDescent="0.3">
      <c r="B491" s="1"/>
    </row>
    <row r="492" spans="2:2" ht="15.75" customHeight="1" x14ac:dyDescent="0.3">
      <c r="B492" s="1"/>
    </row>
    <row r="493" spans="2:2" ht="15.75" customHeight="1" x14ac:dyDescent="0.3">
      <c r="B493" s="1"/>
    </row>
    <row r="494" spans="2:2" ht="15.75" customHeight="1" x14ac:dyDescent="0.3">
      <c r="B494" s="1"/>
    </row>
    <row r="495" spans="2:2" ht="15.75" customHeight="1" x14ac:dyDescent="0.3">
      <c r="B495" s="1"/>
    </row>
    <row r="496" spans="2:2" ht="15.75" customHeight="1" x14ac:dyDescent="0.3">
      <c r="B496" s="1"/>
    </row>
    <row r="497" spans="2:2" ht="15.75" customHeight="1" x14ac:dyDescent="0.3">
      <c r="B497" s="1"/>
    </row>
    <row r="498" spans="2:2" ht="15.75" customHeight="1" x14ac:dyDescent="0.3">
      <c r="B498" s="1"/>
    </row>
    <row r="499" spans="2:2" ht="15.75" customHeight="1" x14ac:dyDescent="0.3">
      <c r="B499" s="1"/>
    </row>
    <row r="500" spans="2:2" ht="15.75" customHeight="1" x14ac:dyDescent="0.3">
      <c r="B500" s="1"/>
    </row>
    <row r="501" spans="2:2" ht="15.75" customHeight="1" x14ac:dyDescent="0.3">
      <c r="B501" s="1"/>
    </row>
    <row r="502" spans="2:2" ht="15.75" customHeight="1" x14ac:dyDescent="0.3">
      <c r="B502" s="1"/>
    </row>
    <row r="503" spans="2:2" ht="15.75" customHeight="1" x14ac:dyDescent="0.3">
      <c r="B503" s="1"/>
    </row>
    <row r="504" spans="2:2" ht="15.75" customHeight="1" x14ac:dyDescent="0.3">
      <c r="B504" s="1"/>
    </row>
    <row r="505" spans="2:2" ht="15.75" customHeight="1" x14ac:dyDescent="0.3">
      <c r="B505" s="1"/>
    </row>
    <row r="506" spans="2:2" ht="15.75" customHeight="1" x14ac:dyDescent="0.3">
      <c r="B506" s="1"/>
    </row>
    <row r="507" spans="2:2" ht="15.75" customHeight="1" x14ac:dyDescent="0.3">
      <c r="B507" s="1"/>
    </row>
    <row r="508" spans="2:2" ht="15.75" customHeight="1" x14ac:dyDescent="0.3">
      <c r="B508" s="1"/>
    </row>
    <row r="509" spans="2:2" ht="15.75" customHeight="1" x14ac:dyDescent="0.3">
      <c r="B509" s="1"/>
    </row>
    <row r="510" spans="2:2" ht="15.75" customHeight="1" x14ac:dyDescent="0.3">
      <c r="B510" s="1"/>
    </row>
    <row r="511" spans="2:2" ht="15.75" customHeight="1" x14ac:dyDescent="0.3">
      <c r="B511" s="1"/>
    </row>
    <row r="512" spans="2:2" ht="15.75" customHeight="1" x14ac:dyDescent="0.3">
      <c r="B512" s="1"/>
    </row>
    <row r="513" spans="2:2" ht="15.75" customHeight="1" x14ac:dyDescent="0.3">
      <c r="B513" s="1"/>
    </row>
    <row r="514" spans="2:2" ht="15.75" customHeight="1" x14ac:dyDescent="0.3">
      <c r="B514" s="1"/>
    </row>
    <row r="515" spans="2:2" ht="15.75" customHeight="1" x14ac:dyDescent="0.3">
      <c r="B515" s="1"/>
    </row>
    <row r="516" spans="2:2" ht="15.75" customHeight="1" x14ac:dyDescent="0.3">
      <c r="B516" s="1"/>
    </row>
    <row r="517" spans="2:2" ht="15.75" customHeight="1" x14ac:dyDescent="0.3">
      <c r="B517" s="1"/>
    </row>
    <row r="518" spans="2:2" ht="15.75" customHeight="1" x14ac:dyDescent="0.3">
      <c r="B518" s="1"/>
    </row>
    <row r="519" spans="2:2" ht="15.75" customHeight="1" x14ac:dyDescent="0.3">
      <c r="B519" s="1"/>
    </row>
    <row r="520" spans="2:2" ht="15.75" customHeight="1" x14ac:dyDescent="0.3">
      <c r="B520" s="1"/>
    </row>
    <row r="521" spans="2:2" ht="15.75" customHeight="1" x14ac:dyDescent="0.3">
      <c r="B521" s="1"/>
    </row>
    <row r="522" spans="2:2" ht="15.75" customHeight="1" x14ac:dyDescent="0.3">
      <c r="B522" s="1"/>
    </row>
    <row r="523" spans="2:2" ht="15.75" customHeight="1" x14ac:dyDescent="0.3">
      <c r="B523" s="1"/>
    </row>
    <row r="524" spans="2:2" ht="15.75" customHeight="1" x14ac:dyDescent="0.3">
      <c r="B524" s="1"/>
    </row>
    <row r="525" spans="2:2" ht="15.75" customHeight="1" x14ac:dyDescent="0.3">
      <c r="B525" s="1"/>
    </row>
    <row r="526" spans="2:2" ht="15.75" customHeight="1" x14ac:dyDescent="0.3">
      <c r="B526" s="1"/>
    </row>
    <row r="527" spans="2:2" ht="15.75" customHeight="1" x14ac:dyDescent="0.3">
      <c r="B527" s="1"/>
    </row>
    <row r="528" spans="2:2" ht="15.75" customHeight="1" x14ac:dyDescent="0.3">
      <c r="B528" s="1"/>
    </row>
    <row r="529" spans="2:2" ht="15.75" customHeight="1" x14ac:dyDescent="0.3">
      <c r="B529" s="1"/>
    </row>
    <row r="530" spans="2:2" ht="15.75" customHeight="1" x14ac:dyDescent="0.3">
      <c r="B530" s="1"/>
    </row>
    <row r="531" spans="2:2" ht="15.75" customHeight="1" x14ac:dyDescent="0.3">
      <c r="B531" s="1"/>
    </row>
    <row r="532" spans="2:2" ht="15.75" customHeight="1" x14ac:dyDescent="0.3">
      <c r="B532" s="1"/>
    </row>
    <row r="533" spans="2:2" ht="15.75" customHeight="1" x14ac:dyDescent="0.3">
      <c r="B533" s="1"/>
    </row>
    <row r="534" spans="2:2" ht="15.75" customHeight="1" x14ac:dyDescent="0.3">
      <c r="B534" s="1"/>
    </row>
    <row r="535" spans="2:2" ht="15.75" customHeight="1" x14ac:dyDescent="0.3">
      <c r="B535" s="1"/>
    </row>
    <row r="536" spans="2:2" ht="15.75" customHeight="1" x14ac:dyDescent="0.3">
      <c r="B536" s="1"/>
    </row>
    <row r="537" spans="2:2" ht="15.75" customHeight="1" x14ac:dyDescent="0.3">
      <c r="B537" s="1"/>
    </row>
    <row r="538" spans="2:2" ht="15.75" customHeight="1" x14ac:dyDescent="0.3">
      <c r="B538" s="1"/>
    </row>
    <row r="539" spans="2:2" ht="15.75" customHeight="1" x14ac:dyDescent="0.3">
      <c r="B539" s="1"/>
    </row>
    <row r="540" spans="2:2" ht="15.75" customHeight="1" x14ac:dyDescent="0.3">
      <c r="B540" s="1"/>
    </row>
    <row r="541" spans="2:2" ht="15.75" customHeight="1" x14ac:dyDescent="0.3">
      <c r="B541" s="1"/>
    </row>
    <row r="542" spans="2:2" ht="15.75" customHeight="1" x14ac:dyDescent="0.3">
      <c r="B542" s="1"/>
    </row>
    <row r="543" spans="2:2" ht="15.75" customHeight="1" x14ac:dyDescent="0.3">
      <c r="B543" s="1"/>
    </row>
    <row r="544" spans="2:2" ht="15.75" customHeight="1" x14ac:dyDescent="0.3">
      <c r="B544" s="1"/>
    </row>
    <row r="545" spans="2:2" ht="15.75" customHeight="1" x14ac:dyDescent="0.3">
      <c r="B545" s="1"/>
    </row>
    <row r="546" spans="2:2" ht="15.75" customHeight="1" x14ac:dyDescent="0.3">
      <c r="B546" s="1"/>
    </row>
    <row r="547" spans="2:2" ht="15.75" customHeight="1" x14ac:dyDescent="0.3">
      <c r="B547" s="1"/>
    </row>
    <row r="548" spans="2:2" ht="15.75" customHeight="1" x14ac:dyDescent="0.3">
      <c r="B548" s="1"/>
    </row>
    <row r="549" spans="2:2" ht="15.75" customHeight="1" x14ac:dyDescent="0.3">
      <c r="B549" s="1"/>
    </row>
    <row r="550" spans="2:2" ht="15.75" customHeight="1" x14ac:dyDescent="0.3">
      <c r="B550" s="1"/>
    </row>
    <row r="551" spans="2:2" ht="15.75" customHeight="1" x14ac:dyDescent="0.3">
      <c r="B551" s="1"/>
    </row>
    <row r="552" spans="2:2" ht="15.75" customHeight="1" x14ac:dyDescent="0.3">
      <c r="B552" s="1"/>
    </row>
    <row r="553" spans="2:2" ht="15.75" customHeight="1" x14ac:dyDescent="0.3">
      <c r="B553" s="1"/>
    </row>
    <row r="554" spans="2:2" ht="15.75" customHeight="1" x14ac:dyDescent="0.3">
      <c r="B554" s="1"/>
    </row>
    <row r="555" spans="2:2" ht="15.75" customHeight="1" x14ac:dyDescent="0.3">
      <c r="B555" s="1"/>
    </row>
    <row r="556" spans="2:2" ht="15.75" customHeight="1" x14ac:dyDescent="0.3">
      <c r="B556" s="1"/>
    </row>
    <row r="557" spans="2:2" ht="15.75" customHeight="1" x14ac:dyDescent="0.3">
      <c r="B557" s="1"/>
    </row>
    <row r="558" spans="2:2" ht="15.75" customHeight="1" x14ac:dyDescent="0.3">
      <c r="B558" s="1"/>
    </row>
    <row r="559" spans="2:2" ht="15.75" customHeight="1" x14ac:dyDescent="0.3">
      <c r="B559" s="1"/>
    </row>
    <row r="560" spans="2:2" ht="15.75" customHeight="1" x14ac:dyDescent="0.3">
      <c r="B560" s="1"/>
    </row>
    <row r="561" spans="2:2" ht="15.75" customHeight="1" x14ac:dyDescent="0.3">
      <c r="B561" s="1"/>
    </row>
    <row r="562" spans="2:2" ht="15.75" customHeight="1" x14ac:dyDescent="0.3">
      <c r="B562" s="1"/>
    </row>
    <row r="563" spans="2:2" ht="15.75" customHeight="1" x14ac:dyDescent="0.3">
      <c r="B563" s="1"/>
    </row>
    <row r="564" spans="2:2" ht="15.75" customHeight="1" x14ac:dyDescent="0.3">
      <c r="B564" s="1"/>
    </row>
    <row r="565" spans="2:2" ht="15.75" customHeight="1" x14ac:dyDescent="0.3">
      <c r="B565" s="1"/>
    </row>
    <row r="566" spans="2:2" ht="15.75" customHeight="1" x14ac:dyDescent="0.3">
      <c r="B566" s="1"/>
    </row>
    <row r="567" spans="2:2" ht="15.75" customHeight="1" x14ac:dyDescent="0.3">
      <c r="B567" s="1"/>
    </row>
    <row r="568" spans="2:2" ht="15.75" customHeight="1" x14ac:dyDescent="0.3">
      <c r="B568" s="1"/>
    </row>
    <row r="569" spans="2:2" ht="15.75" customHeight="1" x14ac:dyDescent="0.3">
      <c r="B569" s="1"/>
    </row>
    <row r="570" spans="2:2" ht="15.75" customHeight="1" x14ac:dyDescent="0.3">
      <c r="B570" s="1"/>
    </row>
    <row r="571" spans="2:2" ht="15.75" customHeight="1" x14ac:dyDescent="0.3">
      <c r="B571" s="1"/>
    </row>
    <row r="572" spans="2:2" ht="15.75" customHeight="1" x14ac:dyDescent="0.3">
      <c r="B572" s="1"/>
    </row>
    <row r="573" spans="2:2" ht="15.75" customHeight="1" x14ac:dyDescent="0.3">
      <c r="B573" s="1"/>
    </row>
    <row r="574" spans="2:2" ht="15.75" customHeight="1" x14ac:dyDescent="0.3">
      <c r="B574" s="1"/>
    </row>
    <row r="575" spans="2:2" ht="15.75" customHeight="1" x14ac:dyDescent="0.3">
      <c r="B575" s="1"/>
    </row>
    <row r="576" spans="2:2" ht="15.75" customHeight="1" x14ac:dyDescent="0.3">
      <c r="B576" s="1"/>
    </row>
    <row r="577" spans="2:2" ht="15.75" customHeight="1" x14ac:dyDescent="0.3">
      <c r="B577" s="1"/>
    </row>
    <row r="578" spans="2:2" ht="15.75" customHeight="1" x14ac:dyDescent="0.3">
      <c r="B578" s="1"/>
    </row>
    <row r="579" spans="2:2" ht="15.75" customHeight="1" x14ac:dyDescent="0.3">
      <c r="B579" s="1"/>
    </row>
    <row r="580" spans="2:2" ht="15.75" customHeight="1" x14ac:dyDescent="0.3">
      <c r="B580" s="1"/>
    </row>
    <row r="581" spans="2:2" ht="15.75" customHeight="1" x14ac:dyDescent="0.3">
      <c r="B581" s="1"/>
    </row>
    <row r="582" spans="2:2" ht="15.75" customHeight="1" x14ac:dyDescent="0.3">
      <c r="B582" s="1"/>
    </row>
    <row r="583" spans="2:2" ht="15.75" customHeight="1" x14ac:dyDescent="0.3">
      <c r="B583" s="1"/>
    </row>
    <row r="584" spans="2:2" ht="15.75" customHeight="1" x14ac:dyDescent="0.3">
      <c r="B584" s="1"/>
    </row>
    <row r="585" spans="2:2" ht="15.75" customHeight="1" x14ac:dyDescent="0.3">
      <c r="B585" s="1"/>
    </row>
    <row r="586" spans="2:2" ht="15.75" customHeight="1" x14ac:dyDescent="0.3">
      <c r="B586" s="1"/>
    </row>
    <row r="587" spans="2:2" ht="15.75" customHeight="1" x14ac:dyDescent="0.3">
      <c r="B587" s="1"/>
    </row>
    <row r="588" spans="2:2" ht="15.75" customHeight="1" x14ac:dyDescent="0.3">
      <c r="B588" s="1"/>
    </row>
    <row r="589" spans="2:2" ht="15.75" customHeight="1" x14ac:dyDescent="0.3">
      <c r="B589" s="1"/>
    </row>
    <row r="590" spans="2:2" ht="15.75" customHeight="1" x14ac:dyDescent="0.3">
      <c r="B590" s="1"/>
    </row>
    <row r="591" spans="2:2" ht="15.75" customHeight="1" x14ac:dyDescent="0.3">
      <c r="B591" s="1"/>
    </row>
    <row r="592" spans="2:2" ht="15.75" customHeight="1" x14ac:dyDescent="0.3">
      <c r="B592" s="1"/>
    </row>
    <row r="593" spans="2:2" ht="15.75" customHeight="1" x14ac:dyDescent="0.3">
      <c r="B593" s="1"/>
    </row>
    <row r="594" spans="2:2" ht="15.75" customHeight="1" x14ac:dyDescent="0.3">
      <c r="B594" s="1"/>
    </row>
    <row r="595" spans="2:2" ht="15.75" customHeight="1" x14ac:dyDescent="0.3">
      <c r="B595" s="1"/>
    </row>
    <row r="596" spans="2:2" ht="15.75" customHeight="1" x14ac:dyDescent="0.3">
      <c r="B596" s="1"/>
    </row>
    <row r="597" spans="2:2" ht="15.75" customHeight="1" x14ac:dyDescent="0.3">
      <c r="B597" s="1"/>
    </row>
    <row r="598" spans="2:2" ht="15.75" customHeight="1" x14ac:dyDescent="0.3">
      <c r="B598" s="1"/>
    </row>
    <row r="599" spans="2:2" ht="15.75" customHeight="1" x14ac:dyDescent="0.3">
      <c r="B599" s="1"/>
    </row>
    <row r="600" spans="2:2" ht="15.75" customHeight="1" x14ac:dyDescent="0.3">
      <c r="B600" s="1"/>
    </row>
    <row r="601" spans="2:2" ht="15.75" customHeight="1" x14ac:dyDescent="0.3">
      <c r="B601" s="1"/>
    </row>
    <row r="602" spans="2:2" ht="15.75" customHeight="1" x14ac:dyDescent="0.3">
      <c r="B602" s="1"/>
    </row>
    <row r="603" spans="2:2" ht="15.75" customHeight="1" x14ac:dyDescent="0.3">
      <c r="B603" s="1"/>
    </row>
    <row r="604" spans="2:2" ht="15.75" customHeight="1" x14ac:dyDescent="0.3">
      <c r="B604" s="1"/>
    </row>
    <row r="605" spans="2:2" ht="15.75" customHeight="1" x14ac:dyDescent="0.3">
      <c r="B605" s="1"/>
    </row>
    <row r="606" spans="2:2" ht="15.75" customHeight="1" x14ac:dyDescent="0.3">
      <c r="B606" s="1"/>
    </row>
    <row r="607" spans="2:2" ht="15.75" customHeight="1" x14ac:dyDescent="0.3">
      <c r="B607" s="1"/>
    </row>
    <row r="608" spans="2:2" ht="15.75" customHeight="1" x14ac:dyDescent="0.3">
      <c r="B608" s="1"/>
    </row>
    <row r="609" spans="2:2" ht="15.75" customHeight="1" x14ac:dyDescent="0.3">
      <c r="B609" s="1"/>
    </row>
    <row r="610" spans="2:2" ht="15.75" customHeight="1" x14ac:dyDescent="0.3">
      <c r="B610" s="1"/>
    </row>
    <row r="611" spans="2:2" ht="15.75" customHeight="1" x14ac:dyDescent="0.3">
      <c r="B611" s="1"/>
    </row>
    <row r="612" spans="2:2" ht="15.75" customHeight="1" x14ac:dyDescent="0.3">
      <c r="B612" s="1"/>
    </row>
    <row r="613" spans="2:2" ht="15.75" customHeight="1" x14ac:dyDescent="0.3">
      <c r="B613" s="1"/>
    </row>
    <row r="614" spans="2:2" ht="15.75" customHeight="1" x14ac:dyDescent="0.3">
      <c r="B614" s="1"/>
    </row>
    <row r="615" spans="2:2" ht="15.75" customHeight="1" x14ac:dyDescent="0.3">
      <c r="B615" s="1"/>
    </row>
    <row r="616" spans="2:2" ht="15.75" customHeight="1" x14ac:dyDescent="0.3">
      <c r="B616" s="1"/>
    </row>
    <row r="617" spans="2:2" ht="15.75" customHeight="1" x14ac:dyDescent="0.3">
      <c r="B617" s="1"/>
    </row>
    <row r="618" spans="2:2" ht="15.75" customHeight="1" x14ac:dyDescent="0.3">
      <c r="B618" s="1"/>
    </row>
    <row r="619" spans="2:2" ht="15.75" customHeight="1" x14ac:dyDescent="0.3">
      <c r="B619" s="1"/>
    </row>
    <row r="620" spans="2:2" ht="15.75" customHeight="1" x14ac:dyDescent="0.3">
      <c r="B620" s="1"/>
    </row>
    <row r="621" spans="2:2" ht="15.75" customHeight="1" x14ac:dyDescent="0.3">
      <c r="B621" s="1"/>
    </row>
    <row r="622" spans="2:2" ht="15.75" customHeight="1" x14ac:dyDescent="0.3">
      <c r="B622" s="1"/>
    </row>
    <row r="623" spans="2:2" ht="15.75" customHeight="1" x14ac:dyDescent="0.3">
      <c r="B623" s="1"/>
    </row>
    <row r="624" spans="2:2" ht="15.75" customHeight="1" x14ac:dyDescent="0.3">
      <c r="B624" s="1"/>
    </row>
    <row r="625" spans="2:2" ht="15.75" customHeight="1" x14ac:dyDescent="0.3">
      <c r="B625" s="1"/>
    </row>
    <row r="626" spans="2:2" ht="15.75" customHeight="1" x14ac:dyDescent="0.3">
      <c r="B626" s="1"/>
    </row>
    <row r="627" spans="2:2" ht="15.75" customHeight="1" x14ac:dyDescent="0.3">
      <c r="B627" s="1"/>
    </row>
    <row r="628" spans="2:2" ht="15.75" customHeight="1" x14ac:dyDescent="0.3">
      <c r="B628" s="1"/>
    </row>
    <row r="629" spans="2:2" ht="15.75" customHeight="1" x14ac:dyDescent="0.3">
      <c r="B629" s="1"/>
    </row>
    <row r="630" spans="2:2" ht="15.75" customHeight="1" x14ac:dyDescent="0.3">
      <c r="B630" s="1"/>
    </row>
    <row r="631" spans="2:2" ht="15.75" customHeight="1" x14ac:dyDescent="0.3">
      <c r="B631" s="1"/>
    </row>
    <row r="632" spans="2:2" ht="15.75" customHeight="1" x14ac:dyDescent="0.3">
      <c r="B632" s="1"/>
    </row>
    <row r="633" spans="2:2" ht="15.75" customHeight="1" x14ac:dyDescent="0.3">
      <c r="B633" s="1"/>
    </row>
    <row r="634" spans="2:2" ht="15.75" customHeight="1" x14ac:dyDescent="0.3">
      <c r="B634" s="1"/>
    </row>
    <row r="635" spans="2:2" ht="15.75" customHeight="1" x14ac:dyDescent="0.3">
      <c r="B635" s="1"/>
    </row>
    <row r="636" spans="2:2" ht="15.75" customHeight="1" x14ac:dyDescent="0.3">
      <c r="B636" s="1"/>
    </row>
    <row r="637" spans="2:2" ht="15.75" customHeight="1" x14ac:dyDescent="0.3">
      <c r="B637" s="1"/>
    </row>
    <row r="638" spans="2:2" ht="15.75" customHeight="1" x14ac:dyDescent="0.3">
      <c r="B638" s="1"/>
    </row>
    <row r="639" spans="2:2" ht="15.75" customHeight="1" x14ac:dyDescent="0.3">
      <c r="B639" s="1"/>
    </row>
    <row r="640" spans="2:2" ht="15.75" customHeight="1" x14ac:dyDescent="0.3">
      <c r="B640" s="1"/>
    </row>
    <row r="641" spans="2:2" ht="15.75" customHeight="1" x14ac:dyDescent="0.3">
      <c r="B641" s="1"/>
    </row>
    <row r="642" spans="2:2" ht="15.75" customHeight="1" x14ac:dyDescent="0.3">
      <c r="B642" s="1"/>
    </row>
    <row r="643" spans="2:2" ht="15.75" customHeight="1" x14ac:dyDescent="0.3">
      <c r="B643" s="1"/>
    </row>
    <row r="644" spans="2:2" ht="15.75" customHeight="1" x14ac:dyDescent="0.3">
      <c r="B644" s="1"/>
    </row>
    <row r="645" spans="2:2" ht="15.75" customHeight="1" x14ac:dyDescent="0.3">
      <c r="B645" s="1"/>
    </row>
    <row r="646" spans="2:2" ht="15.75" customHeight="1" x14ac:dyDescent="0.3">
      <c r="B646" s="1"/>
    </row>
    <row r="647" spans="2:2" ht="15.75" customHeight="1" x14ac:dyDescent="0.3">
      <c r="B647" s="1"/>
    </row>
    <row r="648" spans="2:2" ht="15.75" customHeight="1" x14ac:dyDescent="0.3">
      <c r="B648" s="1"/>
    </row>
    <row r="649" spans="2:2" ht="15.75" customHeight="1" x14ac:dyDescent="0.3">
      <c r="B649" s="1"/>
    </row>
    <row r="650" spans="2:2" ht="15.75" customHeight="1" x14ac:dyDescent="0.3">
      <c r="B650" s="1"/>
    </row>
    <row r="651" spans="2:2" ht="15.75" customHeight="1" x14ac:dyDescent="0.3">
      <c r="B651" s="1"/>
    </row>
    <row r="652" spans="2:2" ht="15.75" customHeight="1" x14ac:dyDescent="0.3">
      <c r="B652" s="1"/>
    </row>
    <row r="653" spans="2:2" ht="15.75" customHeight="1" x14ac:dyDescent="0.3">
      <c r="B653" s="1"/>
    </row>
    <row r="654" spans="2:2" ht="15.75" customHeight="1" x14ac:dyDescent="0.3">
      <c r="B654" s="1"/>
    </row>
    <row r="655" spans="2:2" ht="15.75" customHeight="1" x14ac:dyDescent="0.3">
      <c r="B655" s="1"/>
    </row>
    <row r="656" spans="2:2" ht="15.75" customHeight="1" x14ac:dyDescent="0.3">
      <c r="B656" s="1"/>
    </row>
    <row r="657" spans="2:2" ht="15.75" customHeight="1" x14ac:dyDescent="0.3">
      <c r="B657" s="1"/>
    </row>
    <row r="658" spans="2:2" ht="15.75" customHeight="1" x14ac:dyDescent="0.3">
      <c r="B658" s="1"/>
    </row>
    <row r="659" spans="2:2" ht="15.75" customHeight="1" x14ac:dyDescent="0.3">
      <c r="B659" s="1"/>
    </row>
    <row r="660" spans="2:2" ht="15.75" customHeight="1" x14ac:dyDescent="0.3">
      <c r="B660" s="1"/>
    </row>
    <row r="661" spans="2:2" ht="15.75" customHeight="1" x14ac:dyDescent="0.3">
      <c r="B661" s="1"/>
    </row>
    <row r="662" spans="2:2" ht="15.75" customHeight="1" x14ac:dyDescent="0.3">
      <c r="B662" s="1"/>
    </row>
    <row r="663" spans="2:2" ht="15.75" customHeight="1" x14ac:dyDescent="0.3">
      <c r="B663" s="1"/>
    </row>
    <row r="664" spans="2:2" ht="15.75" customHeight="1" x14ac:dyDescent="0.3">
      <c r="B664" s="1"/>
    </row>
    <row r="665" spans="2:2" ht="15.75" customHeight="1" x14ac:dyDescent="0.3">
      <c r="B665" s="1"/>
    </row>
    <row r="666" spans="2:2" ht="15.75" customHeight="1" x14ac:dyDescent="0.3">
      <c r="B666" s="1"/>
    </row>
    <row r="667" spans="2:2" ht="15.75" customHeight="1" x14ac:dyDescent="0.3">
      <c r="B667" s="1"/>
    </row>
    <row r="668" spans="2:2" ht="15.75" customHeight="1" x14ac:dyDescent="0.3">
      <c r="B668" s="1"/>
    </row>
    <row r="669" spans="2:2" ht="15.75" customHeight="1" x14ac:dyDescent="0.3">
      <c r="B669" s="1"/>
    </row>
    <row r="670" spans="2:2" ht="15.75" customHeight="1" x14ac:dyDescent="0.3">
      <c r="B670" s="1"/>
    </row>
    <row r="671" spans="2:2" ht="15.75" customHeight="1" x14ac:dyDescent="0.3">
      <c r="B671" s="1"/>
    </row>
    <row r="672" spans="2:2" ht="15.75" customHeight="1" x14ac:dyDescent="0.3">
      <c r="B672" s="1"/>
    </row>
    <row r="673" spans="2:2" ht="15.75" customHeight="1" x14ac:dyDescent="0.3">
      <c r="B673" s="1"/>
    </row>
    <row r="674" spans="2:2" ht="15.75" customHeight="1" x14ac:dyDescent="0.3">
      <c r="B674" s="1"/>
    </row>
    <row r="675" spans="2:2" ht="15.75" customHeight="1" x14ac:dyDescent="0.3">
      <c r="B675" s="1"/>
    </row>
    <row r="676" spans="2:2" ht="15.75" customHeight="1" x14ac:dyDescent="0.3">
      <c r="B676" s="1"/>
    </row>
    <row r="677" spans="2:2" ht="15.75" customHeight="1" x14ac:dyDescent="0.3">
      <c r="B677" s="1"/>
    </row>
    <row r="678" spans="2:2" ht="15.75" customHeight="1" x14ac:dyDescent="0.3">
      <c r="B678" s="1"/>
    </row>
    <row r="679" spans="2:2" ht="15.75" customHeight="1" x14ac:dyDescent="0.3">
      <c r="B679" s="1"/>
    </row>
    <row r="680" spans="2:2" ht="15.75" customHeight="1" x14ac:dyDescent="0.3">
      <c r="B680" s="1"/>
    </row>
    <row r="681" spans="2:2" ht="15.75" customHeight="1" x14ac:dyDescent="0.3">
      <c r="B681" s="1"/>
    </row>
    <row r="682" spans="2:2" ht="15.75" customHeight="1" x14ac:dyDescent="0.3">
      <c r="B682" s="1"/>
    </row>
    <row r="683" spans="2:2" ht="15.75" customHeight="1" x14ac:dyDescent="0.3">
      <c r="B683" s="1"/>
    </row>
    <row r="684" spans="2:2" ht="15.75" customHeight="1" x14ac:dyDescent="0.3">
      <c r="B684" s="1"/>
    </row>
    <row r="685" spans="2:2" ht="15.75" customHeight="1" x14ac:dyDescent="0.3">
      <c r="B685" s="1"/>
    </row>
    <row r="686" spans="2:2" ht="15.75" customHeight="1" x14ac:dyDescent="0.3">
      <c r="B686" s="1"/>
    </row>
    <row r="687" spans="2:2" ht="15.75" customHeight="1" x14ac:dyDescent="0.3">
      <c r="B687" s="1"/>
    </row>
    <row r="688" spans="2:2" ht="15.75" customHeight="1" x14ac:dyDescent="0.3">
      <c r="B688" s="1"/>
    </row>
    <row r="689" spans="2:2" ht="15.75" customHeight="1" x14ac:dyDescent="0.3">
      <c r="B689" s="1"/>
    </row>
    <row r="690" spans="2:2" ht="15.75" customHeight="1" x14ac:dyDescent="0.3">
      <c r="B690" s="1"/>
    </row>
    <row r="691" spans="2:2" ht="15.75" customHeight="1" x14ac:dyDescent="0.3">
      <c r="B691" s="1"/>
    </row>
    <row r="692" spans="2:2" ht="15.75" customHeight="1" x14ac:dyDescent="0.3">
      <c r="B692" s="1"/>
    </row>
    <row r="693" spans="2:2" ht="15.75" customHeight="1" x14ac:dyDescent="0.3">
      <c r="B693" s="1"/>
    </row>
    <row r="694" spans="2:2" ht="15.75" customHeight="1" x14ac:dyDescent="0.3">
      <c r="B694" s="1"/>
    </row>
    <row r="695" spans="2:2" ht="15.75" customHeight="1" x14ac:dyDescent="0.3">
      <c r="B695" s="1"/>
    </row>
    <row r="696" spans="2:2" ht="15.75" customHeight="1" x14ac:dyDescent="0.3">
      <c r="B696" s="1"/>
    </row>
    <row r="697" spans="2:2" ht="15.75" customHeight="1" x14ac:dyDescent="0.3">
      <c r="B697" s="1"/>
    </row>
    <row r="698" spans="2:2" ht="15.75" customHeight="1" x14ac:dyDescent="0.3">
      <c r="B698" s="1"/>
    </row>
    <row r="699" spans="2:2" ht="15.75" customHeight="1" x14ac:dyDescent="0.3">
      <c r="B699" s="1"/>
    </row>
    <row r="700" spans="2:2" ht="15.75" customHeight="1" x14ac:dyDescent="0.3">
      <c r="B700" s="1"/>
    </row>
    <row r="701" spans="2:2" ht="15.75" customHeight="1" x14ac:dyDescent="0.3">
      <c r="B701" s="1"/>
    </row>
    <row r="702" spans="2:2" ht="15.75" customHeight="1" x14ac:dyDescent="0.3">
      <c r="B702" s="1"/>
    </row>
    <row r="703" spans="2:2" ht="15.75" customHeight="1" x14ac:dyDescent="0.3">
      <c r="B703" s="1"/>
    </row>
    <row r="704" spans="2:2" ht="15.75" customHeight="1" x14ac:dyDescent="0.3">
      <c r="B704" s="1"/>
    </row>
    <row r="705" spans="2:2" ht="15.75" customHeight="1" x14ac:dyDescent="0.3">
      <c r="B705" s="1"/>
    </row>
    <row r="706" spans="2:2" ht="15.75" customHeight="1" x14ac:dyDescent="0.3">
      <c r="B706" s="1"/>
    </row>
    <row r="707" spans="2:2" ht="15.75" customHeight="1" x14ac:dyDescent="0.3">
      <c r="B707" s="1"/>
    </row>
    <row r="708" spans="2:2" ht="15.75" customHeight="1" x14ac:dyDescent="0.3">
      <c r="B708" s="1"/>
    </row>
    <row r="709" spans="2:2" ht="15.75" customHeight="1" x14ac:dyDescent="0.3">
      <c r="B709" s="1"/>
    </row>
    <row r="710" spans="2:2" ht="15.75" customHeight="1" x14ac:dyDescent="0.3">
      <c r="B710" s="1"/>
    </row>
    <row r="711" spans="2:2" ht="15.75" customHeight="1" x14ac:dyDescent="0.3">
      <c r="B711" s="1"/>
    </row>
    <row r="712" spans="2:2" ht="15.75" customHeight="1" x14ac:dyDescent="0.3">
      <c r="B712" s="1"/>
    </row>
    <row r="713" spans="2:2" ht="15.75" customHeight="1" x14ac:dyDescent="0.3">
      <c r="B713" s="1"/>
    </row>
    <row r="714" spans="2:2" ht="15.75" customHeight="1" x14ac:dyDescent="0.3">
      <c r="B714" s="1"/>
    </row>
    <row r="715" spans="2:2" ht="15.75" customHeight="1" x14ac:dyDescent="0.3">
      <c r="B715" s="1"/>
    </row>
    <row r="716" spans="2:2" ht="15.75" customHeight="1" x14ac:dyDescent="0.3">
      <c r="B716" s="1"/>
    </row>
    <row r="717" spans="2:2" ht="15.75" customHeight="1" x14ac:dyDescent="0.3">
      <c r="B717" s="1"/>
    </row>
    <row r="718" spans="2:2" ht="15.75" customHeight="1" x14ac:dyDescent="0.3">
      <c r="B718" s="1"/>
    </row>
    <row r="719" spans="2:2" ht="15.75" customHeight="1" x14ac:dyDescent="0.3">
      <c r="B719" s="1"/>
    </row>
    <row r="720" spans="2:2" ht="15.75" customHeight="1" x14ac:dyDescent="0.3">
      <c r="B720" s="1"/>
    </row>
    <row r="721" spans="2:2" ht="15.75" customHeight="1" x14ac:dyDescent="0.3">
      <c r="B721" s="1"/>
    </row>
    <row r="722" spans="2:2" ht="15.75" customHeight="1" x14ac:dyDescent="0.3">
      <c r="B722" s="1"/>
    </row>
    <row r="723" spans="2:2" ht="15.75" customHeight="1" x14ac:dyDescent="0.3">
      <c r="B723" s="1"/>
    </row>
    <row r="724" spans="2:2" ht="15.75" customHeight="1" x14ac:dyDescent="0.3">
      <c r="B724" s="1"/>
    </row>
    <row r="725" spans="2:2" ht="15.75" customHeight="1" x14ac:dyDescent="0.3">
      <c r="B725" s="1"/>
    </row>
    <row r="726" spans="2:2" ht="15.75" customHeight="1" x14ac:dyDescent="0.3">
      <c r="B726" s="1"/>
    </row>
    <row r="727" spans="2:2" ht="15.75" customHeight="1" x14ac:dyDescent="0.3">
      <c r="B727" s="1"/>
    </row>
    <row r="728" spans="2:2" ht="15.75" customHeight="1" x14ac:dyDescent="0.3">
      <c r="B728" s="1"/>
    </row>
    <row r="729" spans="2:2" ht="15.75" customHeight="1" x14ac:dyDescent="0.3">
      <c r="B729" s="1"/>
    </row>
    <row r="730" spans="2:2" ht="15.75" customHeight="1" x14ac:dyDescent="0.3">
      <c r="B730" s="1"/>
    </row>
    <row r="731" spans="2:2" ht="15.75" customHeight="1" x14ac:dyDescent="0.3">
      <c r="B731" s="1"/>
    </row>
    <row r="732" spans="2:2" ht="15.75" customHeight="1" x14ac:dyDescent="0.3">
      <c r="B732" s="1"/>
    </row>
    <row r="733" spans="2:2" ht="15.75" customHeight="1" x14ac:dyDescent="0.3">
      <c r="B733" s="1"/>
    </row>
    <row r="734" spans="2:2" ht="15.75" customHeight="1" x14ac:dyDescent="0.3">
      <c r="B734" s="1"/>
    </row>
    <row r="735" spans="2:2" ht="15.75" customHeight="1" x14ac:dyDescent="0.3">
      <c r="B735" s="1"/>
    </row>
    <row r="736" spans="2:2" ht="15.75" customHeight="1" x14ac:dyDescent="0.3">
      <c r="B736" s="1"/>
    </row>
    <row r="737" spans="2:2" ht="15.75" customHeight="1" x14ac:dyDescent="0.3">
      <c r="B737" s="1"/>
    </row>
    <row r="738" spans="2:2" ht="15.75" customHeight="1" x14ac:dyDescent="0.3">
      <c r="B738" s="1"/>
    </row>
    <row r="739" spans="2:2" ht="15.75" customHeight="1" x14ac:dyDescent="0.3">
      <c r="B739" s="1"/>
    </row>
    <row r="740" spans="2:2" ht="15.75" customHeight="1" x14ac:dyDescent="0.3">
      <c r="B740" s="1"/>
    </row>
    <row r="741" spans="2:2" ht="15.75" customHeight="1" x14ac:dyDescent="0.3">
      <c r="B741" s="1"/>
    </row>
    <row r="742" spans="2:2" ht="15.75" customHeight="1" x14ac:dyDescent="0.3">
      <c r="B742" s="1"/>
    </row>
    <row r="743" spans="2:2" ht="15.75" customHeight="1" x14ac:dyDescent="0.3">
      <c r="B743" s="1"/>
    </row>
    <row r="744" spans="2:2" ht="15.75" customHeight="1" x14ac:dyDescent="0.3">
      <c r="B744" s="1"/>
    </row>
    <row r="745" spans="2:2" ht="15.75" customHeight="1" x14ac:dyDescent="0.3">
      <c r="B745" s="1"/>
    </row>
    <row r="746" spans="2:2" ht="15.75" customHeight="1" x14ac:dyDescent="0.3">
      <c r="B746" s="1"/>
    </row>
    <row r="747" spans="2:2" ht="15.75" customHeight="1" x14ac:dyDescent="0.3">
      <c r="B747" s="1"/>
    </row>
    <row r="748" spans="2:2" ht="15.75" customHeight="1" x14ac:dyDescent="0.3">
      <c r="B748" s="1"/>
    </row>
    <row r="749" spans="2:2" ht="15.75" customHeight="1" x14ac:dyDescent="0.3">
      <c r="B749" s="1"/>
    </row>
    <row r="750" spans="2:2" ht="15.75" customHeight="1" x14ac:dyDescent="0.3">
      <c r="B750" s="1"/>
    </row>
    <row r="751" spans="2:2" ht="15.75" customHeight="1" x14ac:dyDescent="0.3">
      <c r="B751" s="1"/>
    </row>
    <row r="752" spans="2:2" ht="15.75" customHeight="1" x14ac:dyDescent="0.3">
      <c r="B752" s="1"/>
    </row>
    <row r="753" spans="2:2" ht="15.75" customHeight="1" x14ac:dyDescent="0.3">
      <c r="B753" s="1"/>
    </row>
    <row r="754" spans="2:2" ht="15.75" customHeight="1" x14ac:dyDescent="0.3">
      <c r="B754" s="1"/>
    </row>
    <row r="755" spans="2:2" ht="15.75" customHeight="1" x14ac:dyDescent="0.3">
      <c r="B755" s="1"/>
    </row>
    <row r="756" spans="2:2" ht="15.75" customHeight="1" x14ac:dyDescent="0.3">
      <c r="B756" s="1"/>
    </row>
    <row r="757" spans="2:2" ht="15.75" customHeight="1" x14ac:dyDescent="0.3">
      <c r="B757" s="1"/>
    </row>
    <row r="758" spans="2:2" ht="15.75" customHeight="1" x14ac:dyDescent="0.3">
      <c r="B758" s="1"/>
    </row>
    <row r="759" spans="2:2" ht="15.75" customHeight="1" x14ac:dyDescent="0.3">
      <c r="B759" s="1"/>
    </row>
    <row r="760" spans="2:2" ht="15.75" customHeight="1" x14ac:dyDescent="0.3">
      <c r="B760" s="1"/>
    </row>
    <row r="761" spans="2:2" ht="15.75" customHeight="1" x14ac:dyDescent="0.3">
      <c r="B761" s="1"/>
    </row>
    <row r="762" spans="2:2" ht="15.75" customHeight="1" x14ac:dyDescent="0.3">
      <c r="B762" s="1"/>
    </row>
    <row r="763" spans="2:2" ht="15.75" customHeight="1" x14ac:dyDescent="0.3">
      <c r="B763" s="1"/>
    </row>
    <row r="764" spans="2:2" ht="15.75" customHeight="1" x14ac:dyDescent="0.3">
      <c r="B764" s="1"/>
    </row>
    <row r="765" spans="2:2" ht="15.75" customHeight="1" x14ac:dyDescent="0.3">
      <c r="B765" s="1"/>
    </row>
    <row r="766" spans="2:2" ht="15.75" customHeight="1" x14ac:dyDescent="0.3">
      <c r="B766" s="1"/>
    </row>
    <row r="767" spans="2:2" ht="15.75" customHeight="1" x14ac:dyDescent="0.3">
      <c r="B767" s="1"/>
    </row>
    <row r="768" spans="2:2" ht="15.75" customHeight="1" x14ac:dyDescent="0.3">
      <c r="B768" s="1"/>
    </row>
    <row r="769" spans="2:2" ht="15.75" customHeight="1" x14ac:dyDescent="0.3">
      <c r="B769" s="1"/>
    </row>
    <row r="770" spans="2:2" ht="15.75" customHeight="1" x14ac:dyDescent="0.3">
      <c r="B770" s="1"/>
    </row>
    <row r="771" spans="2:2" ht="15.75" customHeight="1" x14ac:dyDescent="0.3">
      <c r="B771" s="1"/>
    </row>
    <row r="772" spans="2:2" ht="15.75" customHeight="1" x14ac:dyDescent="0.3">
      <c r="B772" s="1"/>
    </row>
    <row r="773" spans="2:2" ht="15.75" customHeight="1" x14ac:dyDescent="0.3">
      <c r="B773" s="1"/>
    </row>
    <row r="774" spans="2:2" ht="15.75" customHeight="1" x14ac:dyDescent="0.3">
      <c r="B774" s="1"/>
    </row>
    <row r="775" spans="2:2" ht="15.75" customHeight="1" x14ac:dyDescent="0.3">
      <c r="B775" s="1"/>
    </row>
    <row r="776" spans="2:2" ht="15.75" customHeight="1" x14ac:dyDescent="0.3">
      <c r="B776" s="1"/>
    </row>
    <row r="777" spans="2:2" ht="15.75" customHeight="1" x14ac:dyDescent="0.3">
      <c r="B777" s="1"/>
    </row>
    <row r="778" spans="2:2" ht="15.75" customHeight="1" x14ac:dyDescent="0.3">
      <c r="B778" s="1"/>
    </row>
    <row r="779" spans="2:2" ht="15.75" customHeight="1" x14ac:dyDescent="0.3">
      <c r="B779" s="1"/>
    </row>
    <row r="780" spans="2:2" ht="15.75" customHeight="1" x14ac:dyDescent="0.3">
      <c r="B780" s="1"/>
    </row>
    <row r="781" spans="2:2" ht="15.75" customHeight="1" x14ac:dyDescent="0.3">
      <c r="B781" s="1"/>
    </row>
    <row r="782" spans="2:2" ht="15.75" customHeight="1" x14ac:dyDescent="0.3">
      <c r="B782" s="1"/>
    </row>
    <row r="783" spans="2:2" ht="15.75" customHeight="1" x14ac:dyDescent="0.3">
      <c r="B783" s="1"/>
    </row>
    <row r="784" spans="2:2" ht="15.75" customHeight="1" x14ac:dyDescent="0.3">
      <c r="B784" s="1"/>
    </row>
    <row r="785" spans="2:2" ht="15.75" customHeight="1" x14ac:dyDescent="0.3">
      <c r="B785" s="1"/>
    </row>
    <row r="786" spans="2:2" ht="15.75" customHeight="1" x14ac:dyDescent="0.3">
      <c r="B786" s="1"/>
    </row>
    <row r="787" spans="2:2" ht="15.75" customHeight="1" x14ac:dyDescent="0.3">
      <c r="B787" s="1"/>
    </row>
    <row r="788" spans="2:2" ht="15.75" customHeight="1" x14ac:dyDescent="0.3">
      <c r="B788" s="1"/>
    </row>
    <row r="789" spans="2:2" ht="15.75" customHeight="1" x14ac:dyDescent="0.3">
      <c r="B789" s="1"/>
    </row>
    <row r="790" spans="2:2" ht="15.75" customHeight="1" x14ac:dyDescent="0.3">
      <c r="B790" s="1"/>
    </row>
    <row r="791" spans="2:2" ht="15.75" customHeight="1" x14ac:dyDescent="0.3">
      <c r="B791" s="1"/>
    </row>
    <row r="792" spans="2:2" ht="15.75" customHeight="1" x14ac:dyDescent="0.3">
      <c r="B792" s="1"/>
    </row>
    <row r="793" spans="2:2" ht="15.75" customHeight="1" x14ac:dyDescent="0.3">
      <c r="B793" s="1"/>
    </row>
    <row r="794" spans="2:2" ht="15.75" customHeight="1" x14ac:dyDescent="0.3">
      <c r="B794" s="1"/>
    </row>
    <row r="795" spans="2:2" ht="15.75" customHeight="1" x14ac:dyDescent="0.3">
      <c r="B795" s="1"/>
    </row>
    <row r="796" spans="2:2" ht="15.75" customHeight="1" x14ac:dyDescent="0.3">
      <c r="B796" s="1"/>
    </row>
    <row r="797" spans="2:2" ht="15.75" customHeight="1" x14ac:dyDescent="0.3">
      <c r="B797" s="1"/>
    </row>
    <row r="798" spans="2:2" ht="15.75" customHeight="1" x14ac:dyDescent="0.3">
      <c r="B798" s="1"/>
    </row>
    <row r="799" spans="2:2" ht="15.75" customHeight="1" x14ac:dyDescent="0.3">
      <c r="B799" s="1"/>
    </row>
    <row r="800" spans="2:2" ht="15.75" customHeight="1" x14ac:dyDescent="0.3">
      <c r="B800" s="1"/>
    </row>
    <row r="801" spans="2:2" ht="15.75" customHeight="1" x14ac:dyDescent="0.3">
      <c r="B801" s="1"/>
    </row>
    <row r="802" spans="2:2" ht="15.75" customHeight="1" x14ac:dyDescent="0.3">
      <c r="B802" s="1"/>
    </row>
    <row r="803" spans="2:2" ht="15.75" customHeight="1" x14ac:dyDescent="0.3">
      <c r="B803" s="1"/>
    </row>
    <row r="804" spans="2:2" ht="15.75" customHeight="1" x14ac:dyDescent="0.3">
      <c r="B804" s="1"/>
    </row>
    <row r="805" spans="2:2" ht="15.75" customHeight="1" x14ac:dyDescent="0.3">
      <c r="B805" s="1"/>
    </row>
    <row r="806" spans="2:2" ht="15.75" customHeight="1" x14ac:dyDescent="0.3">
      <c r="B806" s="1"/>
    </row>
    <row r="807" spans="2:2" ht="15.75" customHeight="1" x14ac:dyDescent="0.3">
      <c r="B807" s="1"/>
    </row>
    <row r="808" spans="2:2" ht="15.75" customHeight="1" x14ac:dyDescent="0.3">
      <c r="B808" s="1"/>
    </row>
    <row r="809" spans="2:2" ht="15.75" customHeight="1" x14ac:dyDescent="0.3">
      <c r="B809" s="1"/>
    </row>
    <row r="810" spans="2:2" ht="15.75" customHeight="1" x14ac:dyDescent="0.3">
      <c r="B810" s="1"/>
    </row>
    <row r="811" spans="2:2" ht="15.75" customHeight="1" x14ac:dyDescent="0.3">
      <c r="B811" s="1"/>
    </row>
    <row r="812" spans="2:2" ht="15.75" customHeight="1" x14ac:dyDescent="0.3">
      <c r="B812" s="1"/>
    </row>
    <row r="813" spans="2:2" ht="15.75" customHeight="1" x14ac:dyDescent="0.3">
      <c r="B813" s="1"/>
    </row>
    <row r="814" spans="2:2" ht="15.75" customHeight="1" x14ac:dyDescent="0.3">
      <c r="B814" s="1"/>
    </row>
    <row r="815" spans="2:2" ht="15.75" customHeight="1" x14ac:dyDescent="0.3">
      <c r="B815" s="1"/>
    </row>
    <row r="816" spans="2:2" ht="15.75" customHeight="1" x14ac:dyDescent="0.3">
      <c r="B816" s="1"/>
    </row>
    <row r="817" spans="2:2" ht="15.75" customHeight="1" x14ac:dyDescent="0.3">
      <c r="B817" s="1"/>
    </row>
    <row r="818" spans="2:2" ht="15.75" customHeight="1" x14ac:dyDescent="0.3">
      <c r="B818" s="1"/>
    </row>
    <row r="819" spans="2:2" ht="15.75" customHeight="1" x14ac:dyDescent="0.3">
      <c r="B819" s="1"/>
    </row>
    <row r="820" spans="2:2" ht="15.75" customHeight="1" x14ac:dyDescent="0.3">
      <c r="B820" s="1"/>
    </row>
    <row r="821" spans="2:2" ht="15.75" customHeight="1" x14ac:dyDescent="0.3">
      <c r="B821" s="1"/>
    </row>
    <row r="822" spans="2:2" ht="15.75" customHeight="1" x14ac:dyDescent="0.3">
      <c r="B822" s="1"/>
    </row>
    <row r="823" spans="2:2" ht="15.75" customHeight="1" x14ac:dyDescent="0.3">
      <c r="B823" s="1"/>
    </row>
    <row r="824" spans="2:2" ht="15.75" customHeight="1" x14ac:dyDescent="0.3">
      <c r="B824" s="1"/>
    </row>
    <row r="825" spans="2:2" ht="15.75" customHeight="1" x14ac:dyDescent="0.3">
      <c r="B825" s="1"/>
    </row>
    <row r="826" spans="2:2" ht="15.75" customHeight="1" x14ac:dyDescent="0.3">
      <c r="B826" s="1"/>
    </row>
    <row r="827" spans="2:2" ht="15.75" customHeight="1" x14ac:dyDescent="0.3">
      <c r="B827" s="1"/>
    </row>
    <row r="828" spans="2:2" ht="15.75" customHeight="1" x14ac:dyDescent="0.3">
      <c r="B828" s="1"/>
    </row>
    <row r="829" spans="2:2" ht="15.75" customHeight="1" x14ac:dyDescent="0.3">
      <c r="B829" s="1"/>
    </row>
    <row r="830" spans="2:2" ht="15.75" customHeight="1" x14ac:dyDescent="0.3">
      <c r="B830" s="1"/>
    </row>
    <row r="831" spans="2:2" ht="15.75" customHeight="1" x14ac:dyDescent="0.3">
      <c r="B831" s="1"/>
    </row>
    <row r="832" spans="2:2" ht="15.75" customHeight="1" x14ac:dyDescent="0.3">
      <c r="B832" s="1"/>
    </row>
    <row r="833" spans="2:2" ht="15.75" customHeight="1" x14ac:dyDescent="0.3">
      <c r="B833" s="1"/>
    </row>
    <row r="834" spans="2:2" ht="15.75" customHeight="1" x14ac:dyDescent="0.3">
      <c r="B834" s="1"/>
    </row>
    <row r="835" spans="2:2" ht="15.75" customHeight="1" x14ac:dyDescent="0.3">
      <c r="B835" s="1"/>
    </row>
    <row r="836" spans="2:2" ht="15.75" customHeight="1" x14ac:dyDescent="0.3">
      <c r="B836" s="1"/>
    </row>
    <row r="837" spans="2:2" ht="15.75" customHeight="1" x14ac:dyDescent="0.3">
      <c r="B837" s="1"/>
    </row>
    <row r="838" spans="2:2" ht="15.75" customHeight="1" x14ac:dyDescent="0.3">
      <c r="B838" s="1"/>
    </row>
    <row r="839" spans="2:2" ht="15.75" customHeight="1" x14ac:dyDescent="0.3">
      <c r="B839" s="1"/>
    </row>
    <row r="840" spans="2:2" ht="15.75" customHeight="1" x14ac:dyDescent="0.3">
      <c r="B840" s="1"/>
    </row>
    <row r="841" spans="2:2" ht="15.75" customHeight="1" x14ac:dyDescent="0.3">
      <c r="B841" s="1"/>
    </row>
    <row r="842" spans="2:2" ht="15.75" customHeight="1" x14ac:dyDescent="0.3">
      <c r="B842" s="1"/>
    </row>
    <row r="843" spans="2:2" ht="15.75" customHeight="1" x14ac:dyDescent="0.3">
      <c r="B843" s="1"/>
    </row>
    <row r="844" spans="2:2" ht="15.75" customHeight="1" x14ac:dyDescent="0.3">
      <c r="B844" s="1"/>
    </row>
    <row r="845" spans="2:2" ht="15.75" customHeight="1" x14ac:dyDescent="0.3">
      <c r="B845" s="1"/>
    </row>
    <row r="846" spans="2:2" ht="15.75" customHeight="1" x14ac:dyDescent="0.3">
      <c r="B846" s="1"/>
    </row>
    <row r="847" spans="2:2" ht="15.75" customHeight="1" x14ac:dyDescent="0.3">
      <c r="B847" s="1"/>
    </row>
    <row r="848" spans="2:2" ht="15.75" customHeight="1" x14ac:dyDescent="0.3">
      <c r="B848" s="1"/>
    </row>
    <row r="849" spans="2:2" ht="15.75" customHeight="1" x14ac:dyDescent="0.3">
      <c r="B849" s="1"/>
    </row>
    <row r="850" spans="2:2" ht="15.75" customHeight="1" x14ac:dyDescent="0.3">
      <c r="B850" s="1"/>
    </row>
    <row r="851" spans="2:2" ht="15.75" customHeight="1" x14ac:dyDescent="0.3">
      <c r="B851" s="1"/>
    </row>
    <row r="852" spans="2:2" ht="15.75" customHeight="1" x14ac:dyDescent="0.3">
      <c r="B852" s="1"/>
    </row>
    <row r="853" spans="2:2" ht="15.75" customHeight="1" x14ac:dyDescent="0.3">
      <c r="B853" s="1"/>
    </row>
    <row r="854" spans="2:2" ht="15.75" customHeight="1" x14ac:dyDescent="0.3">
      <c r="B854" s="1"/>
    </row>
    <row r="855" spans="2:2" ht="15.75" customHeight="1" x14ac:dyDescent="0.3">
      <c r="B855" s="1"/>
    </row>
    <row r="856" spans="2:2" ht="15.75" customHeight="1" x14ac:dyDescent="0.3">
      <c r="B856" s="1"/>
    </row>
    <row r="857" spans="2:2" ht="15.75" customHeight="1" x14ac:dyDescent="0.3">
      <c r="B857" s="1"/>
    </row>
    <row r="858" spans="2:2" ht="15.75" customHeight="1" x14ac:dyDescent="0.3">
      <c r="B858" s="1"/>
    </row>
    <row r="859" spans="2:2" ht="15.75" customHeight="1" x14ac:dyDescent="0.3">
      <c r="B859" s="1"/>
    </row>
    <row r="860" spans="2:2" ht="15.75" customHeight="1" x14ac:dyDescent="0.3">
      <c r="B860" s="1"/>
    </row>
    <row r="861" spans="2:2" ht="15.75" customHeight="1" x14ac:dyDescent="0.3">
      <c r="B861" s="1"/>
    </row>
    <row r="862" spans="2:2" ht="15.75" customHeight="1" x14ac:dyDescent="0.3">
      <c r="B862" s="1"/>
    </row>
    <row r="863" spans="2:2" ht="15.75" customHeight="1" x14ac:dyDescent="0.3">
      <c r="B863" s="1"/>
    </row>
    <row r="864" spans="2:2" ht="15.75" customHeight="1" x14ac:dyDescent="0.3">
      <c r="B864" s="1"/>
    </row>
    <row r="865" spans="2:2" ht="15.75" customHeight="1" x14ac:dyDescent="0.3">
      <c r="B865" s="1"/>
    </row>
    <row r="866" spans="2:2" ht="15.75" customHeight="1" x14ac:dyDescent="0.3">
      <c r="B866" s="1"/>
    </row>
    <row r="867" spans="2:2" ht="15.75" customHeight="1" x14ac:dyDescent="0.3">
      <c r="B867" s="1"/>
    </row>
    <row r="868" spans="2:2" ht="15.75" customHeight="1" x14ac:dyDescent="0.3">
      <c r="B868" s="1"/>
    </row>
    <row r="869" spans="2:2" ht="15.75" customHeight="1" x14ac:dyDescent="0.3">
      <c r="B869" s="1"/>
    </row>
    <row r="870" spans="2:2" ht="15.75" customHeight="1" x14ac:dyDescent="0.3">
      <c r="B870" s="1"/>
    </row>
    <row r="871" spans="2:2" ht="15.75" customHeight="1" x14ac:dyDescent="0.3">
      <c r="B871" s="1"/>
    </row>
    <row r="872" spans="2:2" ht="15.75" customHeight="1" x14ac:dyDescent="0.3">
      <c r="B872" s="1"/>
    </row>
    <row r="873" spans="2:2" ht="15.75" customHeight="1" x14ac:dyDescent="0.3">
      <c r="B873" s="1"/>
    </row>
    <row r="874" spans="2:2" ht="15.75" customHeight="1" x14ac:dyDescent="0.3">
      <c r="B874" s="1"/>
    </row>
    <row r="875" spans="2:2" ht="15.75" customHeight="1" x14ac:dyDescent="0.3">
      <c r="B875" s="1"/>
    </row>
    <row r="876" spans="2:2" ht="15.75" customHeight="1" x14ac:dyDescent="0.3">
      <c r="B876" s="1"/>
    </row>
    <row r="877" spans="2:2" ht="15.75" customHeight="1" x14ac:dyDescent="0.3">
      <c r="B877" s="1"/>
    </row>
    <row r="878" spans="2:2" ht="15.75" customHeight="1" x14ac:dyDescent="0.3">
      <c r="B878" s="1"/>
    </row>
    <row r="879" spans="2:2" ht="15.75" customHeight="1" x14ac:dyDescent="0.3">
      <c r="B879" s="1"/>
    </row>
    <row r="880" spans="2:2" ht="15.75" customHeight="1" x14ac:dyDescent="0.3">
      <c r="B880" s="1"/>
    </row>
    <row r="881" spans="2:2" ht="15.75" customHeight="1" x14ac:dyDescent="0.3">
      <c r="B881" s="1"/>
    </row>
    <row r="882" spans="2:2" ht="15.75" customHeight="1" x14ac:dyDescent="0.3">
      <c r="B882" s="1"/>
    </row>
    <row r="883" spans="2:2" ht="15.75" customHeight="1" x14ac:dyDescent="0.3">
      <c r="B883" s="1"/>
    </row>
    <row r="884" spans="2:2" ht="15.75" customHeight="1" x14ac:dyDescent="0.3">
      <c r="B884" s="1"/>
    </row>
    <row r="885" spans="2:2" ht="15.75" customHeight="1" x14ac:dyDescent="0.3">
      <c r="B885" s="1"/>
    </row>
    <row r="886" spans="2:2" ht="15.75" customHeight="1" x14ac:dyDescent="0.3">
      <c r="B886" s="1"/>
    </row>
    <row r="887" spans="2:2" ht="15.75" customHeight="1" x14ac:dyDescent="0.3">
      <c r="B887" s="1"/>
    </row>
    <row r="888" spans="2:2" ht="15.75" customHeight="1" x14ac:dyDescent="0.3">
      <c r="B888" s="1"/>
    </row>
    <row r="889" spans="2:2" ht="15.75" customHeight="1" x14ac:dyDescent="0.3">
      <c r="B889" s="1"/>
    </row>
    <row r="890" spans="2:2" ht="15.75" customHeight="1" x14ac:dyDescent="0.3">
      <c r="B890" s="1"/>
    </row>
    <row r="891" spans="2:2" ht="15.75" customHeight="1" x14ac:dyDescent="0.3">
      <c r="B891" s="1"/>
    </row>
    <row r="892" spans="2:2" ht="15.75" customHeight="1" x14ac:dyDescent="0.3">
      <c r="B892" s="1"/>
    </row>
    <row r="893" spans="2:2" ht="15.75" customHeight="1" x14ac:dyDescent="0.3">
      <c r="B893" s="1"/>
    </row>
    <row r="894" spans="2:2" ht="15.75" customHeight="1" x14ac:dyDescent="0.3">
      <c r="B894" s="1"/>
    </row>
    <row r="895" spans="2:2" ht="15.75" customHeight="1" x14ac:dyDescent="0.3">
      <c r="B895" s="1"/>
    </row>
    <row r="896" spans="2:2" ht="15.75" customHeight="1" x14ac:dyDescent="0.3">
      <c r="B896" s="1"/>
    </row>
    <row r="897" spans="2:2" ht="15.75" customHeight="1" x14ac:dyDescent="0.3">
      <c r="B897" s="1"/>
    </row>
    <row r="898" spans="2:2" ht="15.75" customHeight="1" x14ac:dyDescent="0.3">
      <c r="B898" s="1"/>
    </row>
    <row r="899" spans="2:2" ht="15.75" customHeight="1" x14ac:dyDescent="0.3">
      <c r="B899" s="1"/>
    </row>
    <row r="900" spans="2:2" ht="15.75" customHeight="1" x14ac:dyDescent="0.3">
      <c r="B900" s="1"/>
    </row>
    <row r="901" spans="2:2" ht="15.75" customHeight="1" x14ac:dyDescent="0.3">
      <c r="B901" s="1"/>
    </row>
    <row r="902" spans="2:2" ht="15.75" customHeight="1" x14ac:dyDescent="0.3">
      <c r="B902" s="1"/>
    </row>
    <row r="903" spans="2:2" ht="15.75" customHeight="1" x14ac:dyDescent="0.3">
      <c r="B903" s="1"/>
    </row>
    <row r="904" spans="2:2" ht="15.75" customHeight="1" x14ac:dyDescent="0.3">
      <c r="B904" s="1"/>
    </row>
    <row r="905" spans="2:2" ht="15.75" customHeight="1" x14ac:dyDescent="0.3">
      <c r="B905" s="1"/>
    </row>
    <row r="906" spans="2:2" ht="15.75" customHeight="1" x14ac:dyDescent="0.3">
      <c r="B906" s="1"/>
    </row>
    <row r="907" spans="2:2" ht="15.75" customHeight="1" x14ac:dyDescent="0.3">
      <c r="B907" s="1"/>
    </row>
    <row r="908" spans="2:2" ht="15.75" customHeight="1" x14ac:dyDescent="0.3">
      <c r="B908" s="1"/>
    </row>
    <row r="909" spans="2:2" ht="15.75" customHeight="1" x14ac:dyDescent="0.3">
      <c r="B909" s="1"/>
    </row>
    <row r="910" spans="2:2" ht="15.75" customHeight="1" x14ac:dyDescent="0.3">
      <c r="B910" s="1"/>
    </row>
    <row r="911" spans="2:2" ht="15.75" customHeight="1" x14ac:dyDescent="0.3">
      <c r="B911" s="1"/>
    </row>
    <row r="912" spans="2:2" ht="15.75" customHeight="1" x14ac:dyDescent="0.3">
      <c r="B912" s="1"/>
    </row>
    <row r="913" spans="2:2" ht="15.75" customHeight="1" x14ac:dyDescent="0.3">
      <c r="B913" s="1"/>
    </row>
    <row r="914" spans="2:2" ht="15.75" customHeight="1" x14ac:dyDescent="0.3">
      <c r="B914" s="1"/>
    </row>
    <row r="915" spans="2:2" ht="15.75" customHeight="1" x14ac:dyDescent="0.3">
      <c r="B915" s="1"/>
    </row>
    <row r="916" spans="2:2" ht="15.75" customHeight="1" x14ac:dyDescent="0.3">
      <c r="B916" s="1"/>
    </row>
    <row r="917" spans="2:2" ht="15.75" customHeight="1" x14ac:dyDescent="0.3">
      <c r="B917" s="1"/>
    </row>
    <row r="918" spans="2:2" ht="15.75" customHeight="1" x14ac:dyDescent="0.3">
      <c r="B918" s="1"/>
    </row>
    <row r="919" spans="2:2" ht="15.75" customHeight="1" x14ac:dyDescent="0.3">
      <c r="B919" s="1"/>
    </row>
    <row r="920" spans="2:2" ht="15.75" customHeight="1" x14ac:dyDescent="0.3">
      <c r="B920" s="1"/>
    </row>
    <row r="921" spans="2:2" ht="15.75" customHeight="1" x14ac:dyDescent="0.3">
      <c r="B921" s="1"/>
    </row>
    <row r="922" spans="2:2" ht="15.75" customHeight="1" x14ac:dyDescent="0.3">
      <c r="B922" s="1"/>
    </row>
    <row r="923" spans="2:2" ht="15.75" customHeight="1" x14ac:dyDescent="0.3">
      <c r="B923" s="1"/>
    </row>
    <row r="924" spans="2:2" ht="15.75" customHeight="1" x14ac:dyDescent="0.3">
      <c r="B924" s="1"/>
    </row>
    <row r="925" spans="2:2" ht="15.75" customHeight="1" x14ac:dyDescent="0.3">
      <c r="B925" s="1"/>
    </row>
    <row r="926" spans="2:2" ht="15.75" customHeight="1" x14ac:dyDescent="0.3">
      <c r="B926" s="1"/>
    </row>
    <row r="927" spans="2:2" ht="15.75" customHeight="1" x14ac:dyDescent="0.3">
      <c r="B927" s="1"/>
    </row>
    <row r="928" spans="2:2" ht="15.75" customHeight="1" x14ac:dyDescent="0.3">
      <c r="B928" s="1"/>
    </row>
    <row r="929" spans="2:2" ht="15.75" customHeight="1" x14ac:dyDescent="0.3">
      <c r="B929" s="1"/>
    </row>
    <row r="930" spans="2:2" ht="15.75" customHeight="1" x14ac:dyDescent="0.3">
      <c r="B930" s="1"/>
    </row>
    <row r="931" spans="2:2" ht="15.75" customHeight="1" x14ac:dyDescent="0.3">
      <c r="B931" s="1"/>
    </row>
    <row r="932" spans="2:2" ht="15.75" customHeight="1" x14ac:dyDescent="0.3">
      <c r="B932" s="1"/>
    </row>
    <row r="933" spans="2:2" ht="15.75" customHeight="1" x14ac:dyDescent="0.3">
      <c r="B933" s="1"/>
    </row>
    <row r="934" spans="2:2" ht="15.75" customHeight="1" x14ac:dyDescent="0.3">
      <c r="B934" s="1"/>
    </row>
    <row r="935" spans="2:2" ht="15.75" customHeight="1" x14ac:dyDescent="0.3">
      <c r="B935" s="1"/>
    </row>
    <row r="936" spans="2:2" ht="15.75" customHeight="1" x14ac:dyDescent="0.3">
      <c r="B936" s="1"/>
    </row>
    <row r="937" spans="2:2" ht="15.75" customHeight="1" x14ac:dyDescent="0.3">
      <c r="B937" s="1"/>
    </row>
    <row r="938" spans="2:2" ht="15.75" customHeight="1" x14ac:dyDescent="0.3">
      <c r="B938" s="1"/>
    </row>
    <row r="939" spans="2:2" ht="15.75" customHeight="1" x14ac:dyDescent="0.3">
      <c r="B939" s="1"/>
    </row>
    <row r="940" spans="2:2" ht="15.75" customHeight="1" x14ac:dyDescent="0.3">
      <c r="B940" s="1"/>
    </row>
    <row r="941" spans="2:2" ht="15.75" customHeight="1" x14ac:dyDescent="0.3">
      <c r="B941" s="1"/>
    </row>
    <row r="942" spans="2:2" ht="15.75" customHeight="1" x14ac:dyDescent="0.3">
      <c r="B942" s="1"/>
    </row>
    <row r="943" spans="2:2" ht="15.75" customHeight="1" x14ac:dyDescent="0.3">
      <c r="B943" s="1"/>
    </row>
    <row r="944" spans="2:2" ht="15.75" customHeight="1" x14ac:dyDescent="0.3">
      <c r="B944" s="1"/>
    </row>
    <row r="945" spans="2:2" ht="15.75" customHeight="1" x14ac:dyDescent="0.3">
      <c r="B945" s="1"/>
    </row>
    <row r="946" spans="2:2" ht="15.75" customHeight="1" x14ac:dyDescent="0.3">
      <c r="B946" s="1"/>
    </row>
    <row r="947" spans="2:2" ht="15.75" customHeight="1" x14ac:dyDescent="0.3">
      <c r="B947" s="1"/>
    </row>
    <row r="948" spans="2:2" ht="15.75" customHeight="1" x14ac:dyDescent="0.3">
      <c r="B948" s="1"/>
    </row>
    <row r="949" spans="2:2" ht="15.75" customHeight="1" x14ac:dyDescent="0.3">
      <c r="B949" s="1"/>
    </row>
    <row r="950" spans="2:2" ht="15.75" customHeight="1" x14ac:dyDescent="0.3">
      <c r="B950" s="1"/>
    </row>
    <row r="951" spans="2:2" ht="15.75" customHeight="1" x14ac:dyDescent="0.3">
      <c r="B951" s="1"/>
    </row>
    <row r="952" spans="2:2" ht="15.75" customHeight="1" x14ac:dyDescent="0.3">
      <c r="B952" s="1"/>
    </row>
    <row r="953" spans="2:2" ht="15.75" customHeight="1" x14ac:dyDescent="0.3">
      <c r="B953" s="1"/>
    </row>
    <row r="954" spans="2:2" ht="15.75" customHeight="1" x14ac:dyDescent="0.3">
      <c r="B954" s="1"/>
    </row>
    <row r="955" spans="2:2" ht="15.75" customHeight="1" x14ac:dyDescent="0.3">
      <c r="B955" s="1"/>
    </row>
    <row r="956" spans="2:2" ht="15.75" customHeight="1" x14ac:dyDescent="0.3">
      <c r="B956" s="1"/>
    </row>
    <row r="957" spans="2:2" ht="15.75" customHeight="1" x14ac:dyDescent="0.3">
      <c r="B957" s="1"/>
    </row>
    <row r="958" spans="2:2" ht="15.75" customHeight="1" x14ac:dyDescent="0.3">
      <c r="B958" s="1"/>
    </row>
    <row r="959" spans="2:2" ht="15.75" customHeight="1" x14ac:dyDescent="0.3">
      <c r="B959" s="1"/>
    </row>
    <row r="960" spans="2:2" ht="15.75" customHeight="1" x14ac:dyDescent="0.3">
      <c r="B960" s="1"/>
    </row>
    <row r="961" spans="2:2" ht="15.75" customHeight="1" x14ac:dyDescent="0.3">
      <c r="B961" s="1"/>
    </row>
    <row r="962" spans="2:2" ht="15.75" customHeight="1" x14ac:dyDescent="0.3">
      <c r="B962" s="1"/>
    </row>
    <row r="963" spans="2:2" ht="15.75" customHeight="1" x14ac:dyDescent="0.3">
      <c r="B963" s="1"/>
    </row>
    <row r="964" spans="2:2" ht="15.75" customHeight="1" x14ac:dyDescent="0.3">
      <c r="B964" s="1"/>
    </row>
    <row r="965" spans="2:2" ht="15.75" customHeight="1" x14ac:dyDescent="0.3">
      <c r="B965" s="1"/>
    </row>
    <row r="966" spans="2:2" ht="15.75" customHeight="1" x14ac:dyDescent="0.3">
      <c r="B966" s="1"/>
    </row>
    <row r="967" spans="2:2" ht="15.75" customHeight="1" x14ac:dyDescent="0.3">
      <c r="B967" s="1"/>
    </row>
    <row r="968" spans="2:2" ht="15.75" customHeight="1" x14ac:dyDescent="0.3">
      <c r="B968" s="1"/>
    </row>
    <row r="969" spans="2:2" ht="15.75" customHeight="1" x14ac:dyDescent="0.3">
      <c r="B969" s="1"/>
    </row>
    <row r="970" spans="2:2" ht="15.75" customHeight="1" x14ac:dyDescent="0.3">
      <c r="B970" s="1"/>
    </row>
    <row r="971" spans="2:2" ht="15.75" customHeight="1" x14ac:dyDescent="0.3">
      <c r="B971" s="1"/>
    </row>
    <row r="972" spans="2:2" ht="15.75" customHeight="1" x14ac:dyDescent="0.3">
      <c r="B972" s="1"/>
    </row>
    <row r="973" spans="2:2" ht="15.75" customHeight="1" x14ac:dyDescent="0.3">
      <c r="B973" s="1"/>
    </row>
    <row r="974" spans="2:2" ht="15.75" customHeight="1" x14ac:dyDescent="0.3">
      <c r="B974" s="1"/>
    </row>
    <row r="975" spans="2:2" ht="15.75" customHeight="1" x14ac:dyDescent="0.3">
      <c r="B975" s="1"/>
    </row>
    <row r="976" spans="2:2" ht="15.75" customHeight="1" x14ac:dyDescent="0.3">
      <c r="B976" s="1"/>
    </row>
    <row r="977" spans="2:2" ht="15.75" customHeight="1" x14ac:dyDescent="0.3">
      <c r="B977" s="1"/>
    </row>
    <row r="978" spans="2:2" ht="15.75" customHeight="1" x14ac:dyDescent="0.3">
      <c r="B978" s="1"/>
    </row>
    <row r="979" spans="2:2" ht="15.75" customHeight="1" x14ac:dyDescent="0.3">
      <c r="B979" s="1"/>
    </row>
    <row r="980" spans="2:2" ht="15.75" customHeight="1" x14ac:dyDescent="0.3">
      <c r="B980" s="1"/>
    </row>
    <row r="981" spans="2:2" ht="15.75" customHeight="1" x14ac:dyDescent="0.3">
      <c r="B981" s="1"/>
    </row>
    <row r="982" spans="2:2" ht="15.75" customHeight="1" x14ac:dyDescent="0.3">
      <c r="B982" s="1"/>
    </row>
    <row r="983" spans="2:2" ht="15.75" customHeight="1" x14ac:dyDescent="0.3">
      <c r="B983" s="1"/>
    </row>
    <row r="984" spans="2:2" ht="15.75" customHeight="1" x14ac:dyDescent="0.3">
      <c r="B984" s="1"/>
    </row>
    <row r="985" spans="2:2" ht="15.75" customHeight="1" x14ac:dyDescent="0.3">
      <c r="B985" s="1"/>
    </row>
    <row r="986" spans="2:2" ht="15.75" customHeight="1" x14ac:dyDescent="0.3">
      <c r="B986" s="1"/>
    </row>
    <row r="987" spans="2:2" ht="15.75" customHeight="1" x14ac:dyDescent="0.3">
      <c r="B987" s="1"/>
    </row>
    <row r="988" spans="2:2" ht="15.75" customHeight="1" x14ac:dyDescent="0.3">
      <c r="B988" s="1"/>
    </row>
    <row r="989" spans="2:2" ht="15.75" customHeight="1" x14ac:dyDescent="0.3">
      <c r="B989" s="1"/>
    </row>
    <row r="990" spans="2:2" ht="15.75" customHeight="1" x14ac:dyDescent="0.3">
      <c r="B990" s="1"/>
    </row>
    <row r="991" spans="2:2" ht="15.75" customHeight="1" x14ac:dyDescent="0.3">
      <c r="B991" s="1"/>
    </row>
    <row r="992" spans="2:2" ht="15.75" customHeight="1" x14ac:dyDescent="0.3">
      <c r="B992" s="1"/>
    </row>
    <row r="993" spans="2:2" ht="15.75" customHeight="1" x14ac:dyDescent="0.3">
      <c r="B993" s="1"/>
    </row>
    <row r="994" spans="2:2" ht="15.75" customHeight="1" x14ac:dyDescent="0.3">
      <c r="B994" s="1"/>
    </row>
    <row r="995" spans="2:2" ht="15.75" customHeight="1" x14ac:dyDescent="0.3">
      <c r="B995" s="1"/>
    </row>
    <row r="996" spans="2:2" ht="15.75" customHeight="1" x14ac:dyDescent="0.3">
      <c r="B996" s="1"/>
    </row>
    <row r="997" spans="2:2" ht="15.75" customHeight="1" x14ac:dyDescent="0.3">
      <c r="B997" s="1"/>
    </row>
    <row r="998" spans="2:2" ht="15.75" customHeight="1" x14ac:dyDescent="0.3">
      <c r="B998" s="1"/>
    </row>
    <row r="999" spans="2:2" ht="15.75" customHeight="1" x14ac:dyDescent="0.3">
      <c r="B999" s="1"/>
    </row>
    <row r="1000" spans="2:2" ht="15.75" customHeight="1" x14ac:dyDescent="0.3">
      <c r="B1000" s="1"/>
    </row>
  </sheetData>
  <mergeCells count="3">
    <mergeCell ref="I2:P2"/>
    <mergeCell ref="I3:P3"/>
    <mergeCell ref="I5:P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tabSelected="1" topLeftCell="B1" workbookViewId="0">
      <selection activeCell="P2" sqref="P2"/>
    </sheetView>
  </sheetViews>
  <sheetFormatPr defaultColWidth="14.44140625" defaultRowHeight="15" customHeight="1" x14ac:dyDescent="0.3"/>
  <cols>
    <col min="1" max="1" width="10" customWidth="1"/>
    <col min="2" max="2" width="18.88671875" customWidth="1"/>
    <col min="3" max="3" width="22.44140625" customWidth="1"/>
    <col min="4" max="4" width="17.6640625" customWidth="1"/>
    <col min="5" max="5" width="14.44140625" customWidth="1"/>
    <col min="6" max="6" width="12.44140625" customWidth="1"/>
    <col min="7" max="8" width="14.44140625" customWidth="1"/>
    <col min="9" max="9" width="12.109375" customWidth="1"/>
    <col min="10" max="10" width="8.5546875" customWidth="1"/>
    <col min="11" max="11" width="14" customWidth="1"/>
    <col min="12" max="12" width="13.33203125" customWidth="1"/>
    <col min="13" max="13" width="12.5546875" customWidth="1"/>
    <col min="14" max="14" width="12.6640625" customWidth="1"/>
    <col min="15" max="15" width="12.109375" customWidth="1"/>
    <col min="16" max="26" width="8.6640625" customWidth="1"/>
  </cols>
  <sheetData>
    <row r="1" spans="1:15" ht="23.4" x14ac:dyDescent="0.45">
      <c r="A1" s="7" t="s">
        <v>31</v>
      </c>
      <c r="F1" s="8"/>
      <c r="G1" s="8"/>
      <c r="H1" s="9"/>
      <c r="I1" s="10"/>
      <c r="J1" s="8"/>
      <c r="K1" s="9"/>
      <c r="L1" s="10"/>
      <c r="M1" s="8"/>
      <c r="N1" s="9"/>
      <c r="O1" s="8"/>
    </row>
    <row r="2" spans="1:15" ht="14.4" x14ac:dyDescent="0.3">
      <c r="E2" s="11" t="s">
        <v>32</v>
      </c>
      <c r="F2" s="12">
        <f>AVERAGE(F5:F39)</f>
        <v>5.7142857142857144</v>
      </c>
      <c r="H2" s="11" t="s">
        <v>33</v>
      </c>
      <c r="I2" s="13">
        <f ca="1">NOW()</f>
        <v>46303.504290740741</v>
      </c>
      <c r="K2" s="11" t="s">
        <v>34</v>
      </c>
      <c r="L2" s="13">
        <f ca="1">EOMONTH(EDATE('HR Performance Reviews'!I2,-10),0)+1</f>
        <v>46023</v>
      </c>
      <c r="N2" s="11" t="s">
        <v>35</v>
      </c>
      <c r="O2" s="14">
        <f ca="1">NETWORKDAYS(L2,I2)</f>
        <v>201</v>
      </c>
    </row>
    <row r="3" spans="1:15" ht="14.4" x14ac:dyDescent="0.3">
      <c r="F3" s="8"/>
    </row>
    <row r="4" spans="1:15" ht="15.6" x14ac:dyDescent="0.3">
      <c r="A4" s="15" t="s">
        <v>36</v>
      </c>
      <c r="B4" s="15" t="s">
        <v>37</v>
      </c>
      <c r="C4" s="15" t="s">
        <v>38</v>
      </c>
      <c r="D4" s="15" t="s">
        <v>39</v>
      </c>
      <c r="E4" s="15" t="s">
        <v>40</v>
      </c>
      <c r="F4" s="16" t="s">
        <v>41</v>
      </c>
      <c r="G4" s="15" t="s">
        <v>42</v>
      </c>
      <c r="H4" s="15" t="s">
        <v>43</v>
      </c>
      <c r="I4" s="15" t="s">
        <v>44</v>
      </c>
      <c r="J4" s="15" t="s">
        <v>45</v>
      </c>
      <c r="K4" s="15" t="s">
        <v>46</v>
      </c>
      <c r="L4" s="15" t="s">
        <v>47</v>
      </c>
      <c r="M4" s="15" t="s">
        <v>48</v>
      </c>
      <c r="N4" s="15" t="s">
        <v>49</v>
      </c>
      <c r="O4" s="15" t="s">
        <v>50</v>
      </c>
    </row>
    <row r="5" spans="1:15" ht="14.4" x14ac:dyDescent="0.3">
      <c r="A5" s="4" t="s">
        <v>51</v>
      </c>
      <c r="B5" s="4" t="s">
        <v>52</v>
      </c>
      <c r="C5" s="4" t="s">
        <v>53</v>
      </c>
      <c r="D5" s="17" t="s">
        <v>54</v>
      </c>
      <c r="E5" s="17" t="s">
        <v>55</v>
      </c>
      <c r="F5" s="18">
        <f>VALUE(LEFT(E5,1))</f>
        <v>7</v>
      </c>
      <c r="G5" s="19">
        <v>32138</v>
      </c>
      <c r="H5" t="str">
        <f>TEXT(G5,"MMMM")</f>
        <v>December</v>
      </c>
      <c r="I5">
        <f>YEAR(G5)</f>
        <v>1987</v>
      </c>
      <c r="J5" s="26">
        <f ca="1">(NOW()-G5)/365.25</f>
        <v>38.783037072527698</v>
      </c>
      <c r="K5" s="10">
        <v>42838</v>
      </c>
      <c r="L5" s="27">
        <f ca="1">ROUNDDOWN((NOW()-K5)/365.25,0)</f>
        <v>9</v>
      </c>
      <c r="M5" s="10">
        <v>44040</v>
      </c>
      <c r="N5" s="10">
        <f>WORKDAY(EDATE('HR Performance Reviews'!M5,12)-1,1)</f>
        <v>44405</v>
      </c>
      <c r="O5" s="10">
        <f>WORKDAY(EOMONTH(N5,-1)+1-1,1)</f>
        <v>44378</v>
      </c>
    </row>
    <row r="6" spans="1:15" ht="14.4" x14ac:dyDescent="0.3">
      <c r="A6" s="4" t="s">
        <v>56</v>
      </c>
      <c r="B6" s="4" t="s">
        <v>57</v>
      </c>
      <c r="C6" s="4" t="s">
        <v>58</v>
      </c>
      <c r="D6" s="17" t="s">
        <v>59</v>
      </c>
      <c r="E6" s="17" t="s">
        <v>60</v>
      </c>
      <c r="F6" s="18">
        <f t="shared" ref="F6:F39" si="0">VALUE(LEFT(E6,1))</f>
        <v>4</v>
      </c>
      <c r="G6" s="19">
        <v>34979</v>
      </c>
      <c r="H6" t="str">
        <f t="shared" ref="H6:H39" si="1">TEXT(G6,"MMMM")</f>
        <v>October</v>
      </c>
      <c r="I6">
        <f t="shared" ref="I6:I39" si="2">YEAR(G6)</f>
        <v>1995</v>
      </c>
      <c r="J6" s="26">
        <f t="shared" ref="J6:J39" ca="1" si="3">(NOW()-G6)/365.25</f>
        <v>31.004802986285394</v>
      </c>
      <c r="K6" s="10">
        <v>41751</v>
      </c>
      <c r="L6" s="27">
        <f t="shared" ref="L6:L39" ca="1" si="4">ROUNDDOWN((NOW()-K6)/365.25,0)</f>
        <v>12</v>
      </c>
      <c r="M6" s="10">
        <v>43764</v>
      </c>
      <c r="N6" s="10">
        <f>WORKDAY(EDATE('HR Performance Reviews'!M6,12)-1,1)</f>
        <v>44130</v>
      </c>
      <c r="O6" s="10">
        <f t="shared" ref="O6:O39" si="5">WORKDAY(EOMONTH(N6,-1)+1-1,1)</f>
        <v>44105</v>
      </c>
    </row>
    <row r="7" spans="1:15" ht="14.4" x14ac:dyDescent="0.3">
      <c r="A7" s="4" t="s">
        <v>61</v>
      </c>
      <c r="B7" s="4" t="s">
        <v>62</v>
      </c>
      <c r="C7" s="4" t="s">
        <v>63</v>
      </c>
      <c r="D7" s="17" t="s">
        <v>54</v>
      </c>
      <c r="E7" s="17" t="s">
        <v>64</v>
      </c>
      <c r="F7" s="18">
        <f t="shared" si="0"/>
        <v>1</v>
      </c>
      <c r="G7" s="19">
        <v>30089</v>
      </c>
      <c r="H7" t="str">
        <f t="shared" si="1"/>
        <v>May</v>
      </c>
      <c r="I7">
        <f t="shared" si="2"/>
        <v>1982</v>
      </c>
      <c r="J7" s="26">
        <f t="shared" ca="1" si="3"/>
        <v>44.392893335361371</v>
      </c>
      <c r="K7" s="10">
        <v>43782</v>
      </c>
      <c r="L7" s="27">
        <f t="shared" ca="1" si="4"/>
        <v>6</v>
      </c>
      <c r="M7" s="10">
        <v>43782</v>
      </c>
      <c r="N7" s="10">
        <f>WORKDAY(EDATE('HR Performance Reviews'!M7,12)-1,1)</f>
        <v>44148</v>
      </c>
      <c r="O7" s="10">
        <f t="shared" si="5"/>
        <v>44137</v>
      </c>
    </row>
    <row r="8" spans="1:15" ht="14.4" x14ac:dyDescent="0.3">
      <c r="A8" s="4" t="s">
        <v>65</v>
      </c>
      <c r="B8" s="4" t="s">
        <v>66</v>
      </c>
      <c r="C8" s="4" t="s">
        <v>67</v>
      </c>
      <c r="D8" s="17" t="s">
        <v>68</v>
      </c>
      <c r="E8" s="17" t="s">
        <v>69</v>
      </c>
      <c r="F8" s="18">
        <f t="shared" si="0"/>
        <v>8</v>
      </c>
      <c r="G8" s="19">
        <v>28830</v>
      </c>
      <c r="H8" t="str">
        <f t="shared" si="1"/>
        <v>December</v>
      </c>
      <c r="I8">
        <f t="shared" si="2"/>
        <v>1978</v>
      </c>
      <c r="J8" s="26">
        <f t="shared" ca="1" si="3"/>
        <v>47.839847476360688</v>
      </c>
      <c r="K8" s="10">
        <v>42229</v>
      </c>
      <c r="L8" s="27">
        <f t="shared" ca="1" si="4"/>
        <v>11</v>
      </c>
      <c r="M8" s="10">
        <v>43895</v>
      </c>
      <c r="N8" s="10">
        <f>WORKDAY(EDATE('HR Performance Reviews'!M8,12)-1,1)</f>
        <v>44260</v>
      </c>
      <c r="O8" s="10">
        <f t="shared" si="5"/>
        <v>44256</v>
      </c>
    </row>
    <row r="9" spans="1:15" ht="14.4" x14ac:dyDescent="0.3">
      <c r="A9" s="4" t="s">
        <v>70</v>
      </c>
      <c r="B9" s="4" t="s">
        <v>71</v>
      </c>
      <c r="C9" s="4" t="s">
        <v>72</v>
      </c>
      <c r="D9" s="17" t="s">
        <v>54</v>
      </c>
      <c r="E9" s="17" t="s">
        <v>55</v>
      </c>
      <c r="F9" s="18">
        <f t="shared" si="0"/>
        <v>7</v>
      </c>
      <c r="G9" s="19">
        <v>22167</v>
      </c>
      <c r="H9" t="str">
        <f t="shared" si="1"/>
        <v>September</v>
      </c>
      <c r="I9">
        <f t="shared" si="2"/>
        <v>1960</v>
      </c>
      <c r="J9" s="26">
        <f t="shared" ca="1" si="3"/>
        <v>66.082147271021881</v>
      </c>
      <c r="K9" s="10">
        <v>42384</v>
      </c>
      <c r="L9" s="27">
        <f t="shared" ca="1" si="4"/>
        <v>10</v>
      </c>
      <c r="M9" s="10">
        <v>43742</v>
      </c>
      <c r="N9" s="10">
        <f>WORKDAY(EDATE('HR Performance Reviews'!M9,12)-1,1)</f>
        <v>44109</v>
      </c>
      <c r="O9" s="10">
        <f t="shared" si="5"/>
        <v>44105</v>
      </c>
    </row>
    <row r="10" spans="1:15" ht="14.4" x14ac:dyDescent="0.3">
      <c r="A10" s="4" t="s">
        <v>73</v>
      </c>
      <c r="B10" s="4" t="s">
        <v>74</v>
      </c>
      <c r="C10" s="4" t="s">
        <v>75</v>
      </c>
      <c r="D10" s="17" t="s">
        <v>76</v>
      </c>
      <c r="E10" s="17" t="s">
        <v>77</v>
      </c>
      <c r="F10" s="18">
        <f t="shared" si="0"/>
        <v>3</v>
      </c>
      <c r="G10" s="19">
        <v>23531</v>
      </c>
      <c r="H10" t="str">
        <f t="shared" si="1"/>
        <v>June</v>
      </c>
      <c r="I10">
        <f t="shared" si="2"/>
        <v>1964</v>
      </c>
      <c r="J10" s="26">
        <f t="shared" ca="1" si="3"/>
        <v>62.347718797373687</v>
      </c>
      <c r="K10" s="10">
        <v>41893</v>
      </c>
      <c r="L10" s="27">
        <f t="shared" ca="1" si="4"/>
        <v>12</v>
      </c>
      <c r="M10" s="10">
        <v>43716</v>
      </c>
      <c r="N10" s="10">
        <f>WORKDAY(EDATE('HR Performance Reviews'!M10,12)-1,1)</f>
        <v>44082</v>
      </c>
      <c r="O10" s="10">
        <f t="shared" si="5"/>
        <v>44075</v>
      </c>
    </row>
    <row r="11" spans="1:15" ht="14.4" x14ac:dyDescent="0.3">
      <c r="A11" s="4" t="s">
        <v>78</v>
      </c>
      <c r="B11" s="4" t="s">
        <v>79</v>
      </c>
      <c r="C11" s="4" t="s">
        <v>80</v>
      </c>
      <c r="D11" s="17" t="s">
        <v>54</v>
      </c>
      <c r="E11" s="17" t="s">
        <v>81</v>
      </c>
      <c r="F11" s="18">
        <f t="shared" si="0"/>
        <v>6</v>
      </c>
      <c r="G11" s="19">
        <v>22775</v>
      </c>
      <c r="H11" t="str">
        <f t="shared" si="1"/>
        <v>May</v>
      </c>
      <c r="I11">
        <f t="shared" si="2"/>
        <v>1962</v>
      </c>
      <c r="J11" s="26">
        <f t="shared" ca="1" si="3"/>
        <v>64.417533992445556</v>
      </c>
      <c r="K11" s="10">
        <v>41903</v>
      </c>
      <c r="L11" s="27">
        <f t="shared" ca="1" si="4"/>
        <v>12</v>
      </c>
      <c r="M11" s="10">
        <v>43761</v>
      </c>
      <c r="N11" s="10">
        <f>WORKDAY(EDATE('HR Performance Reviews'!M11,12)-1,1)</f>
        <v>44127</v>
      </c>
      <c r="O11" s="10">
        <f t="shared" si="5"/>
        <v>44105</v>
      </c>
    </row>
    <row r="12" spans="1:15" ht="14.4" x14ac:dyDescent="0.3">
      <c r="A12" s="4" t="s">
        <v>82</v>
      </c>
      <c r="B12" s="4" t="s">
        <v>83</v>
      </c>
      <c r="C12" s="4" t="s">
        <v>84</v>
      </c>
      <c r="D12" s="17" t="s">
        <v>54</v>
      </c>
      <c r="E12" s="17" t="s">
        <v>85</v>
      </c>
      <c r="F12" s="18">
        <f t="shared" si="0"/>
        <v>5</v>
      </c>
      <c r="G12" s="19">
        <v>32449</v>
      </c>
      <c r="H12" t="str">
        <f t="shared" si="1"/>
        <v>November</v>
      </c>
      <c r="I12">
        <f t="shared" si="2"/>
        <v>1988</v>
      </c>
      <c r="J12" s="26">
        <f t="shared" ca="1" si="3"/>
        <v>37.931565477729613</v>
      </c>
      <c r="K12" s="10">
        <v>42451</v>
      </c>
      <c r="L12" s="27">
        <f t="shared" ca="1" si="4"/>
        <v>10</v>
      </c>
      <c r="M12" s="10">
        <v>43808</v>
      </c>
      <c r="N12" s="10">
        <f>WORKDAY(EDATE('HR Performance Reviews'!M12,12)-1,1)</f>
        <v>44174</v>
      </c>
      <c r="O12" s="10">
        <f t="shared" si="5"/>
        <v>44166</v>
      </c>
    </row>
    <row r="13" spans="1:15" ht="14.4" x14ac:dyDescent="0.3">
      <c r="A13" s="4" t="s">
        <v>86</v>
      </c>
      <c r="B13" s="4" t="s">
        <v>87</v>
      </c>
      <c r="C13" s="4" t="s">
        <v>88</v>
      </c>
      <c r="D13" s="17" t="s">
        <v>89</v>
      </c>
      <c r="E13" s="17" t="s">
        <v>69</v>
      </c>
      <c r="F13" s="18">
        <f t="shared" si="0"/>
        <v>8</v>
      </c>
      <c r="G13" s="19">
        <v>34574</v>
      </c>
      <c r="H13" t="str">
        <f t="shared" si="1"/>
        <v>August</v>
      </c>
      <c r="I13">
        <f t="shared" si="2"/>
        <v>1994</v>
      </c>
      <c r="J13" s="26">
        <f t="shared" ca="1" si="3"/>
        <v>32.113632555073899</v>
      </c>
      <c r="K13" s="10">
        <v>43497</v>
      </c>
      <c r="L13" s="27">
        <f t="shared" ca="1" si="4"/>
        <v>7</v>
      </c>
      <c r="M13" s="10">
        <v>43734</v>
      </c>
      <c r="N13" s="10">
        <f>WORKDAY(EDATE('HR Performance Reviews'!M13,12)-1,1)</f>
        <v>44102</v>
      </c>
      <c r="O13" s="10">
        <f t="shared" si="5"/>
        <v>44075</v>
      </c>
    </row>
    <row r="14" spans="1:15" ht="14.4" x14ac:dyDescent="0.3">
      <c r="A14" s="4" t="s">
        <v>90</v>
      </c>
      <c r="B14" s="4" t="s">
        <v>91</v>
      </c>
      <c r="C14" s="4" t="s">
        <v>92</v>
      </c>
      <c r="D14" s="17" t="s">
        <v>93</v>
      </c>
      <c r="E14" s="17" t="s">
        <v>60</v>
      </c>
      <c r="F14" s="18">
        <f t="shared" si="0"/>
        <v>4</v>
      </c>
      <c r="G14" s="19">
        <v>27864</v>
      </c>
      <c r="H14" t="str">
        <f t="shared" si="1"/>
        <v>April</v>
      </c>
      <c r="I14">
        <f t="shared" si="2"/>
        <v>1976</v>
      </c>
      <c r="J14" s="26">
        <f t="shared" ca="1" si="3"/>
        <v>50.484611336730296</v>
      </c>
      <c r="K14" s="10">
        <v>41787</v>
      </c>
      <c r="L14" s="27">
        <f t="shared" ca="1" si="4"/>
        <v>12</v>
      </c>
      <c r="M14" s="10">
        <v>44022</v>
      </c>
      <c r="N14" s="10">
        <f>WORKDAY(EDATE('HR Performance Reviews'!M14,12)-1,1)</f>
        <v>44389</v>
      </c>
      <c r="O14" s="10">
        <f t="shared" si="5"/>
        <v>44378</v>
      </c>
    </row>
    <row r="15" spans="1:15" ht="14.4" x14ac:dyDescent="0.3">
      <c r="A15" s="4" t="s">
        <v>94</v>
      </c>
      <c r="B15" s="4" t="s">
        <v>95</v>
      </c>
      <c r="C15" s="4" t="s">
        <v>96</v>
      </c>
      <c r="D15" s="17" t="s">
        <v>54</v>
      </c>
      <c r="E15" s="17" t="s">
        <v>64</v>
      </c>
      <c r="F15" s="18">
        <f t="shared" si="0"/>
        <v>1</v>
      </c>
      <c r="G15" s="19">
        <v>32296</v>
      </c>
      <c r="H15" t="str">
        <f t="shared" si="1"/>
        <v>June</v>
      </c>
      <c r="I15">
        <f t="shared" si="2"/>
        <v>1988</v>
      </c>
      <c r="J15" s="26">
        <f t="shared" ca="1" si="3"/>
        <v>38.350456648160822</v>
      </c>
      <c r="K15" s="10">
        <v>40595</v>
      </c>
      <c r="L15" s="27">
        <f t="shared" ca="1" si="4"/>
        <v>15</v>
      </c>
      <c r="M15" s="10">
        <v>44040</v>
      </c>
      <c r="N15" s="10">
        <f>WORKDAY(EDATE('HR Performance Reviews'!M15,12)-1,1)</f>
        <v>44405</v>
      </c>
      <c r="O15" s="10">
        <f t="shared" si="5"/>
        <v>44378</v>
      </c>
    </row>
    <row r="16" spans="1:15" ht="14.4" x14ac:dyDescent="0.3">
      <c r="A16" s="4" t="s">
        <v>97</v>
      </c>
      <c r="B16" s="4" t="s">
        <v>98</v>
      </c>
      <c r="C16" s="4" t="s">
        <v>99</v>
      </c>
      <c r="D16" s="17" t="s">
        <v>68</v>
      </c>
      <c r="E16" s="17" t="s">
        <v>60</v>
      </c>
      <c r="F16" s="18">
        <f t="shared" si="0"/>
        <v>4</v>
      </c>
      <c r="G16" s="19">
        <v>25204</v>
      </c>
      <c r="H16" t="str">
        <f t="shared" si="1"/>
        <v>January</v>
      </c>
      <c r="I16">
        <f t="shared" si="2"/>
        <v>1969</v>
      </c>
      <c r="J16" s="26">
        <f t="shared" ca="1" si="3"/>
        <v>57.767294430501686</v>
      </c>
      <c r="K16" s="10">
        <v>40994</v>
      </c>
      <c r="L16" s="27">
        <f t="shared" ca="1" si="4"/>
        <v>14</v>
      </c>
      <c r="M16" s="10">
        <v>43791</v>
      </c>
      <c r="N16" s="10">
        <f>WORKDAY(EDATE('HR Performance Reviews'!M16,12)-1,1)</f>
        <v>44158</v>
      </c>
      <c r="O16" s="10">
        <f t="shared" si="5"/>
        <v>44137</v>
      </c>
    </row>
    <row r="17" spans="1:15" ht="14.4" x14ac:dyDescent="0.3">
      <c r="A17" s="4" t="s">
        <v>100</v>
      </c>
      <c r="B17" s="4" t="s">
        <v>101</v>
      </c>
      <c r="C17" s="4" t="s">
        <v>102</v>
      </c>
      <c r="D17" s="17" t="s">
        <v>103</v>
      </c>
      <c r="E17" s="17" t="s">
        <v>69</v>
      </c>
      <c r="F17" s="18">
        <f t="shared" si="0"/>
        <v>8</v>
      </c>
      <c r="G17" s="19">
        <v>35919</v>
      </c>
      <c r="H17" t="str">
        <f t="shared" si="1"/>
        <v>May</v>
      </c>
      <c r="I17">
        <f t="shared" si="2"/>
        <v>1998</v>
      </c>
      <c r="J17" s="26">
        <f t="shared" ca="1" si="3"/>
        <v>28.431223246381219</v>
      </c>
      <c r="K17" s="10">
        <v>40220</v>
      </c>
      <c r="L17" s="27">
        <f t="shared" ca="1" si="4"/>
        <v>16</v>
      </c>
      <c r="M17" s="10">
        <v>44078</v>
      </c>
      <c r="N17" s="10">
        <f>WORKDAY(EDATE('HR Performance Reviews'!M17,12)-1,1)</f>
        <v>44445</v>
      </c>
      <c r="O17" s="10">
        <f t="shared" si="5"/>
        <v>44440</v>
      </c>
    </row>
    <row r="18" spans="1:15" ht="14.4" x14ac:dyDescent="0.3">
      <c r="A18" s="4" t="s">
        <v>104</v>
      </c>
      <c r="B18" s="4" t="s">
        <v>105</v>
      </c>
      <c r="C18" s="4" t="s">
        <v>106</v>
      </c>
      <c r="D18" s="17" t="s">
        <v>103</v>
      </c>
      <c r="E18" s="17" t="s">
        <v>81</v>
      </c>
      <c r="F18" s="18">
        <f t="shared" si="0"/>
        <v>6</v>
      </c>
      <c r="G18" s="19">
        <v>22993</v>
      </c>
      <c r="H18" t="str">
        <f t="shared" si="1"/>
        <v>December</v>
      </c>
      <c r="I18">
        <f t="shared" si="2"/>
        <v>1962</v>
      </c>
      <c r="J18" s="26">
        <f t="shared" ca="1" si="3"/>
        <v>63.82068252085076</v>
      </c>
      <c r="K18" s="10">
        <v>40601</v>
      </c>
      <c r="L18" s="27">
        <f t="shared" ca="1" si="4"/>
        <v>15</v>
      </c>
      <c r="M18" s="10">
        <v>43811</v>
      </c>
      <c r="N18" s="10">
        <f>WORKDAY(EDATE('HR Performance Reviews'!M18,12)-1,1)</f>
        <v>44179</v>
      </c>
      <c r="O18" s="10">
        <f t="shared" si="5"/>
        <v>44166</v>
      </c>
    </row>
    <row r="19" spans="1:15" ht="14.4" x14ac:dyDescent="0.3">
      <c r="A19" s="4" t="s">
        <v>107</v>
      </c>
      <c r="B19" s="4" t="s">
        <v>108</v>
      </c>
      <c r="C19" s="4" t="s">
        <v>109</v>
      </c>
      <c r="D19" s="17" t="s">
        <v>76</v>
      </c>
      <c r="E19" s="17" t="s">
        <v>69</v>
      </c>
      <c r="F19" s="18">
        <f t="shared" si="0"/>
        <v>8</v>
      </c>
      <c r="G19" s="19">
        <v>20760</v>
      </c>
      <c r="H19" t="str">
        <f t="shared" si="1"/>
        <v>November</v>
      </c>
      <c r="I19">
        <f t="shared" si="2"/>
        <v>1956</v>
      </c>
      <c r="J19" s="26">
        <f t="shared" ca="1" si="3"/>
        <v>69.934303328516748</v>
      </c>
      <c r="K19" s="10">
        <v>41989</v>
      </c>
      <c r="L19" s="27">
        <f t="shared" ca="1" si="4"/>
        <v>11</v>
      </c>
      <c r="M19" s="10">
        <v>43905</v>
      </c>
      <c r="N19" s="10">
        <f>WORKDAY(EDATE('HR Performance Reviews'!M19,12)-1,1)</f>
        <v>44270</v>
      </c>
      <c r="O19" s="10">
        <f t="shared" si="5"/>
        <v>44256</v>
      </c>
    </row>
    <row r="20" spans="1:15" ht="14.4" x14ac:dyDescent="0.3">
      <c r="A20" s="4" t="s">
        <v>110</v>
      </c>
      <c r="B20" s="4" t="s">
        <v>111</v>
      </c>
      <c r="C20" s="4" t="s">
        <v>112</v>
      </c>
      <c r="D20" s="17" t="s">
        <v>59</v>
      </c>
      <c r="E20" s="17" t="s">
        <v>69</v>
      </c>
      <c r="F20" s="18">
        <f t="shared" si="0"/>
        <v>8</v>
      </c>
      <c r="G20" s="19">
        <v>29864</v>
      </c>
      <c r="H20" t="str">
        <f t="shared" si="1"/>
        <v>October</v>
      </c>
      <c r="I20">
        <f t="shared" si="2"/>
        <v>1981</v>
      </c>
      <c r="J20" s="26">
        <f t="shared" ca="1" si="3"/>
        <v>45.008909762466097</v>
      </c>
      <c r="K20" s="10">
        <v>43841</v>
      </c>
      <c r="L20" s="27">
        <f t="shared" ca="1" si="4"/>
        <v>6</v>
      </c>
      <c r="M20" s="10">
        <v>44020</v>
      </c>
      <c r="N20" s="10">
        <f>WORKDAY(EDATE('HR Performance Reviews'!M20,12)-1,1)</f>
        <v>44385</v>
      </c>
      <c r="O20" s="10">
        <f t="shared" si="5"/>
        <v>44378</v>
      </c>
    </row>
    <row r="21" spans="1:15" ht="15.75" customHeight="1" x14ac:dyDescent="0.3">
      <c r="A21" s="4" t="s">
        <v>113</v>
      </c>
      <c r="B21" s="4" t="s">
        <v>114</v>
      </c>
      <c r="C21" s="4" t="s">
        <v>115</v>
      </c>
      <c r="D21" s="17" t="s">
        <v>59</v>
      </c>
      <c r="E21" s="17" t="s">
        <v>69</v>
      </c>
      <c r="F21" s="18">
        <f t="shared" si="0"/>
        <v>8</v>
      </c>
      <c r="G21" s="19">
        <v>34104</v>
      </c>
      <c r="H21" t="str">
        <f t="shared" si="1"/>
        <v>May</v>
      </c>
      <c r="I21">
        <f t="shared" si="2"/>
        <v>1993</v>
      </c>
      <c r="J21" s="26">
        <f t="shared" ca="1" si="3"/>
        <v>33.400422425025987</v>
      </c>
      <c r="K21" s="10">
        <v>41401</v>
      </c>
      <c r="L21" s="27">
        <f t="shared" ca="1" si="4"/>
        <v>13</v>
      </c>
      <c r="M21" s="10">
        <v>43841</v>
      </c>
      <c r="N21" s="10">
        <f>WORKDAY(EDATE('HR Performance Reviews'!M21,12)-1,1)</f>
        <v>44207</v>
      </c>
      <c r="O21" s="10">
        <f t="shared" si="5"/>
        <v>44197</v>
      </c>
    </row>
    <row r="22" spans="1:15" ht="15.75" customHeight="1" x14ac:dyDescent="0.3">
      <c r="A22" s="4" t="s">
        <v>116</v>
      </c>
      <c r="B22" s="4" t="s">
        <v>117</v>
      </c>
      <c r="C22" s="4" t="s">
        <v>118</v>
      </c>
      <c r="D22" s="17" t="s">
        <v>59</v>
      </c>
      <c r="E22" s="17" t="s">
        <v>85</v>
      </c>
      <c r="F22" s="18">
        <f t="shared" si="0"/>
        <v>5</v>
      </c>
      <c r="G22" s="19">
        <v>34802</v>
      </c>
      <c r="H22" t="str">
        <f t="shared" si="1"/>
        <v>April</v>
      </c>
      <c r="I22">
        <f t="shared" si="2"/>
        <v>1995</v>
      </c>
      <c r="J22" s="26">
        <f t="shared" ca="1" si="3"/>
        <v>31.489402575607777</v>
      </c>
      <c r="K22" s="10">
        <v>42242</v>
      </c>
      <c r="L22" s="27">
        <f t="shared" ca="1" si="4"/>
        <v>11</v>
      </c>
      <c r="M22" s="10">
        <v>43822</v>
      </c>
      <c r="N22" s="10">
        <f>WORKDAY(EDATE('HR Performance Reviews'!M22,12)-1,1)</f>
        <v>44188</v>
      </c>
      <c r="O22" s="10">
        <f t="shared" si="5"/>
        <v>44166</v>
      </c>
    </row>
    <row r="23" spans="1:15" ht="15.75" customHeight="1" x14ac:dyDescent="0.3">
      <c r="A23" s="4" t="s">
        <v>119</v>
      </c>
      <c r="B23" s="4" t="s">
        <v>120</v>
      </c>
      <c r="C23" s="4" t="s">
        <v>121</v>
      </c>
      <c r="D23" s="17" t="s">
        <v>103</v>
      </c>
      <c r="E23" s="17" t="s">
        <v>122</v>
      </c>
      <c r="F23" s="18">
        <f t="shared" si="0"/>
        <v>9</v>
      </c>
      <c r="G23" s="19">
        <v>30009</v>
      </c>
      <c r="H23" t="str">
        <f t="shared" si="1"/>
        <v>February</v>
      </c>
      <c r="I23">
        <f t="shared" si="2"/>
        <v>1982</v>
      </c>
      <c r="J23" s="26">
        <f t="shared" ca="1" si="3"/>
        <v>44.611921398331937</v>
      </c>
      <c r="K23" s="10">
        <v>41210</v>
      </c>
      <c r="L23" s="27">
        <f t="shared" ca="1" si="4"/>
        <v>13</v>
      </c>
      <c r="M23" s="10">
        <v>43858</v>
      </c>
      <c r="N23" s="10">
        <f>WORKDAY(EDATE('HR Performance Reviews'!M23,12)-1,1)</f>
        <v>44224</v>
      </c>
      <c r="O23" s="10">
        <f t="shared" si="5"/>
        <v>44197</v>
      </c>
    </row>
    <row r="24" spans="1:15" ht="15.75" customHeight="1" x14ac:dyDescent="0.3">
      <c r="A24" s="4" t="s">
        <v>123</v>
      </c>
      <c r="B24" s="4" t="s">
        <v>124</v>
      </c>
      <c r="C24" s="4" t="s">
        <v>125</v>
      </c>
      <c r="D24" s="4" t="s">
        <v>103</v>
      </c>
      <c r="E24" s="17" t="s">
        <v>122</v>
      </c>
      <c r="F24" s="18">
        <f t="shared" si="0"/>
        <v>9</v>
      </c>
      <c r="G24" s="19">
        <v>32897</v>
      </c>
      <c r="H24" t="str">
        <f t="shared" si="1"/>
        <v>January</v>
      </c>
      <c r="I24">
        <f t="shared" si="2"/>
        <v>1990</v>
      </c>
      <c r="J24" s="26">
        <f t="shared" ca="1" si="3"/>
        <v>36.705008325094433</v>
      </c>
      <c r="K24" s="10">
        <v>41175</v>
      </c>
      <c r="L24" s="27">
        <f t="shared" ca="1" si="4"/>
        <v>14</v>
      </c>
      <c r="M24" s="10">
        <v>43752</v>
      </c>
      <c r="N24" s="10">
        <f>WORKDAY(EDATE('HR Performance Reviews'!M24,12)-1,1)</f>
        <v>44118</v>
      </c>
      <c r="O24" s="10">
        <f t="shared" si="5"/>
        <v>44105</v>
      </c>
    </row>
    <row r="25" spans="1:15" ht="15.75" customHeight="1" x14ac:dyDescent="0.3">
      <c r="A25" s="4" t="s">
        <v>126</v>
      </c>
      <c r="B25" s="4" t="s">
        <v>127</v>
      </c>
      <c r="C25" s="4" t="s">
        <v>128</v>
      </c>
      <c r="D25" s="17" t="s">
        <v>76</v>
      </c>
      <c r="E25" s="17" t="s">
        <v>81</v>
      </c>
      <c r="F25" s="18">
        <f t="shared" si="0"/>
        <v>6</v>
      </c>
      <c r="G25" s="19">
        <v>29195</v>
      </c>
      <c r="H25" t="str">
        <f t="shared" si="1"/>
        <v>December</v>
      </c>
      <c r="I25">
        <f t="shared" si="2"/>
        <v>1979</v>
      </c>
      <c r="J25" s="26">
        <f t="shared" ca="1" si="3"/>
        <v>46.84053193905747</v>
      </c>
      <c r="K25" s="10">
        <v>42228</v>
      </c>
      <c r="L25" s="27">
        <f t="shared" ca="1" si="4"/>
        <v>11</v>
      </c>
      <c r="M25" s="10">
        <v>43854</v>
      </c>
      <c r="N25" s="10">
        <f>WORKDAY(EDATE('HR Performance Reviews'!M25,12)-1,1)</f>
        <v>44221</v>
      </c>
      <c r="O25" s="10">
        <f t="shared" si="5"/>
        <v>44197</v>
      </c>
    </row>
    <row r="26" spans="1:15" ht="15.75" customHeight="1" x14ac:dyDescent="0.3">
      <c r="A26" s="4" t="s">
        <v>129</v>
      </c>
      <c r="B26" s="4" t="s">
        <v>130</v>
      </c>
      <c r="C26" s="4" t="s">
        <v>131</v>
      </c>
      <c r="D26" s="17" t="s">
        <v>103</v>
      </c>
      <c r="E26" s="17" t="s">
        <v>69</v>
      </c>
      <c r="F26" s="18">
        <f t="shared" si="0"/>
        <v>8</v>
      </c>
      <c r="G26" s="19">
        <v>27076</v>
      </c>
      <c r="H26" t="str">
        <f t="shared" si="1"/>
        <v>February</v>
      </c>
      <c r="I26">
        <f t="shared" si="2"/>
        <v>1974</v>
      </c>
      <c r="J26" s="26">
        <f t="shared" ca="1" si="3"/>
        <v>52.642037756990391</v>
      </c>
      <c r="K26" s="10">
        <v>42371</v>
      </c>
      <c r="L26" s="27">
        <f t="shared" ca="1" si="4"/>
        <v>10</v>
      </c>
      <c r="M26" s="10">
        <v>43750</v>
      </c>
      <c r="N26" s="10">
        <f>WORKDAY(EDATE('HR Performance Reviews'!M26,12)-1,1)</f>
        <v>44116</v>
      </c>
      <c r="O26" s="10">
        <f t="shared" si="5"/>
        <v>44105</v>
      </c>
    </row>
    <row r="27" spans="1:15" ht="15.75" customHeight="1" x14ac:dyDescent="0.3">
      <c r="A27" s="4" t="s">
        <v>132</v>
      </c>
      <c r="B27" s="4" t="s">
        <v>133</v>
      </c>
      <c r="C27" s="4" t="s">
        <v>134</v>
      </c>
      <c r="D27" s="17" t="s">
        <v>76</v>
      </c>
      <c r="E27" s="17" t="s">
        <v>55</v>
      </c>
      <c r="F27" s="18">
        <f t="shared" si="0"/>
        <v>7</v>
      </c>
      <c r="G27" s="19">
        <v>34459</v>
      </c>
      <c r="H27" t="str">
        <f t="shared" si="1"/>
        <v>May</v>
      </c>
      <c r="I27">
        <f t="shared" si="2"/>
        <v>1994</v>
      </c>
      <c r="J27" s="26">
        <f t="shared" ca="1" si="3"/>
        <v>32.428485395594087</v>
      </c>
      <c r="K27" s="10">
        <v>42676</v>
      </c>
      <c r="L27" s="27">
        <f t="shared" ca="1" si="4"/>
        <v>9</v>
      </c>
      <c r="M27" s="10">
        <v>44008</v>
      </c>
      <c r="N27" s="10">
        <f>WORKDAY(EDATE('HR Performance Reviews'!M27,12)-1,1)</f>
        <v>44375</v>
      </c>
      <c r="O27" s="10">
        <f t="shared" si="5"/>
        <v>44348</v>
      </c>
    </row>
    <row r="28" spans="1:15" ht="15.75" customHeight="1" x14ac:dyDescent="0.3">
      <c r="A28" s="4" t="s">
        <v>135</v>
      </c>
      <c r="B28" s="4" t="s">
        <v>136</v>
      </c>
      <c r="C28" s="4" t="s">
        <v>137</v>
      </c>
      <c r="D28" s="17" t="s">
        <v>54</v>
      </c>
      <c r="E28" s="17" t="s">
        <v>55</v>
      </c>
      <c r="F28" s="18">
        <f t="shared" si="0"/>
        <v>7</v>
      </c>
      <c r="G28" s="19">
        <v>27821</v>
      </c>
      <c r="H28" t="str">
        <f t="shared" si="1"/>
        <v>March</v>
      </c>
      <c r="I28">
        <f t="shared" si="2"/>
        <v>1976</v>
      </c>
      <c r="J28" s="26">
        <f t="shared" ca="1" si="3"/>
        <v>50.602338920576976</v>
      </c>
      <c r="K28" s="10">
        <v>42200</v>
      </c>
      <c r="L28" s="27">
        <f t="shared" ca="1" si="4"/>
        <v>11</v>
      </c>
      <c r="M28" s="10">
        <v>43949</v>
      </c>
      <c r="N28" s="10">
        <f>WORKDAY(EDATE('HR Performance Reviews'!M28,12)-1,1)</f>
        <v>44314</v>
      </c>
      <c r="O28" s="10">
        <f t="shared" si="5"/>
        <v>44287</v>
      </c>
    </row>
    <row r="29" spans="1:15" ht="15.75" customHeight="1" x14ac:dyDescent="0.3">
      <c r="A29" s="4" t="s">
        <v>138</v>
      </c>
      <c r="B29" s="4" t="s">
        <v>139</v>
      </c>
      <c r="C29" s="4" t="s">
        <v>140</v>
      </c>
      <c r="D29" s="17" t="s">
        <v>59</v>
      </c>
      <c r="E29" s="17" t="s">
        <v>64</v>
      </c>
      <c r="F29" s="18">
        <f t="shared" si="0"/>
        <v>1</v>
      </c>
      <c r="G29" s="19">
        <v>29976</v>
      </c>
      <c r="H29" t="str">
        <f t="shared" si="1"/>
        <v>January</v>
      </c>
      <c r="I29">
        <f t="shared" si="2"/>
        <v>1982</v>
      </c>
      <c r="J29" s="26">
        <f t="shared" ca="1" si="3"/>
        <v>44.702270474307298</v>
      </c>
      <c r="K29" s="10">
        <v>42762</v>
      </c>
      <c r="L29" s="27">
        <f t="shared" ca="1" si="4"/>
        <v>9</v>
      </c>
      <c r="M29" s="10">
        <v>43904</v>
      </c>
      <c r="N29" s="10">
        <f>WORKDAY(EDATE('HR Performance Reviews'!M29,12)-1,1)</f>
        <v>44270</v>
      </c>
      <c r="O29" s="10">
        <f t="shared" si="5"/>
        <v>44256</v>
      </c>
    </row>
    <row r="30" spans="1:15" ht="15.75" customHeight="1" x14ac:dyDescent="0.3">
      <c r="A30" s="4" t="s">
        <v>141</v>
      </c>
      <c r="B30" s="4" t="s">
        <v>142</v>
      </c>
      <c r="C30" s="4" t="s">
        <v>143</v>
      </c>
      <c r="D30" s="17" t="s">
        <v>54</v>
      </c>
      <c r="E30" s="17" t="s">
        <v>81</v>
      </c>
      <c r="F30" s="18">
        <f t="shared" si="0"/>
        <v>6</v>
      </c>
      <c r="G30" s="19">
        <v>25289</v>
      </c>
      <c r="H30" t="str">
        <f t="shared" si="1"/>
        <v>March</v>
      </c>
      <c r="I30">
        <f t="shared" si="2"/>
        <v>1969</v>
      </c>
      <c r="J30" s="26">
        <f t="shared" ca="1" si="3"/>
        <v>57.534577113595454</v>
      </c>
      <c r="K30" s="10">
        <v>42624</v>
      </c>
      <c r="L30" s="27">
        <f t="shared" ca="1" si="4"/>
        <v>10</v>
      </c>
      <c r="M30" s="10">
        <v>44022</v>
      </c>
      <c r="N30" s="10">
        <f>WORKDAY(EDATE('HR Performance Reviews'!M30,12)-1,1)</f>
        <v>44389</v>
      </c>
      <c r="O30" s="10">
        <f t="shared" si="5"/>
        <v>44378</v>
      </c>
    </row>
    <row r="31" spans="1:15" ht="15.75" customHeight="1" x14ac:dyDescent="0.3">
      <c r="A31" s="4" t="s">
        <v>144</v>
      </c>
      <c r="B31" s="4" t="s">
        <v>145</v>
      </c>
      <c r="C31" s="4" t="s">
        <v>146</v>
      </c>
      <c r="D31" s="17" t="s">
        <v>54</v>
      </c>
      <c r="E31" s="17" t="s">
        <v>69</v>
      </c>
      <c r="F31" s="18">
        <f t="shared" si="0"/>
        <v>8</v>
      </c>
      <c r="G31" s="19">
        <v>27985</v>
      </c>
      <c r="H31" t="str">
        <f t="shared" si="1"/>
        <v>August</v>
      </c>
      <c r="I31">
        <f t="shared" si="2"/>
        <v>1976</v>
      </c>
      <c r="J31" s="26">
        <f t="shared" ca="1" si="3"/>
        <v>50.153331391487313</v>
      </c>
      <c r="K31" s="10">
        <v>42120</v>
      </c>
      <c r="L31" s="27">
        <f t="shared" ca="1" si="4"/>
        <v>11</v>
      </c>
      <c r="M31" s="10">
        <v>43814</v>
      </c>
      <c r="N31" s="10">
        <f>WORKDAY(EDATE('HR Performance Reviews'!M31,12)-1,1)</f>
        <v>44180</v>
      </c>
      <c r="O31" s="10">
        <f t="shared" si="5"/>
        <v>44166</v>
      </c>
    </row>
    <row r="32" spans="1:15" ht="15.75" customHeight="1" x14ac:dyDescent="0.3">
      <c r="A32" s="4" t="s">
        <v>147</v>
      </c>
      <c r="B32" s="4" t="s">
        <v>148</v>
      </c>
      <c r="C32" s="4" t="s">
        <v>149</v>
      </c>
      <c r="D32" s="17" t="s">
        <v>54</v>
      </c>
      <c r="E32" s="17" t="s">
        <v>77</v>
      </c>
      <c r="F32" s="18">
        <f t="shared" si="0"/>
        <v>3</v>
      </c>
      <c r="G32" s="19">
        <v>30924</v>
      </c>
      <c r="H32" t="str">
        <f t="shared" si="1"/>
        <v>August</v>
      </c>
      <c r="I32">
        <f t="shared" si="2"/>
        <v>1984</v>
      </c>
      <c r="J32" s="26">
        <f t="shared" ca="1" si="3"/>
        <v>42.106787928106066</v>
      </c>
      <c r="K32" s="10">
        <v>42721</v>
      </c>
      <c r="L32" s="27">
        <f t="shared" ca="1" si="4"/>
        <v>9</v>
      </c>
      <c r="M32" s="10">
        <v>43933</v>
      </c>
      <c r="N32" s="10">
        <f>WORKDAY(EDATE('HR Performance Reviews'!M32,12)-1,1)</f>
        <v>44298</v>
      </c>
      <c r="O32" s="10">
        <f t="shared" si="5"/>
        <v>44287</v>
      </c>
    </row>
    <row r="33" spans="1:15" ht="15.75" customHeight="1" x14ac:dyDescent="0.3">
      <c r="A33" s="4" t="s">
        <v>150</v>
      </c>
      <c r="B33" s="4" t="s">
        <v>151</v>
      </c>
      <c r="C33" s="4" t="s">
        <v>152</v>
      </c>
      <c r="D33" s="17" t="s">
        <v>54</v>
      </c>
      <c r="E33" s="17" t="s">
        <v>85</v>
      </c>
      <c r="F33" s="18">
        <f t="shared" si="0"/>
        <v>5</v>
      </c>
      <c r="G33" s="19">
        <v>24264</v>
      </c>
      <c r="H33" t="str">
        <f t="shared" si="1"/>
        <v>June</v>
      </c>
      <c r="I33">
        <f t="shared" si="2"/>
        <v>1966</v>
      </c>
      <c r="J33" s="26">
        <f t="shared" ca="1" si="3"/>
        <v>60.340874170405861</v>
      </c>
      <c r="K33" s="10">
        <v>40890</v>
      </c>
      <c r="L33" s="27">
        <f t="shared" ca="1" si="4"/>
        <v>14</v>
      </c>
      <c r="M33" s="10">
        <v>43971</v>
      </c>
      <c r="N33" s="10">
        <f>WORKDAY(EDATE('HR Performance Reviews'!M33,12)-1,1)</f>
        <v>44336</v>
      </c>
      <c r="O33" s="10">
        <f t="shared" si="5"/>
        <v>44319</v>
      </c>
    </row>
    <row r="34" spans="1:15" ht="15.75" customHeight="1" x14ac:dyDescent="0.3">
      <c r="A34" s="4" t="s">
        <v>153</v>
      </c>
      <c r="B34" s="4" t="s">
        <v>154</v>
      </c>
      <c r="C34" s="4" t="s">
        <v>155</v>
      </c>
      <c r="D34" s="17" t="s">
        <v>68</v>
      </c>
      <c r="E34" s="17" t="s">
        <v>122</v>
      </c>
      <c r="F34" s="18">
        <f t="shared" si="0"/>
        <v>9</v>
      </c>
      <c r="G34" s="19">
        <v>23486</v>
      </c>
      <c r="H34" t="str">
        <f t="shared" si="1"/>
        <v>April</v>
      </c>
      <c r="I34">
        <f t="shared" si="2"/>
        <v>1964</v>
      </c>
      <c r="J34" s="26">
        <f t="shared" ca="1" si="3"/>
        <v>62.470922082794637</v>
      </c>
      <c r="K34" s="10">
        <v>42691</v>
      </c>
      <c r="L34" s="27">
        <f t="shared" ca="1" si="4"/>
        <v>9</v>
      </c>
      <c r="M34" s="10">
        <v>43883</v>
      </c>
      <c r="N34" s="10">
        <f>WORKDAY(EDATE('HR Performance Reviews'!M34,12)-1,1)</f>
        <v>44249</v>
      </c>
      <c r="O34" s="10">
        <f t="shared" si="5"/>
        <v>44228</v>
      </c>
    </row>
    <row r="35" spans="1:15" ht="15.75" customHeight="1" x14ac:dyDescent="0.3">
      <c r="A35" s="4" t="s">
        <v>156</v>
      </c>
      <c r="B35" s="4" t="s">
        <v>157</v>
      </c>
      <c r="C35" s="4" t="s">
        <v>158</v>
      </c>
      <c r="D35" s="17" t="s">
        <v>54</v>
      </c>
      <c r="E35" s="17" t="s">
        <v>64</v>
      </c>
      <c r="F35" s="18">
        <f t="shared" si="0"/>
        <v>1</v>
      </c>
      <c r="G35" s="19">
        <v>20196</v>
      </c>
      <c r="H35" t="str">
        <f t="shared" si="1"/>
        <v>April</v>
      </c>
      <c r="I35">
        <f t="shared" si="2"/>
        <v>1955</v>
      </c>
      <c r="J35" s="26">
        <f t="shared" ca="1" si="3"/>
        <v>71.478451172459245</v>
      </c>
      <c r="K35" s="10">
        <v>42324</v>
      </c>
      <c r="L35" s="27">
        <f t="shared" ca="1" si="4"/>
        <v>10</v>
      </c>
      <c r="M35" s="10">
        <v>43870</v>
      </c>
      <c r="N35" s="10">
        <f>WORKDAY(EDATE('HR Performance Reviews'!M35,12)-1,1)</f>
        <v>44236</v>
      </c>
      <c r="O35" s="10">
        <f t="shared" si="5"/>
        <v>44228</v>
      </c>
    </row>
    <row r="36" spans="1:15" ht="15.75" customHeight="1" x14ac:dyDescent="0.3">
      <c r="A36" s="4" t="s">
        <v>159</v>
      </c>
      <c r="B36" s="4" t="s">
        <v>160</v>
      </c>
      <c r="C36" s="4" t="s">
        <v>161</v>
      </c>
      <c r="D36" s="17" t="s">
        <v>54</v>
      </c>
      <c r="E36" s="17" t="s">
        <v>81</v>
      </c>
      <c r="F36" s="18">
        <f t="shared" si="0"/>
        <v>6</v>
      </c>
      <c r="G36" s="19">
        <v>32181</v>
      </c>
      <c r="H36" t="str">
        <f t="shared" si="1"/>
        <v>February</v>
      </c>
      <c r="I36">
        <f t="shared" si="2"/>
        <v>1988</v>
      </c>
      <c r="J36" s="26">
        <f t="shared" ca="1" si="3"/>
        <v>38.665309488681018</v>
      </c>
      <c r="K36" s="10">
        <v>40713</v>
      </c>
      <c r="L36" s="27">
        <f t="shared" ca="1" si="4"/>
        <v>15</v>
      </c>
      <c r="M36" s="10">
        <v>43814</v>
      </c>
      <c r="N36" s="10">
        <f>WORKDAY(EDATE('HR Performance Reviews'!M36,12)-1,1)</f>
        <v>44180</v>
      </c>
      <c r="O36" s="10">
        <f t="shared" si="5"/>
        <v>44166</v>
      </c>
    </row>
    <row r="37" spans="1:15" ht="15.75" customHeight="1" x14ac:dyDescent="0.3">
      <c r="A37" s="4" t="s">
        <v>162</v>
      </c>
      <c r="B37" s="4" t="s">
        <v>163</v>
      </c>
      <c r="C37" s="4" t="s">
        <v>164</v>
      </c>
      <c r="D37" s="17" t="s">
        <v>54</v>
      </c>
      <c r="E37" s="17" t="s">
        <v>81</v>
      </c>
      <c r="F37" s="18">
        <f t="shared" si="0"/>
        <v>6</v>
      </c>
      <c r="G37" s="19">
        <v>22801</v>
      </c>
      <c r="H37" t="str">
        <f t="shared" si="1"/>
        <v>June</v>
      </c>
      <c r="I37">
        <f t="shared" si="2"/>
        <v>1962</v>
      </c>
      <c r="J37" s="26">
        <f t="shared" ca="1" si="3"/>
        <v>64.346349871980124</v>
      </c>
      <c r="K37" s="10">
        <v>42321</v>
      </c>
      <c r="L37" s="27">
        <f t="shared" ca="1" si="4"/>
        <v>10</v>
      </c>
      <c r="M37" s="10">
        <v>43940</v>
      </c>
      <c r="N37" s="10">
        <f>WORKDAY(EDATE('HR Performance Reviews'!M37,12)-1,1)</f>
        <v>44305</v>
      </c>
      <c r="O37" s="10">
        <f t="shared" si="5"/>
        <v>44287</v>
      </c>
    </row>
    <row r="38" spans="1:15" ht="15.75" customHeight="1" x14ac:dyDescent="0.3">
      <c r="A38" s="4" t="s">
        <v>165</v>
      </c>
      <c r="B38" s="4" t="s">
        <v>166</v>
      </c>
      <c r="C38" s="4" t="s">
        <v>167</v>
      </c>
      <c r="D38" s="17" t="s">
        <v>89</v>
      </c>
      <c r="E38" s="17" t="s">
        <v>64</v>
      </c>
      <c r="F38" s="18">
        <f t="shared" si="0"/>
        <v>1</v>
      </c>
      <c r="G38" s="19">
        <v>24388</v>
      </c>
      <c r="H38" t="str">
        <f t="shared" si="1"/>
        <v>October</v>
      </c>
      <c r="I38">
        <f t="shared" si="2"/>
        <v>1966</v>
      </c>
      <c r="J38" s="26">
        <f t="shared" ca="1" si="3"/>
        <v>60.001380672801481</v>
      </c>
      <c r="K38" s="10">
        <v>40188</v>
      </c>
      <c r="L38" s="27">
        <f t="shared" ca="1" si="4"/>
        <v>16</v>
      </c>
      <c r="M38" s="10">
        <v>43965</v>
      </c>
      <c r="N38" s="10">
        <f>WORKDAY(EDATE('HR Performance Reviews'!M38,12)-1,1)</f>
        <v>44330</v>
      </c>
      <c r="O38" s="10">
        <f t="shared" si="5"/>
        <v>44319</v>
      </c>
    </row>
    <row r="39" spans="1:15" ht="15.75" customHeight="1" x14ac:dyDescent="0.3">
      <c r="A39" s="4" t="s">
        <v>168</v>
      </c>
      <c r="B39" s="4" t="s">
        <v>169</v>
      </c>
      <c r="C39" s="4" t="s">
        <v>170</v>
      </c>
      <c r="D39" s="17" t="s">
        <v>54</v>
      </c>
      <c r="E39" s="17" t="s">
        <v>55</v>
      </c>
      <c r="F39" s="18">
        <f t="shared" si="0"/>
        <v>7</v>
      </c>
      <c r="G39" s="19">
        <v>31292</v>
      </c>
      <c r="H39" t="str">
        <f t="shared" si="1"/>
        <v>September</v>
      </c>
      <c r="I39">
        <f t="shared" si="2"/>
        <v>1985</v>
      </c>
      <c r="J39" s="26">
        <f t="shared" ca="1" si="3"/>
        <v>41.09925883844145</v>
      </c>
      <c r="K39" s="10">
        <v>42002</v>
      </c>
      <c r="L39" s="27">
        <f t="shared" ca="1" si="4"/>
        <v>11</v>
      </c>
      <c r="M39" s="10">
        <v>43721</v>
      </c>
      <c r="N39" s="10">
        <f>WORKDAY(EDATE('HR Performance Reviews'!M39,12)-1,1)</f>
        <v>44088</v>
      </c>
      <c r="O39" s="10">
        <f t="shared" si="5"/>
        <v>44075</v>
      </c>
    </row>
    <row r="40" spans="1:15" ht="15.75" customHeight="1" x14ac:dyDescent="0.3">
      <c r="F40" s="8"/>
    </row>
    <row r="41" spans="1:15" ht="15.75" customHeight="1" x14ac:dyDescent="0.3">
      <c r="F41" s="8"/>
    </row>
    <row r="42" spans="1:15" ht="15.75" customHeight="1" x14ac:dyDescent="0.3">
      <c r="F42" s="8"/>
    </row>
    <row r="43" spans="1:15" ht="15.75" customHeight="1" x14ac:dyDescent="0.3">
      <c r="F43" s="8"/>
    </row>
    <row r="44" spans="1:15" ht="15.75" customHeight="1" x14ac:dyDescent="0.3">
      <c r="F44" s="8"/>
    </row>
    <row r="45" spans="1:15" ht="15.75" customHeight="1" x14ac:dyDescent="0.3">
      <c r="F45" s="8"/>
    </row>
    <row r="46" spans="1:15" ht="15.75" customHeight="1" x14ac:dyDescent="0.3">
      <c r="F46" s="8"/>
    </row>
    <row r="47" spans="1:15" ht="15.75" customHeight="1" x14ac:dyDescent="0.3">
      <c r="F47" s="8"/>
    </row>
    <row r="48" spans="1:15" ht="15.75" customHeight="1" x14ac:dyDescent="0.3">
      <c r="F48" s="8"/>
    </row>
    <row r="49" spans="6:6" ht="15.75" customHeight="1" x14ac:dyDescent="0.3">
      <c r="F49" s="8"/>
    </row>
    <row r="50" spans="6:6" ht="15.75" customHeight="1" x14ac:dyDescent="0.3">
      <c r="F50" s="8"/>
    </row>
    <row r="51" spans="6:6" ht="15.75" customHeight="1" x14ac:dyDescent="0.3">
      <c r="F51" s="8"/>
    </row>
    <row r="52" spans="6:6" ht="15.75" customHeight="1" x14ac:dyDescent="0.3">
      <c r="F52" s="8"/>
    </row>
    <row r="53" spans="6:6" ht="15.75" customHeight="1" x14ac:dyDescent="0.3">
      <c r="F53" s="8"/>
    </row>
    <row r="54" spans="6:6" ht="15.75" customHeight="1" x14ac:dyDescent="0.3">
      <c r="F54" s="8"/>
    </row>
    <row r="55" spans="6:6" ht="15.75" customHeight="1" x14ac:dyDescent="0.3">
      <c r="F55" s="8"/>
    </row>
    <row r="56" spans="6:6" ht="15.75" customHeight="1" x14ac:dyDescent="0.3">
      <c r="F56" s="8"/>
    </row>
    <row r="57" spans="6:6" ht="15.75" customHeight="1" x14ac:dyDescent="0.3">
      <c r="F57" s="8"/>
    </row>
    <row r="58" spans="6:6" ht="15.75" customHeight="1" x14ac:dyDescent="0.3">
      <c r="F58" s="8"/>
    </row>
    <row r="59" spans="6:6" ht="15.75" customHeight="1" x14ac:dyDescent="0.3">
      <c r="F59" s="8"/>
    </row>
    <row r="60" spans="6:6" ht="15.75" customHeight="1" x14ac:dyDescent="0.3">
      <c r="F60" s="8"/>
    </row>
    <row r="61" spans="6:6" ht="15.75" customHeight="1" x14ac:dyDescent="0.3">
      <c r="F61" s="8"/>
    </row>
    <row r="62" spans="6:6" ht="15.75" customHeight="1" x14ac:dyDescent="0.3">
      <c r="F62" s="8"/>
    </row>
    <row r="63" spans="6:6" ht="15.75" customHeight="1" x14ac:dyDescent="0.3">
      <c r="F63" s="8"/>
    </row>
    <row r="64" spans="6:6" ht="15.75" customHeight="1" x14ac:dyDescent="0.3">
      <c r="F64" s="8"/>
    </row>
    <row r="65" spans="6:6" ht="15.75" customHeight="1" x14ac:dyDescent="0.3">
      <c r="F65" s="8"/>
    </row>
    <row r="66" spans="6:6" ht="15.75" customHeight="1" x14ac:dyDescent="0.3">
      <c r="F66" s="8"/>
    </row>
    <row r="67" spans="6:6" ht="15.75" customHeight="1" x14ac:dyDescent="0.3">
      <c r="F67" s="8"/>
    </row>
    <row r="68" spans="6:6" ht="15.75" customHeight="1" x14ac:dyDescent="0.3">
      <c r="F68" s="8"/>
    </row>
    <row r="69" spans="6:6" ht="15.75" customHeight="1" x14ac:dyDescent="0.3">
      <c r="F69" s="8"/>
    </row>
    <row r="70" spans="6:6" ht="15.75" customHeight="1" x14ac:dyDescent="0.3">
      <c r="F70" s="8"/>
    </row>
    <row r="71" spans="6:6" ht="15.75" customHeight="1" x14ac:dyDescent="0.3">
      <c r="F71" s="8"/>
    </row>
    <row r="72" spans="6:6" ht="15.75" customHeight="1" x14ac:dyDescent="0.3">
      <c r="F72" s="8"/>
    </row>
    <row r="73" spans="6:6" ht="15.75" customHeight="1" x14ac:dyDescent="0.3">
      <c r="F73" s="8"/>
    </row>
    <row r="74" spans="6:6" ht="15.75" customHeight="1" x14ac:dyDescent="0.3">
      <c r="F74" s="8"/>
    </row>
    <row r="75" spans="6:6" ht="15.75" customHeight="1" x14ac:dyDescent="0.3">
      <c r="F75" s="8"/>
    </row>
    <row r="76" spans="6:6" ht="15.75" customHeight="1" x14ac:dyDescent="0.3">
      <c r="F76" s="8"/>
    </row>
    <row r="77" spans="6:6" ht="15.75" customHeight="1" x14ac:dyDescent="0.3">
      <c r="F77" s="8"/>
    </row>
    <row r="78" spans="6:6" ht="15.75" customHeight="1" x14ac:dyDescent="0.3">
      <c r="F78" s="8"/>
    </row>
    <row r="79" spans="6:6" ht="15.75" customHeight="1" x14ac:dyDescent="0.3">
      <c r="F79" s="8"/>
    </row>
    <row r="80" spans="6:6" ht="15.75" customHeight="1" x14ac:dyDescent="0.3">
      <c r="F80" s="8"/>
    </row>
    <row r="81" spans="6:6" ht="15.75" customHeight="1" x14ac:dyDescent="0.3">
      <c r="F81" s="8"/>
    </row>
    <row r="82" spans="6:6" ht="15.75" customHeight="1" x14ac:dyDescent="0.3">
      <c r="F82" s="8"/>
    </row>
    <row r="83" spans="6:6" ht="15.75" customHeight="1" x14ac:dyDescent="0.3">
      <c r="F83" s="8"/>
    </row>
    <row r="84" spans="6:6" ht="15.75" customHeight="1" x14ac:dyDescent="0.3">
      <c r="F84" s="8"/>
    </row>
    <row r="85" spans="6:6" ht="15.75" customHeight="1" x14ac:dyDescent="0.3">
      <c r="F85" s="8"/>
    </row>
    <row r="86" spans="6:6" ht="15.75" customHeight="1" x14ac:dyDescent="0.3">
      <c r="F86" s="8"/>
    </row>
    <row r="87" spans="6:6" ht="15.75" customHeight="1" x14ac:dyDescent="0.3">
      <c r="F87" s="8"/>
    </row>
    <row r="88" spans="6:6" ht="15.75" customHeight="1" x14ac:dyDescent="0.3">
      <c r="F88" s="8"/>
    </row>
    <row r="89" spans="6:6" ht="15.75" customHeight="1" x14ac:dyDescent="0.3">
      <c r="F89" s="8"/>
    </row>
    <row r="90" spans="6:6" ht="15.75" customHeight="1" x14ac:dyDescent="0.3">
      <c r="F90" s="8"/>
    </row>
    <row r="91" spans="6:6" ht="15.75" customHeight="1" x14ac:dyDescent="0.3">
      <c r="F91" s="8"/>
    </row>
    <row r="92" spans="6:6" ht="15.75" customHeight="1" x14ac:dyDescent="0.3">
      <c r="F92" s="8"/>
    </row>
    <row r="93" spans="6:6" ht="15.75" customHeight="1" x14ac:dyDescent="0.3">
      <c r="F93" s="8"/>
    </row>
    <row r="94" spans="6:6" ht="15.75" customHeight="1" x14ac:dyDescent="0.3">
      <c r="F94" s="8"/>
    </row>
    <row r="95" spans="6:6" ht="15.75" customHeight="1" x14ac:dyDescent="0.3">
      <c r="F95" s="8"/>
    </row>
    <row r="96" spans="6:6" ht="15.75" customHeight="1" x14ac:dyDescent="0.3">
      <c r="F96" s="8"/>
    </row>
    <row r="97" spans="6:6" ht="15.75" customHeight="1" x14ac:dyDescent="0.3">
      <c r="F97" s="8"/>
    </row>
    <row r="98" spans="6:6" ht="15.75" customHeight="1" x14ac:dyDescent="0.3">
      <c r="F98" s="8"/>
    </row>
    <row r="99" spans="6:6" ht="15.75" customHeight="1" x14ac:dyDescent="0.3">
      <c r="F99" s="8"/>
    </row>
    <row r="100" spans="6:6" ht="15.75" customHeight="1" x14ac:dyDescent="0.3">
      <c r="F100" s="8"/>
    </row>
    <row r="101" spans="6:6" ht="15.75" customHeight="1" x14ac:dyDescent="0.3">
      <c r="F101" s="8"/>
    </row>
    <row r="102" spans="6:6" ht="15.75" customHeight="1" x14ac:dyDescent="0.3">
      <c r="F102" s="8"/>
    </row>
    <row r="103" spans="6:6" ht="15.75" customHeight="1" x14ac:dyDescent="0.3">
      <c r="F103" s="8"/>
    </row>
    <row r="104" spans="6:6" ht="15.75" customHeight="1" x14ac:dyDescent="0.3">
      <c r="F104" s="8"/>
    </row>
    <row r="105" spans="6:6" ht="15.75" customHeight="1" x14ac:dyDescent="0.3">
      <c r="F105" s="8"/>
    </row>
    <row r="106" spans="6:6" ht="15.75" customHeight="1" x14ac:dyDescent="0.3">
      <c r="F106" s="8"/>
    </row>
    <row r="107" spans="6:6" ht="15.75" customHeight="1" x14ac:dyDescent="0.3">
      <c r="F107" s="8"/>
    </row>
    <row r="108" spans="6:6" ht="15.75" customHeight="1" x14ac:dyDescent="0.3">
      <c r="F108" s="8"/>
    </row>
    <row r="109" spans="6:6" ht="15.75" customHeight="1" x14ac:dyDescent="0.3">
      <c r="F109" s="8"/>
    </row>
    <row r="110" spans="6:6" ht="15.75" customHeight="1" x14ac:dyDescent="0.3">
      <c r="F110" s="8"/>
    </row>
    <row r="111" spans="6:6" ht="15.75" customHeight="1" x14ac:dyDescent="0.3">
      <c r="F111" s="8"/>
    </row>
    <row r="112" spans="6:6" ht="15.75" customHeight="1" x14ac:dyDescent="0.3">
      <c r="F112" s="8"/>
    </row>
    <row r="113" spans="6:6" ht="15.75" customHeight="1" x14ac:dyDescent="0.3">
      <c r="F113" s="8"/>
    </row>
    <row r="114" spans="6:6" ht="15.75" customHeight="1" x14ac:dyDescent="0.3">
      <c r="F114" s="8"/>
    </row>
    <row r="115" spans="6:6" ht="15.75" customHeight="1" x14ac:dyDescent="0.3">
      <c r="F115" s="8"/>
    </row>
    <row r="116" spans="6:6" ht="15.75" customHeight="1" x14ac:dyDescent="0.3">
      <c r="F116" s="8"/>
    </row>
    <row r="117" spans="6:6" ht="15.75" customHeight="1" x14ac:dyDescent="0.3">
      <c r="F117" s="8"/>
    </row>
    <row r="118" spans="6:6" ht="15.75" customHeight="1" x14ac:dyDescent="0.3">
      <c r="F118" s="8"/>
    </row>
    <row r="119" spans="6:6" ht="15.75" customHeight="1" x14ac:dyDescent="0.3">
      <c r="F119" s="8"/>
    </row>
    <row r="120" spans="6:6" ht="15.75" customHeight="1" x14ac:dyDescent="0.3">
      <c r="F120" s="8"/>
    </row>
    <row r="121" spans="6:6" ht="15.75" customHeight="1" x14ac:dyDescent="0.3">
      <c r="F121" s="8"/>
    </row>
    <row r="122" spans="6:6" ht="15.75" customHeight="1" x14ac:dyDescent="0.3">
      <c r="F122" s="8"/>
    </row>
    <row r="123" spans="6:6" ht="15.75" customHeight="1" x14ac:dyDescent="0.3">
      <c r="F123" s="8"/>
    </row>
    <row r="124" spans="6:6" ht="15.75" customHeight="1" x14ac:dyDescent="0.3">
      <c r="F124" s="8"/>
    </row>
    <row r="125" spans="6:6" ht="15.75" customHeight="1" x14ac:dyDescent="0.3">
      <c r="F125" s="8"/>
    </row>
    <row r="126" spans="6:6" ht="15.75" customHeight="1" x14ac:dyDescent="0.3">
      <c r="F126" s="8"/>
    </row>
    <row r="127" spans="6:6" ht="15.75" customHeight="1" x14ac:dyDescent="0.3">
      <c r="F127" s="8"/>
    </row>
    <row r="128" spans="6:6" ht="15.75" customHeight="1" x14ac:dyDescent="0.3">
      <c r="F128" s="8"/>
    </row>
    <row r="129" spans="6:6" ht="15.75" customHeight="1" x14ac:dyDescent="0.3">
      <c r="F129" s="8"/>
    </row>
    <row r="130" spans="6:6" ht="15.75" customHeight="1" x14ac:dyDescent="0.3">
      <c r="F130" s="8"/>
    </row>
    <row r="131" spans="6:6" ht="15.75" customHeight="1" x14ac:dyDescent="0.3">
      <c r="F131" s="8"/>
    </row>
    <row r="132" spans="6:6" ht="15.75" customHeight="1" x14ac:dyDescent="0.3">
      <c r="F132" s="8"/>
    </row>
    <row r="133" spans="6:6" ht="15.75" customHeight="1" x14ac:dyDescent="0.3">
      <c r="F133" s="8"/>
    </row>
    <row r="134" spans="6:6" ht="15.75" customHeight="1" x14ac:dyDescent="0.3">
      <c r="F134" s="8"/>
    </row>
    <row r="135" spans="6:6" ht="15.75" customHeight="1" x14ac:dyDescent="0.3">
      <c r="F135" s="8"/>
    </row>
    <row r="136" spans="6:6" ht="15.75" customHeight="1" x14ac:dyDescent="0.3">
      <c r="F136" s="8"/>
    </row>
    <row r="137" spans="6:6" ht="15.75" customHeight="1" x14ac:dyDescent="0.3">
      <c r="F137" s="8"/>
    </row>
    <row r="138" spans="6:6" ht="15.75" customHeight="1" x14ac:dyDescent="0.3">
      <c r="F138" s="8"/>
    </row>
    <row r="139" spans="6:6" ht="15.75" customHeight="1" x14ac:dyDescent="0.3">
      <c r="F139" s="8"/>
    </row>
    <row r="140" spans="6:6" ht="15.75" customHeight="1" x14ac:dyDescent="0.3">
      <c r="F140" s="8"/>
    </row>
    <row r="141" spans="6:6" ht="15.75" customHeight="1" x14ac:dyDescent="0.3">
      <c r="F141" s="8"/>
    </row>
    <row r="142" spans="6:6" ht="15.75" customHeight="1" x14ac:dyDescent="0.3">
      <c r="F142" s="8"/>
    </row>
    <row r="143" spans="6:6" ht="15.75" customHeight="1" x14ac:dyDescent="0.3">
      <c r="F143" s="8"/>
    </row>
    <row r="144" spans="6:6" ht="15.75" customHeight="1" x14ac:dyDescent="0.3">
      <c r="F144" s="8"/>
    </row>
    <row r="145" spans="6:6" ht="15.75" customHeight="1" x14ac:dyDescent="0.3">
      <c r="F145" s="8"/>
    </row>
    <row r="146" spans="6:6" ht="15.75" customHeight="1" x14ac:dyDescent="0.3">
      <c r="F146" s="8"/>
    </row>
    <row r="147" spans="6:6" ht="15.75" customHeight="1" x14ac:dyDescent="0.3">
      <c r="F147" s="8"/>
    </row>
    <row r="148" spans="6:6" ht="15.75" customHeight="1" x14ac:dyDescent="0.3">
      <c r="F148" s="8"/>
    </row>
    <row r="149" spans="6:6" ht="15.75" customHeight="1" x14ac:dyDescent="0.3">
      <c r="F149" s="8"/>
    </row>
    <row r="150" spans="6:6" ht="15.75" customHeight="1" x14ac:dyDescent="0.3">
      <c r="F150" s="8"/>
    </row>
    <row r="151" spans="6:6" ht="15.75" customHeight="1" x14ac:dyDescent="0.3">
      <c r="F151" s="8"/>
    </row>
    <row r="152" spans="6:6" ht="15.75" customHeight="1" x14ac:dyDescent="0.3">
      <c r="F152" s="8"/>
    </row>
    <row r="153" spans="6:6" ht="15.75" customHeight="1" x14ac:dyDescent="0.3">
      <c r="F153" s="8"/>
    </row>
    <row r="154" spans="6:6" ht="15.75" customHeight="1" x14ac:dyDescent="0.3">
      <c r="F154" s="8"/>
    </row>
    <row r="155" spans="6:6" ht="15.75" customHeight="1" x14ac:dyDescent="0.3">
      <c r="F155" s="8"/>
    </row>
    <row r="156" spans="6:6" ht="15.75" customHeight="1" x14ac:dyDescent="0.3">
      <c r="F156" s="8"/>
    </row>
    <row r="157" spans="6:6" ht="15.75" customHeight="1" x14ac:dyDescent="0.3">
      <c r="F157" s="8"/>
    </row>
    <row r="158" spans="6:6" ht="15.75" customHeight="1" x14ac:dyDescent="0.3">
      <c r="F158" s="8"/>
    </row>
    <row r="159" spans="6:6" ht="15.75" customHeight="1" x14ac:dyDescent="0.3">
      <c r="F159" s="8"/>
    </row>
    <row r="160" spans="6:6" ht="15.75" customHeight="1" x14ac:dyDescent="0.3">
      <c r="F160" s="8"/>
    </row>
    <row r="161" spans="6:6" ht="15.75" customHeight="1" x14ac:dyDescent="0.3">
      <c r="F161" s="8"/>
    </row>
    <row r="162" spans="6:6" ht="15.75" customHeight="1" x14ac:dyDescent="0.3">
      <c r="F162" s="8"/>
    </row>
    <row r="163" spans="6:6" ht="15.75" customHeight="1" x14ac:dyDescent="0.3">
      <c r="F163" s="8"/>
    </row>
    <row r="164" spans="6:6" ht="15.75" customHeight="1" x14ac:dyDescent="0.3">
      <c r="F164" s="8"/>
    </row>
    <row r="165" spans="6:6" ht="15.75" customHeight="1" x14ac:dyDescent="0.3">
      <c r="F165" s="8"/>
    </row>
    <row r="166" spans="6:6" ht="15.75" customHeight="1" x14ac:dyDescent="0.3">
      <c r="F166" s="8"/>
    </row>
    <row r="167" spans="6:6" ht="15.75" customHeight="1" x14ac:dyDescent="0.3">
      <c r="F167" s="8"/>
    </row>
    <row r="168" spans="6:6" ht="15.75" customHeight="1" x14ac:dyDescent="0.3">
      <c r="F168" s="8"/>
    </row>
    <row r="169" spans="6:6" ht="15.75" customHeight="1" x14ac:dyDescent="0.3">
      <c r="F169" s="8"/>
    </row>
    <row r="170" spans="6:6" ht="15.75" customHeight="1" x14ac:dyDescent="0.3">
      <c r="F170" s="8"/>
    </row>
    <row r="171" spans="6:6" ht="15.75" customHeight="1" x14ac:dyDescent="0.3">
      <c r="F171" s="8"/>
    </row>
    <row r="172" spans="6:6" ht="15.75" customHeight="1" x14ac:dyDescent="0.3">
      <c r="F172" s="8"/>
    </row>
    <row r="173" spans="6:6" ht="15.75" customHeight="1" x14ac:dyDescent="0.3">
      <c r="F173" s="8"/>
    </row>
    <row r="174" spans="6:6" ht="15.75" customHeight="1" x14ac:dyDescent="0.3">
      <c r="F174" s="8"/>
    </row>
    <row r="175" spans="6:6" ht="15.75" customHeight="1" x14ac:dyDescent="0.3">
      <c r="F175" s="8"/>
    </row>
    <row r="176" spans="6:6" ht="15.75" customHeight="1" x14ac:dyDescent="0.3">
      <c r="F176" s="8"/>
    </row>
    <row r="177" spans="6:6" ht="15.75" customHeight="1" x14ac:dyDescent="0.3">
      <c r="F177" s="8"/>
    </row>
    <row r="178" spans="6:6" ht="15.75" customHeight="1" x14ac:dyDescent="0.3">
      <c r="F178" s="8"/>
    </row>
    <row r="179" spans="6:6" ht="15.75" customHeight="1" x14ac:dyDescent="0.3">
      <c r="F179" s="8"/>
    </row>
    <row r="180" spans="6:6" ht="15.75" customHeight="1" x14ac:dyDescent="0.3">
      <c r="F180" s="8"/>
    </row>
    <row r="181" spans="6:6" ht="15.75" customHeight="1" x14ac:dyDescent="0.3">
      <c r="F181" s="8"/>
    </row>
    <row r="182" spans="6:6" ht="15.75" customHeight="1" x14ac:dyDescent="0.3">
      <c r="F182" s="8"/>
    </row>
    <row r="183" spans="6:6" ht="15.75" customHeight="1" x14ac:dyDescent="0.3">
      <c r="F183" s="8"/>
    </row>
    <row r="184" spans="6:6" ht="15.75" customHeight="1" x14ac:dyDescent="0.3">
      <c r="F184" s="8"/>
    </row>
    <row r="185" spans="6:6" ht="15.75" customHeight="1" x14ac:dyDescent="0.3">
      <c r="F185" s="8"/>
    </row>
    <row r="186" spans="6:6" ht="15.75" customHeight="1" x14ac:dyDescent="0.3">
      <c r="F186" s="8"/>
    </row>
    <row r="187" spans="6:6" ht="15.75" customHeight="1" x14ac:dyDescent="0.3">
      <c r="F187" s="8"/>
    </row>
    <row r="188" spans="6:6" ht="15.75" customHeight="1" x14ac:dyDescent="0.3">
      <c r="F188" s="8"/>
    </row>
    <row r="189" spans="6:6" ht="15.75" customHeight="1" x14ac:dyDescent="0.3">
      <c r="F189" s="8"/>
    </row>
    <row r="190" spans="6:6" ht="15.75" customHeight="1" x14ac:dyDescent="0.3">
      <c r="F190" s="8"/>
    </row>
    <row r="191" spans="6:6" ht="15.75" customHeight="1" x14ac:dyDescent="0.3">
      <c r="F191" s="8"/>
    </row>
    <row r="192" spans="6:6" ht="15.75" customHeight="1" x14ac:dyDescent="0.3">
      <c r="F192" s="8"/>
    </row>
    <row r="193" spans="6:6" ht="15.75" customHeight="1" x14ac:dyDescent="0.3">
      <c r="F193" s="8"/>
    </row>
    <row r="194" spans="6:6" ht="15.75" customHeight="1" x14ac:dyDescent="0.3">
      <c r="F194" s="8"/>
    </row>
    <row r="195" spans="6:6" ht="15.75" customHeight="1" x14ac:dyDescent="0.3">
      <c r="F195" s="8"/>
    </row>
    <row r="196" spans="6:6" ht="15.75" customHeight="1" x14ac:dyDescent="0.3">
      <c r="F196" s="8"/>
    </row>
    <row r="197" spans="6:6" ht="15.75" customHeight="1" x14ac:dyDescent="0.3">
      <c r="F197" s="8"/>
    </row>
    <row r="198" spans="6:6" ht="15.75" customHeight="1" x14ac:dyDescent="0.3">
      <c r="F198" s="8"/>
    </row>
    <row r="199" spans="6:6" ht="15.75" customHeight="1" x14ac:dyDescent="0.3">
      <c r="F199" s="8"/>
    </row>
    <row r="200" spans="6:6" ht="15.75" customHeight="1" x14ac:dyDescent="0.3">
      <c r="F200" s="8"/>
    </row>
    <row r="201" spans="6:6" ht="15.75" customHeight="1" x14ac:dyDescent="0.3">
      <c r="F201" s="8"/>
    </row>
    <row r="202" spans="6:6" ht="15.75" customHeight="1" x14ac:dyDescent="0.3">
      <c r="F202" s="8"/>
    </row>
    <row r="203" spans="6:6" ht="15.75" customHeight="1" x14ac:dyDescent="0.3">
      <c r="F203" s="8"/>
    </row>
    <row r="204" spans="6:6" ht="15.75" customHeight="1" x14ac:dyDescent="0.3">
      <c r="F204" s="8"/>
    </row>
    <row r="205" spans="6:6" ht="15.75" customHeight="1" x14ac:dyDescent="0.3">
      <c r="F205" s="8"/>
    </row>
    <row r="206" spans="6:6" ht="15.75" customHeight="1" x14ac:dyDescent="0.3">
      <c r="F206" s="8"/>
    </row>
    <row r="207" spans="6:6" ht="15.75" customHeight="1" x14ac:dyDescent="0.3">
      <c r="F207" s="8"/>
    </row>
    <row r="208" spans="6:6" ht="15.75" customHeight="1" x14ac:dyDescent="0.3">
      <c r="F208" s="8"/>
    </row>
    <row r="209" spans="6:6" ht="15.75" customHeight="1" x14ac:dyDescent="0.3">
      <c r="F209" s="8"/>
    </row>
    <row r="210" spans="6:6" ht="15.75" customHeight="1" x14ac:dyDescent="0.3">
      <c r="F210" s="8"/>
    </row>
    <row r="211" spans="6:6" ht="15.75" customHeight="1" x14ac:dyDescent="0.3">
      <c r="F211" s="8"/>
    </row>
    <row r="212" spans="6:6" ht="15.75" customHeight="1" x14ac:dyDescent="0.3">
      <c r="F212" s="8"/>
    </row>
    <row r="213" spans="6:6" ht="15.75" customHeight="1" x14ac:dyDescent="0.3">
      <c r="F213" s="8"/>
    </row>
    <row r="214" spans="6:6" ht="15.75" customHeight="1" x14ac:dyDescent="0.3">
      <c r="F214" s="8"/>
    </row>
    <row r="215" spans="6:6" ht="15.75" customHeight="1" x14ac:dyDescent="0.3">
      <c r="F215" s="8"/>
    </row>
    <row r="216" spans="6:6" ht="15.75" customHeight="1" x14ac:dyDescent="0.3">
      <c r="F216" s="8"/>
    </row>
    <row r="217" spans="6:6" ht="15.75" customHeight="1" x14ac:dyDescent="0.3">
      <c r="F217" s="8"/>
    </row>
    <row r="218" spans="6:6" ht="15.75" customHeight="1" x14ac:dyDescent="0.3">
      <c r="F218" s="8"/>
    </row>
    <row r="219" spans="6:6" ht="15.75" customHeight="1" x14ac:dyDescent="0.3">
      <c r="F219" s="8"/>
    </row>
    <row r="220" spans="6:6" ht="15.75" customHeight="1" x14ac:dyDescent="0.3">
      <c r="F220" s="8"/>
    </row>
    <row r="221" spans="6:6" ht="15.75" customHeight="1" x14ac:dyDescent="0.3">
      <c r="F221" s="8"/>
    </row>
    <row r="222" spans="6:6" ht="15.75" customHeight="1" x14ac:dyDescent="0.3">
      <c r="F222" s="8"/>
    </row>
    <row r="223" spans="6:6" ht="15.75" customHeight="1" x14ac:dyDescent="0.3">
      <c r="F223" s="8"/>
    </row>
    <row r="224" spans="6:6" ht="15.75" customHeight="1" x14ac:dyDescent="0.3">
      <c r="F224" s="8"/>
    </row>
    <row r="225" spans="6:6" ht="15.75" customHeight="1" x14ac:dyDescent="0.3">
      <c r="F225" s="8"/>
    </row>
    <row r="226" spans="6:6" ht="15.75" customHeight="1" x14ac:dyDescent="0.3">
      <c r="F226" s="8"/>
    </row>
    <row r="227" spans="6:6" ht="15.75" customHeight="1" x14ac:dyDescent="0.3">
      <c r="F227" s="8"/>
    </row>
    <row r="228" spans="6:6" ht="15.75" customHeight="1" x14ac:dyDescent="0.3">
      <c r="F228" s="8"/>
    </row>
    <row r="229" spans="6:6" ht="15.75" customHeight="1" x14ac:dyDescent="0.3">
      <c r="F229" s="8"/>
    </row>
    <row r="230" spans="6:6" ht="15.75" customHeight="1" x14ac:dyDescent="0.3">
      <c r="F230" s="8"/>
    </row>
    <row r="231" spans="6:6" ht="15.75" customHeight="1" x14ac:dyDescent="0.3">
      <c r="F231" s="8"/>
    </row>
    <row r="232" spans="6:6" ht="15.75" customHeight="1" x14ac:dyDescent="0.3">
      <c r="F232" s="8"/>
    </row>
    <row r="233" spans="6:6" ht="15.75" customHeight="1" x14ac:dyDescent="0.3">
      <c r="F233" s="8"/>
    </row>
    <row r="234" spans="6:6" ht="15.75" customHeight="1" x14ac:dyDescent="0.3">
      <c r="F234" s="8"/>
    </row>
    <row r="235" spans="6:6" ht="15.75" customHeight="1" x14ac:dyDescent="0.3">
      <c r="F235" s="8"/>
    </row>
    <row r="236" spans="6:6" ht="15.75" customHeight="1" x14ac:dyDescent="0.3">
      <c r="F236" s="8"/>
    </row>
    <row r="237" spans="6:6" ht="15.75" customHeight="1" x14ac:dyDescent="0.3">
      <c r="F237" s="8"/>
    </row>
    <row r="238" spans="6:6" ht="15.75" customHeight="1" x14ac:dyDescent="0.3">
      <c r="F238" s="8"/>
    </row>
    <row r="239" spans="6:6" ht="15.75" customHeight="1" x14ac:dyDescent="0.3">
      <c r="F239" s="8"/>
    </row>
    <row r="240" spans="6:6" ht="15.75" customHeight="1" x14ac:dyDescent="0.3">
      <c r="F240" s="8"/>
    </row>
    <row r="241" spans="6:6" ht="15.75" customHeight="1" x14ac:dyDescent="0.3">
      <c r="F241" s="8"/>
    </row>
    <row r="242" spans="6:6" ht="15.75" customHeight="1" x14ac:dyDescent="0.3">
      <c r="F242" s="8"/>
    </row>
    <row r="243" spans="6:6" ht="15.75" customHeight="1" x14ac:dyDescent="0.3">
      <c r="F243" s="8"/>
    </row>
    <row r="244" spans="6:6" ht="15.75" customHeight="1" x14ac:dyDescent="0.3">
      <c r="F244" s="8"/>
    </row>
    <row r="245" spans="6:6" ht="15.75" customHeight="1" x14ac:dyDescent="0.3">
      <c r="F245" s="8"/>
    </row>
    <row r="246" spans="6:6" ht="15.75" customHeight="1" x14ac:dyDescent="0.3">
      <c r="F246" s="8"/>
    </row>
    <row r="247" spans="6:6" ht="15.75" customHeight="1" x14ac:dyDescent="0.3">
      <c r="F247" s="8"/>
    </row>
    <row r="248" spans="6:6" ht="15.75" customHeight="1" x14ac:dyDescent="0.3">
      <c r="F248" s="8"/>
    </row>
    <row r="249" spans="6:6" ht="15.75" customHeight="1" x14ac:dyDescent="0.3">
      <c r="F249" s="8"/>
    </row>
    <row r="250" spans="6:6" ht="15.75" customHeight="1" x14ac:dyDescent="0.3">
      <c r="F250" s="8"/>
    </row>
    <row r="251" spans="6:6" ht="15.75" customHeight="1" x14ac:dyDescent="0.3">
      <c r="F251" s="8"/>
    </row>
    <row r="252" spans="6:6" ht="15.75" customHeight="1" x14ac:dyDescent="0.3">
      <c r="F252" s="8"/>
    </row>
    <row r="253" spans="6:6" ht="15.75" customHeight="1" x14ac:dyDescent="0.3">
      <c r="F253" s="8"/>
    </row>
    <row r="254" spans="6:6" ht="15.75" customHeight="1" x14ac:dyDescent="0.3">
      <c r="F254" s="8"/>
    </row>
    <row r="255" spans="6:6" ht="15.75" customHeight="1" x14ac:dyDescent="0.3">
      <c r="F255" s="8"/>
    </row>
    <row r="256" spans="6:6" ht="15.75" customHeight="1" x14ac:dyDescent="0.3">
      <c r="F256" s="8"/>
    </row>
    <row r="257" spans="6:6" ht="15.75" customHeight="1" x14ac:dyDescent="0.3">
      <c r="F257" s="8"/>
    </row>
    <row r="258" spans="6:6" ht="15.75" customHeight="1" x14ac:dyDescent="0.3">
      <c r="F258" s="8"/>
    </row>
    <row r="259" spans="6:6" ht="15.75" customHeight="1" x14ac:dyDescent="0.3">
      <c r="F259" s="8"/>
    </row>
    <row r="260" spans="6:6" ht="15.75" customHeight="1" x14ac:dyDescent="0.3">
      <c r="F260" s="8"/>
    </row>
    <row r="261" spans="6:6" ht="15.75" customHeight="1" x14ac:dyDescent="0.3">
      <c r="F261" s="8"/>
    </row>
    <row r="262" spans="6:6" ht="15.75" customHeight="1" x14ac:dyDescent="0.3">
      <c r="F262" s="8"/>
    </row>
    <row r="263" spans="6:6" ht="15.75" customHeight="1" x14ac:dyDescent="0.3">
      <c r="F263" s="8"/>
    </row>
    <row r="264" spans="6:6" ht="15.75" customHeight="1" x14ac:dyDescent="0.3">
      <c r="F264" s="8"/>
    </row>
    <row r="265" spans="6:6" ht="15.75" customHeight="1" x14ac:dyDescent="0.3">
      <c r="F265" s="8"/>
    </row>
    <row r="266" spans="6:6" ht="15.75" customHeight="1" x14ac:dyDescent="0.3">
      <c r="F266" s="8"/>
    </row>
    <row r="267" spans="6:6" ht="15.75" customHeight="1" x14ac:dyDescent="0.3">
      <c r="F267" s="8"/>
    </row>
    <row r="268" spans="6:6" ht="15.75" customHeight="1" x14ac:dyDescent="0.3">
      <c r="F268" s="8"/>
    </row>
    <row r="269" spans="6:6" ht="15.75" customHeight="1" x14ac:dyDescent="0.3">
      <c r="F269" s="8"/>
    </row>
    <row r="270" spans="6:6" ht="15.75" customHeight="1" x14ac:dyDescent="0.3">
      <c r="F270" s="8"/>
    </row>
    <row r="271" spans="6:6" ht="15.75" customHeight="1" x14ac:dyDescent="0.3">
      <c r="F271" s="8"/>
    </row>
    <row r="272" spans="6:6" ht="15.75" customHeight="1" x14ac:dyDescent="0.3">
      <c r="F272" s="8"/>
    </row>
    <row r="273" spans="6:6" ht="15.75" customHeight="1" x14ac:dyDescent="0.3">
      <c r="F273" s="8"/>
    </row>
    <row r="274" spans="6:6" ht="15.75" customHeight="1" x14ac:dyDescent="0.3">
      <c r="F274" s="8"/>
    </row>
    <row r="275" spans="6:6" ht="15.75" customHeight="1" x14ac:dyDescent="0.3">
      <c r="F275" s="8"/>
    </row>
    <row r="276" spans="6:6" ht="15.75" customHeight="1" x14ac:dyDescent="0.3">
      <c r="F276" s="8"/>
    </row>
    <row r="277" spans="6:6" ht="15.75" customHeight="1" x14ac:dyDescent="0.3">
      <c r="F277" s="8"/>
    </row>
    <row r="278" spans="6:6" ht="15.75" customHeight="1" x14ac:dyDescent="0.3">
      <c r="F278" s="8"/>
    </row>
    <row r="279" spans="6:6" ht="15.75" customHeight="1" x14ac:dyDescent="0.3">
      <c r="F279" s="8"/>
    </row>
    <row r="280" spans="6:6" ht="15.75" customHeight="1" x14ac:dyDescent="0.3">
      <c r="F280" s="8"/>
    </row>
    <row r="281" spans="6:6" ht="15.75" customHeight="1" x14ac:dyDescent="0.3">
      <c r="F281" s="8"/>
    </row>
    <row r="282" spans="6:6" ht="15.75" customHeight="1" x14ac:dyDescent="0.3">
      <c r="F282" s="8"/>
    </row>
    <row r="283" spans="6:6" ht="15.75" customHeight="1" x14ac:dyDescent="0.3">
      <c r="F283" s="8"/>
    </row>
    <row r="284" spans="6:6" ht="15.75" customHeight="1" x14ac:dyDescent="0.3">
      <c r="F284" s="8"/>
    </row>
    <row r="285" spans="6:6" ht="15.75" customHeight="1" x14ac:dyDescent="0.3">
      <c r="F285" s="8"/>
    </row>
    <row r="286" spans="6:6" ht="15.75" customHeight="1" x14ac:dyDescent="0.3">
      <c r="F286" s="8"/>
    </row>
    <row r="287" spans="6:6" ht="15.75" customHeight="1" x14ac:dyDescent="0.3">
      <c r="F287" s="8"/>
    </row>
    <row r="288" spans="6:6" ht="15.75" customHeight="1" x14ac:dyDescent="0.3">
      <c r="F288" s="8"/>
    </row>
    <row r="289" spans="6:6" ht="15.75" customHeight="1" x14ac:dyDescent="0.3">
      <c r="F289" s="8"/>
    </row>
    <row r="290" spans="6:6" ht="15.75" customHeight="1" x14ac:dyDescent="0.3">
      <c r="F290" s="8"/>
    </row>
    <row r="291" spans="6:6" ht="15.75" customHeight="1" x14ac:dyDescent="0.3">
      <c r="F291" s="8"/>
    </row>
    <row r="292" spans="6:6" ht="15.75" customHeight="1" x14ac:dyDescent="0.3">
      <c r="F292" s="8"/>
    </row>
    <row r="293" spans="6:6" ht="15.75" customHeight="1" x14ac:dyDescent="0.3">
      <c r="F293" s="8"/>
    </row>
    <row r="294" spans="6:6" ht="15.75" customHeight="1" x14ac:dyDescent="0.3">
      <c r="F294" s="8"/>
    </row>
    <row r="295" spans="6:6" ht="15.75" customHeight="1" x14ac:dyDescent="0.3">
      <c r="F295" s="8"/>
    </row>
    <row r="296" spans="6:6" ht="15.75" customHeight="1" x14ac:dyDescent="0.3">
      <c r="F296" s="8"/>
    </row>
    <row r="297" spans="6:6" ht="15.75" customHeight="1" x14ac:dyDescent="0.3">
      <c r="F297" s="8"/>
    </row>
    <row r="298" spans="6:6" ht="15.75" customHeight="1" x14ac:dyDescent="0.3">
      <c r="F298" s="8"/>
    </row>
    <row r="299" spans="6:6" ht="15.75" customHeight="1" x14ac:dyDescent="0.3">
      <c r="F299" s="8"/>
    </row>
    <row r="300" spans="6:6" ht="15.75" customHeight="1" x14ac:dyDescent="0.3">
      <c r="F300" s="8"/>
    </row>
    <row r="301" spans="6:6" ht="15.75" customHeight="1" x14ac:dyDescent="0.3">
      <c r="F301" s="8"/>
    </row>
    <row r="302" spans="6:6" ht="15.75" customHeight="1" x14ac:dyDescent="0.3">
      <c r="F302" s="8"/>
    </row>
    <row r="303" spans="6:6" ht="15.75" customHeight="1" x14ac:dyDescent="0.3">
      <c r="F303" s="8"/>
    </row>
    <row r="304" spans="6:6" ht="15.75" customHeight="1" x14ac:dyDescent="0.3">
      <c r="F304" s="8"/>
    </row>
    <row r="305" spans="6:6" ht="15.75" customHeight="1" x14ac:dyDescent="0.3">
      <c r="F305" s="8"/>
    </row>
    <row r="306" spans="6:6" ht="15.75" customHeight="1" x14ac:dyDescent="0.3">
      <c r="F306" s="8"/>
    </row>
    <row r="307" spans="6:6" ht="15.75" customHeight="1" x14ac:dyDescent="0.3">
      <c r="F307" s="8"/>
    </row>
    <row r="308" spans="6:6" ht="15.75" customHeight="1" x14ac:dyDescent="0.3">
      <c r="F308" s="8"/>
    </row>
    <row r="309" spans="6:6" ht="15.75" customHeight="1" x14ac:dyDescent="0.3">
      <c r="F309" s="8"/>
    </row>
    <row r="310" spans="6:6" ht="15.75" customHeight="1" x14ac:dyDescent="0.3">
      <c r="F310" s="8"/>
    </row>
    <row r="311" spans="6:6" ht="15.75" customHeight="1" x14ac:dyDescent="0.3">
      <c r="F311" s="8"/>
    </row>
    <row r="312" spans="6:6" ht="15.75" customHeight="1" x14ac:dyDescent="0.3">
      <c r="F312" s="8"/>
    </row>
    <row r="313" spans="6:6" ht="15.75" customHeight="1" x14ac:dyDescent="0.3">
      <c r="F313" s="8"/>
    </row>
    <row r="314" spans="6:6" ht="15.75" customHeight="1" x14ac:dyDescent="0.3">
      <c r="F314" s="8"/>
    </row>
    <row r="315" spans="6:6" ht="15.75" customHeight="1" x14ac:dyDescent="0.3">
      <c r="F315" s="8"/>
    </row>
    <row r="316" spans="6:6" ht="15.75" customHeight="1" x14ac:dyDescent="0.3">
      <c r="F316" s="8"/>
    </row>
    <row r="317" spans="6:6" ht="15.75" customHeight="1" x14ac:dyDescent="0.3">
      <c r="F317" s="8"/>
    </row>
    <row r="318" spans="6:6" ht="15.75" customHeight="1" x14ac:dyDescent="0.3">
      <c r="F318" s="8"/>
    </row>
    <row r="319" spans="6:6" ht="15.75" customHeight="1" x14ac:dyDescent="0.3">
      <c r="F319" s="8"/>
    </row>
    <row r="320" spans="6:6" ht="15.75" customHeight="1" x14ac:dyDescent="0.3">
      <c r="F320" s="8"/>
    </row>
    <row r="321" spans="6:6" ht="15.75" customHeight="1" x14ac:dyDescent="0.3">
      <c r="F321" s="8"/>
    </row>
    <row r="322" spans="6:6" ht="15.75" customHeight="1" x14ac:dyDescent="0.3">
      <c r="F322" s="8"/>
    </row>
    <row r="323" spans="6:6" ht="15.75" customHeight="1" x14ac:dyDescent="0.3">
      <c r="F323" s="8"/>
    </row>
    <row r="324" spans="6:6" ht="15.75" customHeight="1" x14ac:dyDescent="0.3">
      <c r="F324" s="8"/>
    </row>
    <row r="325" spans="6:6" ht="15.75" customHeight="1" x14ac:dyDescent="0.3">
      <c r="F325" s="8"/>
    </row>
    <row r="326" spans="6:6" ht="15.75" customHeight="1" x14ac:dyDescent="0.3">
      <c r="F326" s="8"/>
    </row>
    <row r="327" spans="6:6" ht="15.75" customHeight="1" x14ac:dyDescent="0.3">
      <c r="F327" s="8"/>
    </row>
    <row r="328" spans="6:6" ht="15.75" customHeight="1" x14ac:dyDescent="0.3">
      <c r="F328" s="8"/>
    </row>
    <row r="329" spans="6:6" ht="15.75" customHeight="1" x14ac:dyDescent="0.3">
      <c r="F329" s="8"/>
    </row>
    <row r="330" spans="6:6" ht="15.75" customHeight="1" x14ac:dyDescent="0.3">
      <c r="F330" s="8"/>
    </row>
    <row r="331" spans="6:6" ht="15.75" customHeight="1" x14ac:dyDescent="0.3">
      <c r="F331" s="8"/>
    </row>
    <row r="332" spans="6:6" ht="15.75" customHeight="1" x14ac:dyDescent="0.3">
      <c r="F332" s="8"/>
    </row>
    <row r="333" spans="6:6" ht="15.75" customHeight="1" x14ac:dyDescent="0.3">
      <c r="F333" s="8"/>
    </row>
    <row r="334" spans="6:6" ht="15.75" customHeight="1" x14ac:dyDescent="0.3">
      <c r="F334" s="8"/>
    </row>
    <row r="335" spans="6:6" ht="15.75" customHeight="1" x14ac:dyDescent="0.3">
      <c r="F335" s="8"/>
    </row>
    <row r="336" spans="6:6" ht="15.75" customHeight="1" x14ac:dyDescent="0.3">
      <c r="F336" s="8"/>
    </row>
    <row r="337" spans="6:6" ht="15.75" customHeight="1" x14ac:dyDescent="0.3">
      <c r="F337" s="8"/>
    </row>
    <row r="338" spans="6:6" ht="15.75" customHeight="1" x14ac:dyDescent="0.3">
      <c r="F338" s="8"/>
    </row>
    <row r="339" spans="6:6" ht="15.75" customHeight="1" x14ac:dyDescent="0.3">
      <c r="F339" s="8"/>
    </row>
    <row r="340" spans="6:6" ht="15.75" customHeight="1" x14ac:dyDescent="0.3">
      <c r="F340" s="8"/>
    </row>
    <row r="341" spans="6:6" ht="15.75" customHeight="1" x14ac:dyDescent="0.3">
      <c r="F341" s="8"/>
    </row>
    <row r="342" spans="6:6" ht="15.75" customHeight="1" x14ac:dyDescent="0.3">
      <c r="F342" s="8"/>
    </row>
    <row r="343" spans="6:6" ht="15.75" customHeight="1" x14ac:dyDescent="0.3">
      <c r="F343" s="8"/>
    </row>
    <row r="344" spans="6:6" ht="15.75" customHeight="1" x14ac:dyDescent="0.3">
      <c r="F344" s="8"/>
    </row>
    <row r="345" spans="6:6" ht="15.75" customHeight="1" x14ac:dyDescent="0.3">
      <c r="F345" s="8"/>
    </row>
    <row r="346" spans="6:6" ht="15.75" customHeight="1" x14ac:dyDescent="0.3">
      <c r="F346" s="8"/>
    </row>
    <row r="347" spans="6:6" ht="15.75" customHeight="1" x14ac:dyDescent="0.3">
      <c r="F347" s="8"/>
    </row>
    <row r="348" spans="6:6" ht="15.75" customHeight="1" x14ac:dyDescent="0.3">
      <c r="F348" s="8"/>
    </row>
    <row r="349" spans="6:6" ht="15.75" customHeight="1" x14ac:dyDescent="0.3">
      <c r="F349" s="8"/>
    </row>
    <row r="350" spans="6:6" ht="15.75" customHeight="1" x14ac:dyDescent="0.3">
      <c r="F350" s="8"/>
    </row>
    <row r="351" spans="6:6" ht="15.75" customHeight="1" x14ac:dyDescent="0.3">
      <c r="F351" s="8"/>
    </row>
    <row r="352" spans="6:6" ht="15.75" customHeight="1" x14ac:dyDescent="0.3">
      <c r="F352" s="8"/>
    </row>
    <row r="353" spans="6:6" ht="15.75" customHeight="1" x14ac:dyDescent="0.3">
      <c r="F353" s="8"/>
    </row>
    <row r="354" spans="6:6" ht="15.75" customHeight="1" x14ac:dyDescent="0.3">
      <c r="F354" s="8"/>
    </row>
    <row r="355" spans="6:6" ht="15.75" customHeight="1" x14ac:dyDescent="0.3">
      <c r="F355" s="8"/>
    </row>
    <row r="356" spans="6:6" ht="15.75" customHeight="1" x14ac:dyDescent="0.3">
      <c r="F356" s="8"/>
    </row>
    <row r="357" spans="6:6" ht="15.75" customHeight="1" x14ac:dyDescent="0.3">
      <c r="F357" s="8"/>
    </row>
    <row r="358" spans="6:6" ht="15.75" customHeight="1" x14ac:dyDescent="0.3">
      <c r="F358" s="8"/>
    </row>
    <row r="359" spans="6:6" ht="15.75" customHeight="1" x14ac:dyDescent="0.3">
      <c r="F359" s="8"/>
    </row>
    <row r="360" spans="6:6" ht="15.75" customHeight="1" x14ac:dyDescent="0.3">
      <c r="F360" s="8"/>
    </row>
    <row r="361" spans="6:6" ht="15.75" customHeight="1" x14ac:dyDescent="0.3">
      <c r="F361" s="8"/>
    </row>
    <row r="362" spans="6:6" ht="15.75" customHeight="1" x14ac:dyDescent="0.3">
      <c r="F362" s="8"/>
    </row>
    <row r="363" spans="6:6" ht="15.75" customHeight="1" x14ac:dyDescent="0.3">
      <c r="F363" s="8"/>
    </row>
    <row r="364" spans="6:6" ht="15.75" customHeight="1" x14ac:dyDescent="0.3">
      <c r="F364" s="8"/>
    </row>
    <row r="365" spans="6:6" ht="15.75" customHeight="1" x14ac:dyDescent="0.3">
      <c r="F365" s="8"/>
    </row>
    <row r="366" spans="6:6" ht="15.75" customHeight="1" x14ac:dyDescent="0.3">
      <c r="F366" s="8"/>
    </row>
    <row r="367" spans="6:6" ht="15.75" customHeight="1" x14ac:dyDescent="0.3">
      <c r="F367" s="8"/>
    </row>
    <row r="368" spans="6:6" ht="15.75" customHeight="1" x14ac:dyDescent="0.3">
      <c r="F368" s="8"/>
    </row>
    <row r="369" spans="6:6" ht="15.75" customHeight="1" x14ac:dyDescent="0.3">
      <c r="F369" s="8"/>
    </row>
    <row r="370" spans="6:6" ht="15.75" customHeight="1" x14ac:dyDescent="0.3">
      <c r="F370" s="8"/>
    </row>
    <row r="371" spans="6:6" ht="15.75" customHeight="1" x14ac:dyDescent="0.3">
      <c r="F371" s="8"/>
    </row>
    <row r="372" spans="6:6" ht="15.75" customHeight="1" x14ac:dyDescent="0.3">
      <c r="F372" s="8"/>
    </row>
    <row r="373" spans="6:6" ht="15.75" customHeight="1" x14ac:dyDescent="0.3">
      <c r="F373" s="8"/>
    </row>
    <row r="374" spans="6:6" ht="15.75" customHeight="1" x14ac:dyDescent="0.3">
      <c r="F374" s="8"/>
    </row>
    <row r="375" spans="6:6" ht="15.75" customHeight="1" x14ac:dyDescent="0.3">
      <c r="F375" s="8"/>
    </row>
    <row r="376" spans="6:6" ht="15.75" customHeight="1" x14ac:dyDescent="0.3">
      <c r="F376" s="8"/>
    </row>
    <row r="377" spans="6:6" ht="15.75" customHeight="1" x14ac:dyDescent="0.3">
      <c r="F377" s="8"/>
    </row>
    <row r="378" spans="6:6" ht="15.75" customHeight="1" x14ac:dyDescent="0.3">
      <c r="F378" s="8"/>
    </row>
    <row r="379" spans="6:6" ht="15.75" customHeight="1" x14ac:dyDescent="0.3">
      <c r="F379" s="8"/>
    </row>
    <row r="380" spans="6:6" ht="15.75" customHeight="1" x14ac:dyDescent="0.3">
      <c r="F380" s="8"/>
    </row>
    <row r="381" spans="6:6" ht="15.75" customHeight="1" x14ac:dyDescent="0.3">
      <c r="F381" s="8"/>
    </row>
    <row r="382" spans="6:6" ht="15.75" customHeight="1" x14ac:dyDescent="0.3">
      <c r="F382" s="8"/>
    </row>
    <row r="383" spans="6:6" ht="15.75" customHeight="1" x14ac:dyDescent="0.3">
      <c r="F383" s="8"/>
    </row>
    <row r="384" spans="6:6" ht="15.75" customHeight="1" x14ac:dyDescent="0.3">
      <c r="F384" s="8"/>
    </row>
    <row r="385" spans="6:6" ht="15.75" customHeight="1" x14ac:dyDescent="0.3">
      <c r="F385" s="8"/>
    </row>
    <row r="386" spans="6:6" ht="15.75" customHeight="1" x14ac:dyDescent="0.3">
      <c r="F386" s="8"/>
    </row>
    <row r="387" spans="6:6" ht="15.75" customHeight="1" x14ac:dyDescent="0.3">
      <c r="F387" s="8"/>
    </row>
    <row r="388" spans="6:6" ht="15.75" customHeight="1" x14ac:dyDescent="0.3">
      <c r="F388" s="8"/>
    </row>
    <row r="389" spans="6:6" ht="15.75" customHeight="1" x14ac:dyDescent="0.3">
      <c r="F389" s="8"/>
    </row>
    <row r="390" spans="6:6" ht="15.75" customHeight="1" x14ac:dyDescent="0.3">
      <c r="F390" s="8"/>
    </row>
    <row r="391" spans="6:6" ht="15.75" customHeight="1" x14ac:dyDescent="0.3">
      <c r="F391" s="8"/>
    </row>
    <row r="392" spans="6:6" ht="15.75" customHeight="1" x14ac:dyDescent="0.3">
      <c r="F392" s="8"/>
    </row>
    <row r="393" spans="6:6" ht="15.75" customHeight="1" x14ac:dyDescent="0.3">
      <c r="F393" s="8"/>
    </row>
    <row r="394" spans="6:6" ht="15.75" customHeight="1" x14ac:dyDescent="0.3">
      <c r="F394" s="8"/>
    </row>
    <row r="395" spans="6:6" ht="15.75" customHeight="1" x14ac:dyDescent="0.3">
      <c r="F395" s="8"/>
    </row>
    <row r="396" spans="6:6" ht="15.75" customHeight="1" x14ac:dyDescent="0.3">
      <c r="F396" s="8"/>
    </row>
    <row r="397" spans="6:6" ht="15.75" customHeight="1" x14ac:dyDescent="0.3">
      <c r="F397" s="8"/>
    </row>
    <row r="398" spans="6:6" ht="15.75" customHeight="1" x14ac:dyDescent="0.3">
      <c r="F398" s="8"/>
    </row>
    <row r="399" spans="6:6" ht="15.75" customHeight="1" x14ac:dyDescent="0.3">
      <c r="F399" s="8"/>
    </row>
    <row r="400" spans="6:6" ht="15.75" customHeight="1" x14ac:dyDescent="0.3">
      <c r="F400" s="8"/>
    </row>
    <row r="401" spans="6:6" ht="15.75" customHeight="1" x14ac:dyDescent="0.3">
      <c r="F401" s="8"/>
    </row>
    <row r="402" spans="6:6" ht="15.75" customHeight="1" x14ac:dyDescent="0.3">
      <c r="F402" s="8"/>
    </row>
    <row r="403" spans="6:6" ht="15.75" customHeight="1" x14ac:dyDescent="0.3">
      <c r="F403" s="8"/>
    </row>
    <row r="404" spans="6:6" ht="15.75" customHeight="1" x14ac:dyDescent="0.3">
      <c r="F404" s="8"/>
    </row>
    <row r="405" spans="6:6" ht="15.75" customHeight="1" x14ac:dyDescent="0.3">
      <c r="F405" s="8"/>
    </row>
    <row r="406" spans="6:6" ht="15.75" customHeight="1" x14ac:dyDescent="0.3">
      <c r="F406" s="8"/>
    </row>
    <row r="407" spans="6:6" ht="15.75" customHeight="1" x14ac:dyDescent="0.3">
      <c r="F407" s="8"/>
    </row>
    <row r="408" spans="6:6" ht="15.75" customHeight="1" x14ac:dyDescent="0.3">
      <c r="F408" s="8"/>
    </row>
    <row r="409" spans="6:6" ht="15.75" customHeight="1" x14ac:dyDescent="0.3">
      <c r="F409" s="8"/>
    </row>
    <row r="410" spans="6:6" ht="15.75" customHeight="1" x14ac:dyDescent="0.3">
      <c r="F410" s="8"/>
    </row>
    <row r="411" spans="6:6" ht="15.75" customHeight="1" x14ac:dyDescent="0.3">
      <c r="F411" s="8"/>
    </row>
    <row r="412" spans="6:6" ht="15.75" customHeight="1" x14ac:dyDescent="0.3">
      <c r="F412" s="8"/>
    </row>
    <row r="413" spans="6:6" ht="15.75" customHeight="1" x14ac:dyDescent="0.3">
      <c r="F413" s="8"/>
    </row>
    <row r="414" spans="6:6" ht="15.75" customHeight="1" x14ac:dyDescent="0.3">
      <c r="F414" s="8"/>
    </row>
    <row r="415" spans="6:6" ht="15.75" customHeight="1" x14ac:dyDescent="0.3">
      <c r="F415" s="8"/>
    </row>
    <row r="416" spans="6:6" ht="15.75" customHeight="1" x14ac:dyDescent="0.3">
      <c r="F416" s="8"/>
    </row>
    <row r="417" spans="6:6" ht="15.75" customHeight="1" x14ac:dyDescent="0.3">
      <c r="F417" s="8"/>
    </row>
    <row r="418" spans="6:6" ht="15.75" customHeight="1" x14ac:dyDescent="0.3">
      <c r="F418" s="8"/>
    </row>
    <row r="419" spans="6:6" ht="15.75" customHeight="1" x14ac:dyDescent="0.3">
      <c r="F419" s="8"/>
    </row>
    <row r="420" spans="6:6" ht="15.75" customHeight="1" x14ac:dyDescent="0.3">
      <c r="F420" s="8"/>
    </row>
    <row r="421" spans="6:6" ht="15.75" customHeight="1" x14ac:dyDescent="0.3">
      <c r="F421" s="8"/>
    </row>
    <row r="422" spans="6:6" ht="15.75" customHeight="1" x14ac:dyDescent="0.3">
      <c r="F422" s="8"/>
    </row>
    <row r="423" spans="6:6" ht="15.75" customHeight="1" x14ac:dyDescent="0.3">
      <c r="F423" s="8"/>
    </row>
    <row r="424" spans="6:6" ht="15.75" customHeight="1" x14ac:dyDescent="0.3">
      <c r="F424" s="8"/>
    </row>
    <row r="425" spans="6:6" ht="15.75" customHeight="1" x14ac:dyDescent="0.3">
      <c r="F425" s="8"/>
    </row>
    <row r="426" spans="6:6" ht="15.75" customHeight="1" x14ac:dyDescent="0.3">
      <c r="F426" s="8"/>
    </row>
    <row r="427" spans="6:6" ht="15.75" customHeight="1" x14ac:dyDescent="0.3">
      <c r="F427" s="8"/>
    </row>
    <row r="428" spans="6:6" ht="15.75" customHeight="1" x14ac:dyDescent="0.3">
      <c r="F428" s="8"/>
    </row>
    <row r="429" spans="6:6" ht="15.75" customHeight="1" x14ac:dyDescent="0.3">
      <c r="F429" s="8"/>
    </row>
    <row r="430" spans="6:6" ht="15.75" customHeight="1" x14ac:dyDescent="0.3">
      <c r="F430" s="8"/>
    </row>
    <row r="431" spans="6:6" ht="15.75" customHeight="1" x14ac:dyDescent="0.3">
      <c r="F431" s="8"/>
    </row>
    <row r="432" spans="6:6" ht="15.75" customHeight="1" x14ac:dyDescent="0.3">
      <c r="F432" s="8"/>
    </row>
    <row r="433" spans="6:6" ht="15.75" customHeight="1" x14ac:dyDescent="0.3">
      <c r="F433" s="8"/>
    </row>
    <row r="434" spans="6:6" ht="15.75" customHeight="1" x14ac:dyDescent="0.3">
      <c r="F434" s="8"/>
    </row>
    <row r="435" spans="6:6" ht="15.75" customHeight="1" x14ac:dyDescent="0.3">
      <c r="F435" s="8"/>
    </row>
    <row r="436" spans="6:6" ht="15.75" customHeight="1" x14ac:dyDescent="0.3">
      <c r="F436" s="8"/>
    </row>
    <row r="437" spans="6:6" ht="15.75" customHeight="1" x14ac:dyDescent="0.3">
      <c r="F437" s="8"/>
    </row>
    <row r="438" spans="6:6" ht="15.75" customHeight="1" x14ac:dyDescent="0.3">
      <c r="F438" s="8"/>
    </row>
    <row r="439" spans="6:6" ht="15.75" customHeight="1" x14ac:dyDescent="0.3">
      <c r="F439" s="8"/>
    </row>
    <row r="440" spans="6:6" ht="15.75" customHeight="1" x14ac:dyDescent="0.3">
      <c r="F440" s="8"/>
    </row>
    <row r="441" spans="6:6" ht="15.75" customHeight="1" x14ac:dyDescent="0.3">
      <c r="F441" s="8"/>
    </row>
    <row r="442" spans="6:6" ht="15.75" customHeight="1" x14ac:dyDescent="0.3">
      <c r="F442" s="8"/>
    </row>
    <row r="443" spans="6:6" ht="15.75" customHeight="1" x14ac:dyDescent="0.3">
      <c r="F443" s="8"/>
    </row>
    <row r="444" spans="6:6" ht="15.75" customHeight="1" x14ac:dyDescent="0.3">
      <c r="F444" s="8"/>
    </row>
    <row r="445" spans="6:6" ht="15.75" customHeight="1" x14ac:dyDescent="0.3">
      <c r="F445" s="8"/>
    </row>
    <row r="446" spans="6:6" ht="15.75" customHeight="1" x14ac:dyDescent="0.3">
      <c r="F446" s="8"/>
    </row>
    <row r="447" spans="6:6" ht="15.75" customHeight="1" x14ac:dyDescent="0.3">
      <c r="F447" s="8"/>
    </row>
    <row r="448" spans="6:6" ht="15.75" customHeight="1" x14ac:dyDescent="0.3">
      <c r="F448" s="8"/>
    </row>
    <row r="449" spans="6:6" ht="15.75" customHeight="1" x14ac:dyDescent="0.3">
      <c r="F449" s="8"/>
    </row>
    <row r="450" spans="6:6" ht="15.75" customHeight="1" x14ac:dyDescent="0.3">
      <c r="F450" s="8"/>
    </row>
    <row r="451" spans="6:6" ht="15.75" customHeight="1" x14ac:dyDescent="0.3">
      <c r="F451" s="8"/>
    </row>
    <row r="452" spans="6:6" ht="15.75" customHeight="1" x14ac:dyDescent="0.3">
      <c r="F452" s="8"/>
    </row>
    <row r="453" spans="6:6" ht="15.75" customHeight="1" x14ac:dyDescent="0.3">
      <c r="F453" s="8"/>
    </row>
    <row r="454" spans="6:6" ht="15.75" customHeight="1" x14ac:dyDescent="0.3">
      <c r="F454" s="8"/>
    </row>
    <row r="455" spans="6:6" ht="15.75" customHeight="1" x14ac:dyDescent="0.3">
      <c r="F455" s="8"/>
    </row>
    <row r="456" spans="6:6" ht="15.75" customHeight="1" x14ac:dyDescent="0.3">
      <c r="F456" s="8"/>
    </row>
    <row r="457" spans="6:6" ht="15.75" customHeight="1" x14ac:dyDescent="0.3">
      <c r="F457" s="8"/>
    </row>
    <row r="458" spans="6:6" ht="15.75" customHeight="1" x14ac:dyDescent="0.3">
      <c r="F458" s="8"/>
    </row>
    <row r="459" spans="6:6" ht="15.75" customHeight="1" x14ac:dyDescent="0.3">
      <c r="F459" s="8"/>
    </row>
    <row r="460" spans="6:6" ht="15.75" customHeight="1" x14ac:dyDescent="0.3">
      <c r="F460" s="8"/>
    </row>
    <row r="461" spans="6:6" ht="15.75" customHeight="1" x14ac:dyDescent="0.3">
      <c r="F461" s="8"/>
    </row>
    <row r="462" spans="6:6" ht="15.75" customHeight="1" x14ac:dyDescent="0.3">
      <c r="F462" s="8"/>
    </row>
    <row r="463" spans="6:6" ht="15.75" customHeight="1" x14ac:dyDescent="0.3">
      <c r="F463" s="8"/>
    </row>
    <row r="464" spans="6:6" ht="15.75" customHeight="1" x14ac:dyDescent="0.3">
      <c r="F464" s="8"/>
    </row>
    <row r="465" spans="6:6" ht="15.75" customHeight="1" x14ac:dyDescent="0.3">
      <c r="F465" s="8"/>
    </row>
    <row r="466" spans="6:6" ht="15.75" customHeight="1" x14ac:dyDescent="0.3">
      <c r="F466" s="8"/>
    </row>
    <row r="467" spans="6:6" ht="15.75" customHeight="1" x14ac:dyDescent="0.3">
      <c r="F467" s="8"/>
    </row>
    <row r="468" spans="6:6" ht="15.75" customHeight="1" x14ac:dyDescent="0.3">
      <c r="F468" s="8"/>
    </row>
    <row r="469" spans="6:6" ht="15.75" customHeight="1" x14ac:dyDescent="0.3">
      <c r="F469" s="8"/>
    </row>
    <row r="470" spans="6:6" ht="15.75" customHeight="1" x14ac:dyDescent="0.3">
      <c r="F470" s="8"/>
    </row>
    <row r="471" spans="6:6" ht="15.75" customHeight="1" x14ac:dyDescent="0.3">
      <c r="F471" s="8"/>
    </row>
    <row r="472" spans="6:6" ht="15.75" customHeight="1" x14ac:dyDescent="0.3">
      <c r="F472" s="8"/>
    </row>
    <row r="473" spans="6:6" ht="15.75" customHeight="1" x14ac:dyDescent="0.3">
      <c r="F473" s="8"/>
    </row>
    <row r="474" spans="6:6" ht="15.75" customHeight="1" x14ac:dyDescent="0.3">
      <c r="F474" s="8"/>
    </row>
    <row r="475" spans="6:6" ht="15.75" customHeight="1" x14ac:dyDescent="0.3">
      <c r="F475" s="8"/>
    </row>
    <row r="476" spans="6:6" ht="15.75" customHeight="1" x14ac:dyDescent="0.3">
      <c r="F476" s="8"/>
    </row>
    <row r="477" spans="6:6" ht="15.75" customHeight="1" x14ac:dyDescent="0.3">
      <c r="F477" s="8"/>
    </row>
    <row r="478" spans="6:6" ht="15.75" customHeight="1" x14ac:dyDescent="0.3">
      <c r="F478" s="8"/>
    </row>
    <row r="479" spans="6:6" ht="15.75" customHeight="1" x14ac:dyDescent="0.3">
      <c r="F479" s="8"/>
    </row>
    <row r="480" spans="6:6" ht="15.75" customHeight="1" x14ac:dyDescent="0.3">
      <c r="F480" s="8"/>
    </row>
    <row r="481" spans="6:6" ht="15.75" customHeight="1" x14ac:dyDescent="0.3">
      <c r="F481" s="8"/>
    </row>
    <row r="482" spans="6:6" ht="15.75" customHeight="1" x14ac:dyDescent="0.3">
      <c r="F482" s="8"/>
    </row>
    <row r="483" spans="6:6" ht="15.75" customHeight="1" x14ac:dyDescent="0.3">
      <c r="F483" s="8"/>
    </row>
    <row r="484" spans="6:6" ht="15.75" customHeight="1" x14ac:dyDescent="0.3">
      <c r="F484" s="8"/>
    </row>
    <row r="485" spans="6:6" ht="15.75" customHeight="1" x14ac:dyDescent="0.3">
      <c r="F485" s="8"/>
    </row>
    <row r="486" spans="6:6" ht="15.75" customHeight="1" x14ac:dyDescent="0.3">
      <c r="F486" s="8"/>
    </row>
    <row r="487" spans="6:6" ht="15.75" customHeight="1" x14ac:dyDescent="0.3">
      <c r="F487" s="8"/>
    </row>
    <row r="488" spans="6:6" ht="15.75" customHeight="1" x14ac:dyDescent="0.3">
      <c r="F488" s="8"/>
    </row>
    <row r="489" spans="6:6" ht="15.75" customHeight="1" x14ac:dyDescent="0.3">
      <c r="F489" s="8"/>
    </row>
    <row r="490" spans="6:6" ht="15.75" customHeight="1" x14ac:dyDescent="0.3">
      <c r="F490" s="8"/>
    </row>
    <row r="491" spans="6:6" ht="15.75" customHeight="1" x14ac:dyDescent="0.3">
      <c r="F491" s="8"/>
    </row>
    <row r="492" spans="6:6" ht="15.75" customHeight="1" x14ac:dyDescent="0.3">
      <c r="F492" s="8"/>
    </row>
    <row r="493" spans="6:6" ht="15.75" customHeight="1" x14ac:dyDescent="0.3">
      <c r="F493" s="8"/>
    </row>
    <row r="494" spans="6:6" ht="15.75" customHeight="1" x14ac:dyDescent="0.3">
      <c r="F494" s="8"/>
    </row>
    <row r="495" spans="6:6" ht="15.75" customHeight="1" x14ac:dyDescent="0.3">
      <c r="F495" s="8"/>
    </row>
    <row r="496" spans="6:6" ht="15.75" customHeight="1" x14ac:dyDescent="0.3">
      <c r="F496" s="8"/>
    </row>
    <row r="497" spans="6:6" ht="15.75" customHeight="1" x14ac:dyDescent="0.3">
      <c r="F497" s="8"/>
    </row>
    <row r="498" spans="6:6" ht="15.75" customHeight="1" x14ac:dyDescent="0.3">
      <c r="F498" s="8"/>
    </row>
    <row r="499" spans="6:6" ht="15.75" customHeight="1" x14ac:dyDescent="0.3">
      <c r="F499" s="8"/>
    </row>
    <row r="500" spans="6:6" ht="15.75" customHeight="1" x14ac:dyDescent="0.3">
      <c r="F500" s="8"/>
    </row>
    <row r="501" spans="6:6" ht="15.75" customHeight="1" x14ac:dyDescent="0.3">
      <c r="F501" s="8"/>
    </row>
    <row r="502" spans="6:6" ht="15.75" customHeight="1" x14ac:dyDescent="0.3">
      <c r="F502" s="8"/>
    </row>
    <row r="503" spans="6:6" ht="15.75" customHeight="1" x14ac:dyDescent="0.3">
      <c r="F503" s="8"/>
    </row>
    <row r="504" spans="6:6" ht="15.75" customHeight="1" x14ac:dyDescent="0.3">
      <c r="F504" s="8"/>
    </row>
    <row r="505" spans="6:6" ht="15.75" customHeight="1" x14ac:dyDescent="0.3">
      <c r="F505" s="8"/>
    </row>
    <row r="506" spans="6:6" ht="15.75" customHeight="1" x14ac:dyDescent="0.3">
      <c r="F506" s="8"/>
    </row>
    <row r="507" spans="6:6" ht="15.75" customHeight="1" x14ac:dyDescent="0.3">
      <c r="F507" s="8"/>
    </row>
    <row r="508" spans="6:6" ht="15.75" customHeight="1" x14ac:dyDescent="0.3">
      <c r="F508" s="8"/>
    </row>
    <row r="509" spans="6:6" ht="15.75" customHeight="1" x14ac:dyDescent="0.3">
      <c r="F509" s="8"/>
    </row>
    <row r="510" spans="6:6" ht="15.75" customHeight="1" x14ac:dyDescent="0.3">
      <c r="F510" s="8"/>
    </row>
    <row r="511" spans="6:6" ht="15.75" customHeight="1" x14ac:dyDescent="0.3">
      <c r="F511" s="8"/>
    </row>
    <row r="512" spans="6:6" ht="15.75" customHeight="1" x14ac:dyDescent="0.3">
      <c r="F512" s="8"/>
    </row>
    <row r="513" spans="6:6" ht="15.75" customHeight="1" x14ac:dyDescent="0.3">
      <c r="F513" s="8"/>
    </row>
    <row r="514" spans="6:6" ht="15.75" customHeight="1" x14ac:dyDescent="0.3">
      <c r="F514" s="8"/>
    </row>
    <row r="515" spans="6:6" ht="15.75" customHeight="1" x14ac:dyDescent="0.3">
      <c r="F515" s="8"/>
    </row>
    <row r="516" spans="6:6" ht="15.75" customHeight="1" x14ac:dyDescent="0.3">
      <c r="F516" s="8"/>
    </row>
    <row r="517" spans="6:6" ht="15.75" customHeight="1" x14ac:dyDescent="0.3">
      <c r="F517" s="8"/>
    </row>
    <row r="518" spans="6:6" ht="15.75" customHeight="1" x14ac:dyDescent="0.3">
      <c r="F518" s="8"/>
    </row>
    <row r="519" spans="6:6" ht="15.75" customHeight="1" x14ac:dyDescent="0.3">
      <c r="F519" s="8"/>
    </row>
    <row r="520" spans="6:6" ht="15.75" customHeight="1" x14ac:dyDescent="0.3">
      <c r="F520" s="8"/>
    </row>
    <row r="521" spans="6:6" ht="15.75" customHeight="1" x14ac:dyDescent="0.3">
      <c r="F521" s="8"/>
    </row>
    <row r="522" spans="6:6" ht="15.75" customHeight="1" x14ac:dyDescent="0.3">
      <c r="F522" s="8"/>
    </row>
    <row r="523" spans="6:6" ht="15.75" customHeight="1" x14ac:dyDescent="0.3">
      <c r="F523" s="8"/>
    </row>
    <row r="524" spans="6:6" ht="15.75" customHeight="1" x14ac:dyDescent="0.3">
      <c r="F524" s="8"/>
    </row>
    <row r="525" spans="6:6" ht="15.75" customHeight="1" x14ac:dyDescent="0.3">
      <c r="F525" s="8"/>
    </row>
    <row r="526" spans="6:6" ht="15.75" customHeight="1" x14ac:dyDescent="0.3">
      <c r="F526" s="8"/>
    </row>
    <row r="527" spans="6:6" ht="15.75" customHeight="1" x14ac:dyDescent="0.3">
      <c r="F527" s="8"/>
    </row>
    <row r="528" spans="6:6" ht="15.75" customHeight="1" x14ac:dyDescent="0.3">
      <c r="F528" s="8"/>
    </row>
    <row r="529" spans="6:6" ht="15.75" customHeight="1" x14ac:dyDescent="0.3">
      <c r="F529" s="8"/>
    </row>
    <row r="530" spans="6:6" ht="15.75" customHeight="1" x14ac:dyDescent="0.3">
      <c r="F530" s="8"/>
    </row>
    <row r="531" spans="6:6" ht="15.75" customHeight="1" x14ac:dyDescent="0.3">
      <c r="F531" s="8"/>
    </row>
    <row r="532" spans="6:6" ht="15.75" customHeight="1" x14ac:dyDescent="0.3">
      <c r="F532" s="8"/>
    </row>
    <row r="533" spans="6:6" ht="15.75" customHeight="1" x14ac:dyDescent="0.3">
      <c r="F533" s="8"/>
    </row>
    <row r="534" spans="6:6" ht="15.75" customHeight="1" x14ac:dyDescent="0.3">
      <c r="F534" s="8"/>
    </row>
    <row r="535" spans="6:6" ht="15.75" customHeight="1" x14ac:dyDescent="0.3">
      <c r="F535" s="8"/>
    </row>
    <row r="536" spans="6:6" ht="15.75" customHeight="1" x14ac:dyDescent="0.3">
      <c r="F536" s="8"/>
    </row>
    <row r="537" spans="6:6" ht="15.75" customHeight="1" x14ac:dyDescent="0.3">
      <c r="F537" s="8"/>
    </row>
    <row r="538" spans="6:6" ht="15.75" customHeight="1" x14ac:dyDescent="0.3">
      <c r="F538" s="8"/>
    </row>
    <row r="539" spans="6:6" ht="15.75" customHeight="1" x14ac:dyDescent="0.3">
      <c r="F539" s="8"/>
    </row>
    <row r="540" spans="6:6" ht="15.75" customHeight="1" x14ac:dyDescent="0.3">
      <c r="F540" s="8"/>
    </row>
    <row r="541" spans="6:6" ht="15.75" customHeight="1" x14ac:dyDescent="0.3">
      <c r="F541" s="8"/>
    </row>
    <row r="542" spans="6:6" ht="15.75" customHeight="1" x14ac:dyDescent="0.3">
      <c r="F542" s="8"/>
    </row>
    <row r="543" spans="6:6" ht="15.75" customHeight="1" x14ac:dyDescent="0.3">
      <c r="F543" s="8"/>
    </row>
    <row r="544" spans="6:6" ht="15.75" customHeight="1" x14ac:dyDescent="0.3">
      <c r="F544" s="8"/>
    </row>
    <row r="545" spans="6:6" ht="15.75" customHeight="1" x14ac:dyDescent="0.3">
      <c r="F545" s="8"/>
    </row>
    <row r="546" spans="6:6" ht="15.75" customHeight="1" x14ac:dyDescent="0.3">
      <c r="F546" s="8"/>
    </row>
    <row r="547" spans="6:6" ht="15.75" customHeight="1" x14ac:dyDescent="0.3">
      <c r="F547" s="8"/>
    </row>
    <row r="548" spans="6:6" ht="15.75" customHeight="1" x14ac:dyDescent="0.3">
      <c r="F548" s="8"/>
    </row>
    <row r="549" spans="6:6" ht="15.75" customHeight="1" x14ac:dyDescent="0.3">
      <c r="F549" s="8"/>
    </row>
    <row r="550" spans="6:6" ht="15.75" customHeight="1" x14ac:dyDescent="0.3">
      <c r="F550" s="8"/>
    </row>
    <row r="551" spans="6:6" ht="15.75" customHeight="1" x14ac:dyDescent="0.3">
      <c r="F551" s="8"/>
    </row>
    <row r="552" spans="6:6" ht="15.75" customHeight="1" x14ac:dyDescent="0.3">
      <c r="F552" s="8"/>
    </row>
    <row r="553" spans="6:6" ht="15.75" customHeight="1" x14ac:dyDescent="0.3">
      <c r="F553" s="8"/>
    </row>
    <row r="554" spans="6:6" ht="15.75" customHeight="1" x14ac:dyDescent="0.3">
      <c r="F554" s="8"/>
    </row>
    <row r="555" spans="6:6" ht="15.75" customHeight="1" x14ac:dyDescent="0.3">
      <c r="F555" s="8"/>
    </row>
    <row r="556" spans="6:6" ht="15.75" customHeight="1" x14ac:dyDescent="0.3">
      <c r="F556" s="8"/>
    </row>
    <row r="557" spans="6:6" ht="15.75" customHeight="1" x14ac:dyDescent="0.3">
      <c r="F557" s="8"/>
    </row>
    <row r="558" spans="6:6" ht="15.75" customHeight="1" x14ac:dyDescent="0.3">
      <c r="F558" s="8"/>
    </row>
    <row r="559" spans="6:6" ht="15.75" customHeight="1" x14ac:dyDescent="0.3">
      <c r="F559" s="8"/>
    </row>
    <row r="560" spans="6:6" ht="15.75" customHeight="1" x14ac:dyDescent="0.3">
      <c r="F560" s="8"/>
    </row>
    <row r="561" spans="6:6" ht="15.75" customHeight="1" x14ac:dyDescent="0.3">
      <c r="F561" s="8"/>
    </row>
    <row r="562" spans="6:6" ht="15.75" customHeight="1" x14ac:dyDescent="0.3">
      <c r="F562" s="8"/>
    </row>
    <row r="563" spans="6:6" ht="15.75" customHeight="1" x14ac:dyDescent="0.3">
      <c r="F563" s="8"/>
    </row>
    <row r="564" spans="6:6" ht="15.75" customHeight="1" x14ac:dyDescent="0.3">
      <c r="F564" s="8"/>
    </row>
    <row r="565" spans="6:6" ht="15.75" customHeight="1" x14ac:dyDescent="0.3">
      <c r="F565" s="8"/>
    </row>
    <row r="566" spans="6:6" ht="15.75" customHeight="1" x14ac:dyDescent="0.3">
      <c r="F566" s="8"/>
    </row>
    <row r="567" spans="6:6" ht="15.75" customHeight="1" x14ac:dyDescent="0.3">
      <c r="F567" s="8"/>
    </row>
    <row r="568" spans="6:6" ht="15.75" customHeight="1" x14ac:dyDescent="0.3">
      <c r="F568" s="8"/>
    </row>
    <row r="569" spans="6:6" ht="15.75" customHeight="1" x14ac:dyDescent="0.3">
      <c r="F569" s="8"/>
    </row>
    <row r="570" spans="6:6" ht="15.75" customHeight="1" x14ac:dyDescent="0.3">
      <c r="F570" s="8"/>
    </row>
    <row r="571" spans="6:6" ht="15.75" customHeight="1" x14ac:dyDescent="0.3">
      <c r="F571" s="8"/>
    </row>
    <row r="572" spans="6:6" ht="15.75" customHeight="1" x14ac:dyDescent="0.3">
      <c r="F572" s="8"/>
    </row>
    <row r="573" spans="6:6" ht="15.75" customHeight="1" x14ac:dyDescent="0.3">
      <c r="F573" s="8"/>
    </row>
    <row r="574" spans="6:6" ht="15.75" customHeight="1" x14ac:dyDescent="0.3">
      <c r="F574" s="8"/>
    </row>
    <row r="575" spans="6:6" ht="15.75" customHeight="1" x14ac:dyDescent="0.3">
      <c r="F575" s="8"/>
    </row>
    <row r="576" spans="6:6" ht="15.75" customHeight="1" x14ac:dyDescent="0.3">
      <c r="F576" s="8"/>
    </row>
    <row r="577" spans="6:6" ht="15.75" customHeight="1" x14ac:dyDescent="0.3">
      <c r="F577" s="8"/>
    </row>
    <row r="578" spans="6:6" ht="15.75" customHeight="1" x14ac:dyDescent="0.3">
      <c r="F578" s="8"/>
    </row>
    <row r="579" spans="6:6" ht="15.75" customHeight="1" x14ac:dyDescent="0.3">
      <c r="F579" s="8"/>
    </row>
    <row r="580" spans="6:6" ht="15.75" customHeight="1" x14ac:dyDescent="0.3">
      <c r="F580" s="8"/>
    </row>
    <row r="581" spans="6:6" ht="15.75" customHeight="1" x14ac:dyDescent="0.3">
      <c r="F581" s="8"/>
    </row>
    <row r="582" spans="6:6" ht="15.75" customHeight="1" x14ac:dyDescent="0.3">
      <c r="F582" s="8"/>
    </row>
    <row r="583" spans="6:6" ht="15.75" customHeight="1" x14ac:dyDescent="0.3">
      <c r="F583" s="8"/>
    </row>
    <row r="584" spans="6:6" ht="15.75" customHeight="1" x14ac:dyDescent="0.3">
      <c r="F584" s="8"/>
    </row>
    <row r="585" spans="6:6" ht="15.75" customHeight="1" x14ac:dyDescent="0.3">
      <c r="F585" s="8"/>
    </row>
    <row r="586" spans="6:6" ht="15.75" customHeight="1" x14ac:dyDescent="0.3">
      <c r="F586" s="8"/>
    </row>
    <row r="587" spans="6:6" ht="15.75" customHeight="1" x14ac:dyDescent="0.3">
      <c r="F587" s="8"/>
    </row>
    <row r="588" spans="6:6" ht="15.75" customHeight="1" x14ac:dyDescent="0.3">
      <c r="F588" s="8"/>
    </row>
    <row r="589" spans="6:6" ht="15.75" customHeight="1" x14ac:dyDescent="0.3">
      <c r="F589" s="8"/>
    </row>
    <row r="590" spans="6:6" ht="15.75" customHeight="1" x14ac:dyDescent="0.3">
      <c r="F590" s="8"/>
    </row>
    <row r="591" spans="6:6" ht="15.75" customHeight="1" x14ac:dyDescent="0.3">
      <c r="F591" s="8"/>
    </row>
    <row r="592" spans="6:6" ht="15.75" customHeight="1" x14ac:dyDescent="0.3">
      <c r="F592" s="8"/>
    </row>
    <row r="593" spans="6:6" ht="15.75" customHeight="1" x14ac:dyDescent="0.3">
      <c r="F593" s="8"/>
    </row>
    <row r="594" spans="6:6" ht="15.75" customHeight="1" x14ac:dyDescent="0.3">
      <c r="F594" s="8"/>
    </row>
    <row r="595" spans="6:6" ht="15.75" customHeight="1" x14ac:dyDescent="0.3">
      <c r="F595" s="8"/>
    </row>
    <row r="596" spans="6:6" ht="15.75" customHeight="1" x14ac:dyDescent="0.3">
      <c r="F596" s="8"/>
    </row>
    <row r="597" spans="6:6" ht="15.75" customHeight="1" x14ac:dyDescent="0.3">
      <c r="F597" s="8"/>
    </row>
    <row r="598" spans="6:6" ht="15.75" customHeight="1" x14ac:dyDescent="0.3">
      <c r="F598" s="8"/>
    </row>
    <row r="599" spans="6:6" ht="15.75" customHeight="1" x14ac:dyDescent="0.3">
      <c r="F599" s="8"/>
    </row>
    <row r="600" spans="6:6" ht="15.75" customHeight="1" x14ac:dyDescent="0.3">
      <c r="F600" s="8"/>
    </row>
    <row r="601" spans="6:6" ht="15.75" customHeight="1" x14ac:dyDescent="0.3">
      <c r="F601" s="8"/>
    </row>
    <row r="602" spans="6:6" ht="15.75" customHeight="1" x14ac:dyDescent="0.3">
      <c r="F602" s="8"/>
    </row>
    <row r="603" spans="6:6" ht="15.75" customHeight="1" x14ac:dyDescent="0.3">
      <c r="F603" s="8"/>
    </row>
    <row r="604" spans="6:6" ht="15.75" customHeight="1" x14ac:dyDescent="0.3">
      <c r="F604" s="8"/>
    </row>
    <row r="605" spans="6:6" ht="15.75" customHeight="1" x14ac:dyDescent="0.3">
      <c r="F605" s="8"/>
    </row>
    <row r="606" spans="6:6" ht="15.75" customHeight="1" x14ac:dyDescent="0.3">
      <c r="F606" s="8"/>
    </row>
    <row r="607" spans="6:6" ht="15.75" customHeight="1" x14ac:dyDescent="0.3">
      <c r="F607" s="8"/>
    </row>
    <row r="608" spans="6:6" ht="15.75" customHeight="1" x14ac:dyDescent="0.3">
      <c r="F608" s="8"/>
    </row>
    <row r="609" spans="6:6" ht="15.75" customHeight="1" x14ac:dyDescent="0.3">
      <c r="F609" s="8"/>
    </row>
    <row r="610" spans="6:6" ht="15.75" customHeight="1" x14ac:dyDescent="0.3">
      <c r="F610" s="8"/>
    </row>
    <row r="611" spans="6:6" ht="15.75" customHeight="1" x14ac:dyDescent="0.3">
      <c r="F611" s="8"/>
    </row>
    <row r="612" spans="6:6" ht="15.75" customHeight="1" x14ac:dyDescent="0.3">
      <c r="F612" s="8"/>
    </row>
    <row r="613" spans="6:6" ht="15.75" customHeight="1" x14ac:dyDescent="0.3">
      <c r="F613" s="8"/>
    </row>
    <row r="614" spans="6:6" ht="15.75" customHeight="1" x14ac:dyDescent="0.3">
      <c r="F614" s="8"/>
    </row>
    <row r="615" spans="6:6" ht="15.75" customHeight="1" x14ac:dyDescent="0.3">
      <c r="F615" s="8"/>
    </row>
    <row r="616" spans="6:6" ht="15.75" customHeight="1" x14ac:dyDescent="0.3">
      <c r="F616" s="8"/>
    </row>
    <row r="617" spans="6:6" ht="15.75" customHeight="1" x14ac:dyDescent="0.3">
      <c r="F617" s="8"/>
    </row>
    <row r="618" spans="6:6" ht="15.75" customHeight="1" x14ac:dyDescent="0.3">
      <c r="F618" s="8"/>
    </row>
    <row r="619" spans="6:6" ht="15.75" customHeight="1" x14ac:dyDescent="0.3">
      <c r="F619" s="8"/>
    </row>
    <row r="620" spans="6:6" ht="15.75" customHeight="1" x14ac:dyDescent="0.3">
      <c r="F620" s="8"/>
    </row>
    <row r="621" spans="6:6" ht="15.75" customHeight="1" x14ac:dyDescent="0.3">
      <c r="F621" s="8"/>
    </row>
    <row r="622" spans="6:6" ht="15.75" customHeight="1" x14ac:dyDescent="0.3">
      <c r="F622" s="8"/>
    </row>
    <row r="623" spans="6:6" ht="15.75" customHeight="1" x14ac:dyDescent="0.3">
      <c r="F623" s="8"/>
    </row>
    <row r="624" spans="6:6" ht="15.75" customHeight="1" x14ac:dyDescent="0.3">
      <c r="F624" s="8"/>
    </row>
    <row r="625" spans="6:6" ht="15.75" customHeight="1" x14ac:dyDescent="0.3">
      <c r="F625" s="8"/>
    </row>
    <row r="626" spans="6:6" ht="15.75" customHeight="1" x14ac:dyDescent="0.3">
      <c r="F626" s="8"/>
    </row>
    <row r="627" spans="6:6" ht="15.75" customHeight="1" x14ac:dyDescent="0.3">
      <c r="F627" s="8"/>
    </row>
    <row r="628" spans="6:6" ht="15.75" customHeight="1" x14ac:dyDescent="0.3">
      <c r="F628" s="8"/>
    </row>
    <row r="629" spans="6:6" ht="15.75" customHeight="1" x14ac:dyDescent="0.3">
      <c r="F629" s="8"/>
    </row>
    <row r="630" spans="6:6" ht="15.75" customHeight="1" x14ac:dyDescent="0.3">
      <c r="F630" s="8"/>
    </row>
    <row r="631" spans="6:6" ht="15.75" customHeight="1" x14ac:dyDescent="0.3">
      <c r="F631" s="8"/>
    </row>
    <row r="632" spans="6:6" ht="15.75" customHeight="1" x14ac:dyDescent="0.3">
      <c r="F632" s="8"/>
    </row>
    <row r="633" spans="6:6" ht="15.75" customHeight="1" x14ac:dyDescent="0.3">
      <c r="F633" s="8"/>
    </row>
    <row r="634" spans="6:6" ht="15.75" customHeight="1" x14ac:dyDescent="0.3">
      <c r="F634" s="8"/>
    </row>
    <row r="635" spans="6:6" ht="15.75" customHeight="1" x14ac:dyDescent="0.3">
      <c r="F635" s="8"/>
    </row>
    <row r="636" spans="6:6" ht="15.75" customHeight="1" x14ac:dyDescent="0.3">
      <c r="F636" s="8"/>
    </row>
    <row r="637" spans="6:6" ht="15.75" customHeight="1" x14ac:dyDescent="0.3">
      <c r="F637" s="8"/>
    </row>
    <row r="638" spans="6:6" ht="15.75" customHeight="1" x14ac:dyDescent="0.3">
      <c r="F638" s="8"/>
    </row>
    <row r="639" spans="6:6" ht="15.75" customHeight="1" x14ac:dyDescent="0.3">
      <c r="F639" s="8"/>
    </row>
    <row r="640" spans="6:6" ht="15.75" customHeight="1" x14ac:dyDescent="0.3">
      <c r="F640" s="8"/>
    </row>
    <row r="641" spans="6:6" ht="15.75" customHeight="1" x14ac:dyDescent="0.3">
      <c r="F641" s="8"/>
    </row>
    <row r="642" spans="6:6" ht="15.75" customHeight="1" x14ac:dyDescent="0.3">
      <c r="F642" s="8"/>
    </row>
    <row r="643" spans="6:6" ht="15.75" customHeight="1" x14ac:dyDescent="0.3">
      <c r="F643" s="8"/>
    </row>
    <row r="644" spans="6:6" ht="15.75" customHeight="1" x14ac:dyDescent="0.3">
      <c r="F644" s="8"/>
    </row>
    <row r="645" spans="6:6" ht="15.75" customHeight="1" x14ac:dyDescent="0.3">
      <c r="F645" s="8"/>
    </row>
    <row r="646" spans="6:6" ht="15.75" customHeight="1" x14ac:dyDescent="0.3">
      <c r="F646" s="8"/>
    </row>
    <row r="647" spans="6:6" ht="15.75" customHeight="1" x14ac:dyDescent="0.3">
      <c r="F647" s="8"/>
    </row>
    <row r="648" spans="6:6" ht="15.75" customHeight="1" x14ac:dyDescent="0.3">
      <c r="F648" s="8"/>
    </row>
    <row r="649" spans="6:6" ht="15.75" customHeight="1" x14ac:dyDescent="0.3">
      <c r="F649" s="8"/>
    </row>
    <row r="650" spans="6:6" ht="15.75" customHeight="1" x14ac:dyDescent="0.3">
      <c r="F650" s="8"/>
    </row>
    <row r="651" spans="6:6" ht="15.75" customHeight="1" x14ac:dyDescent="0.3">
      <c r="F651" s="8"/>
    </row>
    <row r="652" spans="6:6" ht="15.75" customHeight="1" x14ac:dyDescent="0.3">
      <c r="F652" s="8"/>
    </row>
    <row r="653" spans="6:6" ht="15.75" customHeight="1" x14ac:dyDescent="0.3">
      <c r="F653" s="8"/>
    </row>
    <row r="654" spans="6:6" ht="15.75" customHeight="1" x14ac:dyDescent="0.3">
      <c r="F654" s="8"/>
    </row>
    <row r="655" spans="6:6" ht="15.75" customHeight="1" x14ac:dyDescent="0.3">
      <c r="F655" s="8"/>
    </row>
    <row r="656" spans="6:6" ht="15.75" customHeight="1" x14ac:dyDescent="0.3">
      <c r="F656" s="8"/>
    </row>
    <row r="657" spans="6:6" ht="15.75" customHeight="1" x14ac:dyDescent="0.3">
      <c r="F657" s="8"/>
    </row>
    <row r="658" spans="6:6" ht="15.75" customHeight="1" x14ac:dyDescent="0.3">
      <c r="F658" s="8"/>
    </row>
    <row r="659" spans="6:6" ht="15.75" customHeight="1" x14ac:dyDescent="0.3">
      <c r="F659" s="8"/>
    </row>
    <row r="660" spans="6:6" ht="15.75" customHeight="1" x14ac:dyDescent="0.3">
      <c r="F660" s="8"/>
    </row>
    <row r="661" spans="6:6" ht="15.75" customHeight="1" x14ac:dyDescent="0.3">
      <c r="F661" s="8"/>
    </row>
    <row r="662" spans="6:6" ht="15.75" customHeight="1" x14ac:dyDescent="0.3">
      <c r="F662" s="8"/>
    </row>
    <row r="663" spans="6:6" ht="15.75" customHeight="1" x14ac:dyDescent="0.3">
      <c r="F663" s="8"/>
    </row>
    <row r="664" spans="6:6" ht="15.75" customHeight="1" x14ac:dyDescent="0.3">
      <c r="F664" s="8"/>
    </row>
    <row r="665" spans="6:6" ht="15.75" customHeight="1" x14ac:dyDescent="0.3">
      <c r="F665" s="8"/>
    </row>
    <row r="666" spans="6:6" ht="15.75" customHeight="1" x14ac:dyDescent="0.3">
      <c r="F666" s="8"/>
    </row>
    <row r="667" spans="6:6" ht="15.75" customHeight="1" x14ac:dyDescent="0.3">
      <c r="F667" s="8"/>
    </row>
    <row r="668" spans="6:6" ht="15.75" customHeight="1" x14ac:dyDescent="0.3">
      <c r="F668" s="8"/>
    </row>
    <row r="669" spans="6:6" ht="15.75" customHeight="1" x14ac:dyDescent="0.3">
      <c r="F669" s="8"/>
    </row>
    <row r="670" spans="6:6" ht="15.75" customHeight="1" x14ac:dyDescent="0.3">
      <c r="F670" s="8"/>
    </row>
    <row r="671" spans="6:6" ht="15.75" customHeight="1" x14ac:dyDescent="0.3">
      <c r="F671" s="8"/>
    </row>
    <row r="672" spans="6:6" ht="15.75" customHeight="1" x14ac:dyDescent="0.3">
      <c r="F672" s="8"/>
    </row>
    <row r="673" spans="6:6" ht="15.75" customHeight="1" x14ac:dyDescent="0.3">
      <c r="F673" s="8"/>
    </row>
    <row r="674" spans="6:6" ht="15.75" customHeight="1" x14ac:dyDescent="0.3">
      <c r="F674" s="8"/>
    </row>
    <row r="675" spans="6:6" ht="15.75" customHeight="1" x14ac:dyDescent="0.3">
      <c r="F675" s="8"/>
    </row>
    <row r="676" spans="6:6" ht="15.75" customHeight="1" x14ac:dyDescent="0.3">
      <c r="F676" s="8"/>
    </row>
    <row r="677" spans="6:6" ht="15.75" customHeight="1" x14ac:dyDescent="0.3">
      <c r="F677" s="8"/>
    </row>
    <row r="678" spans="6:6" ht="15.75" customHeight="1" x14ac:dyDescent="0.3">
      <c r="F678" s="8"/>
    </row>
    <row r="679" spans="6:6" ht="15.75" customHeight="1" x14ac:dyDescent="0.3">
      <c r="F679" s="8"/>
    </row>
    <row r="680" spans="6:6" ht="15.75" customHeight="1" x14ac:dyDescent="0.3">
      <c r="F680" s="8"/>
    </row>
    <row r="681" spans="6:6" ht="15.75" customHeight="1" x14ac:dyDescent="0.3">
      <c r="F681" s="8"/>
    </row>
    <row r="682" spans="6:6" ht="15.75" customHeight="1" x14ac:dyDescent="0.3">
      <c r="F682" s="8"/>
    </row>
    <row r="683" spans="6:6" ht="15.75" customHeight="1" x14ac:dyDescent="0.3">
      <c r="F683" s="8"/>
    </row>
    <row r="684" spans="6:6" ht="15.75" customHeight="1" x14ac:dyDescent="0.3">
      <c r="F684" s="8"/>
    </row>
    <row r="685" spans="6:6" ht="15.75" customHeight="1" x14ac:dyDescent="0.3">
      <c r="F685" s="8"/>
    </row>
    <row r="686" spans="6:6" ht="15.75" customHeight="1" x14ac:dyDescent="0.3">
      <c r="F686" s="8"/>
    </row>
    <row r="687" spans="6:6" ht="15.75" customHeight="1" x14ac:dyDescent="0.3">
      <c r="F687" s="8"/>
    </row>
    <row r="688" spans="6:6" ht="15.75" customHeight="1" x14ac:dyDescent="0.3">
      <c r="F688" s="8"/>
    </row>
    <row r="689" spans="6:6" ht="15.75" customHeight="1" x14ac:dyDescent="0.3">
      <c r="F689" s="8"/>
    </row>
    <row r="690" spans="6:6" ht="15.75" customHeight="1" x14ac:dyDescent="0.3">
      <c r="F690" s="8"/>
    </row>
    <row r="691" spans="6:6" ht="15.75" customHeight="1" x14ac:dyDescent="0.3">
      <c r="F691" s="8"/>
    </row>
    <row r="692" spans="6:6" ht="15.75" customHeight="1" x14ac:dyDescent="0.3">
      <c r="F692" s="8"/>
    </row>
    <row r="693" spans="6:6" ht="15.75" customHeight="1" x14ac:dyDescent="0.3">
      <c r="F693" s="8"/>
    </row>
    <row r="694" spans="6:6" ht="15.75" customHeight="1" x14ac:dyDescent="0.3">
      <c r="F694" s="8"/>
    </row>
    <row r="695" spans="6:6" ht="15.75" customHeight="1" x14ac:dyDescent="0.3">
      <c r="F695" s="8"/>
    </row>
    <row r="696" spans="6:6" ht="15.75" customHeight="1" x14ac:dyDescent="0.3">
      <c r="F696" s="8"/>
    </row>
    <row r="697" spans="6:6" ht="15.75" customHeight="1" x14ac:dyDescent="0.3">
      <c r="F697" s="8"/>
    </row>
    <row r="698" spans="6:6" ht="15.75" customHeight="1" x14ac:dyDescent="0.3">
      <c r="F698" s="8"/>
    </row>
    <row r="699" spans="6:6" ht="15.75" customHeight="1" x14ac:dyDescent="0.3">
      <c r="F699" s="8"/>
    </row>
    <row r="700" spans="6:6" ht="15.75" customHeight="1" x14ac:dyDescent="0.3">
      <c r="F700" s="8"/>
    </row>
    <row r="701" spans="6:6" ht="15.75" customHeight="1" x14ac:dyDescent="0.3">
      <c r="F701" s="8"/>
    </row>
    <row r="702" spans="6:6" ht="15.75" customHeight="1" x14ac:dyDescent="0.3">
      <c r="F702" s="8"/>
    </row>
    <row r="703" spans="6:6" ht="15.75" customHeight="1" x14ac:dyDescent="0.3">
      <c r="F703" s="8"/>
    </row>
    <row r="704" spans="6:6" ht="15.75" customHeight="1" x14ac:dyDescent="0.3">
      <c r="F704" s="8"/>
    </row>
    <row r="705" spans="6:6" ht="15.75" customHeight="1" x14ac:dyDescent="0.3">
      <c r="F705" s="8"/>
    </row>
    <row r="706" spans="6:6" ht="15.75" customHeight="1" x14ac:dyDescent="0.3">
      <c r="F706" s="8"/>
    </row>
    <row r="707" spans="6:6" ht="15.75" customHeight="1" x14ac:dyDescent="0.3">
      <c r="F707" s="8"/>
    </row>
    <row r="708" spans="6:6" ht="15.75" customHeight="1" x14ac:dyDescent="0.3">
      <c r="F708" s="8"/>
    </row>
    <row r="709" spans="6:6" ht="15.75" customHeight="1" x14ac:dyDescent="0.3">
      <c r="F709" s="8"/>
    </row>
    <row r="710" spans="6:6" ht="15.75" customHeight="1" x14ac:dyDescent="0.3">
      <c r="F710" s="8"/>
    </row>
    <row r="711" spans="6:6" ht="15.75" customHeight="1" x14ac:dyDescent="0.3">
      <c r="F711" s="8"/>
    </row>
    <row r="712" spans="6:6" ht="15.75" customHeight="1" x14ac:dyDescent="0.3">
      <c r="F712" s="8"/>
    </row>
    <row r="713" spans="6:6" ht="15.75" customHeight="1" x14ac:dyDescent="0.3">
      <c r="F713" s="8"/>
    </row>
    <row r="714" spans="6:6" ht="15.75" customHeight="1" x14ac:dyDescent="0.3">
      <c r="F714" s="8"/>
    </row>
    <row r="715" spans="6:6" ht="15.75" customHeight="1" x14ac:dyDescent="0.3">
      <c r="F715" s="8"/>
    </row>
    <row r="716" spans="6:6" ht="15.75" customHeight="1" x14ac:dyDescent="0.3">
      <c r="F716" s="8"/>
    </row>
    <row r="717" spans="6:6" ht="15.75" customHeight="1" x14ac:dyDescent="0.3">
      <c r="F717" s="8"/>
    </row>
    <row r="718" spans="6:6" ht="15.75" customHeight="1" x14ac:dyDescent="0.3">
      <c r="F718" s="8"/>
    </row>
    <row r="719" spans="6:6" ht="15.75" customHeight="1" x14ac:dyDescent="0.3">
      <c r="F719" s="8"/>
    </row>
    <row r="720" spans="6:6" ht="15.75" customHeight="1" x14ac:dyDescent="0.3">
      <c r="F720" s="8"/>
    </row>
    <row r="721" spans="6:6" ht="15.75" customHeight="1" x14ac:dyDescent="0.3">
      <c r="F721" s="8"/>
    </row>
    <row r="722" spans="6:6" ht="15.75" customHeight="1" x14ac:dyDescent="0.3">
      <c r="F722" s="8"/>
    </row>
    <row r="723" spans="6:6" ht="15.75" customHeight="1" x14ac:dyDescent="0.3">
      <c r="F723" s="8"/>
    </row>
    <row r="724" spans="6:6" ht="15.75" customHeight="1" x14ac:dyDescent="0.3">
      <c r="F724" s="8"/>
    </row>
    <row r="725" spans="6:6" ht="15.75" customHeight="1" x14ac:dyDescent="0.3">
      <c r="F725" s="8"/>
    </row>
    <row r="726" spans="6:6" ht="15.75" customHeight="1" x14ac:dyDescent="0.3">
      <c r="F726" s="8"/>
    </row>
    <row r="727" spans="6:6" ht="15.75" customHeight="1" x14ac:dyDescent="0.3">
      <c r="F727" s="8"/>
    </row>
    <row r="728" spans="6:6" ht="15.75" customHeight="1" x14ac:dyDescent="0.3">
      <c r="F728" s="8"/>
    </row>
    <row r="729" spans="6:6" ht="15.75" customHeight="1" x14ac:dyDescent="0.3">
      <c r="F729" s="8"/>
    </row>
    <row r="730" spans="6:6" ht="15.75" customHeight="1" x14ac:dyDescent="0.3">
      <c r="F730" s="8"/>
    </row>
    <row r="731" spans="6:6" ht="15.75" customHeight="1" x14ac:dyDescent="0.3">
      <c r="F731" s="8"/>
    </row>
    <row r="732" spans="6:6" ht="15.75" customHeight="1" x14ac:dyDescent="0.3">
      <c r="F732" s="8"/>
    </row>
    <row r="733" spans="6:6" ht="15.75" customHeight="1" x14ac:dyDescent="0.3">
      <c r="F733" s="8"/>
    </row>
    <row r="734" spans="6:6" ht="15.75" customHeight="1" x14ac:dyDescent="0.3">
      <c r="F734" s="8"/>
    </row>
    <row r="735" spans="6:6" ht="15.75" customHeight="1" x14ac:dyDescent="0.3">
      <c r="F735" s="8"/>
    </row>
    <row r="736" spans="6:6" ht="15.75" customHeight="1" x14ac:dyDescent="0.3">
      <c r="F736" s="8"/>
    </row>
    <row r="737" spans="6:6" ht="15.75" customHeight="1" x14ac:dyDescent="0.3">
      <c r="F737" s="8"/>
    </row>
    <row r="738" spans="6:6" ht="15.75" customHeight="1" x14ac:dyDescent="0.3">
      <c r="F738" s="8"/>
    </row>
    <row r="739" spans="6:6" ht="15.75" customHeight="1" x14ac:dyDescent="0.3">
      <c r="F739" s="8"/>
    </row>
    <row r="740" spans="6:6" ht="15.75" customHeight="1" x14ac:dyDescent="0.3">
      <c r="F740" s="8"/>
    </row>
    <row r="741" spans="6:6" ht="15.75" customHeight="1" x14ac:dyDescent="0.3">
      <c r="F741" s="8"/>
    </row>
    <row r="742" spans="6:6" ht="15.75" customHeight="1" x14ac:dyDescent="0.3">
      <c r="F742" s="8"/>
    </row>
    <row r="743" spans="6:6" ht="15.75" customHeight="1" x14ac:dyDescent="0.3">
      <c r="F743" s="8"/>
    </row>
    <row r="744" spans="6:6" ht="15.75" customHeight="1" x14ac:dyDescent="0.3">
      <c r="F744" s="8"/>
    </row>
    <row r="745" spans="6:6" ht="15.75" customHeight="1" x14ac:dyDescent="0.3">
      <c r="F745" s="8"/>
    </row>
    <row r="746" spans="6:6" ht="15.75" customHeight="1" x14ac:dyDescent="0.3">
      <c r="F746" s="8"/>
    </row>
    <row r="747" spans="6:6" ht="15.75" customHeight="1" x14ac:dyDescent="0.3">
      <c r="F747" s="8"/>
    </row>
    <row r="748" spans="6:6" ht="15.75" customHeight="1" x14ac:dyDescent="0.3">
      <c r="F748" s="8"/>
    </row>
    <row r="749" spans="6:6" ht="15.75" customHeight="1" x14ac:dyDescent="0.3">
      <c r="F749" s="8"/>
    </row>
    <row r="750" spans="6:6" ht="15.75" customHeight="1" x14ac:dyDescent="0.3">
      <c r="F750" s="8"/>
    </row>
    <row r="751" spans="6:6" ht="15.75" customHeight="1" x14ac:dyDescent="0.3">
      <c r="F751" s="8"/>
    </row>
    <row r="752" spans="6:6" ht="15.75" customHeight="1" x14ac:dyDescent="0.3">
      <c r="F752" s="8"/>
    </row>
    <row r="753" spans="6:6" ht="15.75" customHeight="1" x14ac:dyDescent="0.3">
      <c r="F753" s="8"/>
    </row>
    <row r="754" spans="6:6" ht="15.75" customHeight="1" x14ac:dyDescent="0.3">
      <c r="F754" s="8"/>
    </row>
    <row r="755" spans="6:6" ht="15.75" customHeight="1" x14ac:dyDescent="0.3">
      <c r="F755" s="8"/>
    </row>
    <row r="756" spans="6:6" ht="15.75" customHeight="1" x14ac:dyDescent="0.3">
      <c r="F756" s="8"/>
    </row>
    <row r="757" spans="6:6" ht="15.75" customHeight="1" x14ac:dyDescent="0.3">
      <c r="F757" s="8"/>
    </row>
    <row r="758" spans="6:6" ht="15.75" customHeight="1" x14ac:dyDescent="0.3">
      <c r="F758" s="8"/>
    </row>
    <row r="759" spans="6:6" ht="15.75" customHeight="1" x14ac:dyDescent="0.3">
      <c r="F759" s="8"/>
    </row>
    <row r="760" spans="6:6" ht="15.75" customHeight="1" x14ac:dyDescent="0.3">
      <c r="F760" s="8"/>
    </row>
    <row r="761" spans="6:6" ht="15.75" customHeight="1" x14ac:dyDescent="0.3">
      <c r="F761" s="8"/>
    </row>
    <row r="762" spans="6:6" ht="15.75" customHeight="1" x14ac:dyDescent="0.3">
      <c r="F762" s="8"/>
    </row>
    <row r="763" spans="6:6" ht="15.75" customHeight="1" x14ac:dyDescent="0.3">
      <c r="F763" s="8"/>
    </row>
    <row r="764" spans="6:6" ht="15.75" customHeight="1" x14ac:dyDescent="0.3">
      <c r="F764" s="8"/>
    </row>
    <row r="765" spans="6:6" ht="15.75" customHeight="1" x14ac:dyDescent="0.3">
      <c r="F765" s="8"/>
    </row>
    <row r="766" spans="6:6" ht="15.75" customHeight="1" x14ac:dyDescent="0.3">
      <c r="F766" s="8"/>
    </row>
    <row r="767" spans="6:6" ht="15.75" customHeight="1" x14ac:dyDescent="0.3">
      <c r="F767" s="8"/>
    </row>
    <row r="768" spans="6:6" ht="15.75" customHeight="1" x14ac:dyDescent="0.3">
      <c r="F768" s="8"/>
    </row>
    <row r="769" spans="6:6" ht="15.75" customHeight="1" x14ac:dyDescent="0.3">
      <c r="F769" s="8"/>
    </row>
    <row r="770" spans="6:6" ht="15.75" customHeight="1" x14ac:dyDescent="0.3">
      <c r="F770" s="8"/>
    </row>
    <row r="771" spans="6:6" ht="15.75" customHeight="1" x14ac:dyDescent="0.3">
      <c r="F771" s="8"/>
    </row>
    <row r="772" spans="6:6" ht="15.75" customHeight="1" x14ac:dyDescent="0.3">
      <c r="F772" s="8"/>
    </row>
    <row r="773" spans="6:6" ht="15.75" customHeight="1" x14ac:dyDescent="0.3">
      <c r="F773" s="8"/>
    </row>
    <row r="774" spans="6:6" ht="15.75" customHeight="1" x14ac:dyDescent="0.3">
      <c r="F774" s="8"/>
    </row>
    <row r="775" spans="6:6" ht="15.75" customHeight="1" x14ac:dyDescent="0.3">
      <c r="F775" s="8"/>
    </row>
    <row r="776" spans="6:6" ht="15.75" customHeight="1" x14ac:dyDescent="0.3">
      <c r="F776" s="8"/>
    </row>
    <row r="777" spans="6:6" ht="15.75" customHeight="1" x14ac:dyDescent="0.3">
      <c r="F777" s="8"/>
    </row>
    <row r="778" spans="6:6" ht="15.75" customHeight="1" x14ac:dyDescent="0.3">
      <c r="F778" s="8"/>
    </row>
    <row r="779" spans="6:6" ht="15.75" customHeight="1" x14ac:dyDescent="0.3">
      <c r="F779" s="8"/>
    </row>
    <row r="780" spans="6:6" ht="15.75" customHeight="1" x14ac:dyDescent="0.3">
      <c r="F780" s="8"/>
    </row>
    <row r="781" spans="6:6" ht="15.75" customHeight="1" x14ac:dyDescent="0.3">
      <c r="F781" s="8"/>
    </row>
    <row r="782" spans="6:6" ht="15.75" customHeight="1" x14ac:dyDescent="0.3">
      <c r="F782" s="8"/>
    </row>
    <row r="783" spans="6:6" ht="15.75" customHeight="1" x14ac:dyDescent="0.3">
      <c r="F783" s="8"/>
    </row>
    <row r="784" spans="6:6" ht="15.75" customHeight="1" x14ac:dyDescent="0.3">
      <c r="F784" s="8"/>
    </row>
    <row r="785" spans="6:6" ht="15.75" customHeight="1" x14ac:dyDescent="0.3">
      <c r="F785" s="8"/>
    </row>
    <row r="786" spans="6:6" ht="15.75" customHeight="1" x14ac:dyDescent="0.3">
      <c r="F786" s="8"/>
    </row>
    <row r="787" spans="6:6" ht="15.75" customHeight="1" x14ac:dyDescent="0.3">
      <c r="F787" s="8"/>
    </row>
    <row r="788" spans="6:6" ht="15.75" customHeight="1" x14ac:dyDescent="0.3">
      <c r="F788" s="8"/>
    </row>
    <row r="789" spans="6:6" ht="15.75" customHeight="1" x14ac:dyDescent="0.3">
      <c r="F789" s="8"/>
    </row>
    <row r="790" spans="6:6" ht="15.75" customHeight="1" x14ac:dyDescent="0.3">
      <c r="F790" s="8"/>
    </row>
    <row r="791" spans="6:6" ht="15.75" customHeight="1" x14ac:dyDescent="0.3">
      <c r="F791" s="8"/>
    </row>
    <row r="792" spans="6:6" ht="15.75" customHeight="1" x14ac:dyDescent="0.3">
      <c r="F792" s="8"/>
    </row>
    <row r="793" spans="6:6" ht="15.75" customHeight="1" x14ac:dyDescent="0.3">
      <c r="F793" s="8"/>
    </row>
    <row r="794" spans="6:6" ht="15.75" customHeight="1" x14ac:dyDescent="0.3">
      <c r="F794" s="8"/>
    </row>
    <row r="795" spans="6:6" ht="15.75" customHeight="1" x14ac:dyDescent="0.3">
      <c r="F795" s="8"/>
    </row>
    <row r="796" spans="6:6" ht="15.75" customHeight="1" x14ac:dyDescent="0.3">
      <c r="F796" s="8"/>
    </row>
    <row r="797" spans="6:6" ht="15.75" customHeight="1" x14ac:dyDescent="0.3">
      <c r="F797" s="8"/>
    </row>
    <row r="798" spans="6:6" ht="15.75" customHeight="1" x14ac:dyDescent="0.3">
      <c r="F798" s="8"/>
    </row>
    <row r="799" spans="6:6" ht="15.75" customHeight="1" x14ac:dyDescent="0.3">
      <c r="F799" s="8"/>
    </row>
    <row r="800" spans="6:6" ht="15.75" customHeight="1" x14ac:dyDescent="0.3">
      <c r="F800" s="8"/>
    </row>
    <row r="801" spans="6:6" ht="15.75" customHeight="1" x14ac:dyDescent="0.3">
      <c r="F801" s="8"/>
    </row>
    <row r="802" spans="6:6" ht="15.75" customHeight="1" x14ac:dyDescent="0.3">
      <c r="F802" s="8"/>
    </row>
    <row r="803" spans="6:6" ht="15.75" customHeight="1" x14ac:dyDescent="0.3">
      <c r="F803" s="8"/>
    </row>
    <row r="804" spans="6:6" ht="15.75" customHeight="1" x14ac:dyDescent="0.3">
      <c r="F804" s="8"/>
    </row>
    <row r="805" spans="6:6" ht="15.75" customHeight="1" x14ac:dyDescent="0.3">
      <c r="F805" s="8"/>
    </row>
    <row r="806" spans="6:6" ht="15.75" customHeight="1" x14ac:dyDescent="0.3">
      <c r="F806" s="8"/>
    </row>
    <row r="807" spans="6:6" ht="15.75" customHeight="1" x14ac:dyDescent="0.3">
      <c r="F807" s="8"/>
    </row>
    <row r="808" spans="6:6" ht="15.75" customHeight="1" x14ac:dyDescent="0.3">
      <c r="F808" s="8"/>
    </row>
    <row r="809" spans="6:6" ht="15.75" customHeight="1" x14ac:dyDescent="0.3">
      <c r="F809" s="8"/>
    </row>
    <row r="810" spans="6:6" ht="15.75" customHeight="1" x14ac:dyDescent="0.3">
      <c r="F810" s="8"/>
    </row>
    <row r="811" spans="6:6" ht="15.75" customHeight="1" x14ac:dyDescent="0.3">
      <c r="F811" s="8"/>
    </row>
    <row r="812" spans="6:6" ht="15.75" customHeight="1" x14ac:dyDescent="0.3">
      <c r="F812" s="8"/>
    </row>
    <row r="813" spans="6:6" ht="15.75" customHeight="1" x14ac:dyDescent="0.3">
      <c r="F813" s="8"/>
    </row>
    <row r="814" spans="6:6" ht="15.75" customHeight="1" x14ac:dyDescent="0.3">
      <c r="F814" s="8"/>
    </row>
    <row r="815" spans="6:6" ht="15.75" customHeight="1" x14ac:dyDescent="0.3">
      <c r="F815" s="8"/>
    </row>
    <row r="816" spans="6:6" ht="15.75" customHeight="1" x14ac:dyDescent="0.3">
      <c r="F816" s="8"/>
    </row>
    <row r="817" spans="6:6" ht="15.75" customHeight="1" x14ac:dyDescent="0.3">
      <c r="F817" s="8"/>
    </row>
    <row r="818" spans="6:6" ht="15.75" customHeight="1" x14ac:dyDescent="0.3">
      <c r="F818" s="8"/>
    </row>
    <row r="819" spans="6:6" ht="15.75" customHeight="1" x14ac:dyDescent="0.3">
      <c r="F819" s="8"/>
    </row>
    <row r="820" spans="6:6" ht="15.75" customHeight="1" x14ac:dyDescent="0.3">
      <c r="F820" s="8"/>
    </row>
    <row r="821" spans="6:6" ht="15.75" customHeight="1" x14ac:dyDescent="0.3">
      <c r="F821" s="8"/>
    </row>
    <row r="822" spans="6:6" ht="15.75" customHeight="1" x14ac:dyDescent="0.3">
      <c r="F822" s="8"/>
    </row>
    <row r="823" spans="6:6" ht="15.75" customHeight="1" x14ac:dyDescent="0.3">
      <c r="F823" s="8"/>
    </row>
    <row r="824" spans="6:6" ht="15.75" customHeight="1" x14ac:dyDescent="0.3">
      <c r="F824" s="8"/>
    </row>
    <row r="825" spans="6:6" ht="15.75" customHeight="1" x14ac:dyDescent="0.3">
      <c r="F825" s="8"/>
    </row>
    <row r="826" spans="6:6" ht="15.75" customHeight="1" x14ac:dyDescent="0.3">
      <c r="F826" s="8"/>
    </row>
    <row r="827" spans="6:6" ht="15.75" customHeight="1" x14ac:dyDescent="0.3">
      <c r="F827" s="8"/>
    </row>
    <row r="828" spans="6:6" ht="15.75" customHeight="1" x14ac:dyDescent="0.3">
      <c r="F828" s="8"/>
    </row>
    <row r="829" spans="6:6" ht="15.75" customHeight="1" x14ac:dyDescent="0.3">
      <c r="F829" s="8"/>
    </row>
    <row r="830" spans="6:6" ht="15.75" customHeight="1" x14ac:dyDescent="0.3">
      <c r="F830" s="8"/>
    </row>
    <row r="831" spans="6:6" ht="15.75" customHeight="1" x14ac:dyDescent="0.3">
      <c r="F831" s="8"/>
    </row>
    <row r="832" spans="6:6" ht="15.75" customHeight="1" x14ac:dyDescent="0.3">
      <c r="F832" s="8"/>
    </row>
    <row r="833" spans="6:6" ht="15.75" customHeight="1" x14ac:dyDescent="0.3">
      <c r="F833" s="8"/>
    </row>
    <row r="834" spans="6:6" ht="15.75" customHeight="1" x14ac:dyDescent="0.3">
      <c r="F834" s="8"/>
    </row>
    <row r="835" spans="6:6" ht="15.75" customHeight="1" x14ac:dyDescent="0.3">
      <c r="F835" s="8"/>
    </row>
    <row r="836" spans="6:6" ht="15.75" customHeight="1" x14ac:dyDescent="0.3">
      <c r="F836" s="8"/>
    </row>
    <row r="837" spans="6:6" ht="15.75" customHeight="1" x14ac:dyDescent="0.3">
      <c r="F837" s="8"/>
    </row>
    <row r="838" spans="6:6" ht="15.75" customHeight="1" x14ac:dyDescent="0.3">
      <c r="F838" s="8"/>
    </row>
    <row r="839" spans="6:6" ht="15.75" customHeight="1" x14ac:dyDescent="0.3">
      <c r="F839" s="8"/>
    </row>
    <row r="840" spans="6:6" ht="15.75" customHeight="1" x14ac:dyDescent="0.3">
      <c r="F840" s="8"/>
    </row>
    <row r="841" spans="6:6" ht="15.75" customHeight="1" x14ac:dyDescent="0.3">
      <c r="F841" s="8"/>
    </row>
    <row r="842" spans="6:6" ht="15.75" customHeight="1" x14ac:dyDescent="0.3">
      <c r="F842" s="8"/>
    </row>
    <row r="843" spans="6:6" ht="15.75" customHeight="1" x14ac:dyDescent="0.3">
      <c r="F843" s="8"/>
    </row>
    <row r="844" spans="6:6" ht="15.75" customHeight="1" x14ac:dyDescent="0.3">
      <c r="F844" s="8"/>
    </row>
    <row r="845" spans="6:6" ht="15.75" customHeight="1" x14ac:dyDescent="0.3">
      <c r="F845" s="8"/>
    </row>
    <row r="846" spans="6:6" ht="15.75" customHeight="1" x14ac:dyDescent="0.3">
      <c r="F846" s="8"/>
    </row>
    <row r="847" spans="6:6" ht="15.75" customHeight="1" x14ac:dyDescent="0.3">
      <c r="F847" s="8"/>
    </row>
    <row r="848" spans="6:6" ht="15.75" customHeight="1" x14ac:dyDescent="0.3">
      <c r="F848" s="8"/>
    </row>
    <row r="849" spans="6:6" ht="15.75" customHeight="1" x14ac:dyDescent="0.3">
      <c r="F849" s="8"/>
    </row>
    <row r="850" spans="6:6" ht="15.75" customHeight="1" x14ac:dyDescent="0.3">
      <c r="F850" s="8"/>
    </row>
    <row r="851" spans="6:6" ht="15.75" customHeight="1" x14ac:dyDescent="0.3">
      <c r="F851" s="8"/>
    </row>
    <row r="852" spans="6:6" ht="15.75" customHeight="1" x14ac:dyDescent="0.3">
      <c r="F852" s="8"/>
    </row>
    <row r="853" spans="6:6" ht="15.75" customHeight="1" x14ac:dyDescent="0.3">
      <c r="F853" s="8"/>
    </row>
    <row r="854" spans="6:6" ht="15.75" customHeight="1" x14ac:dyDescent="0.3">
      <c r="F854" s="8"/>
    </row>
    <row r="855" spans="6:6" ht="15.75" customHeight="1" x14ac:dyDescent="0.3">
      <c r="F855" s="8"/>
    </row>
    <row r="856" spans="6:6" ht="15.75" customHeight="1" x14ac:dyDescent="0.3">
      <c r="F856" s="8"/>
    </row>
    <row r="857" spans="6:6" ht="15.75" customHeight="1" x14ac:dyDescent="0.3">
      <c r="F857" s="8"/>
    </row>
    <row r="858" spans="6:6" ht="15.75" customHeight="1" x14ac:dyDescent="0.3">
      <c r="F858" s="8"/>
    </row>
    <row r="859" spans="6:6" ht="15.75" customHeight="1" x14ac:dyDescent="0.3">
      <c r="F859" s="8"/>
    </row>
    <row r="860" spans="6:6" ht="15.75" customHeight="1" x14ac:dyDescent="0.3">
      <c r="F860" s="8"/>
    </row>
    <row r="861" spans="6:6" ht="15.75" customHeight="1" x14ac:dyDescent="0.3">
      <c r="F861" s="8"/>
    </row>
    <row r="862" spans="6:6" ht="15.75" customHeight="1" x14ac:dyDescent="0.3">
      <c r="F862" s="8"/>
    </row>
    <row r="863" spans="6:6" ht="15.75" customHeight="1" x14ac:dyDescent="0.3">
      <c r="F863" s="8"/>
    </row>
    <row r="864" spans="6:6" ht="15.75" customHeight="1" x14ac:dyDescent="0.3">
      <c r="F864" s="8"/>
    </row>
    <row r="865" spans="6:6" ht="15.75" customHeight="1" x14ac:dyDescent="0.3">
      <c r="F865" s="8"/>
    </row>
    <row r="866" spans="6:6" ht="15.75" customHeight="1" x14ac:dyDescent="0.3">
      <c r="F866" s="8"/>
    </row>
    <row r="867" spans="6:6" ht="15.75" customHeight="1" x14ac:dyDescent="0.3">
      <c r="F867" s="8"/>
    </row>
    <row r="868" spans="6:6" ht="15.75" customHeight="1" x14ac:dyDescent="0.3">
      <c r="F868" s="8"/>
    </row>
    <row r="869" spans="6:6" ht="15.75" customHeight="1" x14ac:dyDescent="0.3">
      <c r="F869" s="8"/>
    </row>
    <row r="870" spans="6:6" ht="15.75" customHeight="1" x14ac:dyDescent="0.3">
      <c r="F870" s="8"/>
    </row>
    <row r="871" spans="6:6" ht="15.75" customHeight="1" x14ac:dyDescent="0.3">
      <c r="F871" s="8"/>
    </row>
    <row r="872" spans="6:6" ht="15.75" customHeight="1" x14ac:dyDescent="0.3">
      <c r="F872" s="8"/>
    </row>
    <row r="873" spans="6:6" ht="15.75" customHeight="1" x14ac:dyDescent="0.3">
      <c r="F873" s="8"/>
    </row>
    <row r="874" spans="6:6" ht="15.75" customHeight="1" x14ac:dyDescent="0.3">
      <c r="F874" s="8"/>
    </row>
    <row r="875" spans="6:6" ht="15.75" customHeight="1" x14ac:dyDescent="0.3">
      <c r="F875" s="8"/>
    </row>
    <row r="876" spans="6:6" ht="15.75" customHeight="1" x14ac:dyDescent="0.3">
      <c r="F876" s="8"/>
    </row>
    <row r="877" spans="6:6" ht="15.75" customHeight="1" x14ac:dyDescent="0.3">
      <c r="F877" s="8"/>
    </row>
    <row r="878" spans="6:6" ht="15.75" customHeight="1" x14ac:dyDescent="0.3">
      <c r="F878" s="8"/>
    </row>
    <row r="879" spans="6:6" ht="15.75" customHeight="1" x14ac:dyDescent="0.3">
      <c r="F879" s="8"/>
    </row>
    <row r="880" spans="6:6" ht="15.75" customHeight="1" x14ac:dyDescent="0.3">
      <c r="F880" s="8"/>
    </row>
    <row r="881" spans="6:6" ht="15.75" customHeight="1" x14ac:dyDescent="0.3">
      <c r="F881" s="8"/>
    </row>
    <row r="882" spans="6:6" ht="15.75" customHeight="1" x14ac:dyDescent="0.3">
      <c r="F882" s="8"/>
    </row>
    <row r="883" spans="6:6" ht="15.75" customHeight="1" x14ac:dyDescent="0.3">
      <c r="F883" s="8"/>
    </row>
    <row r="884" spans="6:6" ht="15.75" customHeight="1" x14ac:dyDescent="0.3">
      <c r="F884" s="8"/>
    </row>
    <row r="885" spans="6:6" ht="15.75" customHeight="1" x14ac:dyDescent="0.3">
      <c r="F885" s="8"/>
    </row>
    <row r="886" spans="6:6" ht="15.75" customHeight="1" x14ac:dyDescent="0.3">
      <c r="F886" s="8"/>
    </row>
    <row r="887" spans="6:6" ht="15.75" customHeight="1" x14ac:dyDescent="0.3">
      <c r="F887" s="8"/>
    </row>
    <row r="888" spans="6:6" ht="15.75" customHeight="1" x14ac:dyDescent="0.3">
      <c r="F888" s="8"/>
    </row>
    <row r="889" spans="6:6" ht="15.75" customHeight="1" x14ac:dyDescent="0.3">
      <c r="F889" s="8"/>
    </row>
    <row r="890" spans="6:6" ht="15.75" customHeight="1" x14ac:dyDescent="0.3">
      <c r="F890" s="8"/>
    </row>
    <row r="891" spans="6:6" ht="15.75" customHeight="1" x14ac:dyDescent="0.3">
      <c r="F891" s="8"/>
    </row>
    <row r="892" spans="6:6" ht="15.75" customHeight="1" x14ac:dyDescent="0.3">
      <c r="F892" s="8"/>
    </row>
    <row r="893" spans="6:6" ht="15.75" customHeight="1" x14ac:dyDescent="0.3">
      <c r="F893" s="8"/>
    </row>
    <row r="894" spans="6:6" ht="15.75" customHeight="1" x14ac:dyDescent="0.3">
      <c r="F894" s="8"/>
    </row>
    <row r="895" spans="6:6" ht="15.75" customHeight="1" x14ac:dyDescent="0.3">
      <c r="F895" s="8"/>
    </row>
    <row r="896" spans="6:6" ht="15.75" customHeight="1" x14ac:dyDescent="0.3">
      <c r="F896" s="8"/>
    </row>
    <row r="897" spans="6:6" ht="15.75" customHeight="1" x14ac:dyDescent="0.3">
      <c r="F897" s="8"/>
    </row>
    <row r="898" spans="6:6" ht="15.75" customHeight="1" x14ac:dyDescent="0.3">
      <c r="F898" s="8"/>
    </row>
    <row r="899" spans="6:6" ht="15.75" customHeight="1" x14ac:dyDescent="0.3">
      <c r="F899" s="8"/>
    </row>
    <row r="900" spans="6:6" ht="15.75" customHeight="1" x14ac:dyDescent="0.3">
      <c r="F900" s="8"/>
    </row>
    <row r="901" spans="6:6" ht="15.75" customHeight="1" x14ac:dyDescent="0.3">
      <c r="F901" s="8"/>
    </row>
    <row r="902" spans="6:6" ht="15.75" customHeight="1" x14ac:dyDescent="0.3">
      <c r="F902" s="8"/>
    </row>
    <row r="903" spans="6:6" ht="15.75" customHeight="1" x14ac:dyDescent="0.3">
      <c r="F903" s="8"/>
    </row>
    <row r="904" spans="6:6" ht="15.75" customHeight="1" x14ac:dyDescent="0.3">
      <c r="F904" s="8"/>
    </row>
    <row r="905" spans="6:6" ht="15.75" customHeight="1" x14ac:dyDescent="0.3">
      <c r="F905" s="8"/>
    </row>
    <row r="906" spans="6:6" ht="15.75" customHeight="1" x14ac:dyDescent="0.3">
      <c r="F906" s="8"/>
    </row>
    <row r="907" spans="6:6" ht="15.75" customHeight="1" x14ac:dyDescent="0.3">
      <c r="F907" s="8"/>
    </row>
    <row r="908" spans="6:6" ht="15.75" customHeight="1" x14ac:dyDescent="0.3">
      <c r="F908" s="8"/>
    </row>
    <row r="909" spans="6:6" ht="15.75" customHeight="1" x14ac:dyDescent="0.3">
      <c r="F909" s="8"/>
    </row>
    <row r="910" spans="6:6" ht="15.75" customHeight="1" x14ac:dyDescent="0.3">
      <c r="F910" s="8"/>
    </row>
    <row r="911" spans="6:6" ht="15.75" customHeight="1" x14ac:dyDescent="0.3">
      <c r="F911" s="8"/>
    </row>
    <row r="912" spans="6:6" ht="15.75" customHeight="1" x14ac:dyDescent="0.3">
      <c r="F912" s="8"/>
    </row>
    <row r="913" spans="6:6" ht="15.75" customHeight="1" x14ac:dyDescent="0.3">
      <c r="F913" s="8"/>
    </row>
    <row r="914" spans="6:6" ht="15.75" customHeight="1" x14ac:dyDescent="0.3">
      <c r="F914" s="8"/>
    </row>
    <row r="915" spans="6:6" ht="15.75" customHeight="1" x14ac:dyDescent="0.3">
      <c r="F915" s="8"/>
    </row>
    <row r="916" spans="6:6" ht="15.75" customHeight="1" x14ac:dyDescent="0.3">
      <c r="F916" s="8"/>
    </row>
    <row r="917" spans="6:6" ht="15.75" customHeight="1" x14ac:dyDescent="0.3">
      <c r="F917" s="8"/>
    </row>
    <row r="918" spans="6:6" ht="15.75" customHeight="1" x14ac:dyDescent="0.3">
      <c r="F918" s="8"/>
    </row>
    <row r="919" spans="6:6" ht="15.75" customHeight="1" x14ac:dyDescent="0.3">
      <c r="F919" s="8"/>
    </row>
    <row r="920" spans="6:6" ht="15.75" customHeight="1" x14ac:dyDescent="0.3">
      <c r="F920" s="8"/>
    </row>
    <row r="921" spans="6:6" ht="15.75" customHeight="1" x14ac:dyDescent="0.3">
      <c r="F921" s="8"/>
    </row>
    <row r="922" spans="6:6" ht="15.75" customHeight="1" x14ac:dyDescent="0.3">
      <c r="F922" s="8"/>
    </row>
    <row r="923" spans="6:6" ht="15.75" customHeight="1" x14ac:dyDescent="0.3">
      <c r="F923" s="8"/>
    </row>
    <row r="924" spans="6:6" ht="15.75" customHeight="1" x14ac:dyDescent="0.3">
      <c r="F924" s="8"/>
    </row>
    <row r="925" spans="6:6" ht="15.75" customHeight="1" x14ac:dyDescent="0.3">
      <c r="F925" s="8"/>
    </row>
    <row r="926" spans="6:6" ht="15.75" customHeight="1" x14ac:dyDescent="0.3">
      <c r="F926" s="8"/>
    </row>
    <row r="927" spans="6:6" ht="15.75" customHeight="1" x14ac:dyDescent="0.3">
      <c r="F927" s="8"/>
    </row>
    <row r="928" spans="6:6" ht="15.75" customHeight="1" x14ac:dyDescent="0.3">
      <c r="F928" s="8"/>
    </row>
    <row r="929" spans="6:6" ht="15.75" customHeight="1" x14ac:dyDescent="0.3">
      <c r="F929" s="8"/>
    </row>
    <row r="930" spans="6:6" ht="15.75" customHeight="1" x14ac:dyDescent="0.3">
      <c r="F930" s="8"/>
    </row>
    <row r="931" spans="6:6" ht="15.75" customHeight="1" x14ac:dyDescent="0.3">
      <c r="F931" s="8"/>
    </row>
    <row r="932" spans="6:6" ht="15.75" customHeight="1" x14ac:dyDescent="0.3">
      <c r="F932" s="8"/>
    </row>
    <row r="933" spans="6:6" ht="15.75" customHeight="1" x14ac:dyDescent="0.3">
      <c r="F933" s="8"/>
    </row>
    <row r="934" spans="6:6" ht="15.75" customHeight="1" x14ac:dyDescent="0.3">
      <c r="F934" s="8"/>
    </row>
    <row r="935" spans="6:6" ht="15.75" customHeight="1" x14ac:dyDescent="0.3">
      <c r="F935" s="8"/>
    </row>
    <row r="936" spans="6:6" ht="15.75" customHeight="1" x14ac:dyDescent="0.3">
      <c r="F936" s="8"/>
    </row>
    <row r="937" spans="6:6" ht="15.75" customHeight="1" x14ac:dyDescent="0.3">
      <c r="F937" s="8"/>
    </row>
    <row r="938" spans="6:6" ht="15.75" customHeight="1" x14ac:dyDescent="0.3">
      <c r="F938" s="8"/>
    </row>
    <row r="939" spans="6:6" ht="15.75" customHeight="1" x14ac:dyDescent="0.3">
      <c r="F939" s="8"/>
    </row>
    <row r="940" spans="6:6" ht="15.75" customHeight="1" x14ac:dyDescent="0.3">
      <c r="F940" s="8"/>
    </row>
    <row r="941" spans="6:6" ht="15.75" customHeight="1" x14ac:dyDescent="0.3">
      <c r="F941" s="8"/>
    </row>
    <row r="942" spans="6:6" ht="15.75" customHeight="1" x14ac:dyDescent="0.3">
      <c r="F942" s="8"/>
    </row>
    <row r="943" spans="6:6" ht="15.75" customHeight="1" x14ac:dyDescent="0.3">
      <c r="F943" s="8"/>
    </row>
    <row r="944" spans="6:6" ht="15.75" customHeight="1" x14ac:dyDescent="0.3">
      <c r="F944" s="8"/>
    </row>
    <row r="945" spans="6:6" ht="15.75" customHeight="1" x14ac:dyDescent="0.3">
      <c r="F945" s="8"/>
    </row>
    <row r="946" spans="6:6" ht="15.75" customHeight="1" x14ac:dyDescent="0.3">
      <c r="F946" s="8"/>
    </row>
    <row r="947" spans="6:6" ht="15.75" customHeight="1" x14ac:dyDescent="0.3">
      <c r="F947" s="8"/>
    </row>
    <row r="948" spans="6:6" ht="15.75" customHeight="1" x14ac:dyDescent="0.3">
      <c r="F948" s="8"/>
    </row>
    <row r="949" spans="6:6" ht="15.75" customHeight="1" x14ac:dyDescent="0.3">
      <c r="F949" s="8"/>
    </row>
    <row r="950" spans="6:6" ht="15.75" customHeight="1" x14ac:dyDescent="0.3">
      <c r="F950" s="8"/>
    </row>
    <row r="951" spans="6:6" ht="15.75" customHeight="1" x14ac:dyDescent="0.3">
      <c r="F951" s="8"/>
    </row>
    <row r="952" spans="6:6" ht="15.75" customHeight="1" x14ac:dyDescent="0.3">
      <c r="F952" s="8"/>
    </row>
    <row r="953" spans="6:6" ht="15.75" customHeight="1" x14ac:dyDescent="0.3">
      <c r="F953" s="8"/>
    </row>
    <row r="954" spans="6:6" ht="15.75" customHeight="1" x14ac:dyDescent="0.3">
      <c r="F954" s="8"/>
    </row>
    <row r="955" spans="6:6" ht="15.75" customHeight="1" x14ac:dyDescent="0.3">
      <c r="F955" s="8"/>
    </row>
    <row r="956" spans="6:6" ht="15.75" customHeight="1" x14ac:dyDescent="0.3">
      <c r="F956" s="8"/>
    </row>
    <row r="957" spans="6:6" ht="15.75" customHeight="1" x14ac:dyDescent="0.3">
      <c r="F957" s="8"/>
    </row>
    <row r="958" spans="6:6" ht="15.75" customHeight="1" x14ac:dyDescent="0.3">
      <c r="F958" s="8"/>
    </row>
    <row r="959" spans="6:6" ht="15.75" customHeight="1" x14ac:dyDescent="0.3">
      <c r="F959" s="8"/>
    </row>
    <row r="960" spans="6:6" ht="15.75" customHeight="1" x14ac:dyDescent="0.3">
      <c r="F960" s="8"/>
    </row>
    <row r="961" spans="6:6" ht="15.75" customHeight="1" x14ac:dyDescent="0.3">
      <c r="F961" s="8"/>
    </row>
    <row r="962" spans="6:6" ht="15.75" customHeight="1" x14ac:dyDescent="0.3">
      <c r="F962" s="8"/>
    </row>
    <row r="963" spans="6:6" ht="15.75" customHeight="1" x14ac:dyDescent="0.3">
      <c r="F963" s="8"/>
    </row>
    <row r="964" spans="6:6" ht="15.75" customHeight="1" x14ac:dyDescent="0.3">
      <c r="F964" s="8"/>
    </row>
    <row r="965" spans="6:6" ht="15.75" customHeight="1" x14ac:dyDescent="0.3">
      <c r="F965" s="8"/>
    </row>
    <row r="966" spans="6:6" ht="15.75" customHeight="1" x14ac:dyDescent="0.3">
      <c r="F966" s="8"/>
    </row>
    <row r="967" spans="6:6" ht="15.75" customHeight="1" x14ac:dyDescent="0.3">
      <c r="F967" s="8"/>
    </row>
    <row r="968" spans="6:6" ht="15.75" customHeight="1" x14ac:dyDescent="0.3">
      <c r="F968" s="8"/>
    </row>
    <row r="969" spans="6:6" ht="15.75" customHeight="1" x14ac:dyDescent="0.3">
      <c r="F969" s="8"/>
    </row>
    <row r="970" spans="6:6" ht="15.75" customHeight="1" x14ac:dyDescent="0.3">
      <c r="F970" s="8"/>
    </row>
    <row r="971" spans="6:6" ht="15.75" customHeight="1" x14ac:dyDescent="0.3">
      <c r="F971" s="8"/>
    </row>
    <row r="972" spans="6:6" ht="15.75" customHeight="1" x14ac:dyDescent="0.3">
      <c r="F972" s="8"/>
    </row>
    <row r="973" spans="6:6" ht="15.75" customHeight="1" x14ac:dyDescent="0.3">
      <c r="F973" s="8"/>
    </row>
    <row r="974" spans="6:6" ht="15.75" customHeight="1" x14ac:dyDescent="0.3">
      <c r="F974" s="8"/>
    </row>
    <row r="975" spans="6:6" ht="15.75" customHeight="1" x14ac:dyDescent="0.3">
      <c r="F975" s="8"/>
    </row>
    <row r="976" spans="6:6" ht="15.75" customHeight="1" x14ac:dyDescent="0.3">
      <c r="F976" s="8"/>
    </row>
    <row r="977" spans="6:6" ht="15.75" customHeight="1" x14ac:dyDescent="0.3">
      <c r="F977" s="8"/>
    </row>
    <row r="978" spans="6:6" ht="15.75" customHeight="1" x14ac:dyDescent="0.3">
      <c r="F978" s="8"/>
    </row>
    <row r="979" spans="6:6" ht="15.75" customHeight="1" x14ac:dyDescent="0.3">
      <c r="F979" s="8"/>
    </row>
    <row r="980" spans="6:6" ht="15.75" customHeight="1" x14ac:dyDescent="0.3">
      <c r="F980" s="8"/>
    </row>
    <row r="981" spans="6:6" ht="15.75" customHeight="1" x14ac:dyDescent="0.3">
      <c r="F981" s="8"/>
    </row>
    <row r="982" spans="6:6" ht="15.75" customHeight="1" x14ac:dyDescent="0.3">
      <c r="F982" s="8"/>
    </row>
    <row r="983" spans="6:6" ht="15.75" customHeight="1" x14ac:dyDescent="0.3">
      <c r="F983" s="8"/>
    </row>
    <row r="984" spans="6:6" ht="15.75" customHeight="1" x14ac:dyDescent="0.3">
      <c r="F984" s="8"/>
    </row>
    <row r="985" spans="6:6" ht="15.75" customHeight="1" x14ac:dyDescent="0.3">
      <c r="F985" s="8"/>
    </row>
    <row r="986" spans="6:6" ht="15.75" customHeight="1" x14ac:dyDescent="0.3">
      <c r="F986" s="8"/>
    </row>
    <row r="987" spans="6:6" ht="15.75" customHeight="1" x14ac:dyDescent="0.3">
      <c r="F987" s="8"/>
    </row>
    <row r="988" spans="6:6" ht="15.75" customHeight="1" x14ac:dyDescent="0.3">
      <c r="F988" s="8"/>
    </row>
    <row r="989" spans="6:6" ht="15.75" customHeight="1" x14ac:dyDescent="0.3">
      <c r="F989" s="8"/>
    </row>
    <row r="990" spans="6:6" ht="15.75" customHeight="1" x14ac:dyDescent="0.3">
      <c r="F990" s="8"/>
    </row>
    <row r="991" spans="6:6" ht="15.75" customHeight="1" x14ac:dyDescent="0.3">
      <c r="F991" s="8"/>
    </row>
    <row r="992" spans="6:6" ht="15.75" customHeight="1" x14ac:dyDescent="0.3">
      <c r="F992" s="8"/>
    </row>
    <row r="993" spans="6:6" ht="15.75" customHeight="1" x14ac:dyDescent="0.3">
      <c r="F993" s="8"/>
    </row>
    <row r="994" spans="6:6" ht="15.75" customHeight="1" x14ac:dyDescent="0.3">
      <c r="F994" s="8"/>
    </row>
    <row r="995" spans="6:6" ht="15.75" customHeight="1" x14ac:dyDescent="0.3">
      <c r="F995" s="8"/>
    </row>
    <row r="996" spans="6:6" ht="15.75" customHeight="1" x14ac:dyDescent="0.3">
      <c r="F996" s="8"/>
    </row>
    <row r="997" spans="6:6" ht="15.75" customHeight="1" x14ac:dyDescent="0.3">
      <c r="F997" s="8"/>
    </row>
    <row r="998" spans="6:6" ht="15.75" customHeight="1" x14ac:dyDescent="0.3">
      <c r="F998" s="8"/>
    </row>
    <row r="999" spans="6:6" ht="15.75" customHeight="1" x14ac:dyDescent="0.3">
      <c r="F999" s="8"/>
    </row>
    <row r="1000" spans="6:6" ht="15.75" customHeight="1" x14ac:dyDescent="0.3">
      <c r="F1000" s="8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HR Performance Reviews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Emilio Torres Castillo</cp:lastModifiedBy>
  <dcterms:created xsi:type="dcterms:W3CDTF">2017-06-15T06:51:11Z</dcterms:created>
  <dcterms:modified xsi:type="dcterms:W3CDTF">2026-10-08T18:06:23Z</dcterms:modified>
</cp:coreProperties>
</file>